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\tools\excelGen\xls\"/>
    </mc:Choice>
  </mc:AlternateContent>
  <bookViews>
    <workbookView xWindow="0" yWindow="0" windowWidth="24075" windowHeight="12630" tabRatio="708" firstSheet="2" activeTab="4"/>
  </bookViews>
  <sheets>
    <sheet name="舰队构成规则" sheetId="2" r:id="rId1"/>
    <sheet name="静态数据ID规则" sheetId="16" r:id="rId2"/>
    <sheet name="命名说明" sheetId="15" r:id="rId3"/>
    <sheet name="BUILDING" sheetId="9" r:id="rId4"/>
    <sheet name="ITEM_RES" sheetId="30" r:id="rId5"/>
    <sheet name="PLAYER_LEVEL" sheetId="44" r:id="rId6"/>
    <sheet name="MANOR_LEVEL" sheetId="45" r:id="rId7"/>
    <sheet name="ROB_PROPORTION" sheetId="46" r:id="rId8"/>
    <sheet name="PLAYER_ATTR" sheetId="60" r:id="rId9"/>
    <sheet name="ZOMBIE_ATTR" sheetId="51" r:id="rId10"/>
    <sheet name="WORLD_EVENTS" sheetId="57" r:id="rId11"/>
    <sheet name="ARITHMETIC_COEFFICIENT" sheetId="53" r:id="rId12"/>
  </sheets>
  <calcPr calcId="152511"/>
</workbook>
</file>

<file path=xl/calcChain.xml><?xml version="1.0" encoding="utf-8"?>
<calcChain xmlns="http://schemas.openxmlformats.org/spreadsheetml/2006/main">
  <c r="A16" i="53" l="1"/>
  <c r="A17" i="53"/>
  <c r="A15" i="53" l="1"/>
  <c r="N6" i="51" l="1"/>
  <c r="N7" i="51"/>
  <c r="N8" i="51"/>
  <c r="N9" i="51"/>
  <c r="N10" i="51"/>
  <c r="N11" i="51"/>
  <c r="N12" i="51"/>
  <c r="N13" i="51"/>
  <c r="N14" i="51"/>
  <c r="N5" i="51"/>
  <c r="A11" i="60" l="1"/>
  <c r="A15" i="60"/>
  <c r="A14" i="60"/>
  <c r="A13" i="60"/>
  <c r="A12" i="60"/>
  <c r="A10" i="60"/>
  <c r="A9" i="60"/>
  <c r="A7" i="60"/>
  <c r="A6" i="60"/>
  <c r="A5" i="60"/>
  <c r="A16" i="60" l="1"/>
  <c r="A8" i="60"/>
  <c r="A204" i="57" l="1"/>
  <c r="A203" i="57"/>
  <c r="A202" i="57"/>
  <c r="A201" i="57"/>
  <c r="A200" i="57"/>
  <c r="A199" i="57"/>
  <c r="A198" i="57"/>
  <c r="A197" i="57"/>
  <c r="A196" i="57"/>
  <c r="A195" i="57"/>
  <c r="A194" i="57"/>
  <c r="A193" i="57"/>
  <c r="A192" i="57"/>
  <c r="A191" i="57"/>
  <c r="A190" i="57"/>
  <c r="A189" i="57"/>
  <c r="A188" i="57"/>
  <c r="A187" i="57"/>
  <c r="A186" i="57"/>
  <c r="A185" i="57"/>
  <c r="A184" i="57"/>
  <c r="A183" i="57"/>
  <c r="A182" i="57"/>
  <c r="A181" i="57"/>
  <c r="A180" i="57"/>
  <c r="A179" i="57"/>
  <c r="A178" i="57"/>
  <c r="A177" i="57"/>
  <c r="A176" i="57"/>
  <c r="A175" i="57"/>
  <c r="A174" i="57"/>
  <c r="A173" i="57"/>
  <c r="A172" i="57"/>
  <c r="A171" i="57"/>
  <c r="A170" i="57"/>
  <c r="A169" i="57"/>
  <c r="A168" i="57"/>
  <c r="A167" i="57"/>
  <c r="A166" i="57"/>
  <c r="A165" i="57"/>
  <c r="A164" i="57"/>
  <c r="A163" i="57"/>
  <c r="A162" i="57"/>
  <c r="A161" i="57"/>
  <c r="A160" i="57"/>
  <c r="A159" i="57"/>
  <c r="A158" i="57"/>
  <c r="A157" i="57"/>
  <c r="A156" i="57"/>
  <c r="A155" i="57"/>
  <c r="A154" i="57"/>
  <c r="A153" i="57"/>
  <c r="A152" i="57"/>
  <c r="A151" i="57"/>
  <c r="A150" i="57"/>
  <c r="A149" i="57"/>
  <c r="A148" i="57"/>
  <c r="A147" i="57"/>
  <c r="A146" i="57"/>
  <c r="A145" i="57"/>
  <c r="A144" i="57"/>
  <c r="A143" i="57"/>
  <c r="A142" i="57"/>
  <c r="A141" i="57"/>
  <c r="A140" i="57"/>
  <c r="A139" i="57"/>
  <c r="A138" i="57"/>
  <c r="A137" i="57"/>
  <c r="A136" i="57"/>
  <c r="A135" i="57"/>
  <c r="A134" i="57"/>
  <c r="A133" i="57"/>
  <c r="A132" i="57"/>
  <c r="A131" i="57"/>
  <c r="A130" i="57"/>
  <c r="A129" i="57"/>
  <c r="A128" i="57"/>
  <c r="A127" i="57"/>
  <c r="A126" i="57"/>
  <c r="A125" i="57"/>
  <c r="A124" i="57"/>
  <c r="A123" i="57"/>
  <c r="A122" i="57"/>
  <c r="A121" i="57"/>
  <c r="A120" i="57"/>
  <c r="A119" i="57"/>
  <c r="A118" i="57"/>
  <c r="A117" i="57"/>
  <c r="A116" i="57"/>
  <c r="A115" i="57"/>
  <c r="A114" i="57"/>
  <c r="A113" i="57"/>
  <c r="A112" i="57"/>
  <c r="A111" i="57"/>
  <c r="A110" i="57"/>
  <c r="A109" i="57"/>
  <c r="A108" i="57"/>
  <c r="A107" i="57"/>
  <c r="A106" i="57"/>
  <c r="A105" i="57"/>
  <c r="A104" i="57"/>
  <c r="A103" i="57"/>
  <c r="A102" i="57"/>
  <c r="A101" i="57"/>
  <c r="A100" i="57"/>
  <c r="A99" i="57"/>
  <c r="A98" i="57"/>
  <c r="A97" i="57"/>
  <c r="A96" i="57"/>
  <c r="A95" i="57"/>
  <c r="A94" i="57"/>
  <c r="A93" i="57"/>
  <c r="A92" i="57"/>
  <c r="A91" i="57"/>
  <c r="A90" i="57"/>
  <c r="A89" i="57"/>
  <c r="A88" i="57"/>
  <c r="A87" i="57"/>
  <c r="A86" i="57"/>
  <c r="A85" i="57"/>
  <c r="A84" i="57"/>
  <c r="A83" i="57"/>
  <c r="A82" i="57"/>
  <c r="A81" i="57"/>
  <c r="A80" i="57"/>
  <c r="A79" i="57"/>
  <c r="A78" i="57"/>
  <c r="A77" i="57"/>
  <c r="A76" i="57"/>
  <c r="A75" i="57"/>
  <c r="A74" i="57"/>
  <c r="A73" i="57"/>
  <c r="A72" i="57"/>
  <c r="A71" i="57"/>
  <c r="A70" i="57"/>
  <c r="A69" i="57"/>
  <c r="A68" i="57"/>
  <c r="A67" i="57"/>
  <c r="A66" i="57"/>
  <c r="A65" i="57"/>
  <c r="A64" i="57"/>
  <c r="A63" i="57"/>
  <c r="A62" i="57"/>
  <c r="A61" i="57"/>
  <c r="A60" i="57"/>
  <c r="A59" i="57"/>
  <c r="A58" i="57"/>
  <c r="A57" i="57"/>
  <c r="A56" i="57"/>
  <c r="A55" i="57"/>
  <c r="A54" i="57"/>
  <c r="A53" i="57"/>
  <c r="A52" i="57"/>
  <c r="A51" i="57"/>
  <c r="A50" i="57"/>
  <c r="A49" i="57"/>
  <c r="A48" i="57"/>
  <c r="A47" i="57"/>
  <c r="A46" i="57"/>
  <c r="A45" i="57"/>
  <c r="A44" i="57"/>
  <c r="A43" i="57"/>
  <c r="A42" i="57"/>
  <c r="A41" i="57"/>
  <c r="A40" i="57"/>
  <c r="A39" i="57"/>
  <c r="A38" i="57"/>
  <c r="A37" i="57"/>
  <c r="A36" i="57"/>
  <c r="A35" i="57"/>
  <c r="A34" i="57"/>
  <c r="A33" i="57"/>
  <c r="A32" i="57"/>
  <c r="A31" i="57"/>
  <c r="A30" i="57"/>
  <c r="A29" i="57"/>
  <c r="A28" i="57"/>
  <c r="A27" i="57"/>
  <c r="A26" i="57"/>
  <c r="A25" i="57"/>
  <c r="A24" i="57"/>
  <c r="A23" i="57"/>
  <c r="A22" i="57"/>
  <c r="A21" i="57"/>
  <c r="A20" i="57"/>
  <c r="A19" i="57"/>
  <c r="A18" i="57"/>
  <c r="A17" i="57"/>
  <c r="A16" i="57"/>
  <c r="A15" i="57"/>
  <c r="A14" i="57"/>
  <c r="A13" i="57"/>
  <c r="A12" i="57"/>
  <c r="A11" i="57"/>
  <c r="A10" i="57"/>
  <c r="A9" i="57"/>
  <c r="A8" i="57"/>
  <c r="A7" i="57"/>
  <c r="A6" i="57"/>
  <c r="A5" i="57"/>
  <c r="N204" i="51"/>
  <c r="A204" i="51"/>
  <c r="N203" i="51"/>
  <c r="A203" i="51"/>
  <c r="N202" i="51"/>
  <c r="A202" i="51"/>
  <c r="N201" i="51"/>
  <c r="A201" i="51"/>
  <c r="N200" i="51"/>
  <c r="A200" i="51"/>
  <c r="N199" i="51"/>
  <c r="A199" i="51"/>
  <c r="N198" i="51"/>
  <c r="A198" i="51"/>
  <c r="N197" i="51"/>
  <c r="A197" i="51"/>
  <c r="N196" i="51"/>
  <c r="A196" i="51"/>
  <c r="N195" i="51"/>
  <c r="A195" i="51"/>
  <c r="N194" i="51"/>
  <c r="A194" i="51"/>
  <c r="N193" i="51"/>
  <c r="A193" i="51"/>
  <c r="N192" i="51"/>
  <c r="A192" i="51"/>
  <c r="N191" i="51"/>
  <c r="A191" i="51"/>
  <c r="N190" i="51"/>
  <c r="A190" i="51"/>
  <c r="N189" i="51"/>
  <c r="A189" i="51"/>
  <c r="N188" i="51"/>
  <c r="A188" i="51"/>
  <c r="N187" i="51"/>
  <c r="A187" i="51"/>
  <c r="N186" i="51"/>
  <c r="A186" i="51"/>
  <c r="N185" i="51"/>
  <c r="A185" i="51"/>
  <c r="N184" i="51"/>
  <c r="A184" i="51"/>
  <c r="N183" i="51"/>
  <c r="A183" i="51"/>
  <c r="N182" i="51"/>
  <c r="A182" i="51"/>
  <c r="N181" i="51"/>
  <c r="A181" i="51"/>
  <c r="N180" i="51"/>
  <c r="A180" i="51"/>
  <c r="N179" i="51"/>
  <c r="A179" i="51"/>
  <c r="N178" i="51"/>
  <c r="A178" i="51"/>
  <c r="N177" i="51"/>
  <c r="A177" i="51"/>
  <c r="N176" i="51"/>
  <c r="A176" i="51"/>
  <c r="N175" i="51"/>
  <c r="A175" i="51"/>
  <c r="N174" i="51"/>
  <c r="A174" i="51"/>
  <c r="N173" i="51"/>
  <c r="A173" i="51"/>
  <c r="N172" i="51"/>
  <c r="A172" i="51"/>
  <c r="N171" i="51"/>
  <c r="A171" i="51"/>
  <c r="N170" i="51"/>
  <c r="A170" i="51"/>
  <c r="N169" i="51"/>
  <c r="A169" i="51"/>
  <c r="N168" i="51"/>
  <c r="A168" i="51"/>
  <c r="N167" i="51"/>
  <c r="A167" i="51"/>
  <c r="N166" i="51"/>
  <c r="A166" i="51"/>
  <c r="N165" i="51"/>
  <c r="A165" i="51"/>
  <c r="N164" i="51"/>
  <c r="A164" i="51"/>
  <c r="N163" i="51"/>
  <c r="A163" i="51"/>
  <c r="N162" i="51"/>
  <c r="A162" i="51"/>
  <c r="N161" i="51"/>
  <c r="A161" i="51"/>
  <c r="N160" i="51"/>
  <c r="A160" i="51"/>
  <c r="N159" i="51"/>
  <c r="A159" i="51"/>
  <c r="N158" i="51"/>
  <c r="A158" i="51"/>
  <c r="N157" i="51"/>
  <c r="A157" i="51"/>
  <c r="N156" i="51"/>
  <c r="A156" i="51"/>
  <c r="N155" i="51"/>
  <c r="A155" i="51"/>
  <c r="N154" i="51"/>
  <c r="A154" i="51"/>
  <c r="N153" i="51"/>
  <c r="A153" i="51"/>
  <c r="N152" i="51"/>
  <c r="A152" i="51"/>
  <c r="N151" i="51"/>
  <c r="A151" i="51"/>
  <c r="N150" i="51"/>
  <c r="A150" i="51"/>
  <c r="N149" i="51"/>
  <c r="A149" i="51"/>
  <c r="N148" i="51"/>
  <c r="A148" i="51"/>
  <c r="N147" i="51"/>
  <c r="A147" i="51"/>
  <c r="N146" i="51"/>
  <c r="A146" i="51"/>
  <c r="N145" i="51"/>
  <c r="A145" i="51"/>
  <c r="N144" i="51"/>
  <c r="A144" i="51"/>
  <c r="N143" i="51"/>
  <c r="A143" i="51"/>
  <c r="N142" i="51"/>
  <c r="A142" i="51"/>
  <c r="N141" i="51"/>
  <c r="A141" i="51"/>
  <c r="N140" i="51"/>
  <c r="A140" i="51"/>
  <c r="N139" i="51"/>
  <c r="A139" i="51"/>
  <c r="N138" i="51"/>
  <c r="A138" i="51"/>
  <c r="N137" i="51"/>
  <c r="A137" i="51"/>
  <c r="N136" i="51"/>
  <c r="A136" i="51"/>
  <c r="N135" i="51"/>
  <c r="A135" i="51"/>
  <c r="N134" i="51"/>
  <c r="A134" i="51"/>
  <c r="N133" i="51"/>
  <c r="A133" i="51"/>
  <c r="N132" i="51"/>
  <c r="A132" i="51"/>
  <c r="N131" i="51"/>
  <c r="A131" i="51"/>
  <c r="N130" i="51"/>
  <c r="A130" i="51"/>
  <c r="N129" i="51"/>
  <c r="A129" i="51"/>
  <c r="N128" i="51"/>
  <c r="A128" i="51"/>
  <c r="N127" i="51"/>
  <c r="A127" i="51"/>
  <c r="N126" i="51"/>
  <c r="A126" i="51"/>
  <c r="N125" i="51"/>
  <c r="A125" i="51"/>
  <c r="N124" i="51"/>
  <c r="A124" i="51"/>
  <c r="N123" i="51"/>
  <c r="A123" i="51"/>
  <c r="N122" i="51"/>
  <c r="A122" i="51"/>
  <c r="N121" i="51"/>
  <c r="A121" i="51"/>
  <c r="N120" i="51"/>
  <c r="A120" i="51"/>
  <c r="N119" i="51"/>
  <c r="A119" i="51"/>
  <c r="N118" i="51"/>
  <c r="A118" i="51"/>
  <c r="N117" i="51"/>
  <c r="A117" i="51"/>
  <c r="N116" i="51"/>
  <c r="A116" i="51"/>
  <c r="N115" i="51"/>
  <c r="A115" i="51"/>
  <c r="N114" i="51"/>
  <c r="A114" i="51"/>
  <c r="N113" i="51"/>
  <c r="A113" i="51"/>
  <c r="N112" i="51"/>
  <c r="A112" i="51"/>
  <c r="N111" i="51"/>
  <c r="A111" i="51"/>
  <c r="N110" i="51"/>
  <c r="A110" i="51"/>
  <c r="N109" i="51"/>
  <c r="A109" i="51"/>
  <c r="N108" i="51"/>
  <c r="A108" i="51"/>
  <c r="N107" i="51"/>
  <c r="A107" i="51"/>
  <c r="N106" i="51"/>
  <c r="A106" i="51"/>
  <c r="N105" i="51"/>
  <c r="A105" i="51"/>
  <c r="A15" i="51"/>
  <c r="A16" i="51"/>
  <c r="A17" i="51"/>
  <c r="A18" i="51"/>
  <c r="A19" i="51"/>
  <c r="A20" i="51"/>
  <c r="A21" i="51"/>
  <c r="A22" i="51"/>
  <c r="A23" i="51"/>
  <c r="A24" i="51"/>
  <c r="A25" i="51"/>
  <c r="A26" i="51"/>
  <c r="A27" i="51"/>
  <c r="A28" i="51"/>
  <c r="A29" i="51"/>
  <c r="A30" i="51"/>
  <c r="A31" i="51"/>
  <c r="A32" i="51"/>
  <c r="A33" i="51"/>
  <c r="A34" i="51"/>
  <c r="A35" i="51"/>
  <c r="A36" i="51"/>
  <c r="A37" i="51"/>
  <c r="A38" i="51"/>
  <c r="A39" i="51"/>
  <c r="A40" i="51"/>
  <c r="A41" i="51"/>
  <c r="A42" i="51"/>
  <c r="A43" i="51"/>
  <c r="A44" i="51"/>
  <c r="A45" i="51"/>
  <c r="A46" i="51"/>
  <c r="A47" i="51"/>
  <c r="A48" i="51"/>
  <c r="A49" i="51"/>
  <c r="A50" i="51"/>
  <c r="A51" i="51"/>
  <c r="A52" i="51"/>
  <c r="A53" i="51"/>
  <c r="A54" i="51"/>
  <c r="A55" i="51"/>
  <c r="A56" i="51"/>
  <c r="A57" i="51"/>
  <c r="A58" i="51"/>
  <c r="A59" i="51"/>
  <c r="A60" i="51"/>
  <c r="A61" i="51"/>
  <c r="A62" i="51"/>
  <c r="A63" i="51"/>
  <c r="A64" i="51"/>
  <c r="A65" i="51"/>
  <c r="A66" i="51"/>
  <c r="A67" i="51"/>
  <c r="A68" i="51"/>
  <c r="A69" i="51"/>
  <c r="A70" i="51"/>
  <c r="A71" i="51"/>
  <c r="A72" i="51"/>
  <c r="A73" i="51"/>
  <c r="A74" i="51"/>
  <c r="A75" i="51"/>
  <c r="A76" i="51"/>
  <c r="A77" i="51"/>
  <c r="A78" i="51"/>
  <c r="A79" i="51"/>
  <c r="A80" i="51"/>
  <c r="A81" i="51"/>
  <c r="A82" i="51"/>
  <c r="A83" i="51"/>
  <c r="A84" i="51"/>
  <c r="A85" i="51"/>
  <c r="A86" i="51"/>
  <c r="A87" i="51"/>
  <c r="A88" i="51"/>
  <c r="A89" i="51"/>
  <c r="A90" i="51"/>
  <c r="A91" i="51"/>
  <c r="A92" i="51"/>
  <c r="A93" i="51"/>
  <c r="A94" i="51"/>
  <c r="A95" i="51"/>
  <c r="A96" i="51"/>
  <c r="A97" i="51"/>
  <c r="A98" i="51"/>
  <c r="A99" i="51"/>
  <c r="A100" i="51"/>
  <c r="A101" i="51"/>
  <c r="A102" i="51"/>
  <c r="A103" i="51"/>
  <c r="A104" i="51"/>
  <c r="N15" i="51"/>
  <c r="N16" i="51"/>
  <c r="N17" i="51"/>
  <c r="N18" i="51"/>
  <c r="N19" i="51"/>
  <c r="N20" i="51"/>
  <c r="N21" i="51"/>
  <c r="N22" i="51"/>
  <c r="N23" i="51"/>
  <c r="N24" i="51"/>
  <c r="N25" i="51"/>
  <c r="N26" i="51"/>
  <c r="N27" i="51"/>
  <c r="N28" i="51"/>
  <c r="N29" i="51"/>
  <c r="N30" i="51"/>
  <c r="N31" i="51"/>
  <c r="N32" i="51"/>
  <c r="N33" i="51"/>
  <c r="N34" i="51"/>
  <c r="N35" i="51"/>
  <c r="N36" i="51"/>
  <c r="N37" i="51"/>
  <c r="N38" i="51"/>
  <c r="N39" i="51"/>
  <c r="N40" i="51"/>
  <c r="N41" i="51"/>
  <c r="N42" i="51"/>
  <c r="N43" i="51"/>
  <c r="N44" i="51"/>
  <c r="N45" i="51"/>
  <c r="N46" i="51"/>
  <c r="N47" i="51"/>
  <c r="N48" i="51"/>
  <c r="N49" i="51"/>
  <c r="N50" i="51"/>
  <c r="N51" i="51"/>
  <c r="N52" i="51"/>
  <c r="N53" i="51"/>
  <c r="N54" i="51"/>
  <c r="N55" i="51"/>
  <c r="N56" i="51"/>
  <c r="N57" i="51"/>
  <c r="N58" i="51"/>
  <c r="N59" i="51"/>
  <c r="N60" i="51"/>
  <c r="N61" i="51"/>
  <c r="N62" i="51"/>
  <c r="N63" i="51"/>
  <c r="N64" i="51"/>
  <c r="N65" i="51"/>
  <c r="N66" i="51"/>
  <c r="N67" i="51"/>
  <c r="N68" i="51"/>
  <c r="N69" i="51"/>
  <c r="N70" i="51"/>
  <c r="N71" i="51"/>
  <c r="N72" i="51"/>
  <c r="N73" i="51"/>
  <c r="N74" i="51"/>
  <c r="N75" i="51"/>
  <c r="N76" i="51"/>
  <c r="N77" i="51"/>
  <c r="N78" i="51"/>
  <c r="N79" i="51"/>
  <c r="N80" i="51"/>
  <c r="N81" i="51"/>
  <c r="N82" i="51"/>
  <c r="N83" i="51"/>
  <c r="N84" i="51"/>
  <c r="N85" i="51"/>
  <c r="N86" i="51"/>
  <c r="N87" i="51"/>
  <c r="N88" i="51"/>
  <c r="N89" i="51"/>
  <c r="N90" i="51"/>
  <c r="N91" i="51"/>
  <c r="N92" i="51"/>
  <c r="N93" i="51"/>
  <c r="N94" i="51"/>
  <c r="N95" i="51"/>
  <c r="N96" i="51"/>
  <c r="N97" i="51"/>
  <c r="N98" i="51"/>
  <c r="N99" i="51"/>
  <c r="N100" i="51"/>
  <c r="N101" i="51"/>
  <c r="N102" i="51"/>
  <c r="N103" i="51"/>
  <c r="N104" i="51"/>
  <c r="A14" i="53" l="1"/>
  <c r="A13" i="53"/>
  <c r="A12" i="53"/>
  <c r="A11" i="53"/>
  <c r="A10" i="53"/>
  <c r="A9" i="53"/>
  <c r="A8" i="53"/>
  <c r="A7" i="53"/>
  <c r="A6" i="53"/>
  <c r="A5" i="53"/>
  <c r="A14" i="51"/>
  <c r="A13" i="51"/>
  <c r="A12" i="51"/>
  <c r="A11" i="51"/>
  <c r="A10" i="51"/>
  <c r="A9" i="51"/>
  <c r="A8" i="51"/>
  <c r="A7" i="51"/>
  <c r="A6" i="51"/>
  <c r="A5" i="51"/>
  <c r="BL224" i="9" l="1"/>
  <c r="AE224" i="9" s="1"/>
  <c r="BJ224" i="9"/>
  <c r="BE224" i="9"/>
  <c r="AZ224" i="9"/>
  <c r="AL224" i="9"/>
  <c r="AJ224" i="9"/>
  <c r="AH224" i="9"/>
  <c r="X224" i="9"/>
  <c r="U224" i="9"/>
  <c r="F224" i="9"/>
  <c r="C224" i="9"/>
  <c r="A224" i="9" s="1"/>
  <c r="BL223" i="9"/>
  <c r="AE223" i="9" s="1"/>
  <c r="BJ223" i="9"/>
  <c r="BE223" i="9"/>
  <c r="AZ223" i="9"/>
  <c r="AL223" i="9"/>
  <c r="AJ223" i="9"/>
  <c r="AH223" i="9"/>
  <c r="X223" i="9"/>
  <c r="U223" i="9"/>
  <c r="F223" i="9"/>
  <c r="C223" i="9"/>
  <c r="A223" i="9"/>
  <c r="BL222" i="9"/>
  <c r="AN222" i="9" s="1"/>
  <c r="BJ222" i="9"/>
  <c r="BE222" i="9"/>
  <c r="AZ222" i="9"/>
  <c r="AL222" i="9"/>
  <c r="AJ222" i="9"/>
  <c r="AH222" i="9"/>
  <c r="X222" i="9"/>
  <c r="U222" i="9"/>
  <c r="F222" i="9"/>
  <c r="C222" i="9"/>
  <c r="A222" i="9"/>
  <c r="BL221" i="9"/>
  <c r="AN221" i="9" s="1"/>
  <c r="BJ221" i="9"/>
  <c r="BE221" i="9"/>
  <c r="AZ221" i="9"/>
  <c r="AL221" i="9"/>
  <c r="AJ221" i="9"/>
  <c r="AH221" i="9"/>
  <c r="X221" i="9"/>
  <c r="U221" i="9"/>
  <c r="F221" i="9"/>
  <c r="C221" i="9"/>
  <c r="A221" i="9"/>
  <c r="BL220" i="9"/>
  <c r="AE220" i="9" s="1"/>
  <c r="BJ220" i="9"/>
  <c r="BE220" i="9"/>
  <c r="AZ220" i="9"/>
  <c r="AL220" i="9"/>
  <c r="AJ220" i="9"/>
  <c r="AH220" i="9"/>
  <c r="X220" i="9"/>
  <c r="U220" i="9"/>
  <c r="F220" i="9"/>
  <c r="C220" i="9"/>
  <c r="A220" i="9"/>
  <c r="BL219" i="9"/>
  <c r="BJ219" i="9"/>
  <c r="BE219" i="9"/>
  <c r="AZ219" i="9"/>
  <c r="AN219" i="9"/>
  <c r="AL219" i="9"/>
  <c r="AJ219" i="9"/>
  <c r="AH219" i="9"/>
  <c r="AE219" i="9"/>
  <c r="AF220" i="9" s="1"/>
  <c r="X219" i="9"/>
  <c r="U219" i="9"/>
  <c r="F219" i="9"/>
  <c r="C219" i="9"/>
  <c r="A219" i="9" s="1"/>
  <c r="BL218" i="9"/>
  <c r="BJ218" i="9"/>
  <c r="BE218" i="9"/>
  <c r="AZ218" i="9"/>
  <c r="AN218" i="9"/>
  <c r="AL218" i="9"/>
  <c r="AJ218" i="9"/>
  <c r="AH218" i="9"/>
  <c r="AE218" i="9"/>
  <c r="AF219" i="9" s="1"/>
  <c r="X218" i="9"/>
  <c r="U218" i="9"/>
  <c r="F218" i="9"/>
  <c r="C218" i="9"/>
  <c r="A218" i="9" s="1"/>
  <c r="BL217" i="9"/>
  <c r="AN217" i="9" s="1"/>
  <c r="BJ217" i="9"/>
  <c r="BE217" i="9"/>
  <c r="AZ217" i="9"/>
  <c r="AL217" i="9"/>
  <c r="AJ217" i="9"/>
  <c r="AH217" i="9"/>
  <c r="AE217" i="9"/>
  <c r="AF218" i="9" s="1"/>
  <c r="X217" i="9"/>
  <c r="U217" i="9"/>
  <c r="F217" i="9"/>
  <c r="C217" i="9"/>
  <c r="A217" i="9"/>
  <c r="BL216" i="9"/>
  <c r="AN216" i="9" s="1"/>
  <c r="BJ216" i="9"/>
  <c r="BE216" i="9"/>
  <c r="AZ216" i="9"/>
  <c r="AL216" i="9"/>
  <c r="AJ216" i="9"/>
  <c r="AH216" i="9"/>
  <c r="AE216" i="9"/>
  <c r="AF217" i="9" s="1"/>
  <c r="X216" i="9"/>
  <c r="U216" i="9"/>
  <c r="F216" i="9"/>
  <c r="C216" i="9"/>
  <c r="A216" i="9" s="1"/>
  <c r="BL215" i="9"/>
  <c r="AN215" i="9" s="1"/>
  <c r="BJ215" i="9"/>
  <c r="BE215" i="9"/>
  <c r="AZ215" i="9"/>
  <c r="AU215" i="9"/>
  <c r="AL215" i="9"/>
  <c r="AJ215" i="9"/>
  <c r="AH215" i="9"/>
  <c r="AE215" i="9"/>
  <c r="AF216" i="9" s="1"/>
  <c r="X215" i="9"/>
  <c r="U215" i="9"/>
  <c r="F215" i="9"/>
  <c r="C215" i="9"/>
  <c r="A215" i="9"/>
  <c r="BL214" i="9"/>
  <c r="AN214" i="9" s="1"/>
  <c r="BJ214" i="9"/>
  <c r="AZ214" i="9"/>
  <c r="AU214" i="9"/>
  <c r="AL214" i="9"/>
  <c r="AJ214" i="9"/>
  <c r="AH214" i="9"/>
  <c r="X214" i="9"/>
  <c r="U214" i="9"/>
  <c r="F214" i="9"/>
  <c r="C214" i="9"/>
  <c r="A214" i="9"/>
  <c r="BL213" i="9"/>
  <c r="AE213" i="9" s="1"/>
  <c r="BJ213" i="9"/>
  <c r="BE213" i="9"/>
  <c r="AZ213" i="9"/>
  <c r="AU213" i="9"/>
  <c r="AL213" i="9"/>
  <c r="AJ213" i="9"/>
  <c r="AH213" i="9"/>
  <c r="X213" i="9"/>
  <c r="U213" i="9"/>
  <c r="F213" i="9"/>
  <c r="C213" i="9"/>
  <c r="A213" i="9"/>
  <c r="BL212" i="9"/>
  <c r="AE212" i="9" s="1"/>
  <c r="AF213" i="9" s="1"/>
  <c r="BJ212" i="9"/>
  <c r="BE212" i="9"/>
  <c r="AZ212" i="9"/>
  <c r="AU212" i="9"/>
  <c r="AL212" i="9"/>
  <c r="AJ212" i="9"/>
  <c r="AH212" i="9"/>
  <c r="X212" i="9"/>
  <c r="U212" i="9"/>
  <c r="F212" i="9"/>
  <c r="C212" i="9"/>
  <c r="A212" i="9"/>
  <c r="BL211" i="9"/>
  <c r="BJ211" i="9"/>
  <c r="BE211" i="9"/>
  <c r="AZ211" i="9"/>
  <c r="AU211" i="9"/>
  <c r="AN211" i="9"/>
  <c r="AL211" i="9"/>
  <c r="AJ211" i="9"/>
  <c r="AH211" i="9"/>
  <c r="AE211" i="9"/>
  <c r="X211" i="9"/>
  <c r="U211" i="9"/>
  <c r="F211" i="9"/>
  <c r="C211" i="9"/>
  <c r="A211" i="9" s="1"/>
  <c r="BL210" i="9"/>
  <c r="BJ210" i="9"/>
  <c r="BE210" i="9"/>
  <c r="AZ210" i="9"/>
  <c r="AU210" i="9"/>
  <c r="AN210" i="9"/>
  <c r="AL210" i="9"/>
  <c r="AJ210" i="9"/>
  <c r="AH210" i="9"/>
  <c r="AE210" i="9"/>
  <c r="AF211" i="9" s="1"/>
  <c r="X210" i="9"/>
  <c r="U210" i="9"/>
  <c r="F210" i="9"/>
  <c r="C210" i="9"/>
  <c r="A210" i="9" s="1"/>
  <c r="BL209" i="9"/>
  <c r="AN209" i="9" s="1"/>
  <c r="BJ209" i="9"/>
  <c r="BE209" i="9"/>
  <c r="AZ209" i="9"/>
  <c r="AU209" i="9"/>
  <c r="AL209" i="9"/>
  <c r="AJ209" i="9"/>
  <c r="AH209" i="9"/>
  <c r="AE209" i="9"/>
  <c r="AF210" i="9" s="1"/>
  <c r="X209" i="9"/>
  <c r="U209" i="9"/>
  <c r="F209" i="9"/>
  <c r="C209" i="9"/>
  <c r="A209" i="9"/>
  <c r="BL208" i="9"/>
  <c r="AN208" i="9" s="1"/>
  <c r="BJ208" i="9"/>
  <c r="BE208" i="9"/>
  <c r="AZ208" i="9"/>
  <c r="AU208" i="9"/>
  <c r="AL208" i="9"/>
  <c r="AJ208" i="9"/>
  <c r="AH208" i="9"/>
  <c r="AE208" i="9"/>
  <c r="AF209" i="9" s="1"/>
  <c r="X208" i="9"/>
  <c r="U208" i="9"/>
  <c r="F208" i="9"/>
  <c r="C208" i="9"/>
  <c r="A208" i="9" s="1"/>
  <c r="BL207" i="9"/>
  <c r="AN207" i="9" s="1"/>
  <c r="BJ207" i="9"/>
  <c r="BE207" i="9"/>
  <c r="AZ207" i="9"/>
  <c r="AU207" i="9"/>
  <c r="AL207" i="9"/>
  <c r="AJ207" i="9"/>
  <c r="AH207" i="9"/>
  <c r="AE207" i="9"/>
  <c r="AF208" i="9" s="1"/>
  <c r="X207" i="9"/>
  <c r="U207" i="9"/>
  <c r="F207" i="9"/>
  <c r="C207" i="9"/>
  <c r="A207" i="9"/>
  <c r="BL206" i="9"/>
  <c r="AN206" i="9" s="1"/>
  <c r="BJ206" i="9"/>
  <c r="BE206" i="9"/>
  <c r="AZ206" i="9"/>
  <c r="AU206" i="9"/>
  <c r="AL206" i="9"/>
  <c r="AJ206" i="9"/>
  <c r="AH206" i="9"/>
  <c r="X206" i="9"/>
  <c r="U206" i="9"/>
  <c r="F206" i="9"/>
  <c r="C206" i="9"/>
  <c r="A206" i="9"/>
  <c r="BL205" i="9"/>
  <c r="AN205" i="9" s="1"/>
  <c r="BJ205" i="9"/>
  <c r="BE205" i="9"/>
  <c r="AU205" i="9"/>
  <c r="AL205" i="9"/>
  <c r="AJ205" i="9"/>
  <c r="AH205" i="9"/>
  <c r="X205" i="9"/>
  <c r="U205" i="9"/>
  <c r="F205" i="9"/>
  <c r="C205" i="9"/>
  <c r="A205" i="9"/>
  <c r="AF214" i="9" l="1"/>
  <c r="AF224" i="9"/>
  <c r="AF212" i="9"/>
  <c r="AN213" i="9"/>
  <c r="AE205" i="9"/>
  <c r="AE221" i="9"/>
  <c r="AF222" i="9" s="1"/>
  <c r="AN224" i="9"/>
  <c r="AN212" i="9"/>
  <c r="AN220" i="9"/>
  <c r="AN223" i="9"/>
  <c r="AE206" i="9"/>
  <c r="AF207" i="9" s="1"/>
  <c r="AE214" i="9"/>
  <c r="AF215" i="9" s="1"/>
  <c r="AE222" i="9"/>
  <c r="AF223" i="9" s="1"/>
  <c r="U604" i="9"/>
  <c r="U603" i="9"/>
  <c r="U602" i="9"/>
  <c r="U601" i="9"/>
  <c r="U600" i="9"/>
  <c r="U599" i="9"/>
  <c r="U598" i="9"/>
  <c r="U597" i="9"/>
  <c r="U596" i="9"/>
  <c r="U595" i="9"/>
  <c r="U594" i="9"/>
  <c r="U593" i="9"/>
  <c r="U592" i="9"/>
  <c r="U591" i="9"/>
  <c r="U590" i="9"/>
  <c r="U589" i="9"/>
  <c r="U588" i="9"/>
  <c r="U587" i="9"/>
  <c r="U586" i="9"/>
  <c r="U585" i="9"/>
  <c r="U584" i="9"/>
  <c r="U583" i="9"/>
  <c r="U582" i="9"/>
  <c r="U581" i="9"/>
  <c r="U580" i="9"/>
  <c r="U579" i="9"/>
  <c r="U578" i="9"/>
  <c r="U577" i="9"/>
  <c r="U576" i="9"/>
  <c r="U575" i="9"/>
  <c r="U574" i="9"/>
  <c r="U573" i="9"/>
  <c r="U572" i="9"/>
  <c r="U571" i="9"/>
  <c r="U570" i="9"/>
  <c r="U569" i="9"/>
  <c r="U568" i="9"/>
  <c r="U567" i="9"/>
  <c r="U566" i="9"/>
  <c r="U565" i="9"/>
  <c r="U564" i="9"/>
  <c r="U563" i="9"/>
  <c r="U562" i="9"/>
  <c r="U561" i="9"/>
  <c r="U560" i="9"/>
  <c r="U559" i="9"/>
  <c r="U558" i="9"/>
  <c r="U557" i="9"/>
  <c r="U556" i="9"/>
  <c r="U555" i="9"/>
  <c r="U554" i="9"/>
  <c r="U553" i="9"/>
  <c r="U552" i="9"/>
  <c r="U551" i="9"/>
  <c r="U550" i="9"/>
  <c r="U549" i="9"/>
  <c r="U548" i="9"/>
  <c r="U547" i="9"/>
  <c r="U546" i="9"/>
  <c r="U545" i="9"/>
  <c r="U544" i="9"/>
  <c r="U543" i="9"/>
  <c r="U542" i="9"/>
  <c r="U541" i="9"/>
  <c r="U540" i="9"/>
  <c r="U539" i="9"/>
  <c r="U538" i="9"/>
  <c r="U537" i="9"/>
  <c r="U536" i="9"/>
  <c r="U535" i="9"/>
  <c r="U534" i="9"/>
  <c r="U533" i="9"/>
  <c r="U532" i="9"/>
  <c r="U531" i="9"/>
  <c r="U530" i="9"/>
  <c r="U529" i="9"/>
  <c r="U528" i="9"/>
  <c r="U527" i="9"/>
  <c r="U526" i="9"/>
  <c r="U525" i="9"/>
  <c r="U524" i="9"/>
  <c r="U523" i="9"/>
  <c r="U522" i="9"/>
  <c r="U521" i="9"/>
  <c r="U520" i="9"/>
  <c r="U519" i="9"/>
  <c r="U518" i="9"/>
  <c r="U517" i="9"/>
  <c r="U516" i="9"/>
  <c r="U515" i="9"/>
  <c r="U514" i="9"/>
  <c r="U513" i="9"/>
  <c r="U512" i="9"/>
  <c r="U511" i="9"/>
  <c r="U510" i="9"/>
  <c r="U509" i="9"/>
  <c r="U508" i="9"/>
  <c r="U507" i="9"/>
  <c r="U506" i="9"/>
  <c r="U505" i="9"/>
  <c r="U504" i="9"/>
  <c r="U503" i="9"/>
  <c r="U502" i="9"/>
  <c r="U501" i="9"/>
  <c r="U500" i="9"/>
  <c r="U499" i="9"/>
  <c r="U498" i="9"/>
  <c r="U497" i="9"/>
  <c r="U496" i="9"/>
  <c r="U495" i="9"/>
  <c r="U494" i="9"/>
  <c r="U493" i="9"/>
  <c r="U492" i="9"/>
  <c r="U491" i="9"/>
  <c r="U490" i="9"/>
  <c r="U489" i="9"/>
  <c r="U488" i="9"/>
  <c r="U487" i="9"/>
  <c r="U486" i="9"/>
  <c r="U485" i="9"/>
  <c r="U484" i="9"/>
  <c r="U483" i="9"/>
  <c r="U482" i="9"/>
  <c r="U481" i="9"/>
  <c r="U480" i="9"/>
  <c r="U479" i="9"/>
  <c r="U478" i="9"/>
  <c r="U477" i="9"/>
  <c r="U476" i="9"/>
  <c r="U475" i="9"/>
  <c r="U474" i="9"/>
  <c r="U473" i="9"/>
  <c r="U472" i="9"/>
  <c r="U471" i="9"/>
  <c r="U470" i="9"/>
  <c r="U469" i="9"/>
  <c r="U468" i="9"/>
  <c r="U467" i="9"/>
  <c r="U466" i="9"/>
  <c r="U465" i="9"/>
  <c r="U464" i="9"/>
  <c r="U463" i="9"/>
  <c r="U462" i="9"/>
  <c r="U461" i="9"/>
  <c r="U460" i="9"/>
  <c r="U459" i="9"/>
  <c r="U458" i="9"/>
  <c r="U457" i="9"/>
  <c r="U456" i="9"/>
  <c r="U455" i="9"/>
  <c r="U454" i="9"/>
  <c r="U453" i="9"/>
  <c r="U452" i="9"/>
  <c r="U451" i="9"/>
  <c r="U450" i="9"/>
  <c r="U449" i="9"/>
  <c r="U448" i="9"/>
  <c r="U447" i="9"/>
  <c r="U446" i="9"/>
  <c r="U445" i="9"/>
  <c r="U444" i="9"/>
  <c r="U443" i="9"/>
  <c r="U442" i="9"/>
  <c r="U441" i="9"/>
  <c r="U440" i="9"/>
  <c r="U439" i="9"/>
  <c r="U438" i="9"/>
  <c r="U437" i="9"/>
  <c r="U436" i="9"/>
  <c r="U435" i="9"/>
  <c r="U434" i="9"/>
  <c r="U433" i="9"/>
  <c r="U432" i="9"/>
  <c r="U431" i="9"/>
  <c r="U430" i="9"/>
  <c r="U429" i="9"/>
  <c r="U428" i="9"/>
  <c r="U427" i="9"/>
  <c r="U426" i="9"/>
  <c r="U425" i="9"/>
  <c r="U384" i="9"/>
  <c r="U383" i="9"/>
  <c r="U382" i="9"/>
  <c r="U381" i="9"/>
  <c r="U380" i="9"/>
  <c r="U379" i="9"/>
  <c r="U378" i="9"/>
  <c r="U377" i="9"/>
  <c r="U376" i="9"/>
  <c r="U375" i="9"/>
  <c r="U374" i="9"/>
  <c r="U373" i="9"/>
  <c r="U372" i="9"/>
  <c r="U371" i="9"/>
  <c r="U370" i="9"/>
  <c r="U369" i="9"/>
  <c r="U368" i="9"/>
  <c r="U367" i="9"/>
  <c r="U366" i="9"/>
  <c r="U365" i="9"/>
  <c r="U324" i="9"/>
  <c r="U323" i="9"/>
  <c r="U322" i="9"/>
  <c r="U321" i="9"/>
  <c r="U320" i="9"/>
  <c r="U319" i="9"/>
  <c r="U318" i="9"/>
  <c r="U317" i="9"/>
  <c r="U316" i="9"/>
  <c r="U315" i="9"/>
  <c r="U314" i="9"/>
  <c r="U313" i="9"/>
  <c r="U312" i="9"/>
  <c r="U311" i="9"/>
  <c r="U310" i="9"/>
  <c r="U309" i="9"/>
  <c r="U308" i="9"/>
  <c r="U307" i="9"/>
  <c r="U306" i="9"/>
  <c r="U305" i="9"/>
  <c r="U304" i="9"/>
  <c r="U303" i="9"/>
  <c r="U302" i="9"/>
  <c r="U301" i="9"/>
  <c r="U300" i="9"/>
  <c r="U299" i="9"/>
  <c r="U298" i="9"/>
  <c r="U297" i="9"/>
  <c r="U296" i="9"/>
  <c r="U295" i="9"/>
  <c r="U294" i="9"/>
  <c r="U293" i="9"/>
  <c r="U292" i="9"/>
  <c r="U291" i="9"/>
  <c r="U290" i="9"/>
  <c r="U289" i="9"/>
  <c r="U288" i="9"/>
  <c r="U287" i="9"/>
  <c r="U286" i="9"/>
  <c r="U285" i="9"/>
  <c r="U284" i="9"/>
  <c r="U283" i="9"/>
  <c r="U282" i="9"/>
  <c r="U281" i="9"/>
  <c r="U280" i="9"/>
  <c r="U279" i="9"/>
  <c r="U278" i="9"/>
  <c r="U277" i="9"/>
  <c r="U276" i="9"/>
  <c r="U275" i="9"/>
  <c r="U274" i="9"/>
  <c r="U273" i="9"/>
  <c r="U272" i="9"/>
  <c r="U271" i="9"/>
  <c r="U270" i="9"/>
  <c r="U269" i="9"/>
  <c r="U268" i="9"/>
  <c r="U267" i="9"/>
  <c r="U266" i="9"/>
  <c r="U265" i="9"/>
  <c r="U264" i="9"/>
  <c r="U263" i="9"/>
  <c r="U262" i="9"/>
  <c r="U261" i="9"/>
  <c r="U260" i="9"/>
  <c r="U259" i="9"/>
  <c r="U258" i="9"/>
  <c r="U257" i="9"/>
  <c r="U256" i="9"/>
  <c r="U255" i="9"/>
  <c r="U254" i="9"/>
  <c r="U253" i="9"/>
  <c r="U252" i="9"/>
  <c r="U251" i="9"/>
  <c r="U250" i="9"/>
  <c r="U249" i="9"/>
  <c r="U248" i="9"/>
  <c r="U247" i="9"/>
  <c r="U246" i="9"/>
  <c r="U245" i="9"/>
  <c r="U244" i="9"/>
  <c r="U243" i="9"/>
  <c r="U242" i="9"/>
  <c r="U241" i="9"/>
  <c r="U240" i="9"/>
  <c r="U239" i="9"/>
  <c r="U238" i="9"/>
  <c r="U237" i="9"/>
  <c r="U236" i="9"/>
  <c r="U235" i="9"/>
  <c r="U234" i="9"/>
  <c r="U233" i="9"/>
  <c r="U232" i="9"/>
  <c r="U231" i="9"/>
  <c r="U230" i="9"/>
  <c r="U229" i="9"/>
  <c r="U228" i="9"/>
  <c r="U227" i="9"/>
  <c r="U226" i="9"/>
  <c r="U225" i="9"/>
  <c r="U204" i="9"/>
  <c r="U203" i="9"/>
  <c r="U202" i="9"/>
  <c r="U201" i="9"/>
  <c r="U200" i="9"/>
  <c r="U199" i="9"/>
  <c r="U198" i="9"/>
  <c r="U197" i="9"/>
  <c r="U196" i="9"/>
  <c r="U195" i="9"/>
  <c r="U194" i="9"/>
  <c r="U193" i="9"/>
  <c r="U192" i="9"/>
  <c r="U191" i="9"/>
  <c r="U190" i="9"/>
  <c r="U189" i="9"/>
  <c r="U188" i="9"/>
  <c r="U187" i="9"/>
  <c r="U186" i="9"/>
  <c r="U185" i="9"/>
  <c r="U164" i="9"/>
  <c r="U163" i="9"/>
  <c r="U162" i="9"/>
  <c r="U161" i="9"/>
  <c r="U160" i="9"/>
  <c r="U159" i="9"/>
  <c r="U158" i="9"/>
  <c r="U157" i="9"/>
  <c r="U156" i="9"/>
  <c r="U155" i="9"/>
  <c r="U154" i="9"/>
  <c r="U153" i="9"/>
  <c r="U152" i="9"/>
  <c r="U151" i="9"/>
  <c r="U150" i="9"/>
  <c r="U149" i="9"/>
  <c r="U148" i="9"/>
  <c r="U147" i="9"/>
  <c r="U146" i="9"/>
  <c r="U145" i="9"/>
  <c r="U144" i="9"/>
  <c r="U143" i="9"/>
  <c r="U142" i="9"/>
  <c r="U141" i="9"/>
  <c r="U140" i="9"/>
  <c r="U139" i="9"/>
  <c r="U138" i="9"/>
  <c r="U137" i="9"/>
  <c r="U136" i="9"/>
  <c r="U135" i="9"/>
  <c r="U134" i="9"/>
  <c r="U133" i="9"/>
  <c r="U132" i="9"/>
  <c r="U131" i="9"/>
  <c r="U130" i="9"/>
  <c r="U129" i="9"/>
  <c r="U128" i="9"/>
  <c r="U127" i="9"/>
  <c r="U126" i="9"/>
  <c r="U125" i="9"/>
  <c r="U84" i="9"/>
  <c r="U83" i="9"/>
  <c r="U82" i="9"/>
  <c r="U81" i="9"/>
  <c r="U80" i="9"/>
  <c r="U79" i="9"/>
  <c r="U78" i="9"/>
  <c r="U77" i="9"/>
  <c r="U76" i="9"/>
  <c r="U75" i="9"/>
  <c r="U74" i="9"/>
  <c r="U73" i="9"/>
  <c r="U72" i="9"/>
  <c r="U71" i="9"/>
  <c r="U70" i="9"/>
  <c r="U69" i="9"/>
  <c r="U68" i="9"/>
  <c r="U67" i="9"/>
  <c r="U66" i="9"/>
  <c r="U65" i="9"/>
  <c r="U64" i="9"/>
  <c r="U63" i="9"/>
  <c r="U62" i="9"/>
  <c r="U61" i="9"/>
  <c r="U60" i="9"/>
  <c r="U59" i="9"/>
  <c r="U58" i="9"/>
  <c r="U57" i="9"/>
  <c r="U56" i="9"/>
  <c r="U55" i="9"/>
  <c r="U54" i="9"/>
  <c r="U53" i="9"/>
  <c r="U52" i="9"/>
  <c r="U51" i="9"/>
  <c r="U50" i="9"/>
  <c r="U49" i="9"/>
  <c r="U48" i="9"/>
  <c r="U47" i="9"/>
  <c r="U46" i="9"/>
  <c r="U45" i="9"/>
  <c r="U44" i="9"/>
  <c r="U43" i="9"/>
  <c r="U42" i="9"/>
  <c r="U41" i="9"/>
  <c r="U40" i="9"/>
  <c r="U39" i="9"/>
  <c r="U38" i="9"/>
  <c r="U37" i="9"/>
  <c r="U36" i="9"/>
  <c r="U35" i="9"/>
  <c r="U34" i="9"/>
  <c r="U33" i="9"/>
  <c r="U32" i="9"/>
  <c r="U31" i="9"/>
  <c r="U30" i="9"/>
  <c r="U29" i="9"/>
  <c r="U28" i="9"/>
  <c r="U27" i="9"/>
  <c r="U26" i="9"/>
  <c r="U25" i="9"/>
  <c r="U24" i="9"/>
  <c r="U23" i="9"/>
  <c r="U22" i="9"/>
  <c r="U21" i="9"/>
  <c r="U20" i="9"/>
  <c r="U19" i="9"/>
  <c r="U18" i="9"/>
  <c r="U17" i="9"/>
  <c r="U16" i="9"/>
  <c r="U15" i="9"/>
  <c r="U14" i="9"/>
  <c r="U13" i="9"/>
  <c r="U12" i="9"/>
  <c r="U11" i="9"/>
  <c r="U10" i="9"/>
  <c r="U9" i="9"/>
  <c r="U8" i="9"/>
  <c r="U7" i="9"/>
  <c r="U6" i="9"/>
  <c r="U5" i="9"/>
  <c r="X185" i="9"/>
  <c r="X186" i="9"/>
  <c r="X187" i="9"/>
  <c r="X188" i="9"/>
  <c r="X189" i="9"/>
  <c r="X190" i="9"/>
  <c r="X191" i="9"/>
  <c r="X192" i="9"/>
  <c r="X193" i="9"/>
  <c r="X194" i="9"/>
  <c r="X195" i="9"/>
  <c r="X196" i="9"/>
  <c r="X197" i="9"/>
  <c r="X198" i="9"/>
  <c r="X199" i="9"/>
  <c r="X200" i="9"/>
  <c r="X201" i="9"/>
  <c r="X202" i="9"/>
  <c r="X203" i="9"/>
  <c r="X204" i="9"/>
  <c r="X225" i="9"/>
  <c r="X226" i="9"/>
  <c r="X227" i="9"/>
  <c r="X228" i="9"/>
  <c r="X229" i="9"/>
  <c r="X230" i="9"/>
  <c r="X231" i="9"/>
  <c r="X232" i="9"/>
  <c r="X233" i="9"/>
  <c r="X234" i="9"/>
  <c r="X235" i="9"/>
  <c r="X236" i="9"/>
  <c r="X237" i="9"/>
  <c r="X238" i="9"/>
  <c r="X239" i="9"/>
  <c r="X240" i="9"/>
  <c r="X241" i="9"/>
  <c r="X242" i="9"/>
  <c r="X243" i="9"/>
  <c r="X244" i="9"/>
  <c r="X245" i="9"/>
  <c r="X246" i="9"/>
  <c r="X247" i="9"/>
  <c r="X248" i="9"/>
  <c r="X249" i="9"/>
  <c r="X250" i="9"/>
  <c r="X251" i="9"/>
  <c r="X252" i="9"/>
  <c r="X253" i="9"/>
  <c r="X254" i="9"/>
  <c r="X255" i="9"/>
  <c r="X256" i="9"/>
  <c r="X257" i="9"/>
  <c r="X258" i="9"/>
  <c r="X259" i="9"/>
  <c r="X260" i="9"/>
  <c r="X261" i="9"/>
  <c r="X262" i="9"/>
  <c r="X263" i="9"/>
  <c r="X264" i="9"/>
  <c r="X265" i="9"/>
  <c r="X266" i="9"/>
  <c r="X267" i="9"/>
  <c r="X268" i="9"/>
  <c r="X269" i="9"/>
  <c r="X270" i="9"/>
  <c r="X271" i="9"/>
  <c r="X272" i="9"/>
  <c r="X273" i="9"/>
  <c r="X274" i="9"/>
  <c r="X275" i="9"/>
  <c r="X276" i="9"/>
  <c r="X277" i="9"/>
  <c r="X278" i="9"/>
  <c r="X279" i="9"/>
  <c r="X280" i="9"/>
  <c r="X281" i="9"/>
  <c r="X282" i="9"/>
  <c r="X283" i="9"/>
  <c r="X284" i="9"/>
  <c r="X285" i="9"/>
  <c r="X286" i="9"/>
  <c r="X287" i="9"/>
  <c r="X288" i="9"/>
  <c r="X289" i="9"/>
  <c r="X290" i="9"/>
  <c r="X291" i="9"/>
  <c r="X292" i="9"/>
  <c r="X293" i="9"/>
  <c r="X294" i="9"/>
  <c r="X295" i="9"/>
  <c r="X296" i="9"/>
  <c r="X297" i="9"/>
  <c r="X298" i="9"/>
  <c r="X299" i="9"/>
  <c r="X300" i="9"/>
  <c r="X301" i="9"/>
  <c r="X302" i="9"/>
  <c r="X303" i="9"/>
  <c r="X304" i="9"/>
  <c r="X305" i="9"/>
  <c r="X306" i="9"/>
  <c r="X307" i="9"/>
  <c r="X308" i="9"/>
  <c r="X309" i="9"/>
  <c r="X310" i="9"/>
  <c r="X311" i="9"/>
  <c r="X312" i="9"/>
  <c r="X313" i="9"/>
  <c r="X314" i="9"/>
  <c r="X315" i="9"/>
  <c r="X316" i="9"/>
  <c r="X317" i="9"/>
  <c r="X318" i="9"/>
  <c r="X319" i="9"/>
  <c r="X320" i="9"/>
  <c r="X321" i="9"/>
  <c r="X322" i="9"/>
  <c r="X323" i="9"/>
  <c r="X324" i="9"/>
  <c r="X425" i="9"/>
  <c r="X426" i="9"/>
  <c r="X427" i="9"/>
  <c r="X428" i="9"/>
  <c r="X429" i="9"/>
  <c r="X430" i="9"/>
  <c r="X431" i="9"/>
  <c r="X432" i="9"/>
  <c r="X433" i="9"/>
  <c r="X434" i="9"/>
  <c r="X435" i="9"/>
  <c r="X436" i="9"/>
  <c r="X437" i="9"/>
  <c r="X438" i="9"/>
  <c r="X439" i="9"/>
  <c r="X440" i="9"/>
  <c r="X441" i="9"/>
  <c r="X442" i="9"/>
  <c r="X443" i="9"/>
  <c r="X444" i="9"/>
  <c r="X445" i="9"/>
  <c r="X446" i="9"/>
  <c r="X447" i="9"/>
  <c r="X448" i="9"/>
  <c r="X449" i="9"/>
  <c r="X450" i="9"/>
  <c r="X451" i="9"/>
  <c r="X452" i="9"/>
  <c r="X453" i="9"/>
  <c r="X454" i="9"/>
  <c r="X455" i="9"/>
  <c r="X456" i="9"/>
  <c r="X457" i="9"/>
  <c r="X458" i="9"/>
  <c r="X459" i="9"/>
  <c r="X460" i="9"/>
  <c r="X461" i="9"/>
  <c r="X462" i="9"/>
  <c r="X463" i="9"/>
  <c r="X464" i="9"/>
  <c r="X465" i="9"/>
  <c r="X466" i="9"/>
  <c r="X467" i="9"/>
  <c r="X468" i="9"/>
  <c r="X469" i="9"/>
  <c r="X470" i="9"/>
  <c r="X471" i="9"/>
  <c r="X472" i="9"/>
  <c r="X473" i="9"/>
  <c r="X474" i="9"/>
  <c r="X475" i="9"/>
  <c r="X476" i="9"/>
  <c r="X477" i="9"/>
  <c r="X478" i="9"/>
  <c r="X479" i="9"/>
  <c r="X480" i="9"/>
  <c r="X481" i="9"/>
  <c r="X482" i="9"/>
  <c r="X483" i="9"/>
  <c r="X484" i="9"/>
  <c r="X485" i="9"/>
  <c r="X486" i="9"/>
  <c r="X487" i="9"/>
  <c r="X488" i="9"/>
  <c r="X489" i="9"/>
  <c r="X490" i="9"/>
  <c r="X491" i="9"/>
  <c r="X492" i="9"/>
  <c r="X493" i="9"/>
  <c r="X494" i="9"/>
  <c r="X495" i="9"/>
  <c r="X496" i="9"/>
  <c r="X497" i="9"/>
  <c r="X498" i="9"/>
  <c r="X499" i="9"/>
  <c r="X500" i="9"/>
  <c r="X501" i="9"/>
  <c r="X502" i="9"/>
  <c r="X503" i="9"/>
  <c r="X504" i="9"/>
  <c r="X505" i="9"/>
  <c r="X506" i="9"/>
  <c r="X507" i="9"/>
  <c r="X508" i="9"/>
  <c r="X509" i="9"/>
  <c r="X510" i="9"/>
  <c r="X511" i="9"/>
  <c r="X512" i="9"/>
  <c r="X513" i="9"/>
  <c r="X514" i="9"/>
  <c r="X515" i="9"/>
  <c r="X516" i="9"/>
  <c r="X517" i="9"/>
  <c r="X518" i="9"/>
  <c r="X519" i="9"/>
  <c r="X520" i="9"/>
  <c r="X521" i="9"/>
  <c r="X522" i="9"/>
  <c r="X523" i="9"/>
  <c r="X524" i="9"/>
  <c r="X525" i="9"/>
  <c r="X526" i="9"/>
  <c r="X527" i="9"/>
  <c r="X528" i="9"/>
  <c r="X529" i="9"/>
  <c r="X530" i="9"/>
  <c r="X531" i="9"/>
  <c r="X532" i="9"/>
  <c r="X533" i="9"/>
  <c r="X534" i="9"/>
  <c r="X535" i="9"/>
  <c r="X536" i="9"/>
  <c r="X537" i="9"/>
  <c r="X538" i="9"/>
  <c r="X539" i="9"/>
  <c r="X540" i="9"/>
  <c r="X541" i="9"/>
  <c r="X542" i="9"/>
  <c r="X543" i="9"/>
  <c r="X544" i="9"/>
  <c r="X545" i="9"/>
  <c r="X546" i="9"/>
  <c r="X547" i="9"/>
  <c r="X548" i="9"/>
  <c r="X549" i="9"/>
  <c r="X550" i="9"/>
  <c r="X551" i="9"/>
  <c r="X552" i="9"/>
  <c r="X553" i="9"/>
  <c r="X554" i="9"/>
  <c r="X555" i="9"/>
  <c r="X556" i="9"/>
  <c r="X557" i="9"/>
  <c r="X558" i="9"/>
  <c r="X559" i="9"/>
  <c r="X560" i="9"/>
  <c r="X561" i="9"/>
  <c r="X562" i="9"/>
  <c r="X563" i="9"/>
  <c r="X564" i="9"/>
  <c r="X565" i="9"/>
  <c r="X566" i="9"/>
  <c r="X567" i="9"/>
  <c r="X568" i="9"/>
  <c r="X569" i="9"/>
  <c r="X570" i="9"/>
  <c r="X571" i="9"/>
  <c r="X572" i="9"/>
  <c r="X573" i="9"/>
  <c r="X574" i="9"/>
  <c r="X575" i="9"/>
  <c r="X576" i="9"/>
  <c r="X577" i="9"/>
  <c r="X578" i="9"/>
  <c r="X579" i="9"/>
  <c r="X580" i="9"/>
  <c r="X581" i="9"/>
  <c r="X582" i="9"/>
  <c r="X583" i="9"/>
  <c r="X584" i="9"/>
  <c r="X585" i="9"/>
  <c r="X586" i="9"/>
  <c r="X587" i="9"/>
  <c r="X588" i="9"/>
  <c r="X589" i="9"/>
  <c r="X590" i="9"/>
  <c r="X591" i="9"/>
  <c r="X592" i="9"/>
  <c r="X593" i="9"/>
  <c r="X594" i="9"/>
  <c r="X595" i="9"/>
  <c r="X596" i="9"/>
  <c r="X597" i="9"/>
  <c r="X598" i="9"/>
  <c r="X599" i="9"/>
  <c r="X600" i="9"/>
  <c r="X601" i="9"/>
  <c r="X602" i="9"/>
  <c r="X603" i="9"/>
  <c r="X604" i="9"/>
  <c r="AF205" i="9" l="1"/>
  <c r="AF206" i="9"/>
  <c r="AF221" i="9"/>
  <c r="BL204" i="9"/>
  <c r="AN204" i="9" s="1"/>
  <c r="BJ204" i="9"/>
  <c r="BE204" i="9"/>
  <c r="AZ204" i="9"/>
  <c r="AL204" i="9"/>
  <c r="AJ204" i="9"/>
  <c r="AH204" i="9"/>
  <c r="F204" i="9"/>
  <c r="C204" i="9"/>
  <c r="BL203" i="9"/>
  <c r="AN203" i="9" s="1"/>
  <c r="BJ203" i="9"/>
  <c r="BE203" i="9"/>
  <c r="AZ203" i="9"/>
  <c r="AL203" i="9"/>
  <c r="AJ203" i="9"/>
  <c r="AH203" i="9"/>
  <c r="F203" i="9"/>
  <c r="C203" i="9"/>
  <c r="BL202" i="9"/>
  <c r="AN202" i="9" s="1"/>
  <c r="BJ202" i="9"/>
  <c r="BE202" i="9"/>
  <c r="AZ202" i="9"/>
  <c r="AL202" i="9"/>
  <c r="AJ202" i="9"/>
  <c r="AH202" i="9"/>
  <c r="F202" i="9"/>
  <c r="C202" i="9"/>
  <c r="BL201" i="9"/>
  <c r="AN201" i="9" s="1"/>
  <c r="BJ201" i="9"/>
  <c r="BE201" i="9"/>
  <c r="AZ201" i="9"/>
  <c r="AL201" i="9"/>
  <c r="AJ201" i="9"/>
  <c r="AH201" i="9"/>
  <c r="F201" i="9"/>
  <c r="C201" i="9"/>
  <c r="BL200" i="9"/>
  <c r="AN200" i="9" s="1"/>
  <c r="BJ200" i="9"/>
  <c r="BE200" i="9"/>
  <c r="AZ200" i="9"/>
  <c r="AL200" i="9"/>
  <c r="AJ200" i="9"/>
  <c r="AH200" i="9"/>
  <c r="F200" i="9"/>
  <c r="C200" i="9"/>
  <c r="BL199" i="9"/>
  <c r="AN199" i="9" s="1"/>
  <c r="BJ199" i="9"/>
  <c r="BE199" i="9"/>
  <c r="AZ199" i="9"/>
  <c r="AL199" i="9"/>
  <c r="AJ199" i="9"/>
  <c r="AH199" i="9"/>
  <c r="F199" i="9"/>
  <c r="C199" i="9"/>
  <c r="BL198" i="9"/>
  <c r="AN198" i="9" s="1"/>
  <c r="BJ198" i="9"/>
  <c r="BE198" i="9"/>
  <c r="AZ198" i="9"/>
  <c r="AL198" i="9"/>
  <c r="AJ198" i="9"/>
  <c r="AH198" i="9"/>
  <c r="F198" i="9"/>
  <c r="C198" i="9"/>
  <c r="BL197" i="9"/>
  <c r="AN197" i="9" s="1"/>
  <c r="BJ197" i="9"/>
  <c r="BE197" i="9"/>
  <c r="AZ197" i="9"/>
  <c r="AL197" i="9"/>
  <c r="AJ197" i="9"/>
  <c r="AH197" i="9"/>
  <c r="F197" i="9"/>
  <c r="C197" i="9"/>
  <c r="BL196" i="9"/>
  <c r="AN196" i="9" s="1"/>
  <c r="BJ196" i="9"/>
  <c r="BE196" i="9"/>
  <c r="AZ196" i="9"/>
  <c r="AL196" i="9"/>
  <c r="AJ196" i="9"/>
  <c r="AH196" i="9"/>
  <c r="F196" i="9"/>
  <c r="C196" i="9"/>
  <c r="BL195" i="9"/>
  <c r="AN195" i="9" s="1"/>
  <c r="BJ195" i="9"/>
  <c r="BE195" i="9"/>
  <c r="AZ195" i="9"/>
  <c r="AU195" i="9"/>
  <c r="AL195" i="9"/>
  <c r="AJ195" i="9"/>
  <c r="AH195" i="9"/>
  <c r="F195" i="9"/>
  <c r="C195" i="9"/>
  <c r="BL194" i="9"/>
  <c r="AN194" i="9" s="1"/>
  <c r="BJ194" i="9"/>
  <c r="AZ194" i="9"/>
  <c r="AU194" i="9"/>
  <c r="AL194" i="9"/>
  <c r="AJ194" i="9"/>
  <c r="AH194" i="9"/>
  <c r="F194" i="9"/>
  <c r="C194" i="9"/>
  <c r="BL193" i="9"/>
  <c r="AN193" i="9" s="1"/>
  <c r="BJ193" i="9"/>
  <c r="BE193" i="9"/>
  <c r="AZ193" i="9"/>
  <c r="AU193" i="9"/>
  <c r="AL193" i="9"/>
  <c r="AJ193" i="9"/>
  <c r="AH193" i="9"/>
  <c r="F193" i="9"/>
  <c r="C193" i="9"/>
  <c r="BL192" i="9"/>
  <c r="AN192" i="9" s="1"/>
  <c r="BJ192" i="9"/>
  <c r="BE192" i="9"/>
  <c r="AZ192" i="9"/>
  <c r="AU192" i="9"/>
  <c r="AL192" i="9"/>
  <c r="AJ192" i="9"/>
  <c r="AH192" i="9"/>
  <c r="F192" i="9"/>
  <c r="C192" i="9"/>
  <c r="BL191" i="9"/>
  <c r="AN191" i="9" s="1"/>
  <c r="BJ191" i="9"/>
  <c r="BE191" i="9"/>
  <c r="AZ191" i="9"/>
  <c r="AU191" i="9"/>
  <c r="AL191" i="9"/>
  <c r="AJ191" i="9"/>
  <c r="AH191" i="9"/>
  <c r="F191" i="9"/>
  <c r="C191" i="9"/>
  <c r="BL190" i="9"/>
  <c r="AN190" i="9" s="1"/>
  <c r="BJ190" i="9"/>
  <c r="BE190" i="9"/>
  <c r="AZ190" i="9"/>
  <c r="AU190" i="9"/>
  <c r="AL190" i="9"/>
  <c r="AJ190" i="9"/>
  <c r="AH190" i="9"/>
  <c r="AE190" i="9"/>
  <c r="F190" i="9"/>
  <c r="C190" i="9"/>
  <c r="BL189" i="9"/>
  <c r="AN189" i="9" s="1"/>
  <c r="BJ189" i="9"/>
  <c r="BE189" i="9"/>
  <c r="AZ189" i="9"/>
  <c r="AU189" i="9"/>
  <c r="AL189" i="9"/>
  <c r="AJ189" i="9"/>
  <c r="AH189" i="9"/>
  <c r="F189" i="9"/>
  <c r="C189" i="9"/>
  <c r="BL188" i="9"/>
  <c r="AN188" i="9" s="1"/>
  <c r="BJ188" i="9"/>
  <c r="BE188" i="9"/>
  <c r="AZ188" i="9"/>
  <c r="AU188" i="9"/>
  <c r="AL188" i="9"/>
  <c r="AJ188" i="9"/>
  <c r="AH188" i="9"/>
  <c r="F188" i="9"/>
  <c r="C188" i="9"/>
  <c r="BL187" i="9"/>
  <c r="AN187" i="9" s="1"/>
  <c r="BJ187" i="9"/>
  <c r="BE187" i="9"/>
  <c r="AZ187" i="9"/>
  <c r="AU187" i="9"/>
  <c r="AL187" i="9"/>
  <c r="AJ187" i="9"/>
  <c r="AH187" i="9"/>
  <c r="AE187" i="9"/>
  <c r="F187" i="9"/>
  <c r="C187" i="9"/>
  <c r="BL186" i="9"/>
  <c r="AN186" i="9" s="1"/>
  <c r="BJ186" i="9"/>
  <c r="BE186" i="9"/>
  <c r="AZ186" i="9"/>
  <c r="AU186" i="9"/>
  <c r="AL186" i="9"/>
  <c r="AJ186" i="9"/>
  <c r="AH186" i="9"/>
  <c r="F186" i="9"/>
  <c r="C186" i="9"/>
  <c r="BL185" i="9"/>
  <c r="AN185" i="9" s="1"/>
  <c r="BJ185" i="9"/>
  <c r="BE185" i="9"/>
  <c r="AU185" i="9"/>
  <c r="AL185" i="9"/>
  <c r="AJ185" i="9"/>
  <c r="AH185" i="9"/>
  <c r="F185" i="9"/>
  <c r="C185" i="9"/>
  <c r="F16" i="30"/>
  <c r="A16" i="30"/>
  <c r="AE204" i="9" l="1"/>
  <c r="AE192" i="9"/>
  <c r="AE186" i="9"/>
  <c r="AF187" i="9" s="1"/>
  <c r="AE195" i="9"/>
  <c r="AE189" i="9"/>
  <c r="AF190" i="9" s="1"/>
  <c r="AE196" i="9"/>
  <c r="AE200" i="9"/>
  <c r="AE188" i="9"/>
  <c r="AF188" i="9" s="1"/>
  <c r="AE197" i="9"/>
  <c r="A192" i="9"/>
  <c r="A198" i="9"/>
  <c r="AE202" i="9"/>
  <c r="AE198" i="9"/>
  <c r="A190" i="9"/>
  <c r="A200" i="9"/>
  <c r="AE203" i="9"/>
  <c r="AF204" i="9" s="1"/>
  <c r="AE194" i="9"/>
  <c r="A197" i="9"/>
  <c r="A188" i="9"/>
  <c r="A204" i="9"/>
  <c r="A185" i="9"/>
  <c r="AE191" i="9"/>
  <c r="A193" i="9"/>
  <c r="AE199" i="9"/>
  <c r="A201" i="9"/>
  <c r="A194" i="9"/>
  <c r="A202" i="9"/>
  <c r="A191" i="9"/>
  <c r="A196" i="9"/>
  <c r="A189" i="9"/>
  <c r="A186" i="9"/>
  <c r="A199" i="9"/>
  <c r="AE185" i="9"/>
  <c r="AF185" i="9" s="1"/>
  <c r="A187" i="9"/>
  <c r="AE193" i="9"/>
  <c r="A195" i="9"/>
  <c r="AE201" i="9"/>
  <c r="A203" i="9"/>
  <c r="F27" i="30"/>
  <c r="F28" i="30"/>
  <c r="F29" i="30"/>
  <c r="F30" i="30"/>
  <c r="F31" i="30"/>
  <c r="F32" i="30"/>
  <c r="F33" i="30"/>
  <c r="F34" i="30"/>
  <c r="F35" i="30"/>
  <c r="F36" i="30"/>
  <c r="A36" i="30" s="1"/>
  <c r="F37" i="30"/>
  <c r="A37" i="30" s="1"/>
  <c r="F38" i="30"/>
  <c r="A38" i="30" s="1"/>
  <c r="F39" i="30"/>
  <c r="F40" i="30"/>
  <c r="F41" i="30"/>
  <c r="F42" i="30"/>
  <c r="F43" i="30"/>
  <c r="F44" i="30"/>
  <c r="F45" i="30"/>
  <c r="A45" i="30" s="1"/>
  <c r="F46" i="30"/>
  <c r="A46" i="30" s="1"/>
  <c r="F47" i="30"/>
  <c r="A47" i="30" s="1"/>
  <c r="F48" i="30"/>
  <c r="A48" i="30" s="1"/>
  <c r="F49" i="30"/>
  <c r="A49" i="30" s="1"/>
  <c r="F50" i="30"/>
  <c r="A50" i="30" s="1"/>
  <c r="F51" i="30"/>
  <c r="F52" i="30"/>
  <c r="F53" i="30"/>
  <c r="F54" i="30"/>
  <c r="F55" i="30"/>
  <c r="F56" i="30"/>
  <c r="F57" i="30"/>
  <c r="AF193" i="9" l="1"/>
  <c r="AF192" i="9"/>
  <c r="AF196" i="9"/>
  <c r="AF189" i="9"/>
  <c r="AF191" i="9"/>
  <c r="AF195" i="9"/>
  <c r="AF203" i="9"/>
  <c r="AF200" i="9"/>
  <c r="AF198" i="9"/>
  <c r="AF194" i="9"/>
  <c r="AF197" i="9"/>
  <c r="AF202" i="9"/>
  <c r="AF199" i="9"/>
  <c r="AF201" i="9"/>
  <c r="AF186" i="9"/>
  <c r="AE285" i="9" l="1"/>
  <c r="AF285" i="9" s="1"/>
  <c r="AE286" i="9"/>
  <c r="AE287" i="9"/>
  <c r="AE288" i="9"/>
  <c r="AE289" i="9"/>
  <c r="AE290" i="9"/>
  <c r="AE291" i="9"/>
  <c r="AE292" i="9"/>
  <c r="AF293" i="9" s="1"/>
  <c r="AE293" i="9"/>
  <c r="AE294" i="9"/>
  <c r="AE295" i="9"/>
  <c r="AE296" i="9"/>
  <c r="AE297" i="9"/>
  <c r="AE298" i="9"/>
  <c r="AE299" i="9"/>
  <c r="AE300" i="9"/>
  <c r="AE301" i="9"/>
  <c r="AE302" i="9"/>
  <c r="AE303" i="9"/>
  <c r="AE304" i="9"/>
  <c r="AE305" i="9"/>
  <c r="AF305" i="9" s="1"/>
  <c r="AE306" i="9"/>
  <c r="AE307" i="9"/>
  <c r="AE308" i="9"/>
  <c r="AE309" i="9"/>
  <c r="AE310" i="9"/>
  <c r="AE311" i="9"/>
  <c r="AE312" i="9"/>
  <c r="AE313" i="9"/>
  <c r="AE314" i="9"/>
  <c r="AE315" i="9"/>
  <c r="AE316" i="9"/>
  <c r="AF317" i="9" s="1"/>
  <c r="AE317" i="9"/>
  <c r="AE318" i="9"/>
  <c r="AE319" i="9"/>
  <c r="AE320" i="9"/>
  <c r="AE321" i="9"/>
  <c r="AE322" i="9"/>
  <c r="AE323" i="9"/>
  <c r="AE324" i="9"/>
  <c r="AE325" i="9"/>
  <c r="AE326" i="9"/>
  <c r="AE327" i="9"/>
  <c r="AE328" i="9"/>
  <c r="AE329" i="9"/>
  <c r="AE330" i="9"/>
  <c r="AE331" i="9"/>
  <c r="AE332" i="9"/>
  <c r="AE333" i="9"/>
  <c r="AE334" i="9"/>
  <c r="AE335" i="9"/>
  <c r="AE336" i="9"/>
  <c r="AE337" i="9"/>
  <c r="AE338" i="9"/>
  <c r="AE339" i="9"/>
  <c r="AE340" i="9"/>
  <c r="AE341" i="9"/>
  <c r="AE342" i="9"/>
  <c r="AE343" i="9"/>
  <c r="AE344" i="9"/>
  <c r="AE345" i="9"/>
  <c r="AF345" i="9" s="1"/>
  <c r="AE346" i="9"/>
  <c r="AE347" i="9"/>
  <c r="AE348" i="9"/>
  <c r="AE349" i="9"/>
  <c r="AE350" i="9"/>
  <c r="AE351" i="9"/>
  <c r="AE352" i="9"/>
  <c r="AE353" i="9"/>
  <c r="AE354" i="9"/>
  <c r="AE355" i="9"/>
  <c r="AE356" i="9"/>
  <c r="AE357" i="9"/>
  <c r="AE358" i="9"/>
  <c r="AE359" i="9"/>
  <c r="AE360" i="9"/>
  <c r="AE361" i="9"/>
  <c r="AE362" i="9"/>
  <c r="AE363" i="9"/>
  <c r="AE364" i="9"/>
  <c r="AE365" i="9"/>
  <c r="AF365" i="9" s="1"/>
  <c r="AE366" i="9"/>
  <c r="AE367" i="9"/>
  <c r="AE368" i="9"/>
  <c r="AE369" i="9"/>
  <c r="AE370" i="9"/>
  <c r="AE371" i="9"/>
  <c r="AE372" i="9"/>
  <c r="AE373" i="9"/>
  <c r="AE374" i="9"/>
  <c r="AE375" i="9"/>
  <c r="AE376" i="9"/>
  <c r="AE377" i="9"/>
  <c r="AE378" i="9"/>
  <c r="AE379" i="9"/>
  <c r="AE380" i="9"/>
  <c r="AE381" i="9"/>
  <c r="AE382" i="9"/>
  <c r="AE383" i="9"/>
  <c r="AE384" i="9"/>
  <c r="AE385" i="9"/>
  <c r="AE386" i="9"/>
  <c r="AE387" i="9"/>
  <c r="AE388" i="9"/>
  <c r="AF389" i="9" s="1"/>
  <c r="AE389" i="9"/>
  <c r="AE390" i="9"/>
  <c r="AE391" i="9"/>
  <c r="AE392" i="9"/>
  <c r="AE393" i="9"/>
  <c r="AE394" i="9"/>
  <c r="AE395" i="9"/>
  <c r="AE396" i="9"/>
  <c r="AE397" i="9"/>
  <c r="AE398" i="9"/>
  <c r="AE399" i="9"/>
  <c r="AE400" i="9"/>
  <c r="AE401" i="9"/>
  <c r="AE402" i="9"/>
  <c r="AE403" i="9"/>
  <c r="AE404" i="9"/>
  <c r="AE405" i="9"/>
  <c r="AE406" i="9"/>
  <c r="AE407" i="9"/>
  <c r="AE408" i="9"/>
  <c r="AE409" i="9"/>
  <c r="AE410" i="9"/>
  <c r="AE411" i="9"/>
  <c r="AE412" i="9"/>
  <c r="AE413" i="9"/>
  <c r="AE414" i="9"/>
  <c r="AE415" i="9"/>
  <c r="AE416" i="9"/>
  <c r="AE417" i="9"/>
  <c r="AE418" i="9"/>
  <c r="AE419" i="9"/>
  <c r="AE420" i="9"/>
  <c r="AE421" i="9"/>
  <c r="AE422" i="9"/>
  <c r="AE423" i="9"/>
  <c r="AE424" i="9"/>
  <c r="AE425" i="9"/>
  <c r="AE426" i="9"/>
  <c r="AE427" i="9"/>
  <c r="AE428" i="9"/>
  <c r="AE429" i="9"/>
  <c r="AE430" i="9"/>
  <c r="AE431" i="9"/>
  <c r="AE432" i="9"/>
  <c r="AE433" i="9"/>
  <c r="AE434" i="9"/>
  <c r="AE435" i="9"/>
  <c r="AE436" i="9"/>
  <c r="AE437" i="9"/>
  <c r="AE438" i="9"/>
  <c r="AE439" i="9"/>
  <c r="AE440" i="9"/>
  <c r="AE441" i="9"/>
  <c r="AE442" i="9"/>
  <c r="AE443" i="9"/>
  <c r="AE444" i="9"/>
  <c r="AE445" i="9"/>
  <c r="AF445" i="9" s="1"/>
  <c r="AE446" i="9"/>
  <c r="AE447" i="9"/>
  <c r="AE448" i="9"/>
  <c r="AE449" i="9"/>
  <c r="AE450" i="9"/>
  <c r="AE451" i="9"/>
  <c r="AE452" i="9"/>
  <c r="AE453" i="9"/>
  <c r="AE454" i="9"/>
  <c r="AE455" i="9"/>
  <c r="AE456" i="9"/>
  <c r="AE457" i="9"/>
  <c r="AE458" i="9"/>
  <c r="AE459" i="9"/>
  <c r="AE460" i="9"/>
  <c r="AE461" i="9"/>
  <c r="AE462" i="9"/>
  <c r="AE463" i="9"/>
  <c r="AE464" i="9"/>
  <c r="AE465" i="9"/>
  <c r="AE466" i="9"/>
  <c r="AE467" i="9"/>
  <c r="AF467" i="9" s="1"/>
  <c r="AE468" i="9"/>
  <c r="AE469" i="9"/>
  <c r="AE470" i="9"/>
  <c r="AE471" i="9"/>
  <c r="AE472" i="9"/>
  <c r="AE473" i="9"/>
  <c r="AE474" i="9"/>
  <c r="AE475" i="9"/>
  <c r="AE476" i="9"/>
  <c r="AE477" i="9"/>
  <c r="AE478" i="9"/>
  <c r="AE479" i="9"/>
  <c r="AE480" i="9"/>
  <c r="AE481" i="9"/>
  <c r="AE482" i="9"/>
  <c r="AE483" i="9"/>
  <c r="AE484" i="9"/>
  <c r="AE485" i="9"/>
  <c r="AF485" i="9" s="1"/>
  <c r="AE486" i="9"/>
  <c r="AE487" i="9"/>
  <c r="AE488" i="9"/>
  <c r="AE489" i="9"/>
  <c r="AE490" i="9"/>
  <c r="AF490" i="9" s="1"/>
  <c r="AE491" i="9"/>
  <c r="AE492" i="9"/>
  <c r="AF493" i="9" s="1"/>
  <c r="AE493" i="9"/>
  <c r="AE494" i="9"/>
  <c r="AE495" i="9"/>
  <c r="AE496" i="9"/>
  <c r="AE497" i="9"/>
  <c r="AE498" i="9"/>
  <c r="AE499" i="9"/>
  <c r="AE500" i="9"/>
  <c r="AE501" i="9"/>
  <c r="AE502" i="9"/>
  <c r="AE503" i="9"/>
  <c r="AE504" i="9"/>
  <c r="AE505" i="9"/>
  <c r="AE506" i="9"/>
  <c r="AE507" i="9"/>
  <c r="AE508" i="9"/>
  <c r="AE509" i="9"/>
  <c r="AE510" i="9"/>
  <c r="AE511" i="9"/>
  <c r="AE512" i="9"/>
  <c r="AE513" i="9"/>
  <c r="AE514" i="9"/>
  <c r="AE515" i="9"/>
  <c r="AE516" i="9"/>
  <c r="AF517" i="9" s="1"/>
  <c r="AE517" i="9"/>
  <c r="AE518" i="9"/>
  <c r="AE519" i="9"/>
  <c r="AE520" i="9"/>
  <c r="AE521" i="9"/>
  <c r="AE522" i="9"/>
  <c r="AE523" i="9"/>
  <c r="AF523" i="9" s="1"/>
  <c r="AE524" i="9"/>
  <c r="AE525" i="9"/>
  <c r="AF525" i="9" s="1"/>
  <c r="AE526" i="9"/>
  <c r="AE527" i="9"/>
  <c r="AE528" i="9"/>
  <c r="AE529" i="9"/>
  <c r="AE530" i="9"/>
  <c r="AE531" i="9"/>
  <c r="AE532" i="9"/>
  <c r="AE533" i="9"/>
  <c r="AE534" i="9"/>
  <c r="AE535" i="9"/>
  <c r="AE536" i="9"/>
  <c r="AE537" i="9"/>
  <c r="AE538" i="9"/>
  <c r="AE539" i="9"/>
  <c r="AE540" i="9"/>
  <c r="AE541" i="9"/>
  <c r="AE542" i="9"/>
  <c r="AE543" i="9"/>
  <c r="AE544" i="9"/>
  <c r="AE545" i="9"/>
  <c r="AE546" i="9"/>
  <c r="AE547" i="9"/>
  <c r="AE548" i="9"/>
  <c r="AF549" i="9" s="1"/>
  <c r="AE549" i="9"/>
  <c r="AE550" i="9"/>
  <c r="AE551" i="9"/>
  <c r="AE552" i="9"/>
  <c r="AE553" i="9"/>
  <c r="AE554" i="9"/>
  <c r="AE555" i="9"/>
  <c r="AE556" i="9"/>
  <c r="AF557" i="9" s="1"/>
  <c r="AE557" i="9"/>
  <c r="AE558" i="9"/>
  <c r="AE559" i="9"/>
  <c r="AE560" i="9"/>
  <c r="AE561" i="9"/>
  <c r="AE562" i="9"/>
  <c r="AF562" i="9" s="1"/>
  <c r="AE563" i="9"/>
  <c r="AE564" i="9"/>
  <c r="AE565" i="9"/>
  <c r="AE566" i="9"/>
  <c r="AE567" i="9"/>
  <c r="AE568" i="9"/>
  <c r="AE569" i="9"/>
  <c r="AE570" i="9"/>
  <c r="AE571" i="9"/>
  <c r="AE572" i="9"/>
  <c r="AE573" i="9"/>
  <c r="AE574" i="9"/>
  <c r="AE575" i="9"/>
  <c r="AE576" i="9"/>
  <c r="AE577" i="9"/>
  <c r="AE578" i="9"/>
  <c r="AE579" i="9"/>
  <c r="AE580" i="9"/>
  <c r="AE581" i="9"/>
  <c r="AE582" i="9"/>
  <c r="AE583" i="9"/>
  <c r="AE584" i="9"/>
  <c r="AE585" i="9"/>
  <c r="AE586" i="9"/>
  <c r="AE587" i="9"/>
  <c r="AF587" i="9" s="1"/>
  <c r="AE588" i="9"/>
  <c r="AE589" i="9"/>
  <c r="AE590" i="9"/>
  <c r="AE591" i="9"/>
  <c r="AE592" i="9"/>
  <c r="AE593" i="9"/>
  <c r="AE594" i="9"/>
  <c r="AE595" i="9"/>
  <c r="AE596" i="9"/>
  <c r="AE597" i="9"/>
  <c r="AE598" i="9"/>
  <c r="AE599" i="9"/>
  <c r="AE600" i="9"/>
  <c r="AE601" i="9"/>
  <c r="AE602" i="9"/>
  <c r="AE603" i="9"/>
  <c r="AE604" i="9"/>
  <c r="AF326" i="9"/>
  <c r="AN285" i="9"/>
  <c r="AN286" i="9"/>
  <c r="AN287" i="9"/>
  <c r="AN288" i="9"/>
  <c r="AN289" i="9"/>
  <c r="AN290" i="9"/>
  <c r="AN291" i="9"/>
  <c r="AN292" i="9"/>
  <c r="AN293" i="9"/>
  <c r="AN294" i="9"/>
  <c r="AN295" i="9"/>
  <c r="AN296" i="9"/>
  <c r="AN297" i="9"/>
  <c r="AN298" i="9"/>
  <c r="AN299" i="9"/>
  <c r="AN300" i="9"/>
  <c r="AN301" i="9"/>
  <c r="AN302" i="9"/>
  <c r="AN303" i="9"/>
  <c r="AN304" i="9"/>
  <c r="AN305" i="9"/>
  <c r="AN306" i="9"/>
  <c r="AN307" i="9"/>
  <c r="AN308" i="9"/>
  <c r="AN309" i="9"/>
  <c r="AN310" i="9"/>
  <c r="AN311" i="9"/>
  <c r="AN312" i="9"/>
  <c r="AN313" i="9"/>
  <c r="AN314" i="9"/>
  <c r="AN315" i="9"/>
  <c r="AN316" i="9"/>
  <c r="AN317" i="9"/>
  <c r="AN318" i="9"/>
  <c r="AN319" i="9"/>
  <c r="AN320" i="9"/>
  <c r="AN321" i="9"/>
  <c r="AN322" i="9"/>
  <c r="AN323" i="9"/>
  <c r="AN324" i="9"/>
  <c r="AN325" i="9"/>
  <c r="AN326" i="9"/>
  <c r="AN327" i="9"/>
  <c r="AN328" i="9"/>
  <c r="AN329" i="9"/>
  <c r="AN330" i="9"/>
  <c r="AN331" i="9"/>
  <c r="AN332" i="9"/>
  <c r="AN333" i="9"/>
  <c r="AN334" i="9"/>
  <c r="AN335" i="9"/>
  <c r="AN336" i="9"/>
  <c r="AN337" i="9"/>
  <c r="AN338" i="9"/>
  <c r="AN339" i="9"/>
  <c r="AN340" i="9"/>
  <c r="AN341" i="9"/>
  <c r="AN342" i="9"/>
  <c r="AN343" i="9"/>
  <c r="AN344" i="9"/>
  <c r="AN345" i="9"/>
  <c r="AN346" i="9"/>
  <c r="AN347" i="9"/>
  <c r="AN348" i="9"/>
  <c r="AN349" i="9"/>
  <c r="AN350" i="9"/>
  <c r="AN351" i="9"/>
  <c r="AN352" i="9"/>
  <c r="AN353" i="9"/>
  <c r="AN354" i="9"/>
  <c r="AN355" i="9"/>
  <c r="AN356" i="9"/>
  <c r="AN357" i="9"/>
  <c r="AN358" i="9"/>
  <c r="AN359" i="9"/>
  <c r="AN360" i="9"/>
  <c r="AN361" i="9"/>
  <c r="AN362" i="9"/>
  <c r="AN363" i="9"/>
  <c r="AN364" i="9"/>
  <c r="AN365" i="9"/>
  <c r="AN366" i="9"/>
  <c r="AN367" i="9"/>
  <c r="AN368" i="9"/>
  <c r="AN369" i="9"/>
  <c r="AN370" i="9"/>
  <c r="AN371" i="9"/>
  <c r="AN372" i="9"/>
  <c r="AN373" i="9"/>
  <c r="AN374" i="9"/>
  <c r="AN375" i="9"/>
  <c r="AN376" i="9"/>
  <c r="AN377" i="9"/>
  <c r="AN378" i="9"/>
  <c r="AN379" i="9"/>
  <c r="AN380" i="9"/>
  <c r="AN381" i="9"/>
  <c r="AN382" i="9"/>
  <c r="AN383" i="9"/>
  <c r="AN384" i="9"/>
  <c r="AN385" i="9"/>
  <c r="AN386" i="9"/>
  <c r="AN387" i="9"/>
  <c r="AN388" i="9"/>
  <c r="AN389" i="9"/>
  <c r="AN390" i="9"/>
  <c r="AN391" i="9"/>
  <c r="AN392" i="9"/>
  <c r="AN393" i="9"/>
  <c r="AN394" i="9"/>
  <c r="AN395" i="9"/>
  <c r="AN396" i="9"/>
  <c r="AN397" i="9"/>
  <c r="AN398" i="9"/>
  <c r="AN399" i="9"/>
  <c r="AN400" i="9"/>
  <c r="AN401" i="9"/>
  <c r="AN402" i="9"/>
  <c r="AN403" i="9"/>
  <c r="AN404" i="9"/>
  <c r="AN405" i="9"/>
  <c r="AN406" i="9"/>
  <c r="AN407" i="9"/>
  <c r="AN408" i="9"/>
  <c r="AN409" i="9"/>
  <c r="AN410" i="9"/>
  <c r="AN411" i="9"/>
  <c r="AN412" i="9"/>
  <c r="AN413" i="9"/>
  <c r="AN414" i="9"/>
  <c r="AN415" i="9"/>
  <c r="AN416" i="9"/>
  <c r="AN417" i="9"/>
  <c r="AN418" i="9"/>
  <c r="AN419" i="9"/>
  <c r="AN420" i="9"/>
  <c r="AN421" i="9"/>
  <c r="AN422" i="9"/>
  <c r="AN423" i="9"/>
  <c r="AN424" i="9"/>
  <c r="AN425" i="9"/>
  <c r="AN426" i="9"/>
  <c r="AN427" i="9"/>
  <c r="AN428" i="9"/>
  <c r="AN429" i="9"/>
  <c r="AN430" i="9"/>
  <c r="AN431" i="9"/>
  <c r="AN432" i="9"/>
  <c r="AN433" i="9"/>
  <c r="AN434" i="9"/>
  <c r="AN435" i="9"/>
  <c r="AN436" i="9"/>
  <c r="AN437" i="9"/>
  <c r="AN438" i="9"/>
  <c r="AN439" i="9"/>
  <c r="AN440" i="9"/>
  <c r="AN441" i="9"/>
  <c r="AN442" i="9"/>
  <c r="AN443" i="9"/>
  <c r="AN444" i="9"/>
  <c r="AN445" i="9"/>
  <c r="AN446" i="9"/>
  <c r="AN447" i="9"/>
  <c r="AN448" i="9"/>
  <c r="AN449" i="9"/>
  <c r="AN450" i="9"/>
  <c r="AN451" i="9"/>
  <c r="AN452" i="9"/>
  <c r="AN453" i="9"/>
  <c r="AN454" i="9"/>
  <c r="AN455" i="9"/>
  <c r="AN456" i="9"/>
  <c r="AN457" i="9"/>
  <c r="AN458" i="9"/>
  <c r="AN459" i="9"/>
  <c r="AN460" i="9"/>
  <c r="AN461" i="9"/>
  <c r="AN462" i="9"/>
  <c r="AN463" i="9"/>
  <c r="AN464" i="9"/>
  <c r="AN465" i="9"/>
  <c r="AN466" i="9"/>
  <c r="AN467" i="9"/>
  <c r="AN468" i="9"/>
  <c r="AN469" i="9"/>
  <c r="AN470" i="9"/>
  <c r="AN471" i="9"/>
  <c r="AN472" i="9"/>
  <c r="AN473" i="9"/>
  <c r="AN474" i="9"/>
  <c r="AN475" i="9"/>
  <c r="AN476" i="9"/>
  <c r="AN477" i="9"/>
  <c r="AN478" i="9"/>
  <c r="AN479" i="9"/>
  <c r="AN480" i="9"/>
  <c r="AN481" i="9"/>
  <c r="AN482" i="9"/>
  <c r="AN483" i="9"/>
  <c r="AN484" i="9"/>
  <c r="AN485" i="9"/>
  <c r="AN486" i="9"/>
  <c r="AN487" i="9"/>
  <c r="AN488" i="9"/>
  <c r="AN489" i="9"/>
  <c r="AN490" i="9"/>
  <c r="AN491" i="9"/>
  <c r="AN492" i="9"/>
  <c r="AN493" i="9"/>
  <c r="AN494" i="9"/>
  <c r="AN495" i="9"/>
  <c r="AN496" i="9"/>
  <c r="AN497" i="9"/>
  <c r="AN498" i="9"/>
  <c r="AN499" i="9"/>
  <c r="AN500" i="9"/>
  <c r="AN501" i="9"/>
  <c r="AN502" i="9"/>
  <c r="AN503" i="9"/>
  <c r="AN504" i="9"/>
  <c r="AN505" i="9"/>
  <c r="AN506" i="9"/>
  <c r="AN507" i="9"/>
  <c r="AN508" i="9"/>
  <c r="AN509" i="9"/>
  <c r="AN510" i="9"/>
  <c r="AN511" i="9"/>
  <c r="AN512" i="9"/>
  <c r="AN513" i="9"/>
  <c r="AN514" i="9"/>
  <c r="AN515" i="9"/>
  <c r="AN516" i="9"/>
  <c r="AN517" i="9"/>
  <c r="AN518" i="9"/>
  <c r="AN519" i="9"/>
  <c r="AN520" i="9"/>
  <c r="AN521" i="9"/>
  <c r="AN522" i="9"/>
  <c r="AN523" i="9"/>
  <c r="AN524" i="9"/>
  <c r="AN525" i="9"/>
  <c r="AN526" i="9"/>
  <c r="AN527" i="9"/>
  <c r="AN528" i="9"/>
  <c r="AN529" i="9"/>
  <c r="AN530" i="9"/>
  <c r="AN531" i="9"/>
  <c r="AN532" i="9"/>
  <c r="AN533" i="9"/>
  <c r="AN534" i="9"/>
  <c r="AN535" i="9"/>
  <c r="AN536" i="9"/>
  <c r="AN537" i="9"/>
  <c r="AN538" i="9"/>
  <c r="AN539" i="9"/>
  <c r="AN540" i="9"/>
  <c r="AN541" i="9"/>
  <c r="AN542" i="9"/>
  <c r="AN543" i="9"/>
  <c r="AN544" i="9"/>
  <c r="AN545" i="9"/>
  <c r="AN546" i="9"/>
  <c r="AN547" i="9"/>
  <c r="AN548" i="9"/>
  <c r="AN549" i="9"/>
  <c r="AN550" i="9"/>
  <c r="AN551" i="9"/>
  <c r="AN552" i="9"/>
  <c r="AN553" i="9"/>
  <c r="AN554" i="9"/>
  <c r="AN555" i="9"/>
  <c r="AN556" i="9"/>
  <c r="AN557" i="9"/>
  <c r="AN558" i="9"/>
  <c r="AN559" i="9"/>
  <c r="AN560" i="9"/>
  <c r="AN561" i="9"/>
  <c r="AN562" i="9"/>
  <c r="AN563" i="9"/>
  <c r="AN564" i="9"/>
  <c r="AN565" i="9"/>
  <c r="AN566" i="9"/>
  <c r="AN567" i="9"/>
  <c r="AN568" i="9"/>
  <c r="AN569" i="9"/>
  <c r="AN570" i="9"/>
  <c r="AN571" i="9"/>
  <c r="AN572" i="9"/>
  <c r="AN573" i="9"/>
  <c r="AN574" i="9"/>
  <c r="AN575" i="9"/>
  <c r="AN576" i="9"/>
  <c r="AN577" i="9"/>
  <c r="AN578" i="9"/>
  <c r="AN579" i="9"/>
  <c r="AN580" i="9"/>
  <c r="AN581" i="9"/>
  <c r="AN582" i="9"/>
  <c r="AN583" i="9"/>
  <c r="AN584" i="9"/>
  <c r="AN585" i="9"/>
  <c r="AN586" i="9"/>
  <c r="AN587" i="9"/>
  <c r="AN588" i="9"/>
  <c r="AN589" i="9"/>
  <c r="AN590" i="9"/>
  <c r="AN591" i="9"/>
  <c r="AN592" i="9"/>
  <c r="AN593" i="9"/>
  <c r="AN594" i="9"/>
  <c r="AN595" i="9"/>
  <c r="AN596" i="9"/>
  <c r="AN597" i="9"/>
  <c r="AN598" i="9"/>
  <c r="AN599" i="9"/>
  <c r="AN600" i="9"/>
  <c r="AN601" i="9"/>
  <c r="AN602" i="9"/>
  <c r="AN603" i="9"/>
  <c r="AN604" i="9"/>
  <c r="BJ25" i="9"/>
  <c r="BJ26" i="9"/>
  <c r="BJ27" i="9"/>
  <c r="BJ28" i="9"/>
  <c r="BJ29" i="9"/>
  <c r="BJ30" i="9"/>
  <c r="BJ31" i="9"/>
  <c r="BJ32" i="9"/>
  <c r="BJ33" i="9"/>
  <c r="BJ34" i="9"/>
  <c r="BJ35" i="9"/>
  <c r="BJ36" i="9"/>
  <c r="BJ37" i="9"/>
  <c r="BJ38" i="9"/>
  <c r="BJ39" i="9"/>
  <c r="BJ40" i="9"/>
  <c r="BJ41" i="9"/>
  <c r="BJ42" i="9"/>
  <c r="BJ43" i="9"/>
  <c r="BJ44" i="9"/>
  <c r="BJ45" i="9"/>
  <c r="BJ46" i="9"/>
  <c r="BJ47" i="9"/>
  <c r="BJ48" i="9"/>
  <c r="BJ49" i="9"/>
  <c r="BJ50" i="9"/>
  <c r="BJ51" i="9"/>
  <c r="BJ52" i="9"/>
  <c r="BJ53" i="9"/>
  <c r="BJ54" i="9"/>
  <c r="BJ55" i="9"/>
  <c r="BJ56" i="9"/>
  <c r="BJ57" i="9"/>
  <c r="BJ58" i="9"/>
  <c r="BJ59" i="9"/>
  <c r="BJ60" i="9"/>
  <c r="BJ61" i="9"/>
  <c r="BJ62" i="9"/>
  <c r="BJ63" i="9"/>
  <c r="BJ64" i="9"/>
  <c r="BJ65" i="9"/>
  <c r="BJ66" i="9"/>
  <c r="BJ67" i="9"/>
  <c r="BJ68" i="9"/>
  <c r="BJ69" i="9"/>
  <c r="BJ70" i="9"/>
  <c r="BJ71" i="9"/>
  <c r="BJ72" i="9"/>
  <c r="BJ73" i="9"/>
  <c r="BJ74" i="9"/>
  <c r="BJ75" i="9"/>
  <c r="BJ76" i="9"/>
  <c r="BJ77" i="9"/>
  <c r="BJ78" i="9"/>
  <c r="BJ79" i="9"/>
  <c r="BJ80" i="9"/>
  <c r="BJ81" i="9"/>
  <c r="BJ82" i="9"/>
  <c r="BJ83" i="9"/>
  <c r="BJ84" i="9"/>
  <c r="BJ85" i="9"/>
  <c r="BJ86" i="9"/>
  <c r="BJ87" i="9"/>
  <c r="BJ88" i="9"/>
  <c r="BJ89" i="9"/>
  <c r="BJ90" i="9"/>
  <c r="BJ91" i="9"/>
  <c r="BJ92" i="9"/>
  <c r="BJ93" i="9"/>
  <c r="BJ94" i="9"/>
  <c r="BJ95" i="9"/>
  <c r="BJ96" i="9"/>
  <c r="BJ97" i="9"/>
  <c r="BJ98" i="9"/>
  <c r="BJ99" i="9"/>
  <c r="BJ100" i="9"/>
  <c r="BJ101" i="9"/>
  <c r="BJ102" i="9"/>
  <c r="BJ103" i="9"/>
  <c r="BJ104" i="9"/>
  <c r="BJ105" i="9"/>
  <c r="BJ106" i="9"/>
  <c r="BJ107" i="9"/>
  <c r="BJ108" i="9"/>
  <c r="BJ109" i="9"/>
  <c r="BJ110" i="9"/>
  <c r="BJ111" i="9"/>
  <c r="BJ112" i="9"/>
  <c r="BJ113" i="9"/>
  <c r="BJ114" i="9"/>
  <c r="BJ115" i="9"/>
  <c r="BJ116" i="9"/>
  <c r="BJ117" i="9"/>
  <c r="BJ118" i="9"/>
  <c r="BJ119" i="9"/>
  <c r="BJ120" i="9"/>
  <c r="BJ121" i="9"/>
  <c r="BJ122" i="9"/>
  <c r="BJ123" i="9"/>
  <c r="BJ124" i="9"/>
  <c r="BJ125" i="9"/>
  <c r="BJ126" i="9"/>
  <c r="BJ127" i="9"/>
  <c r="BJ128" i="9"/>
  <c r="BJ129" i="9"/>
  <c r="BJ130" i="9"/>
  <c r="BJ131" i="9"/>
  <c r="BJ132" i="9"/>
  <c r="BJ133" i="9"/>
  <c r="BJ134" i="9"/>
  <c r="BJ135" i="9"/>
  <c r="BJ136" i="9"/>
  <c r="BJ137" i="9"/>
  <c r="BJ138" i="9"/>
  <c r="BJ139" i="9"/>
  <c r="BJ140" i="9"/>
  <c r="BJ141" i="9"/>
  <c r="BJ142" i="9"/>
  <c r="BJ143" i="9"/>
  <c r="BJ144" i="9"/>
  <c r="BJ145" i="9"/>
  <c r="BJ146" i="9"/>
  <c r="BJ147" i="9"/>
  <c r="BJ148" i="9"/>
  <c r="BJ149" i="9"/>
  <c r="BJ150" i="9"/>
  <c r="BJ151" i="9"/>
  <c r="BJ152" i="9"/>
  <c r="BJ153" i="9"/>
  <c r="BJ154" i="9"/>
  <c r="BJ155" i="9"/>
  <c r="BJ156" i="9"/>
  <c r="BJ157" i="9"/>
  <c r="BJ158" i="9"/>
  <c r="BJ159" i="9"/>
  <c r="BJ160" i="9"/>
  <c r="BJ161" i="9"/>
  <c r="BJ162" i="9"/>
  <c r="BJ163" i="9"/>
  <c r="BJ164" i="9"/>
  <c r="BJ165" i="9"/>
  <c r="BJ166" i="9"/>
  <c r="BJ167" i="9"/>
  <c r="BJ168" i="9"/>
  <c r="BJ169" i="9"/>
  <c r="BJ170" i="9"/>
  <c r="BJ171" i="9"/>
  <c r="BJ172" i="9"/>
  <c r="BJ173" i="9"/>
  <c r="BJ174" i="9"/>
  <c r="BJ175" i="9"/>
  <c r="BJ176" i="9"/>
  <c r="BJ177" i="9"/>
  <c r="BJ178" i="9"/>
  <c r="BJ179" i="9"/>
  <c r="BJ180" i="9"/>
  <c r="BJ181" i="9"/>
  <c r="BJ182" i="9"/>
  <c r="BJ183" i="9"/>
  <c r="BJ184" i="9"/>
  <c r="BJ225" i="9"/>
  <c r="BJ226" i="9"/>
  <c r="BJ227" i="9"/>
  <c r="BJ228" i="9"/>
  <c r="BJ229" i="9"/>
  <c r="BJ230" i="9"/>
  <c r="BJ231" i="9"/>
  <c r="BJ232" i="9"/>
  <c r="BJ233" i="9"/>
  <c r="BJ234" i="9"/>
  <c r="BJ235" i="9"/>
  <c r="BJ236" i="9"/>
  <c r="BJ237" i="9"/>
  <c r="BJ238" i="9"/>
  <c r="BJ239" i="9"/>
  <c r="BJ240" i="9"/>
  <c r="BJ241" i="9"/>
  <c r="BJ242" i="9"/>
  <c r="BJ243" i="9"/>
  <c r="BJ244" i="9"/>
  <c r="BJ245" i="9"/>
  <c r="BJ246" i="9"/>
  <c r="BJ247" i="9"/>
  <c r="BJ248" i="9"/>
  <c r="BJ249" i="9"/>
  <c r="BJ250" i="9"/>
  <c r="BJ251" i="9"/>
  <c r="BJ252" i="9"/>
  <c r="BJ253" i="9"/>
  <c r="BJ254" i="9"/>
  <c r="BJ255" i="9"/>
  <c r="BJ256" i="9"/>
  <c r="BJ257" i="9"/>
  <c r="BJ258" i="9"/>
  <c r="BJ259" i="9"/>
  <c r="BJ260" i="9"/>
  <c r="BJ261" i="9"/>
  <c r="BJ262" i="9"/>
  <c r="BJ263" i="9"/>
  <c r="BJ264" i="9"/>
  <c r="BJ265" i="9"/>
  <c r="BJ266" i="9"/>
  <c r="BJ267" i="9"/>
  <c r="BJ268" i="9"/>
  <c r="BJ269" i="9"/>
  <c r="BJ270" i="9"/>
  <c r="BJ271" i="9"/>
  <c r="BJ272" i="9"/>
  <c r="BJ273" i="9"/>
  <c r="BJ274" i="9"/>
  <c r="BJ275" i="9"/>
  <c r="BJ276" i="9"/>
  <c r="BJ277" i="9"/>
  <c r="BJ278" i="9"/>
  <c r="BJ279" i="9"/>
  <c r="BJ280" i="9"/>
  <c r="BJ281" i="9"/>
  <c r="BJ282" i="9"/>
  <c r="BJ283" i="9"/>
  <c r="BJ284" i="9"/>
  <c r="BJ285" i="9"/>
  <c r="BJ286" i="9"/>
  <c r="BJ287" i="9"/>
  <c r="BJ288" i="9"/>
  <c r="BJ289" i="9"/>
  <c r="BJ290" i="9"/>
  <c r="BJ291" i="9"/>
  <c r="BJ292" i="9"/>
  <c r="BJ293" i="9"/>
  <c r="BJ294" i="9"/>
  <c r="BJ295" i="9"/>
  <c r="BJ296" i="9"/>
  <c r="BJ297" i="9"/>
  <c r="BJ298" i="9"/>
  <c r="BJ299" i="9"/>
  <c r="BJ300" i="9"/>
  <c r="BJ301" i="9"/>
  <c r="BJ302" i="9"/>
  <c r="BJ303" i="9"/>
  <c r="BJ304" i="9"/>
  <c r="BJ305" i="9"/>
  <c r="BJ306" i="9"/>
  <c r="BJ307" i="9"/>
  <c r="BJ308" i="9"/>
  <c r="BJ309" i="9"/>
  <c r="BJ310" i="9"/>
  <c r="BJ311" i="9"/>
  <c r="BJ312" i="9"/>
  <c r="BJ313" i="9"/>
  <c r="BJ314" i="9"/>
  <c r="BJ315" i="9"/>
  <c r="BJ316" i="9"/>
  <c r="BJ317" i="9"/>
  <c r="BJ318" i="9"/>
  <c r="BJ319" i="9"/>
  <c r="BJ320" i="9"/>
  <c r="BJ321" i="9"/>
  <c r="BJ322" i="9"/>
  <c r="BJ323" i="9"/>
  <c r="BJ324" i="9"/>
  <c r="BJ325" i="9"/>
  <c r="BJ326" i="9"/>
  <c r="BJ327" i="9"/>
  <c r="BJ328" i="9"/>
  <c r="BJ329" i="9"/>
  <c r="BJ330" i="9"/>
  <c r="BJ331" i="9"/>
  <c r="BJ332" i="9"/>
  <c r="BJ333" i="9"/>
  <c r="BJ334" i="9"/>
  <c r="BJ335" i="9"/>
  <c r="BJ336" i="9"/>
  <c r="BJ337" i="9"/>
  <c r="BJ338" i="9"/>
  <c r="BJ339" i="9"/>
  <c r="BJ340" i="9"/>
  <c r="BJ341" i="9"/>
  <c r="BJ342" i="9"/>
  <c r="BJ343" i="9"/>
  <c r="BJ344" i="9"/>
  <c r="BJ345" i="9"/>
  <c r="BJ346" i="9"/>
  <c r="BJ347" i="9"/>
  <c r="BJ348" i="9"/>
  <c r="BJ349" i="9"/>
  <c r="BJ350" i="9"/>
  <c r="BJ351" i="9"/>
  <c r="BJ352" i="9"/>
  <c r="BJ353" i="9"/>
  <c r="BJ354" i="9"/>
  <c r="BJ355" i="9"/>
  <c r="BJ356" i="9"/>
  <c r="BJ357" i="9"/>
  <c r="BJ358" i="9"/>
  <c r="BJ359" i="9"/>
  <c r="BJ360" i="9"/>
  <c r="BJ361" i="9"/>
  <c r="BJ362" i="9"/>
  <c r="BJ363" i="9"/>
  <c r="BJ364" i="9"/>
  <c r="BJ365" i="9"/>
  <c r="BJ366" i="9"/>
  <c r="BJ367" i="9"/>
  <c r="BJ368" i="9"/>
  <c r="BJ369" i="9"/>
  <c r="BJ370" i="9"/>
  <c r="BJ371" i="9"/>
  <c r="BJ372" i="9"/>
  <c r="BJ373" i="9"/>
  <c r="BJ374" i="9"/>
  <c r="BJ375" i="9"/>
  <c r="BJ376" i="9"/>
  <c r="BJ377" i="9"/>
  <c r="BJ378" i="9"/>
  <c r="BJ379" i="9"/>
  <c r="BJ380" i="9"/>
  <c r="BJ381" i="9"/>
  <c r="BJ382" i="9"/>
  <c r="BJ383" i="9"/>
  <c r="BJ384" i="9"/>
  <c r="BJ385" i="9"/>
  <c r="BJ386" i="9"/>
  <c r="BJ387" i="9"/>
  <c r="BJ388" i="9"/>
  <c r="BJ389" i="9"/>
  <c r="BJ390" i="9"/>
  <c r="BJ391" i="9"/>
  <c r="BJ392" i="9"/>
  <c r="BJ393" i="9"/>
  <c r="BJ394" i="9"/>
  <c r="BJ395" i="9"/>
  <c r="BJ396" i="9"/>
  <c r="BJ397" i="9"/>
  <c r="BJ398" i="9"/>
  <c r="BJ399" i="9"/>
  <c r="BJ400" i="9"/>
  <c r="BJ401" i="9"/>
  <c r="BJ402" i="9"/>
  <c r="BJ403" i="9"/>
  <c r="BJ404" i="9"/>
  <c r="BJ405" i="9"/>
  <c r="BJ406" i="9"/>
  <c r="BJ407" i="9"/>
  <c r="BJ408" i="9"/>
  <c r="BJ409" i="9"/>
  <c r="BJ410" i="9"/>
  <c r="BJ411" i="9"/>
  <c r="BJ412" i="9"/>
  <c r="BJ413" i="9"/>
  <c r="BJ414" i="9"/>
  <c r="BJ415" i="9"/>
  <c r="BJ416" i="9"/>
  <c r="BJ417" i="9"/>
  <c r="BJ418" i="9"/>
  <c r="BJ419" i="9"/>
  <c r="BJ420" i="9"/>
  <c r="BJ421" i="9"/>
  <c r="BJ422" i="9"/>
  <c r="BJ423" i="9"/>
  <c r="BJ424" i="9"/>
  <c r="BJ425" i="9"/>
  <c r="BJ426" i="9"/>
  <c r="BJ427" i="9"/>
  <c r="BJ428" i="9"/>
  <c r="BJ429" i="9"/>
  <c r="BJ430" i="9"/>
  <c r="BJ431" i="9"/>
  <c r="BJ432" i="9"/>
  <c r="BJ433" i="9"/>
  <c r="BJ434" i="9"/>
  <c r="BJ435" i="9"/>
  <c r="BJ436" i="9"/>
  <c r="BJ437" i="9"/>
  <c r="BJ438" i="9"/>
  <c r="BJ439" i="9"/>
  <c r="BJ440" i="9"/>
  <c r="BJ441" i="9"/>
  <c r="BJ442" i="9"/>
  <c r="BJ443" i="9"/>
  <c r="BJ444" i="9"/>
  <c r="BJ445" i="9"/>
  <c r="BJ446" i="9"/>
  <c r="BJ447" i="9"/>
  <c r="BJ448" i="9"/>
  <c r="BJ449" i="9"/>
  <c r="BJ450" i="9"/>
  <c r="BJ451" i="9"/>
  <c r="BJ452" i="9"/>
  <c r="BJ453" i="9"/>
  <c r="BJ454" i="9"/>
  <c r="BJ455" i="9"/>
  <c r="BJ456" i="9"/>
  <c r="BJ457" i="9"/>
  <c r="BJ458" i="9"/>
  <c r="BJ459" i="9"/>
  <c r="BJ460" i="9"/>
  <c r="BJ461" i="9"/>
  <c r="BJ462" i="9"/>
  <c r="BJ463" i="9"/>
  <c r="BJ464" i="9"/>
  <c r="BJ465" i="9"/>
  <c r="BJ466" i="9"/>
  <c r="BJ467" i="9"/>
  <c r="BJ468" i="9"/>
  <c r="BJ469" i="9"/>
  <c r="BJ470" i="9"/>
  <c r="BJ471" i="9"/>
  <c r="BJ472" i="9"/>
  <c r="BJ473" i="9"/>
  <c r="BJ474" i="9"/>
  <c r="BJ475" i="9"/>
  <c r="BJ476" i="9"/>
  <c r="BJ477" i="9"/>
  <c r="BJ478" i="9"/>
  <c r="BJ479" i="9"/>
  <c r="BJ480" i="9"/>
  <c r="BJ481" i="9"/>
  <c r="BJ482" i="9"/>
  <c r="BJ483" i="9"/>
  <c r="BJ484" i="9"/>
  <c r="BJ485" i="9"/>
  <c r="BJ486" i="9"/>
  <c r="BJ487" i="9"/>
  <c r="BJ488" i="9"/>
  <c r="BJ489" i="9"/>
  <c r="BJ490" i="9"/>
  <c r="BJ491" i="9"/>
  <c r="BJ492" i="9"/>
  <c r="BJ493" i="9"/>
  <c r="BJ494" i="9"/>
  <c r="BJ495" i="9"/>
  <c r="BJ496" i="9"/>
  <c r="BJ497" i="9"/>
  <c r="BJ498" i="9"/>
  <c r="BJ499" i="9"/>
  <c r="BJ500" i="9"/>
  <c r="BJ501" i="9"/>
  <c r="BJ502" i="9"/>
  <c r="BJ503" i="9"/>
  <c r="BJ504" i="9"/>
  <c r="BJ505" i="9"/>
  <c r="BJ506" i="9"/>
  <c r="BJ507" i="9"/>
  <c r="BJ508" i="9"/>
  <c r="BJ509" i="9"/>
  <c r="BJ510" i="9"/>
  <c r="BJ511" i="9"/>
  <c r="BJ512" i="9"/>
  <c r="BJ513" i="9"/>
  <c r="BJ514" i="9"/>
  <c r="BJ515" i="9"/>
  <c r="BJ516" i="9"/>
  <c r="BJ517" i="9"/>
  <c r="BJ518" i="9"/>
  <c r="BJ519" i="9"/>
  <c r="BJ520" i="9"/>
  <c r="BJ521" i="9"/>
  <c r="BJ522" i="9"/>
  <c r="BJ523" i="9"/>
  <c r="BJ524" i="9"/>
  <c r="BJ525" i="9"/>
  <c r="BJ526" i="9"/>
  <c r="BJ527" i="9"/>
  <c r="BJ528" i="9"/>
  <c r="BJ529" i="9"/>
  <c r="BJ530" i="9"/>
  <c r="BJ531" i="9"/>
  <c r="BJ532" i="9"/>
  <c r="BJ533" i="9"/>
  <c r="BJ534" i="9"/>
  <c r="BJ535" i="9"/>
  <c r="BJ536" i="9"/>
  <c r="BJ537" i="9"/>
  <c r="BJ538" i="9"/>
  <c r="BJ539" i="9"/>
  <c r="BJ540" i="9"/>
  <c r="BJ541" i="9"/>
  <c r="BJ542" i="9"/>
  <c r="BJ543" i="9"/>
  <c r="BJ544" i="9"/>
  <c r="BJ545" i="9"/>
  <c r="BJ546" i="9"/>
  <c r="BJ547" i="9"/>
  <c r="BJ548" i="9"/>
  <c r="BJ549" i="9"/>
  <c r="BJ550" i="9"/>
  <c r="BJ551" i="9"/>
  <c r="BJ552" i="9"/>
  <c r="BJ553" i="9"/>
  <c r="BJ554" i="9"/>
  <c r="BJ555" i="9"/>
  <c r="BJ556" i="9"/>
  <c r="BJ557" i="9"/>
  <c r="BJ558" i="9"/>
  <c r="BJ559" i="9"/>
  <c r="BJ560" i="9"/>
  <c r="BJ561" i="9"/>
  <c r="BJ562" i="9"/>
  <c r="BJ563" i="9"/>
  <c r="BJ564" i="9"/>
  <c r="BJ565" i="9"/>
  <c r="BJ566" i="9"/>
  <c r="BJ567" i="9"/>
  <c r="BJ568" i="9"/>
  <c r="BJ569" i="9"/>
  <c r="BJ570" i="9"/>
  <c r="BJ571" i="9"/>
  <c r="BJ572" i="9"/>
  <c r="BJ573" i="9"/>
  <c r="BJ574" i="9"/>
  <c r="BJ575" i="9"/>
  <c r="BJ576" i="9"/>
  <c r="BJ577" i="9"/>
  <c r="BJ578" i="9"/>
  <c r="BJ579" i="9"/>
  <c r="BJ580" i="9"/>
  <c r="BJ581" i="9"/>
  <c r="BJ582" i="9"/>
  <c r="BJ583" i="9"/>
  <c r="BJ584" i="9"/>
  <c r="BJ585" i="9"/>
  <c r="BJ586" i="9"/>
  <c r="BJ587" i="9"/>
  <c r="BJ588" i="9"/>
  <c r="BJ589" i="9"/>
  <c r="BJ590" i="9"/>
  <c r="BJ591" i="9"/>
  <c r="BJ592" i="9"/>
  <c r="BJ593" i="9"/>
  <c r="BJ594" i="9"/>
  <c r="BJ595" i="9"/>
  <c r="BJ596" i="9"/>
  <c r="BJ597" i="9"/>
  <c r="BJ598" i="9"/>
  <c r="BJ599" i="9"/>
  <c r="BJ600" i="9"/>
  <c r="BJ601" i="9"/>
  <c r="BJ602" i="9"/>
  <c r="BJ603" i="9"/>
  <c r="BJ604" i="9"/>
  <c r="BJ24" i="9"/>
  <c r="BJ23" i="9"/>
  <c r="BJ22" i="9"/>
  <c r="BJ21" i="9"/>
  <c r="BJ20" i="9"/>
  <c r="BJ19" i="9"/>
  <c r="BJ18" i="9"/>
  <c r="BJ17" i="9"/>
  <c r="BJ16" i="9"/>
  <c r="BJ15" i="9"/>
  <c r="BJ14" i="9"/>
  <c r="BJ13" i="9"/>
  <c r="BJ12" i="9"/>
  <c r="BJ11" i="9"/>
  <c r="BJ10" i="9"/>
  <c r="BJ9" i="9"/>
  <c r="BJ8" i="9"/>
  <c r="BJ7" i="9"/>
  <c r="BJ6" i="9"/>
  <c r="BJ5" i="9"/>
  <c r="A32" i="30"/>
  <c r="BE266" i="9"/>
  <c r="BE267" i="9"/>
  <c r="BE268" i="9"/>
  <c r="BE269" i="9"/>
  <c r="BE270" i="9"/>
  <c r="BE271" i="9"/>
  <c r="BE273" i="9"/>
  <c r="BE274" i="9"/>
  <c r="BE275" i="9"/>
  <c r="BE276" i="9"/>
  <c r="BE277" i="9"/>
  <c r="BE278" i="9"/>
  <c r="BE279" i="9"/>
  <c r="BE280" i="9"/>
  <c r="BE281" i="9"/>
  <c r="BE282" i="9"/>
  <c r="BE283" i="9"/>
  <c r="BE284" i="9"/>
  <c r="F22" i="30"/>
  <c r="A22" i="30" s="1"/>
  <c r="BE75" i="9" s="1"/>
  <c r="F23" i="30"/>
  <c r="A23" i="30" s="1"/>
  <c r="BE96" i="9" s="1"/>
  <c r="F24" i="30"/>
  <c r="A24" i="30" s="1"/>
  <c r="BE214" i="9" s="1"/>
  <c r="F25" i="30"/>
  <c r="A25" i="30" s="1"/>
  <c r="BE298" i="9" s="1"/>
  <c r="F26" i="30"/>
  <c r="A26" i="30" s="1"/>
  <c r="BE332" i="9" s="1"/>
  <c r="A27" i="30"/>
  <c r="BE351" i="9" s="1"/>
  <c r="A28" i="30"/>
  <c r="BE415" i="9" s="1"/>
  <c r="A29" i="30"/>
  <c r="BE437" i="9" s="1"/>
  <c r="A35" i="30"/>
  <c r="BE562" i="9" s="1"/>
  <c r="F21" i="30"/>
  <c r="A21" i="30" s="1"/>
  <c r="BE14" i="9" s="1"/>
  <c r="A30" i="30"/>
  <c r="BE456" i="9" s="1"/>
  <c r="A31" i="30"/>
  <c r="BE474" i="9" s="1"/>
  <c r="A33" i="30"/>
  <c r="BE536" i="9" s="1"/>
  <c r="A34" i="30"/>
  <c r="BE599" i="9" s="1"/>
  <c r="BE25" i="9"/>
  <c r="BE26" i="9"/>
  <c r="BE27" i="9"/>
  <c r="BE28" i="9"/>
  <c r="BE29" i="9"/>
  <c r="BE30" i="9"/>
  <c r="BE31" i="9"/>
  <c r="BE32" i="9"/>
  <c r="BE33" i="9"/>
  <c r="BE34" i="9"/>
  <c r="BE35" i="9"/>
  <c r="BE36" i="9"/>
  <c r="BE37" i="9"/>
  <c r="BE38" i="9"/>
  <c r="BE39" i="9"/>
  <c r="BE40" i="9"/>
  <c r="BE41" i="9"/>
  <c r="BE42" i="9"/>
  <c r="BE43" i="9"/>
  <c r="BE44" i="9"/>
  <c r="BE45" i="9"/>
  <c r="BE46" i="9"/>
  <c r="BE47" i="9"/>
  <c r="BE48" i="9"/>
  <c r="BE49" i="9"/>
  <c r="BE50" i="9"/>
  <c r="BE51" i="9"/>
  <c r="BE52" i="9"/>
  <c r="BE53" i="9"/>
  <c r="BE54" i="9"/>
  <c r="BE55" i="9"/>
  <c r="BE56" i="9"/>
  <c r="BE57" i="9"/>
  <c r="BE58" i="9"/>
  <c r="BE59" i="9"/>
  <c r="BE60" i="9"/>
  <c r="BE61" i="9"/>
  <c r="BE62" i="9"/>
  <c r="BE63" i="9"/>
  <c r="BE64" i="9"/>
  <c r="BE65" i="9"/>
  <c r="BE66" i="9"/>
  <c r="BE67" i="9"/>
  <c r="BE68" i="9"/>
  <c r="BE69" i="9"/>
  <c r="BE70" i="9"/>
  <c r="BE71" i="9"/>
  <c r="BE72" i="9"/>
  <c r="BE73" i="9"/>
  <c r="BE74" i="9"/>
  <c r="BE76" i="9"/>
  <c r="BE77" i="9"/>
  <c r="BE78" i="9"/>
  <c r="BE79" i="9"/>
  <c r="BE80" i="9"/>
  <c r="BE81" i="9"/>
  <c r="BE82" i="9"/>
  <c r="BE83" i="9"/>
  <c r="BE84" i="9"/>
  <c r="BE85" i="9"/>
  <c r="BE86" i="9"/>
  <c r="BE87" i="9"/>
  <c r="BE88" i="9"/>
  <c r="BE89" i="9"/>
  <c r="BE90" i="9"/>
  <c r="BE91" i="9"/>
  <c r="BE92" i="9"/>
  <c r="BE93" i="9"/>
  <c r="BE94" i="9"/>
  <c r="BE95" i="9"/>
  <c r="BE97" i="9"/>
  <c r="BE98" i="9"/>
  <c r="BE99" i="9"/>
  <c r="BE100" i="9"/>
  <c r="BE101" i="9"/>
  <c r="BE102" i="9"/>
  <c r="BE103" i="9"/>
  <c r="BE104" i="9"/>
  <c r="BE105" i="9"/>
  <c r="BE106" i="9"/>
  <c r="BE107" i="9"/>
  <c r="BE108" i="9"/>
  <c r="BE109" i="9"/>
  <c r="BE110" i="9"/>
  <c r="BE111" i="9"/>
  <c r="BE112" i="9"/>
  <c r="BE113" i="9"/>
  <c r="BE114" i="9"/>
  <c r="BE115" i="9"/>
  <c r="BE116" i="9"/>
  <c r="BE117" i="9"/>
  <c r="BE118" i="9"/>
  <c r="BE119" i="9"/>
  <c r="BE120" i="9"/>
  <c r="BE121" i="9"/>
  <c r="BE122" i="9"/>
  <c r="BE123" i="9"/>
  <c r="BE124" i="9"/>
  <c r="BE125" i="9"/>
  <c r="BE126" i="9"/>
  <c r="BE127" i="9"/>
  <c r="BE128" i="9"/>
  <c r="BE129" i="9"/>
  <c r="BE130" i="9"/>
  <c r="BE131" i="9"/>
  <c r="BE132" i="9"/>
  <c r="BE133" i="9"/>
  <c r="BE134" i="9"/>
  <c r="BE135" i="9"/>
  <c r="BE136" i="9"/>
  <c r="BE137" i="9"/>
  <c r="BE138" i="9"/>
  <c r="BE139" i="9"/>
  <c r="BE140" i="9"/>
  <c r="BE141" i="9"/>
  <c r="BE142" i="9"/>
  <c r="BE143" i="9"/>
  <c r="BE144" i="9"/>
  <c r="BE145" i="9"/>
  <c r="BE146" i="9"/>
  <c r="BE147" i="9"/>
  <c r="BE148" i="9"/>
  <c r="BE149" i="9"/>
  <c r="BE150" i="9"/>
  <c r="BE151" i="9"/>
  <c r="BE152" i="9"/>
  <c r="BE153" i="9"/>
  <c r="BE154" i="9"/>
  <c r="BE155" i="9"/>
  <c r="BE156" i="9"/>
  <c r="BE157" i="9"/>
  <c r="BE158" i="9"/>
  <c r="BE159" i="9"/>
  <c r="BE160" i="9"/>
  <c r="BE161" i="9"/>
  <c r="BE162" i="9"/>
  <c r="BE163" i="9"/>
  <c r="BE164" i="9"/>
  <c r="BE165" i="9"/>
  <c r="BE166" i="9"/>
  <c r="BE167" i="9"/>
  <c r="BE168" i="9"/>
  <c r="BE169" i="9"/>
  <c r="BE170" i="9"/>
  <c r="BE171" i="9"/>
  <c r="BE172" i="9"/>
  <c r="BE173" i="9"/>
  <c r="BE174" i="9"/>
  <c r="BE175" i="9"/>
  <c r="BE176" i="9"/>
  <c r="BE177" i="9"/>
  <c r="BE178" i="9"/>
  <c r="BE179" i="9"/>
  <c r="BE180" i="9"/>
  <c r="BE181" i="9"/>
  <c r="BE182" i="9"/>
  <c r="BE183" i="9"/>
  <c r="BE184" i="9"/>
  <c r="BE225" i="9"/>
  <c r="BE226" i="9"/>
  <c r="BE227" i="9"/>
  <c r="BE228" i="9"/>
  <c r="BE229" i="9"/>
  <c r="BE230" i="9"/>
  <c r="BE231" i="9"/>
  <c r="BE232" i="9"/>
  <c r="BE233" i="9"/>
  <c r="BE235" i="9"/>
  <c r="BE236" i="9"/>
  <c r="BE237" i="9"/>
  <c r="BE238" i="9"/>
  <c r="BE239" i="9"/>
  <c r="BE240" i="9"/>
  <c r="BE241" i="9"/>
  <c r="BE242" i="9"/>
  <c r="BE243" i="9"/>
  <c r="BE244" i="9"/>
  <c r="BE245" i="9"/>
  <c r="BE246" i="9"/>
  <c r="BE247" i="9"/>
  <c r="BE248" i="9"/>
  <c r="BE249" i="9"/>
  <c r="BE250" i="9"/>
  <c r="BE251" i="9"/>
  <c r="BE252" i="9"/>
  <c r="BE253" i="9"/>
  <c r="BE255" i="9"/>
  <c r="BE256" i="9"/>
  <c r="BE257" i="9"/>
  <c r="BE258" i="9"/>
  <c r="BE259" i="9"/>
  <c r="BE260" i="9"/>
  <c r="BE261" i="9"/>
  <c r="BE262" i="9"/>
  <c r="BE263" i="9"/>
  <c r="BE264" i="9"/>
  <c r="BE265" i="9"/>
  <c r="BE285" i="9"/>
  <c r="BE286" i="9"/>
  <c r="BE287" i="9"/>
  <c r="BE288" i="9"/>
  <c r="BE289" i="9"/>
  <c r="BE290" i="9"/>
  <c r="BE291" i="9"/>
  <c r="BE292" i="9"/>
  <c r="BE293" i="9"/>
  <c r="BE294" i="9"/>
  <c r="BE295" i="9"/>
  <c r="BE296" i="9"/>
  <c r="BE297" i="9"/>
  <c r="BE299" i="9"/>
  <c r="BE300" i="9"/>
  <c r="BE301" i="9"/>
  <c r="BE302" i="9"/>
  <c r="BE303" i="9"/>
  <c r="BE304" i="9"/>
  <c r="BE305" i="9"/>
  <c r="BE306" i="9"/>
  <c r="BE307" i="9"/>
  <c r="BE308" i="9"/>
  <c r="BE309" i="9"/>
  <c r="BE310" i="9"/>
  <c r="BE311" i="9"/>
  <c r="BE312" i="9"/>
  <c r="BE313" i="9"/>
  <c r="BE314" i="9"/>
  <c r="BE315" i="9"/>
  <c r="BE316" i="9"/>
  <c r="BE317" i="9"/>
  <c r="BE319" i="9"/>
  <c r="BE320" i="9"/>
  <c r="BE321" i="9"/>
  <c r="BE322" i="9"/>
  <c r="BE323" i="9"/>
  <c r="BE324" i="9"/>
  <c r="BE325" i="9"/>
  <c r="BE326" i="9"/>
  <c r="BE327" i="9"/>
  <c r="BE328" i="9"/>
  <c r="BE329" i="9"/>
  <c r="BE330" i="9"/>
  <c r="BE331" i="9"/>
  <c r="BE333" i="9"/>
  <c r="BE334" i="9"/>
  <c r="BE335" i="9"/>
  <c r="BE336" i="9"/>
  <c r="BE337" i="9"/>
  <c r="BE338" i="9"/>
  <c r="BE339" i="9"/>
  <c r="BE340" i="9"/>
  <c r="BE341" i="9"/>
  <c r="BE342" i="9"/>
  <c r="BE343" i="9"/>
  <c r="BE344" i="9"/>
  <c r="BE345" i="9"/>
  <c r="BE346" i="9"/>
  <c r="BE347" i="9"/>
  <c r="BE348" i="9"/>
  <c r="BE349" i="9"/>
  <c r="BE350" i="9"/>
  <c r="BE352" i="9"/>
  <c r="BE353" i="9"/>
  <c r="BE354" i="9"/>
  <c r="BE355" i="9"/>
  <c r="BE356" i="9"/>
  <c r="BE357" i="9"/>
  <c r="BE358" i="9"/>
  <c r="BE359" i="9"/>
  <c r="BE360" i="9"/>
  <c r="BE361" i="9"/>
  <c r="BE362" i="9"/>
  <c r="BE363" i="9"/>
  <c r="BE364" i="9"/>
  <c r="BE365" i="9"/>
  <c r="BE366" i="9"/>
  <c r="BE367" i="9"/>
  <c r="BE368" i="9"/>
  <c r="BE369" i="9"/>
  <c r="BE370" i="9"/>
  <c r="BE371" i="9"/>
  <c r="BE372" i="9"/>
  <c r="BE373" i="9"/>
  <c r="BE374" i="9"/>
  <c r="BE375" i="9"/>
  <c r="BE376" i="9"/>
  <c r="BE377" i="9"/>
  <c r="BE378" i="9"/>
  <c r="BE379" i="9"/>
  <c r="BE380" i="9"/>
  <c r="BE381" i="9"/>
  <c r="BE382" i="9"/>
  <c r="BE383" i="9"/>
  <c r="BE384" i="9"/>
  <c r="BE385" i="9"/>
  <c r="BE386" i="9"/>
  <c r="BE387" i="9"/>
  <c r="BE388" i="9"/>
  <c r="BE389" i="9"/>
  <c r="BE391" i="9"/>
  <c r="BE392" i="9"/>
  <c r="BE393" i="9"/>
  <c r="BE394" i="9"/>
  <c r="BE395" i="9"/>
  <c r="BE396" i="9"/>
  <c r="BE397" i="9"/>
  <c r="BE398" i="9"/>
  <c r="BE399" i="9"/>
  <c r="BE400" i="9"/>
  <c r="BE401" i="9"/>
  <c r="BE402" i="9"/>
  <c r="BE403" i="9"/>
  <c r="BE404" i="9"/>
  <c r="BE405" i="9"/>
  <c r="BE406" i="9"/>
  <c r="BE407" i="9"/>
  <c r="BE408" i="9"/>
  <c r="BE409" i="9"/>
  <c r="BE410" i="9"/>
  <c r="BE411" i="9"/>
  <c r="BE412" i="9"/>
  <c r="BE413" i="9"/>
  <c r="BE414" i="9"/>
  <c r="BE416" i="9"/>
  <c r="BE417" i="9"/>
  <c r="BE418" i="9"/>
  <c r="BE419" i="9"/>
  <c r="BE420" i="9"/>
  <c r="BE421" i="9"/>
  <c r="BE422" i="9"/>
  <c r="BE423" i="9"/>
  <c r="BE424" i="9"/>
  <c r="BE425" i="9"/>
  <c r="BE426" i="9"/>
  <c r="BE427" i="9"/>
  <c r="BE428" i="9"/>
  <c r="BE429" i="9"/>
  <c r="BE430" i="9"/>
  <c r="BE431" i="9"/>
  <c r="BE432" i="9"/>
  <c r="BE433" i="9"/>
  <c r="BE434" i="9"/>
  <c r="BE435" i="9"/>
  <c r="BE436" i="9"/>
  <c r="BE438" i="9"/>
  <c r="BE439" i="9"/>
  <c r="BE440" i="9"/>
  <c r="BE441" i="9"/>
  <c r="BE442" i="9"/>
  <c r="BE443" i="9"/>
  <c r="BE444" i="9"/>
  <c r="BE445" i="9"/>
  <c r="BE446" i="9"/>
  <c r="BE447" i="9"/>
  <c r="BE448" i="9"/>
  <c r="BE449" i="9"/>
  <c r="BE450" i="9"/>
  <c r="BE451" i="9"/>
  <c r="BE452" i="9"/>
  <c r="BE453" i="9"/>
  <c r="BE454" i="9"/>
  <c r="BE455" i="9"/>
  <c r="BE457" i="9"/>
  <c r="BE458" i="9"/>
  <c r="BE459" i="9"/>
  <c r="BE460" i="9"/>
  <c r="BE461" i="9"/>
  <c r="BE462" i="9"/>
  <c r="BE463" i="9"/>
  <c r="BE464" i="9"/>
  <c r="BE466" i="9"/>
  <c r="BE467" i="9"/>
  <c r="BE468" i="9"/>
  <c r="BE469" i="9"/>
  <c r="BE470" i="9"/>
  <c r="BE471" i="9"/>
  <c r="BE472" i="9"/>
  <c r="BE473" i="9"/>
  <c r="BE475" i="9"/>
  <c r="BE476" i="9"/>
  <c r="BE477" i="9"/>
  <c r="BE478" i="9"/>
  <c r="BE479" i="9"/>
  <c r="BE480" i="9"/>
  <c r="BE481" i="9"/>
  <c r="BE482" i="9"/>
  <c r="BE483" i="9"/>
  <c r="BE484" i="9"/>
  <c r="BE486" i="9"/>
  <c r="BE487" i="9"/>
  <c r="BE488" i="9"/>
  <c r="BE489" i="9"/>
  <c r="BE490" i="9"/>
  <c r="BE491" i="9"/>
  <c r="BE492" i="9"/>
  <c r="BE493" i="9"/>
  <c r="BE494" i="9"/>
  <c r="BE495" i="9"/>
  <c r="BE496" i="9"/>
  <c r="BE497" i="9"/>
  <c r="BE498" i="9"/>
  <c r="BE499" i="9"/>
  <c r="BE500" i="9"/>
  <c r="BE501" i="9"/>
  <c r="BE502" i="9"/>
  <c r="BE503" i="9"/>
  <c r="BE504" i="9"/>
  <c r="BE506" i="9"/>
  <c r="BE507" i="9"/>
  <c r="BE508" i="9"/>
  <c r="BE509" i="9"/>
  <c r="BE510" i="9"/>
  <c r="BE511" i="9"/>
  <c r="BE513" i="9"/>
  <c r="BE514" i="9"/>
  <c r="BE515" i="9"/>
  <c r="BE516" i="9"/>
  <c r="BE517" i="9"/>
  <c r="BE518" i="9"/>
  <c r="BE519" i="9"/>
  <c r="BE520" i="9"/>
  <c r="BE521" i="9"/>
  <c r="BE522" i="9"/>
  <c r="BE523" i="9"/>
  <c r="BE524" i="9"/>
  <c r="BE526" i="9"/>
  <c r="BE527" i="9"/>
  <c r="BE528" i="9"/>
  <c r="BE529" i="9"/>
  <c r="BE530" i="9"/>
  <c r="BE531" i="9"/>
  <c r="BE532" i="9"/>
  <c r="BE533" i="9"/>
  <c r="BE534" i="9"/>
  <c r="BE535" i="9"/>
  <c r="BE537" i="9"/>
  <c r="BE538" i="9"/>
  <c r="BE539" i="9"/>
  <c r="BE540" i="9"/>
  <c r="BE541" i="9"/>
  <c r="BE542" i="9"/>
  <c r="BE543" i="9"/>
  <c r="BE544" i="9"/>
  <c r="BE546" i="9"/>
  <c r="BE547" i="9"/>
  <c r="BE548" i="9"/>
  <c r="BE549" i="9"/>
  <c r="BE551" i="9"/>
  <c r="BE552" i="9"/>
  <c r="BE553" i="9"/>
  <c r="BE554" i="9"/>
  <c r="BE555" i="9"/>
  <c r="BE556" i="9"/>
  <c r="BE557" i="9"/>
  <c r="BE558" i="9"/>
  <c r="BE559" i="9"/>
  <c r="BE560" i="9"/>
  <c r="BE561" i="9"/>
  <c r="BE563" i="9"/>
  <c r="BE564" i="9"/>
  <c r="BE566" i="9"/>
  <c r="BE567" i="9"/>
  <c r="BE568" i="9"/>
  <c r="BE569" i="9"/>
  <c r="BE570" i="9"/>
  <c r="BE571" i="9"/>
  <c r="BE572" i="9"/>
  <c r="BE573" i="9"/>
  <c r="BE574" i="9"/>
  <c r="BE575" i="9"/>
  <c r="BE576" i="9"/>
  <c r="BE577" i="9"/>
  <c r="BE578" i="9"/>
  <c r="BE579" i="9"/>
  <c r="BE580" i="9"/>
  <c r="BE581" i="9"/>
  <c r="BE582" i="9"/>
  <c r="BE583" i="9"/>
  <c r="BE584" i="9"/>
  <c r="BE586" i="9"/>
  <c r="BE587" i="9"/>
  <c r="BE588" i="9"/>
  <c r="BE590" i="9"/>
  <c r="BE591" i="9"/>
  <c r="BE592" i="9"/>
  <c r="BE593" i="9"/>
  <c r="BE594" i="9"/>
  <c r="BE595" i="9"/>
  <c r="BE596" i="9"/>
  <c r="BE597" i="9"/>
  <c r="BE598" i="9"/>
  <c r="BE600" i="9"/>
  <c r="BE601" i="9"/>
  <c r="BE602" i="9"/>
  <c r="BE603" i="9"/>
  <c r="BE24" i="9"/>
  <c r="BE23" i="9"/>
  <c r="BE22" i="9"/>
  <c r="BE21" i="9"/>
  <c r="BE20" i="9"/>
  <c r="BE19" i="9"/>
  <c r="BE18" i="9"/>
  <c r="BE17" i="9"/>
  <c r="BE16" i="9"/>
  <c r="BE15" i="9"/>
  <c r="BE13" i="9"/>
  <c r="BE12" i="9"/>
  <c r="BE11" i="9"/>
  <c r="BE10" i="9"/>
  <c r="BE9" i="9"/>
  <c r="BE8" i="9"/>
  <c r="BE7" i="9"/>
  <c r="BE6" i="9"/>
  <c r="BE5" i="9"/>
  <c r="AZ26" i="9"/>
  <c r="AZ27" i="9"/>
  <c r="AZ28" i="9"/>
  <c r="AZ29" i="9"/>
  <c r="AZ30" i="9"/>
  <c r="AZ31" i="9"/>
  <c r="AZ32" i="9"/>
  <c r="AZ33" i="9"/>
  <c r="AZ34" i="9"/>
  <c r="AZ35" i="9"/>
  <c r="AZ36" i="9"/>
  <c r="AZ37" i="9"/>
  <c r="AZ38" i="9"/>
  <c r="AZ39" i="9"/>
  <c r="AZ40" i="9"/>
  <c r="AZ41" i="9"/>
  <c r="AZ42" i="9"/>
  <c r="AZ43" i="9"/>
  <c r="AZ44" i="9"/>
  <c r="AZ46" i="9"/>
  <c r="AZ47" i="9"/>
  <c r="AZ48" i="9"/>
  <c r="AZ49" i="9"/>
  <c r="AZ50" i="9"/>
  <c r="AZ51" i="9"/>
  <c r="AZ52" i="9"/>
  <c r="AZ53" i="9"/>
  <c r="AZ54" i="9"/>
  <c r="AZ55" i="9"/>
  <c r="AZ56" i="9"/>
  <c r="AZ57" i="9"/>
  <c r="AZ58" i="9"/>
  <c r="AZ59" i="9"/>
  <c r="AZ60" i="9"/>
  <c r="AZ61" i="9"/>
  <c r="AZ62" i="9"/>
  <c r="AZ63" i="9"/>
  <c r="AZ64" i="9"/>
  <c r="AZ66" i="9"/>
  <c r="AZ67" i="9"/>
  <c r="AZ68" i="9"/>
  <c r="AZ69" i="9"/>
  <c r="AZ70" i="9"/>
  <c r="AZ71" i="9"/>
  <c r="AZ72" i="9"/>
  <c r="AZ73" i="9"/>
  <c r="AZ74" i="9"/>
  <c r="AZ75" i="9"/>
  <c r="AZ76" i="9"/>
  <c r="AZ77" i="9"/>
  <c r="AZ78" i="9"/>
  <c r="AZ79" i="9"/>
  <c r="AZ80" i="9"/>
  <c r="AZ81" i="9"/>
  <c r="AZ82" i="9"/>
  <c r="AZ83" i="9"/>
  <c r="AZ84" i="9"/>
  <c r="AZ86" i="9"/>
  <c r="AZ87" i="9"/>
  <c r="AZ88" i="9"/>
  <c r="AZ89" i="9"/>
  <c r="AZ90" i="9"/>
  <c r="AZ91" i="9"/>
  <c r="AZ92" i="9"/>
  <c r="AZ93" i="9"/>
  <c r="AZ94" i="9"/>
  <c r="AZ95" i="9"/>
  <c r="AZ96" i="9"/>
  <c r="AZ97" i="9"/>
  <c r="AZ98" i="9"/>
  <c r="AZ99" i="9"/>
  <c r="AZ100" i="9"/>
  <c r="AZ101" i="9"/>
  <c r="AZ102" i="9"/>
  <c r="AZ103" i="9"/>
  <c r="AZ104" i="9"/>
  <c r="AZ106" i="9"/>
  <c r="AZ107" i="9"/>
  <c r="AZ108" i="9"/>
  <c r="AZ109" i="9"/>
  <c r="AZ110" i="9"/>
  <c r="AZ111" i="9"/>
  <c r="AZ112" i="9"/>
  <c r="AZ113" i="9"/>
  <c r="AZ114" i="9"/>
  <c r="AZ115" i="9"/>
  <c r="AZ116" i="9"/>
  <c r="AZ117" i="9"/>
  <c r="AZ118" i="9"/>
  <c r="AZ119" i="9"/>
  <c r="AZ120" i="9"/>
  <c r="AZ121" i="9"/>
  <c r="AZ122" i="9"/>
  <c r="AZ123" i="9"/>
  <c r="AZ124" i="9"/>
  <c r="AZ126" i="9"/>
  <c r="AZ127" i="9"/>
  <c r="AZ128" i="9"/>
  <c r="AZ129" i="9"/>
  <c r="AZ130" i="9"/>
  <c r="AZ131" i="9"/>
  <c r="AZ132" i="9"/>
  <c r="AZ133" i="9"/>
  <c r="AZ134" i="9"/>
  <c r="AZ135" i="9"/>
  <c r="AZ136" i="9"/>
  <c r="AZ137" i="9"/>
  <c r="AZ138" i="9"/>
  <c r="AZ139" i="9"/>
  <c r="AZ140" i="9"/>
  <c r="AZ141" i="9"/>
  <c r="AZ142" i="9"/>
  <c r="AZ143" i="9"/>
  <c r="AZ144" i="9"/>
  <c r="AZ146" i="9"/>
  <c r="AZ147" i="9"/>
  <c r="AZ148" i="9"/>
  <c r="AZ149" i="9"/>
  <c r="AZ150" i="9"/>
  <c r="AZ151" i="9"/>
  <c r="AZ152" i="9"/>
  <c r="AZ153" i="9"/>
  <c r="AZ154" i="9"/>
  <c r="AZ155" i="9"/>
  <c r="AZ156" i="9"/>
  <c r="AZ157" i="9"/>
  <c r="AZ158" i="9"/>
  <c r="AZ159" i="9"/>
  <c r="AZ160" i="9"/>
  <c r="AZ161" i="9"/>
  <c r="AZ162" i="9"/>
  <c r="AZ163" i="9"/>
  <c r="AZ164" i="9"/>
  <c r="AZ166" i="9"/>
  <c r="AZ167" i="9"/>
  <c r="AZ168" i="9"/>
  <c r="AZ169" i="9"/>
  <c r="AZ170" i="9"/>
  <c r="AZ171" i="9"/>
  <c r="AZ172" i="9"/>
  <c r="AZ173" i="9"/>
  <c r="AZ174" i="9"/>
  <c r="AZ175" i="9"/>
  <c r="AZ176" i="9"/>
  <c r="AZ177" i="9"/>
  <c r="AZ178" i="9"/>
  <c r="AZ179" i="9"/>
  <c r="AZ180" i="9"/>
  <c r="AZ181" i="9"/>
  <c r="AZ182" i="9"/>
  <c r="AZ183" i="9"/>
  <c r="AZ184" i="9"/>
  <c r="AZ226" i="9"/>
  <c r="AZ227" i="9"/>
  <c r="AZ228" i="9"/>
  <c r="AZ229" i="9"/>
  <c r="AZ230" i="9"/>
  <c r="AZ231" i="9"/>
  <c r="AZ232" i="9"/>
  <c r="AZ233" i="9"/>
  <c r="AZ234" i="9"/>
  <c r="AZ235" i="9"/>
  <c r="AZ236" i="9"/>
  <c r="AZ237" i="9"/>
  <c r="AZ238" i="9"/>
  <c r="AZ239" i="9"/>
  <c r="AZ240" i="9"/>
  <c r="AZ241" i="9"/>
  <c r="AZ242" i="9"/>
  <c r="AZ243" i="9"/>
  <c r="AZ244" i="9"/>
  <c r="AZ246" i="9"/>
  <c r="AZ247" i="9"/>
  <c r="AZ248" i="9"/>
  <c r="AZ249" i="9"/>
  <c r="AZ250" i="9"/>
  <c r="AZ251" i="9"/>
  <c r="AZ252" i="9"/>
  <c r="AZ253" i="9"/>
  <c r="AZ254" i="9"/>
  <c r="AZ255" i="9"/>
  <c r="AZ256" i="9"/>
  <c r="AZ257" i="9"/>
  <c r="AZ258" i="9"/>
  <c r="AZ259" i="9"/>
  <c r="AZ260" i="9"/>
  <c r="AZ261" i="9"/>
  <c r="AZ262" i="9"/>
  <c r="AZ263" i="9"/>
  <c r="AZ264" i="9"/>
  <c r="AZ266" i="9"/>
  <c r="AZ267" i="9"/>
  <c r="AZ268" i="9"/>
  <c r="AZ269" i="9"/>
  <c r="AZ270" i="9"/>
  <c r="AZ271" i="9"/>
  <c r="AZ272" i="9"/>
  <c r="AZ273" i="9"/>
  <c r="AZ274" i="9"/>
  <c r="AZ275" i="9"/>
  <c r="AZ276" i="9"/>
  <c r="AZ277" i="9"/>
  <c r="AZ278" i="9"/>
  <c r="AZ279" i="9"/>
  <c r="AZ280" i="9"/>
  <c r="AZ281" i="9"/>
  <c r="AZ282" i="9"/>
  <c r="AZ283" i="9"/>
  <c r="AZ284" i="9"/>
  <c r="AZ286" i="9"/>
  <c r="AZ287" i="9"/>
  <c r="AZ288" i="9"/>
  <c r="AZ289" i="9"/>
  <c r="AZ290" i="9"/>
  <c r="AZ291" i="9"/>
  <c r="AZ292" i="9"/>
  <c r="AZ293" i="9"/>
  <c r="AZ294" i="9"/>
  <c r="AZ295" i="9"/>
  <c r="AZ296" i="9"/>
  <c r="AZ297" i="9"/>
  <c r="AZ298" i="9"/>
  <c r="AZ299" i="9"/>
  <c r="AZ300" i="9"/>
  <c r="AZ301" i="9"/>
  <c r="AZ302" i="9"/>
  <c r="AZ303" i="9"/>
  <c r="AZ304" i="9"/>
  <c r="AZ306" i="9"/>
  <c r="AZ307" i="9"/>
  <c r="AZ308" i="9"/>
  <c r="AZ309" i="9"/>
  <c r="AZ310" i="9"/>
  <c r="AZ311" i="9"/>
  <c r="AZ312" i="9"/>
  <c r="AZ313" i="9"/>
  <c r="AZ314" i="9"/>
  <c r="AZ315" i="9"/>
  <c r="AZ316" i="9"/>
  <c r="AZ317" i="9"/>
  <c r="AZ318" i="9"/>
  <c r="AZ319" i="9"/>
  <c r="AZ320" i="9"/>
  <c r="AZ321" i="9"/>
  <c r="AZ322" i="9"/>
  <c r="AZ323" i="9"/>
  <c r="AZ324" i="9"/>
  <c r="AZ326" i="9"/>
  <c r="AZ327" i="9"/>
  <c r="AZ328" i="9"/>
  <c r="AZ329" i="9"/>
  <c r="AZ330" i="9"/>
  <c r="AZ331" i="9"/>
  <c r="AZ332" i="9"/>
  <c r="AZ333" i="9"/>
  <c r="AZ334" i="9"/>
  <c r="AZ335" i="9"/>
  <c r="AZ336" i="9"/>
  <c r="AZ337" i="9"/>
  <c r="AZ338" i="9"/>
  <c r="AZ339" i="9"/>
  <c r="AZ340" i="9"/>
  <c r="AZ341" i="9"/>
  <c r="AZ342" i="9"/>
  <c r="AZ343" i="9"/>
  <c r="AZ344" i="9"/>
  <c r="AZ346" i="9"/>
  <c r="AZ347" i="9"/>
  <c r="AZ348" i="9"/>
  <c r="AZ349" i="9"/>
  <c r="AZ350" i="9"/>
  <c r="AZ351" i="9"/>
  <c r="AZ352" i="9"/>
  <c r="AZ353" i="9"/>
  <c r="AZ354" i="9"/>
  <c r="AZ355" i="9"/>
  <c r="AZ356" i="9"/>
  <c r="AZ357" i="9"/>
  <c r="AZ358" i="9"/>
  <c r="AZ359" i="9"/>
  <c r="AZ360" i="9"/>
  <c r="AZ361" i="9"/>
  <c r="AZ362" i="9"/>
  <c r="AZ363" i="9"/>
  <c r="AZ364" i="9"/>
  <c r="AZ366" i="9"/>
  <c r="AZ367" i="9"/>
  <c r="AZ368" i="9"/>
  <c r="AZ369" i="9"/>
  <c r="AZ370" i="9"/>
  <c r="AZ371" i="9"/>
  <c r="AZ372" i="9"/>
  <c r="AZ373" i="9"/>
  <c r="AZ374" i="9"/>
  <c r="AZ375" i="9"/>
  <c r="AZ376" i="9"/>
  <c r="AZ377" i="9"/>
  <c r="AZ378" i="9"/>
  <c r="AZ379" i="9"/>
  <c r="AZ380" i="9"/>
  <c r="AZ381" i="9"/>
  <c r="AZ382" i="9"/>
  <c r="AZ383" i="9"/>
  <c r="AZ384" i="9"/>
  <c r="AZ386" i="9"/>
  <c r="AZ387" i="9"/>
  <c r="AZ388" i="9"/>
  <c r="AZ389" i="9"/>
  <c r="AZ390" i="9"/>
  <c r="AZ391" i="9"/>
  <c r="AZ392" i="9"/>
  <c r="AZ393" i="9"/>
  <c r="AZ394" i="9"/>
  <c r="AZ395" i="9"/>
  <c r="AZ396" i="9"/>
  <c r="AZ397" i="9"/>
  <c r="AZ398" i="9"/>
  <c r="AZ399" i="9"/>
  <c r="AZ400" i="9"/>
  <c r="AZ401" i="9"/>
  <c r="AZ402" i="9"/>
  <c r="AZ403" i="9"/>
  <c r="AZ404" i="9"/>
  <c r="AZ406" i="9"/>
  <c r="AZ407" i="9"/>
  <c r="AZ408" i="9"/>
  <c r="AZ409" i="9"/>
  <c r="AZ410" i="9"/>
  <c r="AZ411" i="9"/>
  <c r="AZ412" i="9"/>
  <c r="AZ413" i="9"/>
  <c r="AZ414" i="9"/>
  <c r="AZ415" i="9"/>
  <c r="AZ416" i="9"/>
  <c r="AZ417" i="9"/>
  <c r="AZ418" i="9"/>
  <c r="AZ419" i="9"/>
  <c r="AZ420" i="9"/>
  <c r="AZ421" i="9"/>
  <c r="AZ422" i="9"/>
  <c r="AZ423" i="9"/>
  <c r="AZ424" i="9"/>
  <c r="AZ426" i="9"/>
  <c r="AZ427" i="9"/>
  <c r="AZ428" i="9"/>
  <c r="AZ429" i="9"/>
  <c r="AZ430" i="9"/>
  <c r="AZ431" i="9"/>
  <c r="AZ432" i="9"/>
  <c r="AZ433" i="9"/>
  <c r="AZ434" i="9"/>
  <c r="AZ435" i="9"/>
  <c r="AZ436" i="9"/>
  <c r="AZ437" i="9"/>
  <c r="AZ438" i="9"/>
  <c r="AZ439" i="9"/>
  <c r="AZ440" i="9"/>
  <c r="AZ441" i="9"/>
  <c r="AZ442" i="9"/>
  <c r="AZ443" i="9"/>
  <c r="AZ444" i="9"/>
  <c r="AZ446" i="9"/>
  <c r="AZ447" i="9"/>
  <c r="AZ448" i="9"/>
  <c r="AZ449" i="9"/>
  <c r="AZ450" i="9"/>
  <c r="AZ451" i="9"/>
  <c r="AZ452" i="9"/>
  <c r="AZ453" i="9"/>
  <c r="AZ454" i="9"/>
  <c r="AZ455" i="9"/>
  <c r="AZ456" i="9"/>
  <c r="AZ457" i="9"/>
  <c r="AZ458" i="9"/>
  <c r="AZ459" i="9"/>
  <c r="AZ460" i="9"/>
  <c r="AZ461" i="9"/>
  <c r="AZ462" i="9"/>
  <c r="AZ463" i="9"/>
  <c r="AZ464" i="9"/>
  <c r="AZ466" i="9"/>
  <c r="AZ467" i="9"/>
  <c r="AZ468" i="9"/>
  <c r="AZ469" i="9"/>
  <c r="AZ470" i="9"/>
  <c r="AZ471" i="9"/>
  <c r="AZ472" i="9"/>
  <c r="AZ473" i="9"/>
  <c r="AZ474" i="9"/>
  <c r="AZ475" i="9"/>
  <c r="AZ476" i="9"/>
  <c r="AZ477" i="9"/>
  <c r="AZ478" i="9"/>
  <c r="AZ479" i="9"/>
  <c r="AZ480" i="9"/>
  <c r="AZ481" i="9"/>
  <c r="AZ482" i="9"/>
  <c r="AZ483" i="9"/>
  <c r="AZ484" i="9"/>
  <c r="AZ486" i="9"/>
  <c r="AZ487" i="9"/>
  <c r="AZ488" i="9"/>
  <c r="AZ489" i="9"/>
  <c r="AZ490" i="9"/>
  <c r="AZ491" i="9"/>
  <c r="AZ492" i="9"/>
  <c r="AZ493" i="9"/>
  <c r="AZ494" i="9"/>
  <c r="AZ495" i="9"/>
  <c r="AZ496" i="9"/>
  <c r="AZ497" i="9"/>
  <c r="AZ498" i="9"/>
  <c r="AZ499" i="9"/>
  <c r="AZ500" i="9"/>
  <c r="AZ501" i="9"/>
  <c r="AZ502" i="9"/>
  <c r="AZ503" i="9"/>
  <c r="AZ504" i="9"/>
  <c r="AZ506" i="9"/>
  <c r="AZ507" i="9"/>
  <c r="AZ508" i="9"/>
  <c r="AZ509" i="9"/>
  <c r="AZ510" i="9"/>
  <c r="AZ511" i="9"/>
  <c r="AZ512" i="9"/>
  <c r="AZ513" i="9"/>
  <c r="AZ514" i="9"/>
  <c r="AZ515" i="9"/>
  <c r="AZ516" i="9"/>
  <c r="AZ517" i="9"/>
  <c r="AZ518" i="9"/>
  <c r="AZ519" i="9"/>
  <c r="AZ520" i="9"/>
  <c r="AZ521" i="9"/>
  <c r="AZ522" i="9"/>
  <c r="AZ523" i="9"/>
  <c r="AZ524" i="9"/>
  <c r="AZ526" i="9"/>
  <c r="AZ527" i="9"/>
  <c r="AZ528" i="9"/>
  <c r="AZ529" i="9"/>
  <c r="AZ530" i="9"/>
  <c r="AZ531" i="9"/>
  <c r="AZ532" i="9"/>
  <c r="AZ533" i="9"/>
  <c r="AZ534" i="9"/>
  <c r="AZ535" i="9"/>
  <c r="AZ536" i="9"/>
  <c r="AZ537" i="9"/>
  <c r="AZ538" i="9"/>
  <c r="AZ539" i="9"/>
  <c r="AZ540" i="9"/>
  <c r="AZ541" i="9"/>
  <c r="AZ542" i="9"/>
  <c r="AZ543" i="9"/>
  <c r="AZ544" i="9"/>
  <c r="AZ546" i="9"/>
  <c r="AZ547" i="9"/>
  <c r="AZ548" i="9"/>
  <c r="AZ549" i="9"/>
  <c r="AZ550" i="9"/>
  <c r="AZ551" i="9"/>
  <c r="AZ552" i="9"/>
  <c r="AZ553" i="9"/>
  <c r="AZ554" i="9"/>
  <c r="AZ555" i="9"/>
  <c r="AZ556" i="9"/>
  <c r="AZ557" i="9"/>
  <c r="AZ558" i="9"/>
  <c r="AZ559" i="9"/>
  <c r="AZ560" i="9"/>
  <c r="AZ561" i="9"/>
  <c r="AZ562" i="9"/>
  <c r="AZ563" i="9"/>
  <c r="AZ564" i="9"/>
  <c r="AZ566" i="9"/>
  <c r="AZ567" i="9"/>
  <c r="AZ568" i="9"/>
  <c r="AZ569" i="9"/>
  <c r="AZ570" i="9"/>
  <c r="AZ571" i="9"/>
  <c r="AZ572" i="9"/>
  <c r="AZ573" i="9"/>
  <c r="AZ574" i="9"/>
  <c r="AZ575" i="9"/>
  <c r="AZ576" i="9"/>
  <c r="AZ577" i="9"/>
  <c r="AZ578" i="9"/>
  <c r="AZ579" i="9"/>
  <c r="AZ580" i="9"/>
  <c r="AZ581" i="9"/>
  <c r="AZ582" i="9"/>
  <c r="AZ583" i="9"/>
  <c r="AZ584" i="9"/>
  <c r="AZ586" i="9"/>
  <c r="AZ587" i="9"/>
  <c r="AZ588" i="9"/>
  <c r="AZ589" i="9"/>
  <c r="AZ590" i="9"/>
  <c r="AZ591" i="9"/>
  <c r="AZ592" i="9"/>
  <c r="AZ593" i="9"/>
  <c r="AZ594" i="9"/>
  <c r="AZ595" i="9"/>
  <c r="AZ596" i="9"/>
  <c r="AZ597" i="9"/>
  <c r="AZ598" i="9"/>
  <c r="AZ599" i="9"/>
  <c r="AZ600" i="9"/>
  <c r="AZ601" i="9"/>
  <c r="AZ602" i="9"/>
  <c r="AZ603" i="9"/>
  <c r="AZ604" i="9"/>
  <c r="AZ24" i="9"/>
  <c r="AZ23" i="9"/>
  <c r="AZ22" i="9"/>
  <c r="AZ21" i="9"/>
  <c r="AZ20" i="9"/>
  <c r="AZ19" i="9"/>
  <c r="AZ18" i="9"/>
  <c r="AZ17" i="9"/>
  <c r="AZ16" i="9"/>
  <c r="AZ15" i="9"/>
  <c r="AZ14" i="9"/>
  <c r="AZ13" i="9"/>
  <c r="AZ12" i="9"/>
  <c r="AZ11" i="9"/>
  <c r="AZ10" i="9"/>
  <c r="AZ9" i="9"/>
  <c r="AZ8" i="9"/>
  <c r="AZ7" i="9"/>
  <c r="AZ6" i="9"/>
  <c r="F8" i="30"/>
  <c r="A8" i="30" s="1"/>
  <c r="AU10" i="9" s="1"/>
  <c r="AU125" i="9"/>
  <c r="AU126" i="9"/>
  <c r="AU127" i="9"/>
  <c r="AU128" i="9"/>
  <c r="AU129" i="9"/>
  <c r="AU130" i="9"/>
  <c r="AU131" i="9"/>
  <c r="AU132" i="9"/>
  <c r="AU133" i="9"/>
  <c r="AU134" i="9"/>
  <c r="AU135" i="9"/>
  <c r="AU136" i="9"/>
  <c r="AU137" i="9"/>
  <c r="AU138" i="9"/>
  <c r="AU139" i="9"/>
  <c r="AU140" i="9"/>
  <c r="AU141" i="9"/>
  <c r="AU142" i="9"/>
  <c r="AU143" i="9"/>
  <c r="AU144" i="9"/>
  <c r="AU145" i="9"/>
  <c r="AU146" i="9"/>
  <c r="AU147" i="9"/>
  <c r="AU148" i="9"/>
  <c r="AU149" i="9"/>
  <c r="AU150" i="9"/>
  <c r="AU151" i="9"/>
  <c r="AU152" i="9"/>
  <c r="AU153" i="9"/>
  <c r="AU154" i="9"/>
  <c r="AU155" i="9"/>
  <c r="AU156" i="9"/>
  <c r="AU157" i="9"/>
  <c r="AU158" i="9"/>
  <c r="AU159" i="9"/>
  <c r="AU160" i="9"/>
  <c r="AU161" i="9"/>
  <c r="AU162" i="9"/>
  <c r="AU163" i="9"/>
  <c r="AU164" i="9"/>
  <c r="AU165" i="9"/>
  <c r="AU166" i="9"/>
  <c r="AU167" i="9"/>
  <c r="AU168" i="9"/>
  <c r="AU169" i="9"/>
  <c r="AU170" i="9"/>
  <c r="AU171" i="9"/>
  <c r="AU172" i="9"/>
  <c r="AU173" i="9"/>
  <c r="AU174" i="9"/>
  <c r="AU175" i="9"/>
  <c r="AU176" i="9"/>
  <c r="AU177" i="9"/>
  <c r="AU178" i="9"/>
  <c r="AU179" i="9"/>
  <c r="AU180" i="9"/>
  <c r="AU181" i="9"/>
  <c r="AU182" i="9"/>
  <c r="AU183" i="9"/>
  <c r="AU184" i="9"/>
  <c r="AU245" i="9"/>
  <c r="AU246" i="9"/>
  <c r="AU247" i="9"/>
  <c r="AU248" i="9"/>
  <c r="AU249" i="9"/>
  <c r="AU250" i="9"/>
  <c r="AU251" i="9"/>
  <c r="AU252" i="9"/>
  <c r="AU253" i="9"/>
  <c r="AU254" i="9"/>
  <c r="AU255" i="9"/>
  <c r="AU256" i="9"/>
  <c r="AU257" i="9"/>
  <c r="AU258" i="9"/>
  <c r="AU259" i="9"/>
  <c r="AU260" i="9"/>
  <c r="AU261" i="9"/>
  <c r="AU262" i="9"/>
  <c r="AU263" i="9"/>
  <c r="AU264" i="9"/>
  <c r="AU285" i="9"/>
  <c r="AU286" i="9"/>
  <c r="AU287" i="9"/>
  <c r="AU288" i="9"/>
  <c r="AU289" i="9"/>
  <c r="AU290" i="9"/>
  <c r="AU291" i="9"/>
  <c r="AU292" i="9"/>
  <c r="AU293" i="9"/>
  <c r="AU294" i="9"/>
  <c r="AU295" i="9"/>
  <c r="AU296" i="9"/>
  <c r="AU297" i="9"/>
  <c r="AU298" i="9"/>
  <c r="AU299" i="9"/>
  <c r="AU300" i="9"/>
  <c r="AU301" i="9"/>
  <c r="AU302" i="9"/>
  <c r="AU303" i="9"/>
  <c r="AU304" i="9"/>
  <c r="AU305" i="9"/>
  <c r="AU306" i="9"/>
  <c r="AU307" i="9"/>
  <c r="AU308" i="9"/>
  <c r="AU309" i="9"/>
  <c r="AU310" i="9"/>
  <c r="AU311" i="9"/>
  <c r="AU312" i="9"/>
  <c r="AU313" i="9"/>
  <c r="AU314" i="9"/>
  <c r="AU315" i="9"/>
  <c r="AU316" i="9"/>
  <c r="AU317" i="9"/>
  <c r="AU318" i="9"/>
  <c r="AU319" i="9"/>
  <c r="AU320" i="9"/>
  <c r="AU321" i="9"/>
  <c r="AU322" i="9"/>
  <c r="AU323" i="9"/>
  <c r="AU324" i="9"/>
  <c r="AU425" i="9"/>
  <c r="AU426" i="9"/>
  <c r="AU427" i="9"/>
  <c r="AU428" i="9"/>
  <c r="AU429" i="9"/>
  <c r="AU430" i="9"/>
  <c r="AU431" i="9"/>
  <c r="AU432" i="9"/>
  <c r="AU433" i="9"/>
  <c r="AU434" i="9"/>
  <c r="AU435" i="9"/>
  <c r="AU436" i="9"/>
  <c r="AU437" i="9"/>
  <c r="AU438" i="9"/>
  <c r="AU439" i="9"/>
  <c r="AU440" i="9"/>
  <c r="AU441" i="9"/>
  <c r="AU442" i="9"/>
  <c r="AU443" i="9"/>
  <c r="AU444" i="9"/>
  <c r="AU445" i="9"/>
  <c r="AU446" i="9"/>
  <c r="AU447" i="9"/>
  <c r="AU448" i="9"/>
  <c r="AU449" i="9"/>
  <c r="AU450" i="9"/>
  <c r="AU451" i="9"/>
  <c r="AU452" i="9"/>
  <c r="AU453" i="9"/>
  <c r="AU454" i="9"/>
  <c r="AU455" i="9"/>
  <c r="AU456" i="9"/>
  <c r="AU457" i="9"/>
  <c r="AU458" i="9"/>
  <c r="AU459" i="9"/>
  <c r="AU460" i="9"/>
  <c r="AU461" i="9"/>
  <c r="AU462" i="9"/>
  <c r="AU463" i="9"/>
  <c r="AU464" i="9"/>
  <c r="AU465" i="9"/>
  <c r="AU466" i="9"/>
  <c r="AU467" i="9"/>
  <c r="AU468" i="9"/>
  <c r="AU469" i="9"/>
  <c r="AU470" i="9"/>
  <c r="AU471" i="9"/>
  <c r="AU472" i="9"/>
  <c r="AU473" i="9"/>
  <c r="AU474" i="9"/>
  <c r="AU475" i="9"/>
  <c r="AU476" i="9"/>
  <c r="AU477" i="9"/>
  <c r="AU478" i="9"/>
  <c r="AU479" i="9"/>
  <c r="AU480" i="9"/>
  <c r="AU481" i="9"/>
  <c r="AU482" i="9"/>
  <c r="AU483" i="9"/>
  <c r="AU484" i="9"/>
  <c r="AU485" i="9"/>
  <c r="AU486" i="9"/>
  <c r="AU487" i="9"/>
  <c r="AU488" i="9"/>
  <c r="AU489" i="9"/>
  <c r="AU490" i="9"/>
  <c r="AU491" i="9"/>
  <c r="AU492" i="9"/>
  <c r="AU493" i="9"/>
  <c r="AU494" i="9"/>
  <c r="AU495" i="9"/>
  <c r="AU496" i="9"/>
  <c r="AU497" i="9"/>
  <c r="AU498" i="9"/>
  <c r="AU499" i="9"/>
  <c r="AU500" i="9"/>
  <c r="AU501" i="9"/>
  <c r="AU502" i="9"/>
  <c r="AU503" i="9"/>
  <c r="AU504" i="9"/>
  <c r="AU505" i="9"/>
  <c r="AU506" i="9"/>
  <c r="AU507" i="9"/>
  <c r="AU508" i="9"/>
  <c r="AU509" i="9"/>
  <c r="AU510" i="9"/>
  <c r="AU511" i="9"/>
  <c r="AU512" i="9"/>
  <c r="AU513" i="9"/>
  <c r="AU514" i="9"/>
  <c r="AU515" i="9"/>
  <c r="AU516" i="9"/>
  <c r="AU517" i="9"/>
  <c r="AU518" i="9"/>
  <c r="AU519" i="9"/>
  <c r="AU520" i="9"/>
  <c r="AU521" i="9"/>
  <c r="AU522" i="9"/>
  <c r="AU523" i="9"/>
  <c r="AU524" i="9"/>
  <c r="AU525" i="9"/>
  <c r="AU526" i="9"/>
  <c r="AU527" i="9"/>
  <c r="AU528" i="9"/>
  <c r="AU529" i="9"/>
  <c r="AU530" i="9"/>
  <c r="AU531" i="9"/>
  <c r="AU532" i="9"/>
  <c r="AU533" i="9"/>
  <c r="AU534" i="9"/>
  <c r="AU535" i="9"/>
  <c r="AU536" i="9"/>
  <c r="AU537" i="9"/>
  <c r="AU538" i="9"/>
  <c r="AU539" i="9"/>
  <c r="AU540" i="9"/>
  <c r="AU541" i="9"/>
  <c r="AU542" i="9"/>
  <c r="AU543" i="9"/>
  <c r="AU544" i="9"/>
  <c r="AU545" i="9"/>
  <c r="AU546" i="9"/>
  <c r="AU547" i="9"/>
  <c r="AU548" i="9"/>
  <c r="AU549" i="9"/>
  <c r="AU550" i="9"/>
  <c r="AU551" i="9"/>
  <c r="AU552" i="9"/>
  <c r="AU553" i="9"/>
  <c r="AU554" i="9"/>
  <c r="AU555" i="9"/>
  <c r="AU556" i="9"/>
  <c r="AU557" i="9"/>
  <c r="AU558" i="9"/>
  <c r="AU559" i="9"/>
  <c r="AU560" i="9"/>
  <c r="AU561" i="9"/>
  <c r="AU562" i="9"/>
  <c r="AU563" i="9"/>
  <c r="AU564" i="9"/>
  <c r="AU565" i="9"/>
  <c r="AU566" i="9"/>
  <c r="AU567" i="9"/>
  <c r="AU568" i="9"/>
  <c r="AU569" i="9"/>
  <c r="AU570" i="9"/>
  <c r="AU571" i="9"/>
  <c r="AU572" i="9"/>
  <c r="AU573" i="9"/>
  <c r="AU574" i="9"/>
  <c r="AU575" i="9"/>
  <c r="AU576" i="9"/>
  <c r="AU577" i="9"/>
  <c r="AU578" i="9"/>
  <c r="AU579" i="9"/>
  <c r="AU580" i="9"/>
  <c r="AU581" i="9"/>
  <c r="AU582" i="9"/>
  <c r="AU583" i="9"/>
  <c r="AU584" i="9"/>
  <c r="AU585" i="9"/>
  <c r="AU586" i="9"/>
  <c r="AU587" i="9"/>
  <c r="AU588" i="9"/>
  <c r="AU589" i="9"/>
  <c r="AU590" i="9"/>
  <c r="AU591" i="9"/>
  <c r="AU592" i="9"/>
  <c r="AU593" i="9"/>
  <c r="AU594" i="9"/>
  <c r="AU595" i="9"/>
  <c r="AU596" i="9"/>
  <c r="AU597" i="9"/>
  <c r="AU598" i="9"/>
  <c r="AU599" i="9"/>
  <c r="AU600" i="9"/>
  <c r="AU601" i="9"/>
  <c r="AU602" i="9"/>
  <c r="AU603" i="9"/>
  <c r="AU604" i="9"/>
  <c r="BL84" i="9"/>
  <c r="AE84" i="9" s="1"/>
  <c r="AL84" i="9"/>
  <c r="AJ84" i="9"/>
  <c r="AH84" i="9"/>
  <c r="F84" i="9"/>
  <c r="C84" i="9"/>
  <c r="BL83" i="9"/>
  <c r="AE83" i="9" s="1"/>
  <c r="AL83" i="9"/>
  <c r="AJ83" i="9"/>
  <c r="AH83" i="9"/>
  <c r="F83" i="9"/>
  <c r="C83" i="9"/>
  <c r="BL82" i="9"/>
  <c r="AN82" i="9" s="1"/>
  <c r="AL82" i="9"/>
  <c r="AJ82" i="9"/>
  <c r="AH82" i="9"/>
  <c r="F82" i="9"/>
  <c r="C82" i="9"/>
  <c r="BL81" i="9"/>
  <c r="AE81" i="9" s="1"/>
  <c r="AL81" i="9"/>
  <c r="AJ81" i="9"/>
  <c r="AH81" i="9"/>
  <c r="F81" i="9"/>
  <c r="C81" i="9"/>
  <c r="BL80" i="9"/>
  <c r="AN80" i="9" s="1"/>
  <c r="AL80" i="9"/>
  <c r="AJ80" i="9"/>
  <c r="AH80" i="9"/>
  <c r="F80" i="9"/>
  <c r="C80" i="9"/>
  <c r="BL79" i="9"/>
  <c r="AE79" i="9" s="1"/>
  <c r="AL79" i="9"/>
  <c r="AJ79" i="9"/>
  <c r="AH79" i="9"/>
  <c r="F79" i="9"/>
  <c r="C79" i="9"/>
  <c r="BL78" i="9"/>
  <c r="AN78" i="9" s="1"/>
  <c r="AL78" i="9"/>
  <c r="AJ78" i="9"/>
  <c r="AH78" i="9"/>
  <c r="F78" i="9"/>
  <c r="C78" i="9"/>
  <c r="BL77" i="9"/>
  <c r="AE77" i="9" s="1"/>
  <c r="AL77" i="9"/>
  <c r="AJ77" i="9"/>
  <c r="AH77" i="9"/>
  <c r="F77" i="9"/>
  <c r="C77" i="9"/>
  <c r="BL76" i="9"/>
  <c r="AE76" i="9" s="1"/>
  <c r="AL76" i="9"/>
  <c r="AJ76" i="9"/>
  <c r="AH76" i="9"/>
  <c r="F76" i="9"/>
  <c r="C76" i="9"/>
  <c r="BL75" i="9"/>
  <c r="AE75" i="9" s="1"/>
  <c r="AL75" i="9"/>
  <c r="AJ75" i="9"/>
  <c r="AH75" i="9"/>
  <c r="F75" i="9"/>
  <c r="C75" i="9"/>
  <c r="BL74" i="9"/>
  <c r="AE74" i="9" s="1"/>
  <c r="AL74" i="9"/>
  <c r="AJ74" i="9"/>
  <c r="AH74" i="9"/>
  <c r="F74" i="9"/>
  <c r="C74" i="9"/>
  <c r="BL73" i="9"/>
  <c r="AN73" i="9" s="1"/>
  <c r="AL73" i="9"/>
  <c r="AJ73" i="9"/>
  <c r="AH73" i="9"/>
  <c r="F73" i="9"/>
  <c r="C73" i="9"/>
  <c r="BL72" i="9"/>
  <c r="AL72" i="9"/>
  <c r="AJ72" i="9"/>
  <c r="AH72" i="9"/>
  <c r="F72" i="9"/>
  <c r="C72" i="9"/>
  <c r="BL71" i="9"/>
  <c r="AE71" i="9" s="1"/>
  <c r="AL71" i="9"/>
  <c r="AJ71" i="9"/>
  <c r="AH71" i="9"/>
  <c r="F71" i="9"/>
  <c r="C71" i="9"/>
  <c r="BL70" i="9"/>
  <c r="AN70" i="9" s="1"/>
  <c r="AL70" i="9"/>
  <c r="AJ70" i="9"/>
  <c r="AH70" i="9"/>
  <c r="F70" i="9"/>
  <c r="C70" i="9"/>
  <c r="BL69" i="9"/>
  <c r="AE69" i="9" s="1"/>
  <c r="AL69" i="9"/>
  <c r="AJ69" i="9"/>
  <c r="AH69" i="9"/>
  <c r="F69" i="9"/>
  <c r="C69" i="9"/>
  <c r="BL68" i="9"/>
  <c r="AN68" i="9" s="1"/>
  <c r="AL68" i="9"/>
  <c r="AJ68" i="9"/>
  <c r="AH68" i="9"/>
  <c r="F68" i="9"/>
  <c r="C68" i="9"/>
  <c r="BL67" i="9"/>
  <c r="AE67" i="9" s="1"/>
  <c r="AL67" i="9"/>
  <c r="AJ67" i="9"/>
  <c r="AH67" i="9"/>
  <c r="F67" i="9"/>
  <c r="C67" i="9"/>
  <c r="BL66" i="9"/>
  <c r="AN66" i="9" s="1"/>
  <c r="AL66" i="9"/>
  <c r="AJ66" i="9"/>
  <c r="AH66" i="9"/>
  <c r="F66" i="9"/>
  <c r="C66" i="9"/>
  <c r="BL65" i="9"/>
  <c r="AN65" i="9" s="1"/>
  <c r="AL65" i="9"/>
  <c r="AJ65" i="9"/>
  <c r="AH65" i="9"/>
  <c r="F65" i="9"/>
  <c r="C65" i="9"/>
  <c r="AL604" i="9"/>
  <c r="AL603" i="9"/>
  <c r="AL602" i="9"/>
  <c r="AL601" i="9"/>
  <c r="AL600" i="9"/>
  <c r="AL599" i="9"/>
  <c r="AL598" i="9"/>
  <c r="AL597" i="9"/>
  <c r="AL596" i="9"/>
  <c r="AL595" i="9"/>
  <c r="AL594" i="9"/>
  <c r="AL593" i="9"/>
  <c r="AL592" i="9"/>
  <c r="AL591" i="9"/>
  <c r="AL590" i="9"/>
  <c r="AL589" i="9"/>
  <c r="AL588" i="9"/>
  <c r="AL587" i="9"/>
  <c r="AL586" i="9"/>
  <c r="AL585" i="9"/>
  <c r="AL584" i="9"/>
  <c r="AL583" i="9"/>
  <c r="AL582" i="9"/>
  <c r="AL581" i="9"/>
  <c r="AL580" i="9"/>
  <c r="AL579" i="9"/>
  <c r="AL578" i="9"/>
  <c r="AL577" i="9"/>
  <c r="AL576" i="9"/>
  <c r="AL575" i="9"/>
  <c r="AL574" i="9"/>
  <c r="AL573" i="9"/>
  <c r="AL572" i="9"/>
  <c r="AL571" i="9"/>
  <c r="AL570" i="9"/>
  <c r="AL569" i="9"/>
  <c r="AL568" i="9"/>
  <c r="AL567" i="9"/>
  <c r="AL566" i="9"/>
  <c r="AL565" i="9"/>
  <c r="AL564" i="9"/>
  <c r="AL563" i="9"/>
  <c r="AL562" i="9"/>
  <c r="AL561" i="9"/>
  <c r="AL560" i="9"/>
  <c r="AL559" i="9"/>
  <c r="AL558" i="9"/>
  <c r="AL557" i="9"/>
  <c r="AL556" i="9"/>
  <c r="AL555" i="9"/>
  <c r="AL554" i="9"/>
  <c r="AL553" i="9"/>
  <c r="AL552" i="9"/>
  <c r="AL551" i="9"/>
  <c r="AL550" i="9"/>
  <c r="AL549" i="9"/>
  <c r="AL548" i="9"/>
  <c r="AL547" i="9"/>
  <c r="AL546" i="9"/>
  <c r="AL545" i="9"/>
  <c r="AL544" i="9"/>
  <c r="AL543" i="9"/>
  <c r="AL542" i="9"/>
  <c r="AL541" i="9"/>
  <c r="AL540" i="9"/>
  <c r="AL539" i="9"/>
  <c r="AL538" i="9"/>
  <c r="AL537" i="9"/>
  <c r="AL536" i="9"/>
  <c r="AL535" i="9"/>
  <c r="AL534" i="9"/>
  <c r="AL533" i="9"/>
  <c r="AL532" i="9"/>
  <c r="AL531" i="9"/>
  <c r="AL530" i="9"/>
  <c r="AL529" i="9"/>
  <c r="AL528" i="9"/>
  <c r="AL527" i="9"/>
  <c r="AL526" i="9"/>
  <c r="AL525" i="9"/>
  <c r="AL524" i="9"/>
  <c r="AL523" i="9"/>
  <c r="AL522" i="9"/>
  <c r="AL521" i="9"/>
  <c r="AL520" i="9"/>
  <c r="AL519" i="9"/>
  <c r="AL518" i="9"/>
  <c r="AL517" i="9"/>
  <c r="AL516" i="9"/>
  <c r="AL515" i="9"/>
  <c r="AL514" i="9"/>
  <c r="AL513" i="9"/>
  <c r="AL512" i="9"/>
  <c r="AL511" i="9"/>
  <c r="AL510" i="9"/>
  <c r="AL509" i="9"/>
  <c r="AL508" i="9"/>
  <c r="AL507" i="9"/>
  <c r="AL506" i="9"/>
  <c r="AL505" i="9"/>
  <c r="AL504" i="9"/>
  <c r="AL503" i="9"/>
  <c r="AL502" i="9"/>
  <c r="AL501" i="9"/>
  <c r="AL500" i="9"/>
  <c r="AL499" i="9"/>
  <c r="AL498" i="9"/>
  <c r="AL497" i="9"/>
  <c r="AL496" i="9"/>
  <c r="AL495" i="9"/>
  <c r="AL494" i="9"/>
  <c r="AL493" i="9"/>
  <c r="AL492" i="9"/>
  <c r="AL491" i="9"/>
  <c r="AL490" i="9"/>
  <c r="AL489" i="9"/>
  <c r="AL488" i="9"/>
  <c r="AL487" i="9"/>
  <c r="AL486" i="9"/>
  <c r="AL485" i="9"/>
  <c r="AL484" i="9"/>
  <c r="AL483" i="9"/>
  <c r="AL482" i="9"/>
  <c r="AL481" i="9"/>
  <c r="AL480" i="9"/>
  <c r="AL479" i="9"/>
  <c r="AL478" i="9"/>
  <c r="AL477" i="9"/>
  <c r="AL476" i="9"/>
  <c r="AL475" i="9"/>
  <c r="AL474" i="9"/>
  <c r="AL473" i="9"/>
  <c r="AL472" i="9"/>
  <c r="AL471" i="9"/>
  <c r="AL470" i="9"/>
  <c r="AL469" i="9"/>
  <c r="AL468" i="9"/>
  <c r="AL467" i="9"/>
  <c r="AL466" i="9"/>
  <c r="AL465" i="9"/>
  <c r="AL464" i="9"/>
  <c r="AL463" i="9"/>
  <c r="AL462" i="9"/>
  <c r="AL461" i="9"/>
  <c r="AL460" i="9"/>
  <c r="AL459" i="9"/>
  <c r="AL458" i="9"/>
  <c r="AL457" i="9"/>
  <c r="AL456" i="9"/>
  <c r="AL455" i="9"/>
  <c r="AL454" i="9"/>
  <c r="AL453" i="9"/>
  <c r="AL452" i="9"/>
  <c r="AL451" i="9"/>
  <c r="AL450" i="9"/>
  <c r="AL449" i="9"/>
  <c r="AL448" i="9"/>
  <c r="AL447" i="9"/>
  <c r="AL446" i="9"/>
  <c r="AL445" i="9"/>
  <c r="AL444" i="9"/>
  <c r="AL443" i="9"/>
  <c r="AL442" i="9"/>
  <c r="AL441" i="9"/>
  <c r="AL440" i="9"/>
  <c r="AL439" i="9"/>
  <c r="AL438" i="9"/>
  <c r="AL437" i="9"/>
  <c r="AL436" i="9"/>
  <c r="AL435" i="9"/>
  <c r="AL434" i="9"/>
  <c r="AL433" i="9"/>
  <c r="AL432" i="9"/>
  <c r="AL431" i="9"/>
  <c r="AL430" i="9"/>
  <c r="AL429" i="9"/>
  <c r="AL428" i="9"/>
  <c r="AL427" i="9"/>
  <c r="AL426" i="9"/>
  <c r="AL425" i="9"/>
  <c r="AL424" i="9"/>
  <c r="AL423" i="9"/>
  <c r="AL422" i="9"/>
  <c r="AL421" i="9"/>
  <c r="AL420" i="9"/>
  <c r="AL419" i="9"/>
  <c r="AL418" i="9"/>
  <c r="AL417" i="9"/>
  <c r="AL416" i="9"/>
  <c r="AL415" i="9"/>
  <c r="AL414" i="9"/>
  <c r="AL413" i="9"/>
  <c r="AL412" i="9"/>
  <c r="AL411" i="9"/>
  <c r="AL410" i="9"/>
  <c r="AL409" i="9"/>
  <c r="AL408" i="9"/>
  <c r="AL407" i="9"/>
  <c r="AL406" i="9"/>
  <c r="AL405" i="9"/>
  <c r="AL404" i="9"/>
  <c r="AL403" i="9"/>
  <c r="AL402" i="9"/>
  <c r="AL401" i="9"/>
  <c r="AL400" i="9"/>
  <c r="AL399" i="9"/>
  <c r="AL398" i="9"/>
  <c r="AL397" i="9"/>
  <c r="AL396" i="9"/>
  <c r="AL395" i="9"/>
  <c r="AL394" i="9"/>
  <c r="AL393" i="9"/>
  <c r="AL392" i="9"/>
  <c r="AL391" i="9"/>
  <c r="AL390" i="9"/>
  <c r="AL389" i="9"/>
  <c r="AL388" i="9"/>
  <c r="AL387" i="9"/>
  <c r="AL386" i="9"/>
  <c r="AL385" i="9"/>
  <c r="AL384" i="9"/>
  <c r="AL383" i="9"/>
  <c r="AL382" i="9"/>
  <c r="AL381" i="9"/>
  <c r="AL380" i="9"/>
  <c r="AL379" i="9"/>
  <c r="AL378" i="9"/>
  <c r="AL377" i="9"/>
  <c r="AL376" i="9"/>
  <c r="AL375" i="9"/>
  <c r="AL374" i="9"/>
  <c r="AL373" i="9"/>
  <c r="AL372" i="9"/>
  <c r="AL371" i="9"/>
  <c r="AL370" i="9"/>
  <c r="AL369" i="9"/>
  <c r="AL368" i="9"/>
  <c r="AL367" i="9"/>
  <c r="AL366" i="9"/>
  <c r="AL365" i="9"/>
  <c r="AL364" i="9"/>
  <c r="AL363" i="9"/>
  <c r="AL362" i="9"/>
  <c r="AL361" i="9"/>
  <c r="AL360" i="9"/>
  <c r="AL359" i="9"/>
  <c r="AL358" i="9"/>
  <c r="AL357" i="9"/>
  <c r="AL356" i="9"/>
  <c r="AL355" i="9"/>
  <c r="AL354" i="9"/>
  <c r="AL353" i="9"/>
  <c r="AL352" i="9"/>
  <c r="AL351" i="9"/>
  <c r="AL350" i="9"/>
  <c r="AL349" i="9"/>
  <c r="AL348" i="9"/>
  <c r="AL347" i="9"/>
  <c r="AL346" i="9"/>
  <c r="AL345" i="9"/>
  <c r="AL344" i="9"/>
  <c r="AL343" i="9"/>
  <c r="AL342" i="9"/>
  <c r="AL341" i="9"/>
  <c r="AL340" i="9"/>
  <c r="AL339" i="9"/>
  <c r="AL338" i="9"/>
  <c r="AL337" i="9"/>
  <c r="AL336" i="9"/>
  <c r="AL335" i="9"/>
  <c r="AL334" i="9"/>
  <c r="AL333" i="9"/>
  <c r="AL332" i="9"/>
  <c r="AL331" i="9"/>
  <c r="AL330" i="9"/>
  <c r="AL329" i="9"/>
  <c r="AL328" i="9"/>
  <c r="AL327" i="9"/>
  <c r="AL326" i="9"/>
  <c r="AL325" i="9"/>
  <c r="AL324" i="9"/>
  <c r="AL323" i="9"/>
  <c r="AL322" i="9"/>
  <c r="AL321" i="9"/>
  <c r="AL320" i="9"/>
  <c r="AL319" i="9"/>
  <c r="AL318" i="9"/>
  <c r="AL317" i="9"/>
  <c r="AL316" i="9"/>
  <c r="AL315" i="9"/>
  <c r="AL314" i="9"/>
  <c r="AL313" i="9"/>
  <c r="AL312" i="9"/>
  <c r="AL311" i="9"/>
  <c r="AL310" i="9"/>
  <c r="AL309" i="9"/>
  <c r="AL308" i="9"/>
  <c r="AL307" i="9"/>
  <c r="AL306" i="9"/>
  <c r="AL305" i="9"/>
  <c r="AL304" i="9"/>
  <c r="AL303" i="9"/>
  <c r="AL302" i="9"/>
  <c r="AL301" i="9"/>
  <c r="AL300" i="9"/>
  <c r="AL299" i="9"/>
  <c r="AL298" i="9"/>
  <c r="AL297" i="9"/>
  <c r="AL296" i="9"/>
  <c r="AL295" i="9"/>
  <c r="AL294" i="9"/>
  <c r="AL293" i="9"/>
  <c r="AL292" i="9"/>
  <c r="AL291" i="9"/>
  <c r="AL290" i="9"/>
  <c r="AL289" i="9"/>
  <c r="AL288" i="9"/>
  <c r="AL287" i="9"/>
  <c r="AL286" i="9"/>
  <c r="AL285" i="9"/>
  <c r="AL284" i="9"/>
  <c r="AL283" i="9"/>
  <c r="AL282" i="9"/>
  <c r="AL281" i="9"/>
  <c r="AL280" i="9"/>
  <c r="AL279" i="9"/>
  <c r="AL278" i="9"/>
  <c r="AL277" i="9"/>
  <c r="AL276" i="9"/>
  <c r="AL275" i="9"/>
  <c r="AL274" i="9"/>
  <c r="AL273" i="9"/>
  <c r="AL272" i="9"/>
  <c r="AL271" i="9"/>
  <c r="AL270" i="9"/>
  <c r="AL269" i="9"/>
  <c r="AL268" i="9"/>
  <c r="AL267" i="9"/>
  <c r="AL266" i="9"/>
  <c r="AL265" i="9"/>
  <c r="AL264" i="9"/>
  <c r="AL263" i="9"/>
  <c r="AL262" i="9"/>
  <c r="AL261" i="9"/>
  <c r="AL260" i="9"/>
  <c r="AL259" i="9"/>
  <c r="AL258" i="9"/>
  <c r="AL257" i="9"/>
  <c r="AL256" i="9"/>
  <c r="AL255" i="9"/>
  <c r="AL254" i="9"/>
  <c r="AL253" i="9"/>
  <c r="AL252" i="9"/>
  <c r="AL251" i="9"/>
  <c r="AL250" i="9"/>
  <c r="AL249" i="9"/>
  <c r="AL248" i="9"/>
  <c r="AL247" i="9"/>
  <c r="AL246" i="9"/>
  <c r="AL245" i="9"/>
  <c r="AL244" i="9"/>
  <c r="AL243" i="9"/>
  <c r="AL242" i="9"/>
  <c r="AL241" i="9"/>
  <c r="AL240" i="9"/>
  <c r="AL239" i="9"/>
  <c r="AL238" i="9"/>
  <c r="AL237" i="9"/>
  <c r="AL236" i="9"/>
  <c r="AL235" i="9"/>
  <c r="AL234" i="9"/>
  <c r="AL233" i="9"/>
  <c r="AL232" i="9"/>
  <c r="AL231" i="9"/>
  <c r="AL230" i="9"/>
  <c r="AL229" i="9"/>
  <c r="AL228" i="9"/>
  <c r="AL227" i="9"/>
  <c r="AL226" i="9"/>
  <c r="AL225" i="9"/>
  <c r="AL184" i="9"/>
  <c r="AL183" i="9"/>
  <c r="AL182" i="9"/>
  <c r="AL181" i="9"/>
  <c r="AL180" i="9"/>
  <c r="AL179" i="9"/>
  <c r="AL178" i="9"/>
  <c r="AL177" i="9"/>
  <c r="AL176" i="9"/>
  <c r="AL175" i="9"/>
  <c r="AL174" i="9"/>
  <c r="AL173" i="9"/>
  <c r="AL172" i="9"/>
  <c r="AL171" i="9"/>
  <c r="AL170" i="9"/>
  <c r="AL169" i="9"/>
  <c r="AL168" i="9"/>
  <c r="AL167" i="9"/>
  <c r="AL166" i="9"/>
  <c r="AL165" i="9"/>
  <c r="AL164" i="9"/>
  <c r="AL163" i="9"/>
  <c r="AL162" i="9"/>
  <c r="AL161" i="9"/>
  <c r="AL160" i="9"/>
  <c r="AL159" i="9"/>
  <c r="AL158" i="9"/>
  <c r="AL157" i="9"/>
  <c r="AL156" i="9"/>
  <c r="AL155" i="9"/>
  <c r="AL154" i="9"/>
  <c r="AL153" i="9"/>
  <c r="AL152" i="9"/>
  <c r="AL151" i="9"/>
  <c r="AL150" i="9"/>
  <c r="AL149" i="9"/>
  <c r="AL148" i="9"/>
  <c r="AL147" i="9"/>
  <c r="AL146" i="9"/>
  <c r="AL145" i="9"/>
  <c r="AL144" i="9"/>
  <c r="AL143" i="9"/>
  <c r="AL142" i="9"/>
  <c r="AL141" i="9"/>
  <c r="AL140" i="9"/>
  <c r="AL139" i="9"/>
  <c r="AL138" i="9"/>
  <c r="AL137" i="9"/>
  <c r="AL136" i="9"/>
  <c r="AL135" i="9"/>
  <c r="AL134" i="9"/>
  <c r="AL133" i="9"/>
  <c r="AL132" i="9"/>
  <c r="AL131" i="9"/>
  <c r="AL130" i="9"/>
  <c r="AL129" i="9"/>
  <c r="AL128" i="9"/>
  <c r="AL127" i="9"/>
  <c r="AL126" i="9"/>
  <c r="AL125" i="9"/>
  <c r="AL124" i="9"/>
  <c r="AL123" i="9"/>
  <c r="AL122" i="9"/>
  <c r="AL121" i="9"/>
  <c r="AL120" i="9"/>
  <c r="AL119" i="9"/>
  <c r="AL118" i="9"/>
  <c r="AL117" i="9"/>
  <c r="AL116" i="9"/>
  <c r="AL115" i="9"/>
  <c r="AL114" i="9"/>
  <c r="AL113" i="9"/>
  <c r="AL112" i="9"/>
  <c r="AL111" i="9"/>
  <c r="AL110" i="9"/>
  <c r="AL109" i="9"/>
  <c r="AL108" i="9"/>
  <c r="AL107" i="9"/>
  <c r="AL106" i="9"/>
  <c r="AL105" i="9"/>
  <c r="AL104" i="9"/>
  <c r="AL103" i="9"/>
  <c r="AL102" i="9"/>
  <c r="AL101" i="9"/>
  <c r="AL100" i="9"/>
  <c r="AL99" i="9"/>
  <c r="AL98" i="9"/>
  <c r="AL97" i="9"/>
  <c r="AL96" i="9"/>
  <c r="AL95" i="9"/>
  <c r="AL94" i="9"/>
  <c r="AL93" i="9"/>
  <c r="AL92" i="9"/>
  <c r="AL91" i="9"/>
  <c r="AL90" i="9"/>
  <c r="AL89" i="9"/>
  <c r="AL88" i="9"/>
  <c r="AL87" i="9"/>
  <c r="AL86" i="9"/>
  <c r="AL85" i="9"/>
  <c r="AL64" i="9"/>
  <c r="AL63" i="9"/>
  <c r="AL62" i="9"/>
  <c r="AL61" i="9"/>
  <c r="AL60" i="9"/>
  <c r="AL59" i="9"/>
  <c r="AL58" i="9"/>
  <c r="AL57" i="9"/>
  <c r="AL56" i="9"/>
  <c r="AL55" i="9"/>
  <c r="AL54" i="9"/>
  <c r="AL53" i="9"/>
  <c r="AL52" i="9"/>
  <c r="AL51" i="9"/>
  <c r="AL50" i="9"/>
  <c r="AL49" i="9"/>
  <c r="AL48" i="9"/>
  <c r="AL47" i="9"/>
  <c r="AL46" i="9"/>
  <c r="AL45" i="9"/>
  <c r="AL44" i="9"/>
  <c r="AL43" i="9"/>
  <c r="AL42" i="9"/>
  <c r="AL41" i="9"/>
  <c r="AL40" i="9"/>
  <c r="AL39" i="9"/>
  <c r="AL38" i="9"/>
  <c r="AL37" i="9"/>
  <c r="AL36" i="9"/>
  <c r="AL35" i="9"/>
  <c r="AL34" i="9"/>
  <c r="AL33" i="9"/>
  <c r="AL32" i="9"/>
  <c r="AL31" i="9"/>
  <c r="AL30" i="9"/>
  <c r="AL29" i="9"/>
  <c r="AL28" i="9"/>
  <c r="AL27" i="9"/>
  <c r="AL26" i="9"/>
  <c r="AL25" i="9"/>
  <c r="AL24" i="9"/>
  <c r="AL23" i="9"/>
  <c r="AL22" i="9"/>
  <c r="AL21" i="9"/>
  <c r="AL20" i="9"/>
  <c r="AL19" i="9"/>
  <c r="AL18" i="9"/>
  <c r="AL17" i="9"/>
  <c r="AL16" i="9"/>
  <c r="AL15" i="9"/>
  <c r="AL14" i="9"/>
  <c r="AL13" i="9"/>
  <c r="AL12" i="9"/>
  <c r="AL11" i="9"/>
  <c r="AL10" i="9"/>
  <c r="AL9" i="9"/>
  <c r="AL8" i="9"/>
  <c r="AL7" i="9"/>
  <c r="AL6" i="9"/>
  <c r="AL5" i="9"/>
  <c r="AJ25" i="9"/>
  <c r="AJ26" i="9"/>
  <c r="AJ27" i="9"/>
  <c r="AJ28" i="9"/>
  <c r="AJ29" i="9"/>
  <c r="AJ30" i="9"/>
  <c r="AJ31" i="9"/>
  <c r="AJ32" i="9"/>
  <c r="AJ33" i="9"/>
  <c r="AJ34" i="9"/>
  <c r="AJ35" i="9"/>
  <c r="AJ36" i="9"/>
  <c r="AJ37" i="9"/>
  <c r="AJ38" i="9"/>
  <c r="AJ39" i="9"/>
  <c r="AJ40" i="9"/>
  <c r="AJ41" i="9"/>
  <c r="AJ42" i="9"/>
  <c r="AJ43" i="9"/>
  <c r="AJ44" i="9"/>
  <c r="AJ45" i="9"/>
  <c r="AJ46" i="9"/>
  <c r="AJ47" i="9"/>
  <c r="AJ48" i="9"/>
  <c r="AJ49" i="9"/>
  <c r="AJ50" i="9"/>
  <c r="AJ51" i="9"/>
  <c r="AJ52" i="9"/>
  <c r="AJ53" i="9"/>
  <c r="AJ54" i="9"/>
  <c r="AJ55" i="9"/>
  <c r="AJ56" i="9"/>
  <c r="AJ57" i="9"/>
  <c r="AJ58" i="9"/>
  <c r="AJ59" i="9"/>
  <c r="AJ60" i="9"/>
  <c r="AJ61" i="9"/>
  <c r="AJ62" i="9"/>
  <c r="AJ63" i="9"/>
  <c r="AJ64" i="9"/>
  <c r="AJ85" i="9"/>
  <c r="AJ86" i="9"/>
  <c r="AJ87" i="9"/>
  <c r="AJ88" i="9"/>
  <c r="AJ89" i="9"/>
  <c r="AJ90" i="9"/>
  <c r="AJ91" i="9"/>
  <c r="AJ92" i="9"/>
  <c r="AJ93" i="9"/>
  <c r="AJ94" i="9"/>
  <c r="AJ95" i="9"/>
  <c r="AJ96" i="9"/>
  <c r="AJ97" i="9"/>
  <c r="AJ98" i="9"/>
  <c r="AJ99" i="9"/>
  <c r="AJ100" i="9"/>
  <c r="AJ101" i="9"/>
  <c r="AJ102" i="9"/>
  <c r="AJ103" i="9"/>
  <c r="AJ104" i="9"/>
  <c r="AJ105" i="9"/>
  <c r="AJ106" i="9"/>
  <c r="AJ107" i="9"/>
  <c r="AJ108" i="9"/>
  <c r="AJ109" i="9"/>
  <c r="AJ110" i="9"/>
  <c r="AJ111" i="9"/>
  <c r="AJ112" i="9"/>
  <c r="AJ113" i="9"/>
  <c r="AJ114" i="9"/>
  <c r="AJ115" i="9"/>
  <c r="AJ116" i="9"/>
  <c r="AJ117" i="9"/>
  <c r="AJ118" i="9"/>
  <c r="AJ119" i="9"/>
  <c r="AJ120" i="9"/>
  <c r="AJ121" i="9"/>
  <c r="AJ122" i="9"/>
  <c r="AJ123" i="9"/>
  <c r="AJ124" i="9"/>
  <c r="AJ125" i="9"/>
  <c r="AJ126" i="9"/>
  <c r="AJ127" i="9"/>
  <c r="AJ128" i="9"/>
  <c r="AJ129" i="9"/>
  <c r="AJ130" i="9"/>
  <c r="AJ131" i="9"/>
  <c r="AJ132" i="9"/>
  <c r="AJ133" i="9"/>
  <c r="AJ134" i="9"/>
  <c r="AJ135" i="9"/>
  <c r="AJ136" i="9"/>
  <c r="AJ137" i="9"/>
  <c r="AJ138" i="9"/>
  <c r="AJ139" i="9"/>
  <c r="AJ140" i="9"/>
  <c r="AJ141" i="9"/>
  <c r="AJ142" i="9"/>
  <c r="AJ143" i="9"/>
  <c r="AJ144" i="9"/>
  <c r="AJ145" i="9"/>
  <c r="AJ146" i="9"/>
  <c r="AJ147" i="9"/>
  <c r="AJ148" i="9"/>
  <c r="AJ149" i="9"/>
  <c r="AJ150" i="9"/>
  <c r="AJ151" i="9"/>
  <c r="AJ152" i="9"/>
  <c r="AJ153" i="9"/>
  <c r="AJ154" i="9"/>
  <c r="AJ155" i="9"/>
  <c r="AJ156" i="9"/>
  <c r="AJ157" i="9"/>
  <c r="AJ158" i="9"/>
  <c r="AJ159" i="9"/>
  <c r="AJ160" i="9"/>
  <c r="AJ161" i="9"/>
  <c r="AJ162" i="9"/>
  <c r="AJ163" i="9"/>
  <c r="AJ164" i="9"/>
  <c r="AJ165" i="9"/>
  <c r="AJ166" i="9"/>
  <c r="AJ167" i="9"/>
  <c r="AJ168" i="9"/>
  <c r="AJ169" i="9"/>
  <c r="AJ170" i="9"/>
  <c r="AJ171" i="9"/>
  <c r="AJ172" i="9"/>
  <c r="AJ173" i="9"/>
  <c r="AJ174" i="9"/>
  <c r="AJ175" i="9"/>
  <c r="AJ176" i="9"/>
  <c r="AJ177" i="9"/>
  <c r="AJ178" i="9"/>
  <c r="AJ179" i="9"/>
  <c r="AJ180" i="9"/>
  <c r="AJ181" i="9"/>
  <c r="AJ182" i="9"/>
  <c r="AJ183" i="9"/>
  <c r="AJ184" i="9"/>
  <c r="AJ225" i="9"/>
  <c r="AJ226" i="9"/>
  <c r="AJ227" i="9"/>
  <c r="AJ228" i="9"/>
  <c r="AJ229" i="9"/>
  <c r="AJ230" i="9"/>
  <c r="AJ231" i="9"/>
  <c r="AJ232" i="9"/>
  <c r="AJ233" i="9"/>
  <c r="AJ234" i="9"/>
  <c r="AJ235" i="9"/>
  <c r="AJ236" i="9"/>
  <c r="AJ237" i="9"/>
  <c r="AJ238" i="9"/>
  <c r="AJ239" i="9"/>
  <c r="AJ240" i="9"/>
  <c r="AJ241" i="9"/>
  <c r="AJ242" i="9"/>
  <c r="AJ243" i="9"/>
  <c r="AJ244" i="9"/>
  <c r="AJ245" i="9"/>
  <c r="AJ246" i="9"/>
  <c r="AJ247" i="9"/>
  <c r="AJ248" i="9"/>
  <c r="AJ249" i="9"/>
  <c r="AJ250" i="9"/>
  <c r="AJ251" i="9"/>
  <c r="AJ252" i="9"/>
  <c r="AJ253" i="9"/>
  <c r="AJ254" i="9"/>
  <c r="AJ255" i="9"/>
  <c r="AJ256" i="9"/>
  <c r="AJ257" i="9"/>
  <c r="AJ258" i="9"/>
  <c r="AJ259" i="9"/>
  <c r="AJ260" i="9"/>
  <c r="AJ261" i="9"/>
  <c r="AJ262" i="9"/>
  <c r="AJ263" i="9"/>
  <c r="AJ264" i="9"/>
  <c r="AJ265" i="9"/>
  <c r="AJ266" i="9"/>
  <c r="AJ267" i="9"/>
  <c r="AJ268" i="9"/>
  <c r="AJ269" i="9"/>
  <c r="AJ270" i="9"/>
  <c r="AJ271" i="9"/>
  <c r="AJ272" i="9"/>
  <c r="AJ273" i="9"/>
  <c r="AJ274" i="9"/>
  <c r="AJ275" i="9"/>
  <c r="AJ276" i="9"/>
  <c r="AJ277" i="9"/>
  <c r="AJ278" i="9"/>
  <c r="AJ279" i="9"/>
  <c r="AJ280" i="9"/>
  <c r="AJ281" i="9"/>
  <c r="AJ282" i="9"/>
  <c r="AJ283" i="9"/>
  <c r="AJ284" i="9"/>
  <c r="AJ285" i="9"/>
  <c r="AJ286" i="9"/>
  <c r="AJ287" i="9"/>
  <c r="AJ288" i="9"/>
  <c r="AJ289" i="9"/>
  <c r="AJ290" i="9"/>
  <c r="AJ291" i="9"/>
  <c r="AJ292" i="9"/>
  <c r="AJ293" i="9"/>
  <c r="AJ294" i="9"/>
  <c r="AJ295" i="9"/>
  <c r="AJ296" i="9"/>
  <c r="AJ297" i="9"/>
  <c r="AJ298" i="9"/>
  <c r="AJ299" i="9"/>
  <c r="AJ300" i="9"/>
  <c r="AJ301" i="9"/>
  <c r="AJ302" i="9"/>
  <c r="AJ303" i="9"/>
  <c r="AJ304" i="9"/>
  <c r="AJ305" i="9"/>
  <c r="AJ306" i="9"/>
  <c r="AJ307" i="9"/>
  <c r="AJ308" i="9"/>
  <c r="AJ309" i="9"/>
  <c r="AJ310" i="9"/>
  <c r="AJ311" i="9"/>
  <c r="AJ312" i="9"/>
  <c r="AJ313" i="9"/>
  <c r="AJ314" i="9"/>
  <c r="AJ315" i="9"/>
  <c r="AJ316" i="9"/>
  <c r="AJ317" i="9"/>
  <c r="AJ318" i="9"/>
  <c r="AJ319" i="9"/>
  <c r="AJ320" i="9"/>
  <c r="AJ321" i="9"/>
  <c r="AJ322" i="9"/>
  <c r="AJ323" i="9"/>
  <c r="AJ324" i="9"/>
  <c r="AJ325" i="9"/>
  <c r="AJ326" i="9"/>
  <c r="AJ327" i="9"/>
  <c r="AJ328" i="9"/>
  <c r="AJ329" i="9"/>
  <c r="AJ330" i="9"/>
  <c r="AJ331" i="9"/>
  <c r="AJ332" i="9"/>
  <c r="AJ333" i="9"/>
  <c r="AJ334" i="9"/>
  <c r="AJ335" i="9"/>
  <c r="AJ336" i="9"/>
  <c r="AJ337" i="9"/>
  <c r="AJ338" i="9"/>
  <c r="AJ339" i="9"/>
  <c r="AJ340" i="9"/>
  <c r="AJ341" i="9"/>
  <c r="AJ342" i="9"/>
  <c r="AJ343" i="9"/>
  <c r="AJ344" i="9"/>
  <c r="AJ345" i="9"/>
  <c r="AJ346" i="9"/>
  <c r="AJ347" i="9"/>
  <c r="AJ348" i="9"/>
  <c r="AJ349" i="9"/>
  <c r="AJ350" i="9"/>
  <c r="AJ351" i="9"/>
  <c r="AJ352" i="9"/>
  <c r="AJ353" i="9"/>
  <c r="AJ354" i="9"/>
  <c r="AJ355" i="9"/>
  <c r="AJ356" i="9"/>
  <c r="AJ357" i="9"/>
  <c r="AJ358" i="9"/>
  <c r="AJ359" i="9"/>
  <c r="AJ360" i="9"/>
  <c r="AJ361" i="9"/>
  <c r="AJ362" i="9"/>
  <c r="AJ363" i="9"/>
  <c r="AJ364" i="9"/>
  <c r="AJ365" i="9"/>
  <c r="AJ366" i="9"/>
  <c r="AJ367" i="9"/>
  <c r="AJ368" i="9"/>
  <c r="AJ369" i="9"/>
  <c r="AJ370" i="9"/>
  <c r="AJ371" i="9"/>
  <c r="AJ372" i="9"/>
  <c r="AJ373" i="9"/>
  <c r="AJ374" i="9"/>
  <c r="AJ375" i="9"/>
  <c r="AJ376" i="9"/>
  <c r="AJ377" i="9"/>
  <c r="AJ378" i="9"/>
  <c r="AJ379" i="9"/>
  <c r="AJ380" i="9"/>
  <c r="AJ381" i="9"/>
  <c r="AJ382" i="9"/>
  <c r="AJ383" i="9"/>
  <c r="AJ384" i="9"/>
  <c r="AJ385" i="9"/>
  <c r="AJ386" i="9"/>
  <c r="AJ387" i="9"/>
  <c r="AJ388" i="9"/>
  <c r="AJ389" i="9"/>
  <c r="AJ390" i="9"/>
  <c r="AJ391" i="9"/>
  <c r="AJ392" i="9"/>
  <c r="AJ393" i="9"/>
  <c r="AJ394" i="9"/>
  <c r="AJ395" i="9"/>
  <c r="AJ396" i="9"/>
  <c r="AJ397" i="9"/>
  <c r="AJ398" i="9"/>
  <c r="AJ399" i="9"/>
  <c r="AJ400" i="9"/>
  <c r="AJ401" i="9"/>
  <c r="AJ402" i="9"/>
  <c r="AJ403" i="9"/>
  <c r="AJ404" i="9"/>
  <c r="AJ405" i="9"/>
  <c r="AJ406" i="9"/>
  <c r="AJ407" i="9"/>
  <c r="AJ408" i="9"/>
  <c r="AJ409" i="9"/>
  <c r="AJ410" i="9"/>
  <c r="AJ411" i="9"/>
  <c r="AJ412" i="9"/>
  <c r="AJ413" i="9"/>
  <c r="AJ414" i="9"/>
  <c r="AJ415" i="9"/>
  <c r="AJ416" i="9"/>
  <c r="AJ417" i="9"/>
  <c r="AJ418" i="9"/>
  <c r="AJ419" i="9"/>
  <c r="AJ420" i="9"/>
  <c r="AJ421" i="9"/>
  <c r="AJ422" i="9"/>
  <c r="AJ423" i="9"/>
  <c r="AJ424" i="9"/>
  <c r="AJ425" i="9"/>
  <c r="AJ426" i="9"/>
  <c r="AJ427" i="9"/>
  <c r="AJ428" i="9"/>
  <c r="AJ429" i="9"/>
  <c r="AJ430" i="9"/>
  <c r="AJ431" i="9"/>
  <c r="AJ432" i="9"/>
  <c r="AJ433" i="9"/>
  <c r="AJ434" i="9"/>
  <c r="AJ435" i="9"/>
  <c r="AJ436" i="9"/>
  <c r="AJ437" i="9"/>
  <c r="AJ438" i="9"/>
  <c r="AJ439" i="9"/>
  <c r="AJ440" i="9"/>
  <c r="AJ441" i="9"/>
  <c r="AJ442" i="9"/>
  <c r="AJ443" i="9"/>
  <c r="AJ444" i="9"/>
  <c r="AJ445" i="9"/>
  <c r="AJ446" i="9"/>
  <c r="AJ447" i="9"/>
  <c r="AJ448" i="9"/>
  <c r="AJ449" i="9"/>
  <c r="AJ450" i="9"/>
  <c r="AJ451" i="9"/>
  <c r="AJ452" i="9"/>
  <c r="AJ453" i="9"/>
  <c r="AJ454" i="9"/>
  <c r="AJ455" i="9"/>
  <c r="AJ456" i="9"/>
  <c r="AJ457" i="9"/>
  <c r="AJ458" i="9"/>
  <c r="AJ459" i="9"/>
  <c r="AJ460" i="9"/>
  <c r="AJ461" i="9"/>
  <c r="AJ462" i="9"/>
  <c r="AJ463" i="9"/>
  <c r="AJ464" i="9"/>
  <c r="AJ465" i="9"/>
  <c r="AJ466" i="9"/>
  <c r="AJ467" i="9"/>
  <c r="AJ468" i="9"/>
  <c r="AJ469" i="9"/>
  <c r="AJ470" i="9"/>
  <c r="AJ471" i="9"/>
  <c r="AJ472" i="9"/>
  <c r="AJ473" i="9"/>
  <c r="AJ474" i="9"/>
  <c r="AJ475" i="9"/>
  <c r="AJ476" i="9"/>
  <c r="AJ477" i="9"/>
  <c r="AJ478" i="9"/>
  <c r="AJ479" i="9"/>
  <c r="AJ480" i="9"/>
  <c r="AJ481" i="9"/>
  <c r="AJ482" i="9"/>
  <c r="AJ483" i="9"/>
  <c r="AJ484" i="9"/>
  <c r="AJ485" i="9"/>
  <c r="AJ486" i="9"/>
  <c r="AJ487" i="9"/>
  <c r="AJ488" i="9"/>
  <c r="AJ489" i="9"/>
  <c r="AJ490" i="9"/>
  <c r="AJ491" i="9"/>
  <c r="AJ492" i="9"/>
  <c r="AJ493" i="9"/>
  <c r="AJ494" i="9"/>
  <c r="AJ495" i="9"/>
  <c r="AJ496" i="9"/>
  <c r="AJ497" i="9"/>
  <c r="AJ498" i="9"/>
  <c r="AJ499" i="9"/>
  <c r="AJ500" i="9"/>
  <c r="AJ501" i="9"/>
  <c r="AJ502" i="9"/>
  <c r="AJ503" i="9"/>
  <c r="AJ504" i="9"/>
  <c r="AJ505" i="9"/>
  <c r="AJ506" i="9"/>
  <c r="AJ507" i="9"/>
  <c r="AJ508" i="9"/>
  <c r="AJ509" i="9"/>
  <c r="AJ510" i="9"/>
  <c r="AJ511" i="9"/>
  <c r="AJ512" i="9"/>
  <c r="AJ513" i="9"/>
  <c r="AJ514" i="9"/>
  <c r="AJ515" i="9"/>
  <c r="AJ516" i="9"/>
  <c r="AJ517" i="9"/>
  <c r="AJ518" i="9"/>
  <c r="AJ519" i="9"/>
  <c r="AJ520" i="9"/>
  <c r="AJ521" i="9"/>
  <c r="AJ522" i="9"/>
  <c r="AJ523" i="9"/>
  <c r="AJ524" i="9"/>
  <c r="AJ525" i="9"/>
  <c r="AJ526" i="9"/>
  <c r="AJ527" i="9"/>
  <c r="AJ528" i="9"/>
  <c r="AJ529" i="9"/>
  <c r="AJ530" i="9"/>
  <c r="AJ531" i="9"/>
  <c r="AJ532" i="9"/>
  <c r="AJ533" i="9"/>
  <c r="AJ534" i="9"/>
  <c r="AJ535" i="9"/>
  <c r="AJ536" i="9"/>
  <c r="AJ537" i="9"/>
  <c r="AJ538" i="9"/>
  <c r="AJ539" i="9"/>
  <c r="AJ540" i="9"/>
  <c r="AJ541" i="9"/>
  <c r="AJ542" i="9"/>
  <c r="AJ543" i="9"/>
  <c r="AJ544" i="9"/>
  <c r="AJ545" i="9"/>
  <c r="AJ546" i="9"/>
  <c r="AJ547" i="9"/>
  <c r="AJ548" i="9"/>
  <c r="AJ549" i="9"/>
  <c r="AJ550" i="9"/>
  <c r="AJ551" i="9"/>
  <c r="AJ552" i="9"/>
  <c r="AJ553" i="9"/>
  <c r="AJ554" i="9"/>
  <c r="AJ555" i="9"/>
  <c r="AJ556" i="9"/>
  <c r="AJ557" i="9"/>
  <c r="AJ558" i="9"/>
  <c r="AJ559" i="9"/>
  <c r="AJ560" i="9"/>
  <c r="AJ561" i="9"/>
  <c r="AJ562" i="9"/>
  <c r="AJ563" i="9"/>
  <c r="AJ564" i="9"/>
  <c r="AJ565" i="9"/>
  <c r="AJ566" i="9"/>
  <c r="AJ567" i="9"/>
  <c r="AJ568" i="9"/>
  <c r="AJ569" i="9"/>
  <c r="AJ570" i="9"/>
  <c r="AJ571" i="9"/>
  <c r="AJ572" i="9"/>
  <c r="AJ573" i="9"/>
  <c r="AJ574" i="9"/>
  <c r="AJ575" i="9"/>
  <c r="AJ576" i="9"/>
  <c r="AJ577" i="9"/>
  <c r="AJ578" i="9"/>
  <c r="AJ579" i="9"/>
  <c r="AJ580" i="9"/>
  <c r="AJ581" i="9"/>
  <c r="AJ582" i="9"/>
  <c r="AJ583" i="9"/>
  <c r="AJ584" i="9"/>
  <c r="AJ585" i="9"/>
  <c r="AJ586" i="9"/>
  <c r="AJ587" i="9"/>
  <c r="AJ588" i="9"/>
  <c r="AJ589" i="9"/>
  <c r="AJ590" i="9"/>
  <c r="AJ591" i="9"/>
  <c r="AJ592" i="9"/>
  <c r="AJ593" i="9"/>
  <c r="AJ594" i="9"/>
  <c r="AJ595" i="9"/>
  <c r="AJ596" i="9"/>
  <c r="AJ597" i="9"/>
  <c r="AJ598" i="9"/>
  <c r="AJ599" i="9"/>
  <c r="AJ600" i="9"/>
  <c r="AJ601" i="9"/>
  <c r="AJ602" i="9"/>
  <c r="AJ603" i="9"/>
  <c r="AJ604" i="9"/>
  <c r="AJ6" i="9"/>
  <c r="AJ7" i="9"/>
  <c r="AJ8" i="9"/>
  <c r="AJ9" i="9"/>
  <c r="AJ10" i="9"/>
  <c r="AJ11" i="9"/>
  <c r="AJ12" i="9"/>
  <c r="AJ13" i="9"/>
  <c r="AJ14" i="9"/>
  <c r="AJ15" i="9"/>
  <c r="AJ16" i="9"/>
  <c r="AJ17" i="9"/>
  <c r="AJ18" i="9"/>
  <c r="AJ19" i="9"/>
  <c r="AJ20" i="9"/>
  <c r="AJ21" i="9"/>
  <c r="AJ22" i="9"/>
  <c r="AJ23" i="9"/>
  <c r="AJ24" i="9"/>
  <c r="AJ5" i="9"/>
  <c r="X65" i="9" l="1"/>
  <c r="X73" i="9"/>
  <c r="X81" i="9"/>
  <c r="X66" i="9"/>
  <c r="X74" i="9"/>
  <c r="X82" i="9"/>
  <c r="X67" i="9"/>
  <c r="X75" i="9"/>
  <c r="X83" i="9"/>
  <c r="X68" i="9"/>
  <c r="X76" i="9"/>
  <c r="X84" i="9"/>
  <c r="X70" i="9"/>
  <c r="X79" i="9"/>
  <c r="X72" i="9"/>
  <c r="X69" i="9"/>
  <c r="X77" i="9"/>
  <c r="X78" i="9"/>
  <c r="X71" i="9"/>
  <c r="X80" i="9"/>
  <c r="AF579" i="9"/>
  <c r="AF403" i="9"/>
  <c r="AF577" i="9"/>
  <c r="AF553" i="9"/>
  <c r="AF433" i="9"/>
  <c r="AF572" i="9"/>
  <c r="AF500" i="9"/>
  <c r="AF595" i="9"/>
  <c r="AF539" i="9"/>
  <c r="AF515" i="9"/>
  <c r="AF459" i="9"/>
  <c r="AF547" i="9"/>
  <c r="AF499" i="9"/>
  <c r="AF475" i="9"/>
  <c r="AF458" i="9"/>
  <c r="AF590" i="9"/>
  <c r="AF558" i="9"/>
  <c r="AF502" i="9"/>
  <c r="AF430" i="9"/>
  <c r="AF406" i="9"/>
  <c r="AF319" i="9"/>
  <c r="AF287" i="9"/>
  <c r="AF603" i="9"/>
  <c r="AF531" i="9"/>
  <c r="AF483" i="9"/>
  <c r="AF597" i="9"/>
  <c r="AF589" i="9"/>
  <c r="AF533" i="9"/>
  <c r="AF599" i="9"/>
  <c r="AF575" i="9"/>
  <c r="AF551" i="9"/>
  <c r="AF527" i="9"/>
  <c r="AF379" i="9"/>
  <c r="AF331" i="9"/>
  <c r="AF323" i="9"/>
  <c r="AF299" i="9"/>
  <c r="AF390" i="9"/>
  <c r="AF604" i="9"/>
  <c r="AF596" i="9"/>
  <c r="AF556" i="9"/>
  <c r="AF548" i="9"/>
  <c r="AF540" i="9"/>
  <c r="AF532" i="9"/>
  <c r="AF516" i="9"/>
  <c r="AF492" i="9"/>
  <c r="AF484" i="9"/>
  <c r="AF476" i="9"/>
  <c r="AF428" i="9"/>
  <c r="AF387" i="9"/>
  <c r="AF375" i="9"/>
  <c r="AF303" i="9"/>
  <c r="AF288" i="9"/>
  <c r="AF535" i="9"/>
  <c r="AF471" i="9"/>
  <c r="AF447" i="9"/>
  <c r="AF423" i="9"/>
  <c r="AF307" i="9"/>
  <c r="AF413" i="9"/>
  <c r="AF563" i="9"/>
  <c r="AF350" i="9"/>
  <c r="AF567" i="9"/>
  <c r="AF511" i="9"/>
  <c r="AF487" i="9"/>
  <c r="AF455" i="9"/>
  <c r="AF355" i="9"/>
  <c r="AF469" i="9"/>
  <c r="AF453" i="9"/>
  <c r="AF561" i="9"/>
  <c r="AF521" i="9"/>
  <c r="AF489" i="9"/>
  <c r="AF481" i="9"/>
  <c r="AF457" i="9"/>
  <c r="AF417" i="9"/>
  <c r="AF381" i="9"/>
  <c r="AF397" i="9"/>
  <c r="AF361" i="9"/>
  <c r="AF330" i="9"/>
  <c r="AF297" i="9"/>
  <c r="AF452" i="9"/>
  <c r="AF436" i="9"/>
  <c r="AF412" i="9"/>
  <c r="AF384" i="9"/>
  <c r="AF368" i="9"/>
  <c r="AF336" i="9"/>
  <c r="AF443" i="9"/>
  <c r="AF419" i="9"/>
  <c r="AF395" i="9"/>
  <c r="AF367" i="9"/>
  <c r="AF335" i="9"/>
  <c r="AF357" i="9"/>
  <c r="AF349" i="9"/>
  <c r="AF301" i="9"/>
  <c r="AF296" i="9"/>
  <c r="AF451" i="9"/>
  <c r="AF427" i="9"/>
  <c r="AF460" i="9"/>
  <c r="AF444" i="9"/>
  <c r="AF420" i="9"/>
  <c r="AF404" i="9"/>
  <c r="AF360" i="9"/>
  <c r="AF344" i="9"/>
  <c r="AF320" i="9"/>
  <c r="AF312" i="9"/>
  <c r="AF383" i="9"/>
  <c r="AF327" i="9"/>
  <c r="AF311" i="9"/>
  <c r="AF295" i="9"/>
  <c r="AF77" i="9"/>
  <c r="AF351" i="9"/>
  <c r="BE234" i="9"/>
  <c r="BE194" i="9"/>
  <c r="AF343" i="9"/>
  <c r="AF435" i="9"/>
  <c r="AF524" i="9"/>
  <c r="AF482" i="9"/>
  <c r="AF75" i="9"/>
  <c r="AF588" i="9"/>
  <c r="AF382" i="9"/>
  <c r="AF580" i="9"/>
  <c r="AF573" i="9"/>
  <c r="AF564" i="9"/>
  <c r="AF508" i="9"/>
  <c r="AF501" i="9"/>
  <c r="AF477" i="9"/>
  <c r="AF468" i="9"/>
  <c r="AF461" i="9"/>
  <c r="AF421" i="9"/>
  <c r="AF396" i="9"/>
  <c r="AF388" i="9"/>
  <c r="AF377" i="9"/>
  <c r="AF369" i="9"/>
  <c r="AF352" i="9"/>
  <c r="AF329" i="9"/>
  <c r="AF321" i="9"/>
  <c r="AF313" i="9"/>
  <c r="AF304" i="9"/>
  <c r="AF359" i="9"/>
  <c r="AF411" i="9"/>
  <c r="AE82" i="9"/>
  <c r="AF82" i="9" s="1"/>
  <c r="AF602" i="9"/>
  <c r="AF586" i="9"/>
  <c r="AF570" i="9"/>
  <c r="AF546" i="9"/>
  <c r="AF530" i="9"/>
  <c r="AF514" i="9"/>
  <c r="AF498" i="9"/>
  <c r="AF474" i="9"/>
  <c r="AF442" i="9"/>
  <c r="AF426" i="9"/>
  <c r="AF394" i="9"/>
  <c r="AF334" i="9"/>
  <c r="AF318" i="9"/>
  <c r="AF593" i="9"/>
  <c r="AF569" i="9"/>
  <c r="AF537" i="9"/>
  <c r="AF529" i="9"/>
  <c r="AF513" i="9"/>
  <c r="AF497" i="9"/>
  <c r="AF449" i="9"/>
  <c r="AF409" i="9"/>
  <c r="AF401" i="9"/>
  <c r="AF393" i="9"/>
  <c r="AF341" i="9"/>
  <c r="AF333" i="9"/>
  <c r="AF594" i="9"/>
  <c r="AF578" i="9"/>
  <c r="AF554" i="9"/>
  <c r="AF506" i="9"/>
  <c r="AF466" i="9"/>
  <c r="AF450" i="9"/>
  <c r="AF434" i="9"/>
  <c r="AF418" i="9"/>
  <c r="AF402" i="9"/>
  <c r="AF386" i="9"/>
  <c r="AF374" i="9"/>
  <c r="AF310" i="9"/>
  <c r="AF294" i="9"/>
  <c r="A77" i="9"/>
  <c r="AF522" i="9"/>
  <c r="AF407" i="9"/>
  <c r="AN72" i="9"/>
  <c r="AE72" i="9"/>
  <c r="AF72" i="9" s="1"/>
  <c r="AE68" i="9"/>
  <c r="AF68" i="9" s="1"/>
  <c r="AE66" i="9"/>
  <c r="AF67" i="9" s="1"/>
  <c r="A68" i="9"/>
  <c r="A76" i="9"/>
  <c r="AE73" i="9"/>
  <c r="AF74" i="9" s="1"/>
  <c r="AE65" i="9"/>
  <c r="AF65" i="9" s="1"/>
  <c r="AE80" i="9"/>
  <c r="AF81" i="9" s="1"/>
  <c r="AE78" i="9"/>
  <c r="AF79" i="9" s="1"/>
  <c r="AE70" i="9"/>
  <c r="AF71" i="9" s="1"/>
  <c r="BE390" i="9"/>
  <c r="AF478" i="9"/>
  <c r="AF479" i="9"/>
  <c r="AF399" i="9"/>
  <c r="AF398" i="9"/>
  <c r="AF363" i="9"/>
  <c r="AF362" i="9"/>
  <c r="AF339" i="9"/>
  <c r="AF338" i="9"/>
  <c r="AF598" i="9"/>
  <c r="AF582" i="9"/>
  <c r="AF566" i="9"/>
  <c r="AF550" i="9"/>
  <c r="AF542" i="9"/>
  <c r="AF518" i="9"/>
  <c r="AF510" i="9"/>
  <c r="AF494" i="9"/>
  <c r="AF470" i="9"/>
  <c r="AF462" i="9"/>
  <c r="AF438" i="9"/>
  <c r="AF422" i="9"/>
  <c r="AF414" i="9"/>
  <c r="AF370" i="9"/>
  <c r="AF354" i="9"/>
  <c r="AF346" i="9"/>
  <c r="AF322" i="9"/>
  <c r="AF314" i="9"/>
  <c r="AF306" i="9"/>
  <c r="AF298" i="9"/>
  <c r="AF290" i="9"/>
  <c r="AF591" i="9"/>
  <c r="AF446" i="9"/>
  <c r="AF526" i="9"/>
  <c r="AF454" i="9"/>
  <c r="AF574" i="9"/>
  <c r="AF378" i="9"/>
  <c r="AF503" i="9"/>
  <c r="AF289" i="9"/>
  <c r="AF541" i="9"/>
  <c r="AF581" i="9"/>
  <c r="AF509" i="9"/>
  <c r="AF441" i="9"/>
  <c r="AF358" i="9"/>
  <c r="AF486" i="9"/>
  <c r="AF353" i="9"/>
  <c r="AF437" i="9"/>
  <c r="AF328" i="9"/>
  <c r="AF376" i="9"/>
  <c r="AF302" i="9"/>
  <c r="AF534" i="9"/>
  <c r="AF286" i="9"/>
  <c r="AF405" i="9"/>
  <c r="AF429" i="9"/>
  <c r="AF585" i="9"/>
  <c r="AF337" i="9"/>
  <c r="AF371" i="9"/>
  <c r="AF565" i="9"/>
  <c r="AF309" i="9"/>
  <c r="AF385" i="9"/>
  <c r="AF473" i="9"/>
  <c r="AF601" i="9"/>
  <c r="AF342" i="9"/>
  <c r="AF410" i="9"/>
  <c r="AF544" i="9"/>
  <c r="AF520" i="9"/>
  <c r="AF488" i="9"/>
  <c r="AF464" i="9"/>
  <c r="AF440" i="9"/>
  <c r="AF416" i="9"/>
  <c r="AF392" i="9"/>
  <c r="AF364" i="9"/>
  <c r="AF340" i="9"/>
  <c r="AF316" i="9"/>
  <c r="AF292" i="9"/>
  <c r="AF425" i="9"/>
  <c r="AF291" i="9"/>
  <c r="AF366" i="9"/>
  <c r="AF439" i="9"/>
  <c r="AF465" i="9"/>
  <c r="AF325" i="9"/>
  <c r="AF415" i="9"/>
  <c r="AF491" i="9"/>
  <c r="AF505" i="9"/>
  <c r="AF543" i="9"/>
  <c r="AF555" i="9"/>
  <c r="AF538" i="9"/>
  <c r="AF600" i="9"/>
  <c r="AF592" i="9"/>
  <c r="AF584" i="9"/>
  <c r="AF576" i="9"/>
  <c r="AF568" i="9"/>
  <c r="AF560" i="9"/>
  <c r="AF536" i="9"/>
  <c r="AF512" i="9"/>
  <c r="AF496" i="9"/>
  <c r="AF472" i="9"/>
  <c r="AF448" i="9"/>
  <c r="AF424" i="9"/>
  <c r="AF400" i="9"/>
  <c r="AF372" i="9"/>
  <c r="AF348" i="9"/>
  <c r="AF324" i="9"/>
  <c r="AF300" i="9"/>
  <c r="AF76" i="9"/>
  <c r="AF463" i="9"/>
  <c r="AF315" i="9"/>
  <c r="AF347" i="9"/>
  <c r="AF391" i="9"/>
  <c r="AF519" i="9"/>
  <c r="AF545" i="9"/>
  <c r="AF583" i="9"/>
  <c r="AF373" i="9"/>
  <c r="AF552" i="9"/>
  <c r="AF528" i="9"/>
  <c r="AF504" i="9"/>
  <c r="AF480" i="9"/>
  <c r="AF456" i="9"/>
  <c r="AF432" i="9"/>
  <c r="AF408" i="9"/>
  <c r="AF380" i="9"/>
  <c r="AF356" i="9"/>
  <c r="AF332" i="9"/>
  <c r="AF308" i="9"/>
  <c r="AF84" i="9"/>
  <c r="AF431" i="9"/>
  <c r="AF495" i="9"/>
  <c r="AF507" i="9"/>
  <c r="AF559" i="9"/>
  <c r="AF571" i="9"/>
  <c r="A84" i="9"/>
  <c r="AN77" i="9"/>
  <c r="A74" i="9"/>
  <c r="A75" i="9"/>
  <c r="A79" i="9"/>
  <c r="AN71" i="9"/>
  <c r="AN84" i="9"/>
  <c r="A71" i="9"/>
  <c r="A70" i="9"/>
  <c r="AN81" i="9"/>
  <c r="AN69" i="9"/>
  <c r="AN75" i="9"/>
  <c r="AN76" i="9"/>
  <c r="A78" i="9"/>
  <c r="A82" i="9"/>
  <c r="AN74" i="9"/>
  <c r="AN83" i="9"/>
  <c r="AN67" i="9"/>
  <c r="A69" i="9"/>
  <c r="AN79" i="9"/>
  <c r="A66" i="9"/>
  <c r="A72" i="9"/>
  <c r="A83" i="9"/>
  <c r="A67" i="9"/>
  <c r="A80" i="9"/>
  <c r="AU32" i="9"/>
  <c r="AU31" i="9"/>
  <c r="AU42" i="9"/>
  <c r="AU50" i="9"/>
  <c r="AU58" i="9"/>
  <c r="AU366" i="9"/>
  <c r="AU374" i="9"/>
  <c r="AU382" i="9"/>
  <c r="AU19" i="9"/>
  <c r="AU11" i="9"/>
  <c r="AU35" i="9"/>
  <c r="AU52" i="9"/>
  <c r="AU376" i="9"/>
  <c r="AU17" i="9"/>
  <c r="AU36" i="9"/>
  <c r="AU53" i="9"/>
  <c r="AU369" i="9"/>
  <c r="AU24" i="9"/>
  <c r="AU8" i="9"/>
  <c r="AU37" i="9"/>
  <c r="AU54" i="9"/>
  <c r="AU378" i="9"/>
  <c r="AU23" i="9"/>
  <c r="AU7" i="9"/>
  <c r="AU49" i="9"/>
  <c r="AU373" i="9"/>
  <c r="AU12" i="9"/>
  <c r="AU33" i="9"/>
  <c r="AU43" i="9"/>
  <c r="AU51" i="9"/>
  <c r="AU59" i="9"/>
  <c r="AU367" i="9"/>
  <c r="AU375" i="9"/>
  <c r="AU383" i="9"/>
  <c r="AU18" i="9"/>
  <c r="AU44" i="9"/>
  <c r="AU60" i="9"/>
  <c r="AU368" i="9"/>
  <c r="AU384" i="9"/>
  <c r="AU9" i="9"/>
  <c r="AU25" i="9"/>
  <c r="AU45" i="9"/>
  <c r="AU61" i="9"/>
  <c r="AU377" i="9"/>
  <c r="AU16" i="9"/>
  <c r="AU27" i="9"/>
  <c r="AU46" i="9"/>
  <c r="AU62" i="9"/>
  <c r="AU370" i="9"/>
  <c r="AU15" i="9"/>
  <c r="AU30" i="9"/>
  <c r="AU57" i="9"/>
  <c r="AU381" i="9"/>
  <c r="AU20" i="9"/>
  <c r="AU28" i="9"/>
  <c r="AU38" i="9"/>
  <c r="AU47" i="9"/>
  <c r="AU55" i="9"/>
  <c r="AU63" i="9"/>
  <c r="AU371" i="9"/>
  <c r="AU379" i="9"/>
  <c r="AU22" i="9"/>
  <c r="AU14" i="9"/>
  <c r="AU6" i="9"/>
  <c r="AU29" i="9"/>
  <c r="AU39" i="9"/>
  <c r="AU48" i="9"/>
  <c r="AU56" i="9"/>
  <c r="AU64" i="9"/>
  <c r="AU372" i="9"/>
  <c r="AU380" i="9"/>
  <c r="AU21" i="9"/>
  <c r="AU13" i="9"/>
  <c r="AU5" i="9"/>
  <c r="AU41" i="9"/>
  <c r="AU365" i="9"/>
  <c r="BE512" i="9"/>
  <c r="BE272" i="9"/>
  <c r="BE550" i="9"/>
  <c r="BE589" i="9"/>
  <c r="BE604" i="9"/>
  <c r="BE318" i="9"/>
  <c r="BE254" i="9"/>
  <c r="AU34" i="9"/>
  <c r="AU26" i="9"/>
  <c r="AU40" i="9"/>
  <c r="A65" i="9"/>
  <c r="A73" i="9"/>
  <c r="A81" i="9"/>
  <c r="F6" i="30"/>
  <c r="F7" i="30"/>
  <c r="F9" i="30"/>
  <c r="F10" i="30"/>
  <c r="A10" i="30" s="1"/>
  <c r="F11" i="30"/>
  <c r="A11" i="30" s="1"/>
  <c r="AU418" i="9"/>
  <c r="F12" i="30"/>
  <c r="A12" i="30" s="1"/>
  <c r="F13" i="30"/>
  <c r="A13" i="30" s="1"/>
  <c r="F14" i="30"/>
  <c r="A14" i="30" s="1"/>
  <c r="F15" i="30"/>
  <c r="A15" i="30" s="1"/>
  <c r="F17" i="30"/>
  <c r="A17" i="30" s="1"/>
  <c r="F18" i="30"/>
  <c r="A18" i="30" s="1"/>
  <c r="F19" i="30"/>
  <c r="A19" i="30" s="1"/>
  <c r="F20" i="30"/>
  <c r="A20" i="30" s="1"/>
  <c r="BE525" i="9" s="1"/>
  <c r="A39" i="30"/>
  <c r="A40" i="30"/>
  <c r="A42" i="30"/>
  <c r="A44" i="30"/>
  <c r="A52" i="30"/>
  <c r="A53" i="30"/>
  <c r="A54" i="30"/>
  <c r="A55" i="30"/>
  <c r="A56" i="30"/>
  <c r="A57" i="30"/>
  <c r="F5" i="30"/>
  <c r="A41" i="30"/>
  <c r="A43" i="30"/>
  <c r="A51" i="30"/>
  <c r="AH604" i="9"/>
  <c r="AH603" i="9"/>
  <c r="AH602" i="9"/>
  <c r="AH601" i="9"/>
  <c r="AH600" i="9"/>
  <c r="AH599" i="9"/>
  <c r="AH598" i="9"/>
  <c r="AH597" i="9"/>
  <c r="AH596" i="9"/>
  <c r="AH595" i="9"/>
  <c r="AH594" i="9"/>
  <c r="AH593" i="9"/>
  <c r="AH592" i="9"/>
  <c r="AH591" i="9"/>
  <c r="AH590" i="9"/>
  <c r="AH589" i="9"/>
  <c r="AH588" i="9"/>
  <c r="AH587" i="9"/>
  <c r="AH586" i="9"/>
  <c r="AH585" i="9"/>
  <c r="AH584" i="9"/>
  <c r="AH583" i="9"/>
  <c r="AH582" i="9"/>
  <c r="AH581" i="9"/>
  <c r="AH580" i="9"/>
  <c r="AH579" i="9"/>
  <c r="AH578" i="9"/>
  <c r="AH577" i="9"/>
  <c r="AH576" i="9"/>
  <c r="AH575" i="9"/>
  <c r="AH574" i="9"/>
  <c r="AH573" i="9"/>
  <c r="AH572" i="9"/>
  <c r="AH571" i="9"/>
  <c r="AH570" i="9"/>
  <c r="AH569" i="9"/>
  <c r="AH568" i="9"/>
  <c r="AH567" i="9"/>
  <c r="AH566" i="9"/>
  <c r="AH565" i="9"/>
  <c r="AH564" i="9"/>
  <c r="AH563" i="9"/>
  <c r="AH562" i="9"/>
  <c r="AH561" i="9"/>
  <c r="AH560" i="9"/>
  <c r="AH559" i="9"/>
  <c r="AH558" i="9"/>
  <c r="AH557" i="9"/>
  <c r="AH556" i="9"/>
  <c r="AH555" i="9"/>
  <c r="AH554" i="9"/>
  <c r="AH553" i="9"/>
  <c r="AH552" i="9"/>
  <c r="AH551" i="9"/>
  <c r="AH550" i="9"/>
  <c r="AH549" i="9"/>
  <c r="AH548" i="9"/>
  <c r="AH547" i="9"/>
  <c r="AH546" i="9"/>
  <c r="AH545" i="9"/>
  <c r="AH544" i="9"/>
  <c r="AH543" i="9"/>
  <c r="AH542" i="9"/>
  <c r="AH541" i="9"/>
  <c r="AH540" i="9"/>
  <c r="AH539" i="9"/>
  <c r="AH538" i="9"/>
  <c r="AH537" i="9"/>
  <c r="AH536" i="9"/>
  <c r="AH535" i="9"/>
  <c r="AH534" i="9"/>
  <c r="AH533" i="9"/>
  <c r="AH532" i="9"/>
  <c r="AH531" i="9"/>
  <c r="AH530" i="9"/>
  <c r="AH529" i="9"/>
  <c r="AH528" i="9"/>
  <c r="AH527" i="9"/>
  <c r="AH526" i="9"/>
  <c r="AH525" i="9"/>
  <c r="AH524" i="9"/>
  <c r="AH523" i="9"/>
  <c r="AH522" i="9"/>
  <c r="AH521" i="9"/>
  <c r="AH520" i="9"/>
  <c r="AH519" i="9"/>
  <c r="AH518" i="9"/>
  <c r="AH517" i="9"/>
  <c r="AH516" i="9"/>
  <c r="AH515" i="9"/>
  <c r="AH514" i="9"/>
  <c r="AH513" i="9"/>
  <c r="AH512" i="9"/>
  <c r="AH511" i="9"/>
  <c r="AH510" i="9"/>
  <c r="AH509" i="9"/>
  <c r="AH508" i="9"/>
  <c r="AH507" i="9"/>
  <c r="AH506" i="9"/>
  <c r="AH505" i="9"/>
  <c r="AH504" i="9"/>
  <c r="AH503" i="9"/>
  <c r="AH502" i="9"/>
  <c r="AH501" i="9"/>
  <c r="AH500" i="9"/>
  <c r="AH499" i="9"/>
  <c r="AH498" i="9"/>
  <c r="AH497" i="9"/>
  <c r="AH496" i="9"/>
  <c r="AH495" i="9"/>
  <c r="AH494" i="9"/>
  <c r="AH493" i="9"/>
  <c r="AH492" i="9"/>
  <c r="AH491" i="9"/>
  <c r="AH490" i="9"/>
  <c r="AH489" i="9"/>
  <c r="AH488" i="9"/>
  <c r="AH487" i="9"/>
  <c r="AH486" i="9"/>
  <c r="AH485" i="9"/>
  <c r="AH484" i="9"/>
  <c r="AH483" i="9"/>
  <c r="AH482" i="9"/>
  <c r="AH481" i="9"/>
  <c r="AH480" i="9"/>
  <c r="AH479" i="9"/>
  <c r="AH478" i="9"/>
  <c r="AH477" i="9"/>
  <c r="AH476" i="9"/>
  <c r="AH475" i="9"/>
  <c r="AH474" i="9"/>
  <c r="AH473" i="9"/>
  <c r="AH472" i="9"/>
  <c r="AH471" i="9"/>
  <c r="AH470" i="9"/>
  <c r="AH469" i="9"/>
  <c r="AH468" i="9"/>
  <c r="AH467" i="9"/>
  <c r="AH466" i="9"/>
  <c r="AH465" i="9"/>
  <c r="AH464" i="9"/>
  <c r="AH463" i="9"/>
  <c r="AH462" i="9"/>
  <c r="AH461" i="9"/>
  <c r="AH460" i="9"/>
  <c r="AH459" i="9"/>
  <c r="AH458" i="9"/>
  <c r="AH457" i="9"/>
  <c r="AH456" i="9"/>
  <c r="AH455" i="9"/>
  <c r="AH454" i="9"/>
  <c r="AH453" i="9"/>
  <c r="AH452" i="9"/>
  <c r="AH451" i="9"/>
  <c r="AH450" i="9"/>
  <c r="AH449" i="9"/>
  <c r="AH448" i="9"/>
  <c r="AH447" i="9"/>
  <c r="AH446" i="9"/>
  <c r="AH445" i="9"/>
  <c r="AH444" i="9"/>
  <c r="AH443" i="9"/>
  <c r="AH442" i="9"/>
  <c r="AH441" i="9"/>
  <c r="AH440" i="9"/>
  <c r="AH439" i="9"/>
  <c r="AH438" i="9"/>
  <c r="AH437" i="9"/>
  <c r="AH436" i="9"/>
  <c r="AH435" i="9"/>
  <c r="AH434" i="9"/>
  <c r="AH433" i="9"/>
  <c r="AH432" i="9"/>
  <c r="AH431" i="9"/>
  <c r="AH430" i="9"/>
  <c r="AH429" i="9"/>
  <c r="AH428" i="9"/>
  <c r="AH427" i="9"/>
  <c r="AH426" i="9"/>
  <c r="AH425" i="9"/>
  <c r="AH424" i="9"/>
  <c r="AH423" i="9"/>
  <c r="AH422" i="9"/>
  <c r="AH421" i="9"/>
  <c r="AH420" i="9"/>
  <c r="AH419" i="9"/>
  <c r="AH418" i="9"/>
  <c r="AH417" i="9"/>
  <c r="AH416" i="9"/>
  <c r="AH415" i="9"/>
  <c r="AH414" i="9"/>
  <c r="AH413" i="9"/>
  <c r="AH412" i="9"/>
  <c r="AH411" i="9"/>
  <c r="AH410" i="9"/>
  <c r="AH409" i="9"/>
  <c r="AH408" i="9"/>
  <c r="AH407" i="9"/>
  <c r="AH406" i="9"/>
  <c r="AH405" i="9"/>
  <c r="AH404" i="9"/>
  <c r="AH403" i="9"/>
  <c r="AH402" i="9"/>
  <c r="AH401" i="9"/>
  <c r="AH400" i="9"/>
  <c r="AH399" i="9"/>
  <c r="AH398" i="9"/>
  <c r="AH397" i="9"/>
  <c r="AH396" i="9"/>
  <c r="AH395" i="9"/>
  <c r="AH394" i="9"/>
  <c r="AH393" i="9"/>
  <c r="AH392" i="9"/>
  <c r="AH391" i="9"/>
  <c r="AH390" i="9"/>
  <c r="AH389" i="9"/>
  <c r="AH388" i="9"/>
  <c r="AH387" i="9"/>
  <c r="AH386" i="9"/>
  <c r="AH385" i="9"/>
  <c r="AH384" i="9"/>
  <c r="AH383" i="9"/>
  <c r="AH382" i="9"/>
  <c r="AH381" i="9"/>
  <c r="AH380" i="9"/>
  <c r="AH379" i="9"/>
  <c r="AH378" i="9"/>
  <c r="AH377" i="9"/>
  <c r="AH376" i="9"/>
  <c r="AH375" i="9"/>
  <c r="AH374" i="9"/>
  <c r="AH373" i="9"/>
  <c r="AH372" i="9"/>
  <c r="AH371" i="9"/>
  <c r="AH370" i="9"/>
  <c r="AH369" i="9"/>
  <c r="AH368" i="9"/>
  <c r="AH367" i="9"/>
  <c r="AH366" i="9"/>
  <c r="AH365" i="9"/>
  <c r="AH364" i="9"/>
  <c r="AH363" i="9"/>
  <c r="AH362" i="9"/>
  <c r="AH361" i="9"/>
  <c r="AH360" i="9"/>
  <c r="AH359" i="9"/>
  <c r="AH358" i="9"/>
  <c r="AH357" i="9"/>
  <c r="AH356" i="9"/>
  <c r="AH355" i="9"/>
  <c r="AH354" i="9"/>
  <c r="AH353" i="9"/>
  <c r="AH352" i="9"/>
  <c r="AH351" i="9"/>
  <c r="AH350" i="9"/>
  <c r="AH349" i="9"/>
  <c r="AH348" i="9"/>
  <c r="AH347" i="9"/>
  <c r="AH346" i="9"/>
  <c r="AH345" i="9"/>
  <c r="AH344" i="9"/>
  <c r="AH343" i="9"/>
  <c r="AH342" i="9"/>
  <c r="AH341" i="9"/>
  <c r="AH340" i="9"/>
  <c r="AH339" i="9"/>
  <c r="AH338" i="9"/>
  <c r="AH337" i="9"/>
  <c r="AH336" i="9"/>
  <c r="AH335" i="9"/>
  <c r="AH334" i="9"/>
  <c r="AH333" i="9"/>
  <c r="AH332" i="9"/>
  <c r="AH331" i="9"/>
  <c r="AH330" i="9"/>
  <c r="AH329" i="9"/>
  <c r="AH328" i="9"/>
  <c r="AH327" i="9"/>
  <c r="AH326" i="9"/>
  <c r="AH325" i="9"/>
  <c r="AH324" i="9"/>
  <c r="AH323" i="9"/>
  <c r="AH322" i="9"/>
  <c r="AH321" i="9"/>
  <c r="AH320" i="9"/>
  <c r="AH319" i="9"/>
  <c r="AH318" i="9"/>
  <c r="AH317" i="9"/>
  <c r="AH316" i="9"/>
  <c r="AH315" i="9"/>
  <c r="AH314" i="9"/>
  <c r="AH313" i="9"/>
  <c r="AH312" i="9"/>
  <c r="AH311" i="9"/>
  <c r="AH310" i="9"/>
  <c r="AH309" i="9"/>
  <c r="AH308" i="9"/>
  <c r="AH307" i="9"/>
  <c r="AH306" i="9"/>
  <c r="AH305" i="9"/>
  <c r="AH304" i="9"/>
  <c r="AH303" i="9"/>
  <c r="AH302" i="9"/>
  <c r="AH301" i="9"/>
  <c r="AH300" i="9"/>
  <c r="AH299" i="9"/>
  <c r="AH298" i="9"/>
  <c r="AH297" i="9"/>
  <c r="AH296" i="9"/>
  <c r="AH295" i="9"/>
  <c r="AH294" i="9"/>
  <c r="AH293" i="9"/>
  <c r="AH292" i="9"/>
  <c r="AH291" i="9"/>
  <c r="AH290" i="9"/>
  <c r="AH289" i="9"/>
  <c r="AH288" i="9"/>
  <c r="AH287" i="9"/>
  <c r="AH286" i="9"/>
  <c r="AH285" i="9"/>
  <c r="AZ185" i="9" l="1"/>
  <c r="AZ205" i="9"/>
  <c r="U417" i="9"/>
  <c r="U409" i="9"/>
  <c r="X369" i="9"/>
  <c r="X377" i="9"/>
  <c r="U423" i="9"/>
  <c r="U407" i="9"/>
  <c r="X379" i="9"/>
  <c r="X365" i="9"/>
  <c r="X381" i="9"/>
  <c r="U412" i="9"/>
  <c r="X374" i="9"/>
  <c r="X375" i="9"/>
  <c r="U410" i="9"/>
  <c r="X368" i="9"/>
  <c r="U424" i="9"/>
  <c r="U416" i="9"/>
  <c r="U408" i="9"/>
  <c r="X370" i="9"/>
  <c r="X378" i="9"/>
  <c r="U415" i="9"/>
  <c r="X371" i="9"/>
  <c r="X382" i="9"/>
  <c r="U419" i="9"/>
  <c r="X367" i="9"/>
  <c r="X376" i="9"/>
  <c r="U422" i="9"/>
  <c r="U414" i="9"/>
  <c r="U406" i="9"/>
  <c r="X372" i="9"/>
  <c r="X380" i="9"/>
  <c r="U421" i="9"/>
  <c r="U413" i="9"/>
  <c r="U405" i="9"/>
  <c r="X373" i="9"/>
  <c r="U420" i="9"/>
  <c r="X366" i="9"/>
  <c r="U411" i="9"/>
  <c r="X383" i="9"/>
  <c r="U418" i="9"/>
  <c r="X384" i="9"/>
  <c r="AU223" i="9"/>
  <c r="AU224" i="9"/>
  <c r="X385" i="9"/>
  <c r="X393" i="9"/>
  <c r="X401" i="9"/>
  <c r="X387" i="9"/>
  <c r="X403" i="9"/>
  <c r="X389" i="9"/>
  <c r="X390" i="9"/>
  <c r="X399" i="9"/>
  <c r="X400" i="9"/>
  <c r="X386" i="9"/>
  <c r="X394" i="9"/>
  <c r="X402" i="9"/>
  <c r="X395" i="9"/>
  <c r="X388" i="9"/>
  <c r="X396" i="9"/>
  <c r="X404" i="9"/>
  <c r="X397" i="9"/>
  <c r="X398" i="9"/>
  <c r="X391" i="9"/>
  <c r="X392" i="9"/>
  <c r="X409" i="9"/>
  <c r="X417" i="9"/>
  <c r="X420" i="9"/>
  <c r="X405" i="9"/>
  <c r="X406" i="9"/>
  <c r="X415" i="9"/>
  <c r="X408" i="9"/>
  <c r="X410" i="9"/>
  <c r="X418" i="9"/>
  <c r="X412" i="9"/>
  <c r="X421" i="9"/>
  <c r="X414" i="9"/>
  <c r="X424" i="9"/>
  <c r="X411" i="9"/>
  <c r="X419" i="9"/>
  <c r="X413" i="9"/>
  <c r="X422" i="9"/>
  <c r="X407" i="9"/>
  <c r="X423" i="9"/>
  <c r="X416" i="9"/>
  <c r="AU220" i="9"/>
  <c r="AP223" i="9"/>
  <c r="AU217" i="9"/>
  <c r="AP224" i="9"/>
  <c r="AU216" i="9"/>
  <c r="AU221" i="9"/>
  <c r="AU218" i="9"/>
  <c r="AU219" i="9"/>
  <c r="AU222" i="9"/>
  <c r="X358" i="9"/>
  <c r="X351" i="9"/>
  <c r="X359" i="9"/>
  <c r="X362" i="9"/>
  <c r="X363" i="9"/>
  <c r="X357" i="9"/>
  <c r="X350" i="9"/>
  <c r="X352" i="9"/>
  <c r="X360" i="9"/>
  <c r="X354" i="9"/>
  <c r="X347" i="9"/>
  <c r="X356" i="9"/>
  <c r="X349" i="9"/>
  <c r="X345" i="9"/>
  <c r="X353" i="9"/>
  <c r="X361" i="9"/>
  <c r="X346" i="9"/>
  <c r="X355" i="9"/>
  <c r="X348" i="9"/>
  <c r="X364" i="9"/>
  <c r="X329" i="9"/>
  <c r="X337" i="9"/>
  <c r="X331" i="9"/>
  <c r="X332" i="9"/>
  <c r="X333" i="9"/>
  <c r="X326" i="9"/>
  <c r="X343" i="9"/>
  <c r="X328" i="9"/>
  <c r="X330" i="9"/>
  <c r="X338" i="9"/>
  <c r="X339" i="9"/>
  <c r="X340" i="9"/>
  <c r="X325" i="9"/>
  <c r="X342" i="9"/>
  <c r="X335" i="9"/>
  <c r="X344" i="9"/>
  <c r="X341" i="9"/>
  <c r="X334" i="9"/>
  <c r="X327" i="9"/>
  <c r="X336" i="9"/>
  <c r="X89" i="9"/>
  <c r="X97" i="9"/>
  <c r="X102" i="9"/>
  <c r="X95" i="9"/>
  <c r="X88" i="9"/>
  <c r="X90" i="9"/>
  <c r="X98" i="9"/>
  <c r="X91" i="9"/>
  <c r="X99" i="9"/>
  <c r="X94" i="9"/>
  <c r="X103" i="9"/>
  <c r="X96" i="9"/>
  <c r="X92" i="9"/>
  <c r="X100" i="9"/>
  <c r="X85" i="9"/>
  <c r="X93" i="9"/>
  <c r="X101" i="9"/>
  <c r="X86" i="9"/>
  <c r="X87" i="9"/>
  <c r="X104" i="9"/>
  <c r="U101" i="9"/>
  <c r="U93" i="9"/>
  <c r="U85" i="9"/>
  <c r="X109" i="9"/>
  <c r="X117" i="9"/>
  <c r="U91" i="9"/>
  <c r="X119" i="9"/>
  <c r="X106" i="9"/>
  <c r="U95" i="9"/>
  <c r="U86" i="9"/>
  <c r="U100" i="9"/>
  <c r="U92" i="9"/>
  <c r="X110" i="9"/>
  <c r="X118" i="9"/>
  <c r="U99" i="9"/>
  <c r="X111" i="9"/>
  <c r="U88" i="9"/>
  <c r="U87" i="9"/>
  <c r="X107" i="9"/>
  <c r="U94" i="9"/>
  <c r="X108" i="9"/>
  <c r="U98" i="9"/>
  <c r="U90" i="9"/>
  <c r="X112" i="9"/>
  <c r="X120" i="9"/>
  <c r="U97" i="9"/>
  <c r="X105" i="9"/>
  <c r="X121" i="9"/>
  <c r="U104" i="9"/>
  <c r="X122" i="9"/>
  <c r="U103" i="9"/>
  <c r="X115" i="9"/>
  <c r="X116" i="9"/>
  <c r="U89" i="9"/>
  <c r="X113" i="9"/>
  <c r="U96" i="9"/>
  <c r="X114" i="9"/>
  <c r="X123" i="9"/>
  <c r="U102" i="9"/>
  <c r="X124" i="9"/>
  <c r="AP222" i="9"/>
  <c r="AP217" i="9"/>
  <c r="AP212" i="9"/>
  <c r="AP206" i="9"/>
  <c r="AP219" i="9"/>
  <c r="AP213" i="9"/>
  <c r="AP208" i="9"/>
  <c r="AP209" i="9"/>
  <c r="AP221" i="9"/>
  <c r="AP211" i="9"/>
  <c r="AP218" i="9"/>
  <c r="AP207" i="9"/>
  <c r="AP215" i="9"/>
  <c r="AP210" i="9"/>
  <c r="AP205" i="9"/>
  <c r="AP216" i="9"/>
  <c r="AP220" i="9"/>
  <c r="AP214" i="9"/>
  <c r="U357" i="9"/>
  <c r="U349" i="9"/>
  <c r="U354" i="9"/>
  <c r="U353" i="9"/>
  <c r="U350" i="9"/>
  <c r="U364" i="9"/>
  <c r="U356" i="9"/>
  <c r="U348" i="9"/>
  <c r="U346" i="9"/>
  <c r="U361" i="9"/>
  <c r="U352" i="9"/>
  <c r="U359" i="9"/>
  <c r="U358" i="9"/>
  <c r="U363" i="9"/>
  <c r="U355" i="9"/>
  <c r="U347" i="9"/>
  <c r="U362" i="9"/>
  <c r="U345" i="9"/>
  <c r="U360" i="9"/>
  <c r="U351" i="9"/>
  <c r="U341" i="9"/>
  <c r="U333" i="9"/>
  <c r="U325" i="9"/>
  <c r="U339" i="9"/>
  <c r="U328" i="9"/>
  <c r="U343" i="9"/>
  <c r="U342" i="9"/>
  <c r="U340" i="9"/>
  <c r="U332" i="9"/>
  <c r="U331" i="9"/>
  <c r="U336" i="9"/>
  <c r="U327" i="9"/>
  <c r="U334" i="9"/>
  <c r="U338" i="9"/>
  <c r="U330" i="9"/>
  <c r="U337" i="9"/>
  <c r="U329" i="9"/>
  <c r="U344" i="9"/>
  <c r="U335" i="9"/>
  <c r="U326" i="9"/>
  <c r="U121" i="9"/>
  <c r="U113" i="9"/>
  <c r="U105" i="9"/>
  <c r="U118" i="9"/>
  <c r="U120" i="9"/>
  <c r="U112" i="9"/>
  <c r="U117" i="9"/>
  <c r="U106" i="9"/>
  <c r="U119" i="9"/>
  <c r="U111" i="9"/>
  <c r="U110" i="9"/>
  <c r="U109" i="9"/>
  <c r="U114" i="9"/>
  <c r="U124" i="9"/>
  <c r="U116" i="9"/>
  <c r="U108" i="9"/>
  <c r="U123" i="9"/>
  <c r="U115" i="9"/>
  <c r="U107" i="9"/>
  <c r="U122" i="9"/>
  <c r="U401" i="9"/>
  <c r="U393" i="9"/>
  <c r="U385" i="9"/>
  <c r="U399" i="9"/>
  <c r="U388" i="9"/>
  <c r="U387" i="9"/>
  <c r="U394" i="9"/>
  <c r="U400" i="9"/>
  <c r="U392" i="9"/>
  <c r="U391" i="9"/>
  <c r="U396" i="9"/>
  <c r="U395" i="9"/>
  <c r="U398" i="9"/>
  <c r="U390" i="9"/>
  <c r="U397" i="9"/>
  <c r="U389" i="9"/>
  <c r="U404" i="9"/>
  <c r="U403" i="9"/>
  <c r="U402" i="9"/>
  <c r="U386" i="9"/>
  <c r="X170" i="9"/>
  <c r="X178" i="9"/>
  <c r="X181" i="9"/>
  <c r="X182" i="9"/>
  <c r="X183" i="9"/>
  <c r="X168" i="9"/>
  <c r="X169" i="9"/>
  <c r="X171" i="9"/>
  <c r="X179" i="9"/>
  <c r="X165" i="9"/>
  <c r="X174" i="9"/>
  <c r="X175" i="9"/>
  <c r="X184" i="9"/>
  <c r="X177" i="9"/>
  <c r="X172" i="9"/>
  <c r="X180" i="9"/>
  <c r="X173" i="9"/>
  <c r="X166" i="9"/>
  <c r="X167" i="9"/>
  <c r="X176" i="9"/>
  <c r="AF66" i="9"/>
  <c r="AF83" i="9"/>
  <c r="AU197" i="9"/>
  <c r="AP203" i="9"/>
  <c r="AU201" i="9"/>
  <c r="AU199" i="9"/>
  <c r="AU202" i="9"/>
  <c r="AU200" i="9"/>
  <c r="AU198" i="9"/>
  <c r="AU196" i="9"/>
  <c r="AP204" i="9"/>
  <c r="AP195" i="9"/>
  <c r="AP187" i="9"/>
  <c r="AP201" i="9"/>
  <c r="AP193" i="9"/>
  <c r="AP185" i="9"/>
  <c r="AP200" i="9"/>
  <c r="AP198" i="9"/>
  <c r="AP196" i="9"/>
  <c r="AP190" i="9"/>
  <c r="AP188" i="9"/>
  <c r="AP202" i="9"/>
  <c r="AP194" i="9"/>
  <c r="AP186" i="9"/>
  <c r="AP197" i="9"/>
  <c r="AP189" i="9"/>
  <c r="AP199" i="9"/>
  <c r="AP191" i="9"/>
  <c r="AP192" i="9"/>
  <c r="AU203" i="9"/>
  <c r="AU204" i="9"/>
  <c r="AF69" i="9"/>
  <c r="AF80" i="9"/>
  <c r="AF78" i="9"/>
  <c r="AF70" i="9"/>
  <c r="AF73" i="9"/>
  <c r="AU79" i="9"/>
  <c r="AU81" i="9"/>
  <c r="AU80" i="9"/>
  <c r="AU82" i="9"/>
  <c r="AU83" i="9"/>
  <c r="AU84" i="9"/>
  <c r="AU78" i="9"/>
  <c r="BE565" i="9"/>
  <c r="BE545" i="9"/>
  <c r="BE585" i="9"/>
  <c r="AP379" i="9"/>
  <c r="AP381" i="9"/>
  <c r="AP383" i="9"/>
  <c r="AP380" i="9"/>
  <c r="AP384" i="9"/>
  <c r="AP382" i="9"/>
  <c r="AU103" i="9"/>
  <c r="AU119" i="9"/>
  <c r="AU241" i="9"/>
  <c r="AU283" i="9"/>
  <c r="AU102" i="9"/>
  <c r="AU104" i="9"/>
  <c r="AU120" i="9"/>
  <c r="AU240" i="9"/>
  <c r="AU121" i="9"/>
  <c r="AU99" i="9"/>
  <c r="AU100" i="9"/>
  <c r="AU244" i="9"/>
  <c r="AU284" i="9"/>
  <c r="AU122" i="9"/>
  <c r="AU242" i="9"/>
  <c r="AU282" i="9"/>
  <c r="AU123" i="9"/>
  <c r="AU243" i="9"/>
  <c r="AU124" i="9"/>
  <c r="AU101" i="9"/>
  <c r="AZ45" i="9"/>
  <c r="AZ85" i="9"/>
  <c r="AZ125" i="9"/>
  <c r="AZ165" i="9"/>
  <c r="AZ245" i="9"/>
  <c r="AZ285" i="9"/>
  <c r="AZ325" i="9"/>
  <c r="AZ365" i="9"/>
  <c r="AZ385" i="9"/>
  <c r="AZ425" i="9"/>
  <c r="AZ465" i="9"/>
  <c r="AZ505" i="9"/>
  <c r="AZ545" i="9"/>
  <c r="AZ585" i="9"/>
  <c r="AZ5" i="9"/>
  <c r="AZ25" i="9"/>
  <c r="AZ65" i="9"/>
  <c r="AZ105" i="9"/>
  <c r="AZ145" i="9"/>
  <c r="AZ225" i="9"/>
  <c r="AZ265" i="9"/>
  <c r="AZ305" i="9"/>
  <c r="AZ345" i="9"/>
  <c r="AZ405" i="9"/>
  <c r="AZ445" i="9"/>
  <c r="AZ485" i="9"/>
  <c r="AZ525" i="9"/>
  <c r="AZ565" i="9"/>
  <c r="AU87" i="9"/>
  <c r="AU95" i="9"/>
  <c r="AU111" i="9"/>
  <c r="AU231" i="9"/>
  <c r="AU239" i="9"/>
  <c r="AU271" i="9"/>
  <c r="AU279" i="9"/>
  <c r="AU113" i="9"/>
  <c r="AU225" i="9"/>
  <c r="AU273" i="9"/>
  <c r="AU91" i="9"/>
  <c r="AU107" i="9"/>
  <c r="AU115" i="9"/>
  <c r="AU227" i="9"/>
  <c r="AU267" i="9"/>
  <c r="AU92" i="9"/>
  <c r="AU108" i="9"/>
  <c r="AU116" i="9"/>
  <c r="AU236" i="9"/>
  <c r="AU276" i="9"/>
  <c r="AU93" i="9"/>
  <c r="AU117" i="9"/>
  <c r="AU229" i="9"/>
  <c r="AU86" i="9"/>
  <c r="AU278" i="9"/>
  <c r="AU88" i="9"/>
  <c r="AU96" i="9"/>
  <c r="AU112" i="9"/>
  <c r="AU232" i="9"/>
  <c r="AU272" i="9"/>
  <c r="AU280" i="9"/>
  <c r="AU89" i="9"/>
  <c r="AU97" i="9"/>
  <c r="AU105" i="9"/>
  <c r="AU233" i="9"/>
  <c r="AU265" i="9"/>
  <c r="AU281" i="9"/>
  <c r="AU235" i="9"/>
  <c r="AU275" i="9"/>
  <c r="AU85" i="9"/>
  <c r="AU109" i="9"/>
  <c r="AU277" i="9"/>
  <c r="AU94" i="9"/>
  <c r="AU110" i="9"/>
  <c r="AU230" i="9"/>
  <c r="AU90" i="9"/>
  <c r="AU98" i="9"/>
  <c r="AU106" i="9"/>
  <c r="AU114" i="9"/>
  <c r="AU226" i="9"/>
  <c r="AU234" i="9"/>
  <c r="AU266" i="9"/>
  <c r="AU274" i="9"/>
  <c r="AU228" i="9"/>
  <c r="AU268" i="9"/>
  <c r="AU237" i="9"/>
  <c r="AU269" i="9"/>
  <c r="AU118" i="9"/>
  <c r="AU238" i="9"/>
  <c r="AU270" i="9"/>
  <c r="BE485" i="9"/>
  <c r="BE465" i="9"/>
  <c r="BE505" i="9"/>
  <c r="AU71" i="9"/>
  <c r="AU65" i="9"/>
  <c r="AU67" i="9"/>
  <c r="AU68" i="9"/>
  <c r="AU77" i="9"/>
  <c r="AU72" i="9"/>
  <c r="AU73" i="9"/>
  <c r="AU75" i="9"/>
  <c r="AU76" i="9"/>
  <c r="AU70" i="9"/>
  <c r="AU66" i="9"/>
  <c r="AU74" i="9"/>
  <c r="AU69" i="9"/>
  <c r="AU329" i="9"/>
  <c r="AU337" i="9"/>
  <c r="AU345" i="9"/>
  <c r="AU353" i="9"/>
  <c r="AU361" i="9"/>
  <c r="AU389" i="9"/>
  <c r="AU397" i="9"/>
  <c r="AU330" i="9"/>
  <c r="AU338" i="9"/>
  <c r="AU346" i="9"/>
  <c r="AU354" i="9"/>
  <c r="AU362" i="9"/>
  <c r="AU390" i="9"/>
  <c r="AU398" i="9"/>
  <c r="AU331" i="9"/>
  <c r="AU339" i="9"/>
  <c r="AU347" i="9"/>
  <c r="AU355" i="9"/>
  <c r="AU363" i="9"/>
  <c r="AU391" i="9"/>
  <c r="AU399" i="9"/>
  <c r="AU332" i="9"/>
  <c r="AU340" i="9"/>
  <c r="AU348" i="9"/>
  <c r="AU356" i="9"/>
  <c r="AU364" i="9"/>
  <c r="AU392" i="9"/>
  <c r="AU400" i="9"/>
  <c r="AU325" i="9"/>
  <c r="AU333" i="9"/>
  <c r="AU341" i="9"/>
  <c r="AU349" i="9"/>
  <c r="AU357" i="9"/>
  <c r="AU385" i="9"/>
  <c r="AU393" i="9"/>
  <c r="AU401" i="9"/>
  <c r="AU326" i="9"/>
  <c r="AU334" i="9"/>
  <c r="AU342" i="9"/>
  <c r="AU350" i="9"/>
  <c r="AU358" i="9"/>
  <c r="AU386" i="9"/>
  <c r="AU394" i="9"/>
  <c r="AU402" i="9"/>
  <c r="AU327" i="9"/>
  <c r="AU335" i="9"/>
  <c r="AU343" i="9"/>
  <c r="AU351" i="9"/>
  <c r="AU359" i="9"/>
  <c r="AU387" i="9"/>
  <c r="AU395" i="9"/>
  <c r="AU403" i="9"/>
  <c r="AU360" i="9"/>
  <c r="AU388" i="9"/>
  <c r="AU396" i="9"/>
  <c r="AU404" i="9"/>
  <c r="AU328" i="9"/>
  <c r="AU336" i="9"/>
  <c r="AU344" i="9"/>
  <c r="AU352" i="9"/>
  <c r="AU405" i="9"/>
  <c r="AU413" i="9"/>
  <c r="AU421" i="9"/>
  <c r="AU406" i="9"/>
  <c r="AU414" i="9"/>
  <c r="AU422" i="9"/>
  <c r="AU407" i="9"/>
  <c r="AU415" i="9"/>
  <c r="AU423" i="9"/>
  <c r="AU408" i="9"/>
  <c r="AU416" i="9"/>
  <c r="AU424" i="9"/>
  <c r="AU409" i="9"/>
  <c r="AU417" i="9"/>
  <c r="AU410" i="9"/>
  <c r="AU411" i="9"/>
  <c r="AU419" i="9"/>
  <c r="AU412" i="9"/>
  <c r="AU420" i="9"/>
  <c r="AP127" i="9"/>
  <c r="AP135" i="9"/>
  <c r="AP143" i="9"/>
  <c r="AP327" i="9"/>
  <c r="AP335" i="9"/>
  <c r="AP343" i="9"/>
  <c r="AP435" i="9"/>
  <c r="AP443" i="9"/>
  <c r="AP130" i="9"/>
  <c r="AP338" i="9"/>
  <c r="AP128" i="9"/>
  <c r="AP136" i="9"/>
  <c r="AP144" i="9"/>
  <c r="AP328" i="9"/>
  <c r="AP336" i="9"/>
  <c r="AP344" i="9"/>
  <c r="AP436" i="9"/>
  <c r="AP444" i="9"/>
  <c r="AP330" i="9"/>
  <c r="AP129" i="9"/>
  <c r="AP137" i="9"/>
  <c r="AP329" i="9"/>
  <c r="AP337" i="9"/>
  <c r="AP437" i="9"/>
  <c r="AP138" i="9"/>
  <c r="AP438" i="9"/>
  <c r="AP131" i="9"/>
  <c r="AP139" i="9"/>
  <c r="AP331" i="9"/>
  <c r="AP339" i="9"/>
  <c r="AP439" i="9"/>
  <c r="AP126" i="9"/>
  <c r="AP340" i="9"/>
  <c r="AP442" i="9"/>
  <c r="AP134" i="9"/>
  <c r="AP432" i="9"/>
  <c r="AP326" i="9"/>
  <c r="AP433" i="9"/>
  <c r="AP334" i="9"/>
  <c r="AP132" i="9"/>
  <c r="AP341" i="9"/>
  <c r="AP133" i="9"/>
  <c r="AP342" i="9"/>
  <c r="AP325" i="9"/>
  <c r="AP140" i="9"/>
  <c r="AP141" i="9"/>
  <c r="AP332" i="9"/>
  <c r="AP434" i="9"/>
  <c r="AP142" i="9"/>
  <c r="AP333" i="9"/>
  <c r="AP440" i="9"/>
  <c r="AP125" i="9"/>
  <c r="AP441" i="9"/>
  <c r="AP151" i="9"/>
  <c r="AP159" i="9"/>
  <c r="AP167" i="9"/>
  <c r="AP175" i="9"/>
  <c r="AP183" i="9"/>
  <c r="AP231" i="9"/>
  <c r="AP239" i="9"/>
  <c r="AP247" i="9"/>
  <c r="AP255" i="9"/>
  <c r="AP263" i="9"/>
  <c r="AP271" i="9"/>
  <c r="AP279" i="9"/>
  <c r="AP287" i="9"/>
  <c r="AP295" i="9"/>
  <c r="AP303" i="9"/>
  <c r="AP311" i="9"/>
  <c r="AP319" i="9"/>
  <c r="AP451" i="9"/>
  <c r="AP459" i="9"/>
  <c r="AP467" i="9"/>
  <c r="AP475" i="9"/>
  <c r="AP483" i="9"/>
  <c r="AP491" i="9"/>
  <c r="AP499" i="9"/>
  <c r="AP507" i="9"/>
  <c r="AP515" i="9"/>
  <c r="AP523" i="9"/>
  <c r="AP531" i="9"/>
  <c r="AP539" i="9"/>
  <c r="AP547" i="9"/>
  <c r="AP555" i="9"/>
  <c r="AP563" i="9"/>
  <c r="AP571" i="9"/>
  <c r="AP579" i="9"/>
  <c r="AP587" i="9"/>
  <c r="AP595" i="9"/>
  <c r="AP603" i="9"/>
  <c r="AP154" i="9"/>
  <c r="AP178" i="9"/>
  <c r="AP242" i="9"/>
  <c r="AP266" i="9"/>
  <c r="AP290" i="9"/>
  <c r="AP314" i="9"/>
  <c r="AP454" i="9"/>
  <c r="AP478" i="9"/>
  <c r="AP502" i="9"/>
  <c r="AP526" i="9"/>
  <c r="AP152" i="9"/>
  <c r="AP160" i="9"/>
  <c r="AP168" i="9"/>
  <c r="AP176" i="9"/>
  <c r="AP184" i="9"/>
  <c r="AP232" i="9"/>
  <c r="AP240" i="9"/>
  <c r="AP248" i="9"/>
  <c r="AP256" i="9"/>
  <c r="AP264" i="9"/>
  <c r="AP272" i="9"/>
  <c r="AP280" i="9"/>
  <c r="AP288" i="9"/>
  <c r="AP296" i="9"/>
  <c r="AP304" i="9"/>
  <c r="AP312" i="9"/>
  <c r="AP320" i="9"/>
  <c r="AP452" i="9"/>
  <c r="AP460" i="9"/>
  <c r="AP468" i="9"/>
  <c r="AP476" i="9"/>
  <c r="AP484" i="9"/>
  <c r="AP492" i="9"/>
  <c r="AP500" i="9"/>
  <c r="AP508" i="9"/>
  <c r="AP516" i="9"/>
  <c r="AP524" i="9"/>
  <c r="AP532" i="9"/>
  <c r="AP540" i="9"/>
  <c r="AP548" i="9"/>
  <c r="AP556" i="9"/>
  <c r="AP564" i="9"/>
  <c r="AP572" i="9"/>
  <c r="AP580" i="9"/>
  <c r="AP588" i="9"/>
  <c r="AP596" i="9"/>
  <c r="AP604" i="9"/>
  <c r="AP146" i="9"/>
  <c r="AP170" i="9"/>
  <c r="AP234" i="9"/>
  <c r="AP258" i="9"/>
  <c r="AP282" i="9"/>
  <c r="AP306" i="9"/>
  <c r="AP446" i="9"/>
  <c r="AP462" i="9"/>
  <c r="AP486" i="9"/>
  <c r="AP510" i="9"/>
  <c r="AP534" i="9"/>
  <c r="AP145" i="9"/>
  <c r="AP153" i="9"/>
  <c r="AP161" i="9"/>
  <c r="AP169" i="9"/>
  <c r="AP177" i="9"/>
  <c r="AP225" i="9"/>
  <c r="AP233" i="9"/>
  <c r="AP241" i="9"/>
  <c r="AP249" i="9"/>
  <c r="AP257" i="9"/>
  <c r="AP265" i="9"/>
  <c r="AP273" i="9"/>
  <c r="AP281" i="9"/>
  <c r="AP289" i="9"/>
  <c r="AP297" i="9"/>
  <c r="AP305" i="9"/>
  <c r="AP313" i="9"/>
  <c r="AP321" i="9"/>
  <c r="AP445" i="9"/>
  <c r="AP453" i="9"/>
  <c r="AP461" i="9"/>
  <c r="AP469" i="9"/>
  <c r="AP477" i="9"/>
  <c r="AP485" i="9"/>
  <c r="AP493" i="9"/>
  <c r="AP501" i="9"/>
  <c r="AP509" i="9"/>
  <c r="AP517" i="9"/>
  <c r="AP525" i="9"/>
  <c r="AP533" i="9"/>
  <c r="AP541" i="9"/>
  <c r="AP549" i="9"/>
  <c r="AP557" i="9"/>
  <c r="AP565" i="9"/>
  <c r="AP573" i="9"/>
  <c r="AP581" i="9"/>
  <c r="AP589" i="9"/>
  <c r="AP597" i="9"/>
  <c r="AP162" i="9"/>
  <c r="AP226" i="9"/>
  <c r="AP250" i="9"/>
  <c r="AP274" i="9"/>
  <c r="AP298" i="9"/>
  <c r="AP322" i="9"/>
  <c r="AP470" i="9"/>
  <c r="AP494" i="9"/>
  <c r="AP518" i="9"/>
  <c r="AP147" i="9"/>
  <c r="AP155" i="9"/>
  <c r="AP163" i="9"/>
  <c r="AP171" i="9"/>
  <c r="AP179" i="9"/>
  <c r="AP227" i="9"/>
  <c r="AP235" i="9"/>
  <c r="AP243" i="9"/>
  <c r="AP251" i="9"/>
  <c r="AP259" i="9"/>
  <c r="AP267" i="9"/>
  <c r="AP275" i="9"/>
  <c r="AP283" i="9"/>
  <c r="AP291" i="9"/>
  <c r="AP299" i="9"/>
  <c r="AP307" i="9"/>
  <c r="AP315" i="9"/>
  <c r="AP323" i="9"/>
  <c r="AP447" i="9"/>
  <c r="AP455" i="9"/>
  <c r="AP463" i="9"/>
  <c r="AP471" i="9"/>
  <c r="AP479" i="9"/>
  <c r="AP487" i="9"/>
  <c r="AP495" i="9"/>
  <c r="AP503" i="9"/>
  <c r="AP511" i="9"/>
  <c r="AP519" i="9"/>
  <c r="AP527" i="9"/>
  <c r="AP535" i="9"/>
  <c r="AP543" i="9"/>
  <c r="AP551" i="9"/>
  <c r="AP559" i="9"/>
  <c r="AP567" i="9"/>
  <c r="AP575" i="9"/>
  <c r="AP583" i="9"/>
  <c r="AP591" i="9"/>
  <c r="AP599" i="9"/>
  <c r="AP149" i="9"/>
  <c r="AP172" i="9"/>
  <c r="AP230" i="9"/>
  <c r="AP253" i="9"/>
  <c r="AP276" i="9"/>
  <c r="AP294" i="9"/>
  <c r="AP317" i="9"/>
  <c r="AP465" i="9"/>
  <c r="AP488" i="9"/>
  <c r="AP506" i="9"/>
  <c r="AP529" i="9"/>
  <c r="AP546" i="9"/>
  <c r="AP562" i="9"/>
  <c r="AP578" i="9"/>
  <c r="AP594" i="9"/>
  <c r="AP550" i="9"/>
  <c r="AP598" i="9"/>
  <c r="AP238" i="9"/>
  <c r="AP302" i="9"/>
  <c r="AP514" i="9"/>
  <c r="AP569" i="9"/>
  <c r="AP158" i="9"/>
  <c r="AP262" i="9"/>
  <c r="AP497" i="9"/>
  <c r="AP554" i="9"/>
  <c r="AP602" i="9"/>
  <c r="AP505" i="9"/>
  <c r="AP577" i="9"/>
  <c r="AP150" i="9"/>
  <c r="AP173" i="9"/>
  <c r="AP236" i="9"/>
  <c r="AP254" i="9"/>
  <c r="AP277" i="9"/>
  <c r="AP300" i="9"/>
  <c r="AP318" i="9"/>
  <c r="AP448" i="9"/>
  <c r="AP466" i="9"/>
  <c r="AP489" i="9"/>
  <c r="AP512" i="9"/>
  <c r="AP530" i="9"/>
  <c r="AP566" i="9"/>
  <c r="AP582" i="9"/>
  <c r="AP180" i="9"/>
  <c r="AP284" i="9"/>
  <c r="AP473" i="9"/>
  <c r="AP537" i="9"/>
  <c r="AP585" i="9"/>
  <c r="AP181" i="9"/>
  <c r="AP285" i="9"/>
  <c r="AP474" i="9"/>
  <c r="AP538" i="9"/>
  <c r="AP586" i="9"/>
  <c r="AP316" i="9"/>
  <c r="AP482" i="9"/>
  <c r="AP561" i="9"/>
  <c r="AP156" i="9"/>
  <c r="AP174" i="9"/>
  <c r="AP237" i="9"/>
  <c r="AP260" i="9"/>
  <c r="AP278" i="9"/>
  <c r="AP301" i="9"/>
  <c r="AP324" i="9"/>
  <c r="AP449" i="9"/>
  <c r="AP472" i="9"/>
  <c r="AP490" i="9"/>
  <c r="AP513" i="9"/>
  <c r="AP536" i="9"/>
  <c r="AP552" i="9"/>
  <c r="AP568" i="9"/>
  <c r="AP584" i="9"/>
  <c r="AP600" i="9"/>
  <c r="AP157" i="9"/>
  <c r="AP261" i="9"/>
  <c r="AP450" i="9"/>
  <c r="AP496" i="9"/>
  <c r="AP553" i="9"/>
  <c r="AP601" i="9"/>
  <c r="AP244" i="9"/>
  <c r="AP308" i="9"/>
  <c r="AP456" i="9"/>
  <c r="AP520" i="9"/>
  <c r="AP570" i="9"/>
  <c r="AP464" i="9"/>
  <c r="AP545" i="9"/>
  <c r="AP164" i="9"/>
  <c r="AP182" i="9"/>
  <c r="AP245" i="9"/>
  <c r="AP268" i="9"/>
  <c r="AP286" i="9"/>
  <c r="AP309" i="9"/>
  <c r="AP457" i="9"/>
  <c r="AP480" i="9"/>
  <c r="AP498" i="9"/>
  <c r="AP521" i="9"/>
  <c r="AP542" i="9"/>
  <c r="AP558" i="9"/>
  <c r="AP574" i="9"/>
  <c r="AP590" i="9"/>
  <c r="AP165" i="9"/>
  <c r="AP228" i="9"/>
  <c r="AP246" i="9"/>
  <c r="AP269" i="9"/>
  <c r="AP292" i="9"/>
  <c r="AP310" i="9"/>
  <c r="AP458" i="9"/>
  <c r="AP481" i="9"/>
  <c r="AP504" i="9"/>
  <c r="AP522" i="9"/>
  <c r="AP544" i="9"/>
  <c r="AP560" i="9"/>
  <c r="AP576" i="9"/>
  <c r="AP592" i="9"/>
  <c r="AP148" i="9"/>
  <c r="AP166" i="9"/>
  <c r="AP229" i="9"/>
  <c r="AP252" i="9"/>
  <c r="AP270" i="9"/>
  <c r="AP293" i="9"/>
  <c r="AP528" i="9"/>
  <c r="AP593" i="9"/>
  <c r="AP87" i="9"/>
  <c r="AP95" i="9"/>
  <c r="AP103" i="9"/>
  <c r="AP111" i="9"/>
  <c r="AP119" i="9"/>
  <c r="AP411" i="9"/>
  <c r="AP419" i="9"/>
  <c r="AP106" i="9"/>
  <c r="AP406" i="9"/>
  <c r="AP88" i="9"/>
  <c r="AP96" i="9"/>
  <c r="AP104" i="9"/>
  <c r="AP112" i="9"/>
  <c r="AP120" i="9"/>
  <c r="AP412" i="9"/>
  <c r="AP420" i="9"/>
  <c r="AP98" i="9"/>
  <c r="AP122" i="9"/>
  <c r="AP422" i="9"/>
  <c r="AP89" i="9"/>
  <c r="AP97" i="9"/>
  <c r="AP105" i="9"/>
  <c r="AP113" i="9"/>
  <c r="AP121" i="9"/>
  <c r="AP405" i="9"/>
  <c r="AP413" i="9"/>
  <c r="AP421" i="9"/>
  <c r="AP90" i="9"/>
  <c r="AP114" i="9"/>
  <c r="AP414" i="9"/>
  <c r="AP91" i="9"/>
  <c r="AP99" i="9"/>
  <c r="AP107" i="9"/>
  <c r="AP115" i="9"/>
  <c r="AP123" i="9"/>
  <c r="AP407" i="9"/>
  <c r="AP415" i="9"/>
  <c r="AP423" i="9"/>
  <c r="AP85" i="9"/>
  <c r="AP108" i="9"/>
  <c r="AP424" i="9"/>
  <c r="AP94" i="9"/>
  <c r="AP86" i="9"/>
  <c r="AP109" i="9"/>
  <c r="AP116" i="9"/>
  <c r="AP117" i="9"/>
  <c r="AP410" i="9"/>
  <c r="AP92" i="9"/>
  <c r="AP110" i="9"/>
  <c r="AP408" i="9"/>
  <c r="AP93" i="9"/>
  <c r="AP409" i="9"/>
  <c r="AP100" i="9"/>
  <c r="AP118" i="9"/>
  <c r="AP416" i="9"/>
  <c r="AP101" i="9"/>
  <c r="AP124" i="9"/>
  <c r="AP417" i="9"/>
  <c r="AP102" i="9"/>
  <c r="AP418" i="9"/>
  <c r="AP351" i="9"/>
  <c r="AP359" i="9"/>
  <c r="AP387" i="9"/>
  <c r="AP395" i="9"/>
  <c r="AP403" i="9"/>
  <c r="AP427" i="9"/>
  <c r="AP430" i="9"/>
  <c r="AP352" i="9"/>
  <c r="AP360" i="9"/>
  <c r="AP388" i="9"/>
  <c r="AP396" i="9"/>
  <c r="AP404" i="9"/>
  <c r="AP428" i="9"/>
  <c r="AP354" i="9"/>
  <c r="AP345" i="9"/>
  <c r="AP353" i="9"/>
  <c r="AP361" i="9"/>
  <c r="AP389" i="9"/>
  <c r="AP397" i="9"/>
  <c r="AP429" i="9"/>
  <c r="AP346" i="9"/>
  <c r="AP362" i="9"/>
  <c r="AP390" i="9"/>
  <c r="AP398" i="9"/>
  <c r="AP347" i="9"/>
  <c r="AP355" i="9"/>
  <c r="AP363" i="9"/>
  <c r="AP391" i="9"/>
  <c r="AP399" i="9"/>
  <c r="AP431" i="9"/>
  <c r="AP358" i="9"/>
  <c r="AP401" i="9"/>
  <c r="AP364" i="9"/>
  <c r="AP402" i="9"/>
  <c r="AP425" i="9"/>
  <c r="AP348" i="9"/>
  <c r="AP349" i="9"/>
  <c r="AP385" i="9"/>
  <c r="AP426" i="9"/>
  <c r="AP386" i="9"/>
  <c r="AP392" i="9"/>
  <c r="AP357" i="9"/>
  <c r="AP350" i="9"/>
  <c r="AP393" i="9"/>
  <c r="AP356" i="9"/>
  <c r="AP394" i="9"/>
  <c r="AP400" i="9"/>
  <c r="F604" i="9"/>
  <c r="F603" i="9"/>
  <c r="F602" i="9"/>
  <c r="F601" i="9"/>
  <c r="F600" i="9"/>
  <c r="F599" i="9"/>
  <c r="F598" i="9"/>
  <c r="F597" i="9"/>
  <c r="F596" i="9"/>
  <c r="F595" i="9"/>
  <c r="F594" i="9"/>
  <c r="F593" i="9"/>
  <c r="F592" i="9"/>
  <c r="F591" i="9"/>
  <c r="F590" i="9"/>
  <c r="F589" i="9"/>
  <c r="F588" i="9"/>
  <c r="F587" i="9"/>
  <c r="F586" i="9"/>
  <c r="F585" i="9"/>
  <c r="C285" i="9"/>
  <c r="F285" i="9"/>
  <c r="C286" i="9"/>
  <c r="F286" i="9"/>
  <c r="C287" i="9"/>
  <c r="F287" i="9"/>
  <c r="C288" i="9"/>
  <c r="F288" i="9"/>
  <c r="C289" i="9"/>
  <c r="F289" i="9"/>
  <c r="C290" i="9"/>
  <c r="F290" i="9"/>
  <c r="C291" i="9"/>
  <c r="F291" i="9"/>
  <c r="C292" i="9"/>
  <c r="F292" i="9"/>
  <c r="C293" i="9"/>
  <c r="F293" i="9"/>
  <c r="C294" i="9"/>
  <c r="F294" i="9"/>
  <c r="C295" i="9"/>
  <c r="F295" i="9"/>
  <c r="C296" i="9"/>
  <c r="F296" i="9"/>
  <c r="C297" i="9"/>
  <c r="F297" i="9"/>
  <c r="C298" i="9"/>
  <c r="F298" i="9"/>
  <c r="C299" i="9"/>
  <c r="F299" i="9"/>
  <c r="C300" i="9"/>
  <c r="F300" i="9"/>
  <c r="C301" i="9"/>
  <c r="F301" i="9"/>
  <c r="C302" i="9"/>
  <c r="F302" i="9"/>
  <c r="C303" i="9"/>
  <c r="F303" i="9"/>
  <c r="C304" i="9"/>
  <c r="F304" i="9"/>
  <c r="C305" i="9"/>
  <c r="C306" i="9"/>
  <c r="C307" i="9"/>
  <c r="C308" i="9"/>
  <c r="C309" i="9"/>
  <c r="C310" i="9"/>
  <c r="C311" i="9"/>
  <c r="C312" i="9"/>
  <c r="C313" i="9"/>
  <c r="C314" i="9"/>
  <c r="C315" i="9"/>
  <c r="C316" i="9"/>
  <c r="C317" i="9"/>
  <c r="C318" i="9"/>
  <c r="C319" i="9"/>
  <c r="C320" i="9"/>
  <c r="C321" i="9"/>
  <c r="C322" i="9"/>
  <c r="C323" i="9"/>
  <c r="C324" i="9"/>
  <c r="C325" i="9"/>
  <c r="C326" i="9"/>
  <c r="C327" i="9"/>
  <c r="C328" i="9"/>
  <c r="C329" i="9"/>
  <c r="C330" i="9"/>
  <c r="C331" i="9"/>
  <c r="C332" i="9"/>
  <c r="C333" i="9"/>
  <c r="C334" i="9"/>
  <c r="C335" i="9"/>
  <c r="C336" i="9"/>
  <c r="C337" i="9"/>
  <c r="C338" i="9"/>
  <c r="C339" i="9"/>
  <c r="C340" i="9"/>
  <c r="C341" i="9"/>
  <c r="C342" i="9"/>
  <c r="C343" i="9"/>
  <c r="C344" i="9"/>
  <c r="C345" i="9"/>
  <c r="C346" i="9"/>
  <c r="C347" i="9"/>
  <c r="C348" i="9"/>
  <c r="C349" i="9"/>
  <c r="C350" i="9"/>
  <c r="C351" i="9"/>
  <c r="C352" i="9"/>
  <c r="C353" i="9"/>
  <c r="C354" i="9"/>
  <c r="C355" i="9"/>
  <c r="C356" i="9"/>
  <c r="C357" i="9"/>
  <c r="C358" i="9"/>
  <c r="C359" i="9"/>
  <c r="C360" i="9"/>
  <c r="C361" i="9"/>
  <c r="C362" i="9"/>
  <c r="C363" i="9"/>
  <c r="C364" i="9"/>
  <c r="C365" i="9"/>
  <c r="C366" i="9"/>
  <c r="C367" i="9"/>
  <c r="C368" i="9"/>
  <c r="C369" i="9"/>
  <c r="C370" i="9"/>
  <c r="C371" i="9"/>
  <c r="C372" i="9"/>
  <c r="C373" i="9"/>
  <c r="C374" i="9"/>
  <c r="C375" i="9"/>
  <c r="C376" i="9"/>
  <c r="C377" i="9"/>
  <c r="C378" i="9"/>
  <c r="C379" i="9"/>
  <c r="C380" i="9"/>
  <c r="C381" i="9"/>
  <c r="C382" i="9"/>
  <c r="C383" i="9"/>
  <c r="C384" i="9"/>
  <c r="C385" i="9"/>
  <c r="C386" i="9"/>
  <c r="C387" i="9"/>
  <c r="C388" i="9"/>
  <c r="C389" i="9"/>
  <c r="C390" i="9"/>
  <c r="C391" i="9"/>
  <c r="C392" i="9"/>
  <c r="C393" i="9"/>
  <c r="C394" i="9"/>
  <c r="C395" i="9"/>
  <c r="C396" i="9"/>
  <c r="C397" i="9"/>
  <c r="C398" i="9"/>
  <c r="C399" i="9"/>
  <c r="C400" i="9"/>
  <c r="C401" i="9"/>
  <c r="C402" i="9"/>
  <c r="C403" i="9"/>
  <c r="C404" i="9"/>
  <c r="C405" i="9"/>
  <c r="C406" i="9"/>
  <c r="C407" i="9"/>
  <c r="C408" i="9"/>
  <c r="C409" i="9"/>
  <c r="C410" i="9"/>
  <c r="C411" i="9"/>
  <c r="C412" i="9"/>
  <c r="C413" i="9"/>
  <c r="C414" i="9"/>
  <c r="C415" i="9"/>
  <c r="C416" i="9"/>
  <c r="C417" i="9"/>
  <c r="C418" i="9"/>
  <c r="C419" i="9"/>
  <c r="C420" i="9"/>
  <c r="C421" i="9"/>
  <c r="C422" i="9"/>
  <c r="C423" i="9"/>
  <c r="C424" i="9"/>
  <c r="C425" i="9"/>
  <c r="C426" i="9"/>
  <c r="C427" i="9"/>
  <c r="C428" i="9"/>
  <c r="C429" i="9"/>
  <c r="C430" i="9"/>
  <c r="C431" i="9"/>
  <c r="C432" i="9"/>
  <c r="C433" i="9"/>
  <c r="C434" i="9"/>
  <c r="C435" i="9"/>
  <c r="C436" i="9"/>
  <c r="C437" i="9"/>
  <c r="C438" i="9"/>
  <c r="C439" i="9"/>
  <c r="C440" i="9"/>
  <c r="C441" i="9"/>
  <c r="C442" i="9"/>
  <c r="C443" i="9"/>
  <c r="C444" i="9"/>
  <c r="C445" i="9"/>
  <c r="C446" i="9"/>
  <c r="C447" i="9"/>
  <c r="C448" i="9"/>
  <c r="C449" i="9"/>
  <c r="C450" i="9"/>
  <c r="C451" i="9"/>
  <c r="C452" i="9"/>
  <c r="C453" i="9"/>
  <c r="C454" i="9"/>
  <c r="C455" i="9"/>
  <c r="C456" i="9"/>
  <c r="C457" i="9"/>
  <c r="C458" i="9"/>
  <c r="C459" i="9"/>
  <c r="C460" i="9"/>
  <c r="C461" i="9"/>
  <c r="C462" i="9"/>
  <c r="C463" i="9"/>
  <c r="C464" i="9"/>
  <c r="C465" i="9"/>
  <c r="C466" i="9"/>
  <c r="C467" i="9"/>
  <c r="C468" i="9"/>
  <c r="C469" i="9"/>
  <c r="C470" i="9"/>
  <c r="C471" i="9"/>
  <c r="C472" i="9"/>
  <c r="C473" i="9"/>
  <c r="C474" i="9"/>
  <c r="C475" i="9"/>
  <c r="C476" i="9"/>
  <c r="C477" i="9"/>
  <c r="C478" i="9"/>
  <c r="C479" i="9"/>
  <c r="C480" i="9"/>
  <c r="C481" i="9"/>
  <c r="C482" i="9"/>
  <c r="C483" i="9"/>
  <c r="C484" i="9"/>
  <c r="C485" i="9"/>
  <c r="C486" i="9"/>
  <c r="C487" i="9"/>
  <c r="C488" i="9"/>
  <c r="C489" i="9"/>
  <c r="C490" i="9"/>
  <c r="C491" i="9"/>
  <c r="C492" i="9"/>
  <c r="C493" i="9"/>
  <c r="C494" i="9"/>
  <c r="C495" i="9"/>
  <c r="C496" i="9"/>
  <c r="C497" i="9"/>
  <c r="C498" i="9"/>
  <c r="C499" i="9"/>
  <c r="C500" i="9"/>
  <c r="C501" i="9"/>
  <c r="C502" i="9"/>
  <c r="C503" i="9"/>
  <c r="C504" i="9"/>
  <c r="C505" i="9"/>
  <c r="C506" i="9"/>
  <c r="C507" i="9"/>
  <c r="C508" i="9"/>
  <c r="C509" i="9"/>
  <c r="C510" i="9"/>
  <c r="C511" i="9"/>
  <c r="C512" i="9"/>
  <c r="C513" i="9"/>
  <c r="C514" i="9"/>
  <c r="C515" i="9"/>
  <c r="C516" i="9"/>
  <c r="C517" i="9"/>
  <c r="C518" i="9"/>
  <c r="C519" i="9"/>
  <c r="C520" i="9"/>
  <c r="C521" i="9"/>
  <c r="C522" i="9"/>
  <c r="C523" i="9"/>
  <c r="C524" i="9"/>
  <c r="C525" i="9"/>
  <c r="C526" i="9"/>
  <c r="C527" i="9"/>
  <c r="C528" i="9"/>
  <c r="C529" i="9"/>
  <c r="C530" i="9"/>
  <c r="C531" i="9"/>
  <c r="C532" i="9"/>
  <c r="C533" i="9"/>
  <c r="C534" i="9"/>
  <c r="C535" i="9"/>
  <c r="C536" i="9"/>
  <c r="C537" i="9"/>
  <c r="C538" i="9"/>
  <c r="C539" i="9"/>
  <c r="C540" i="9"/>
  <c r="C541" i="9"/>
  <c r="C542" i="9"/>
  <c r="C543" i="9"/>
  <c r="C544" i="9"/>
  <c r="C545" i="9"/>
  <c r="C546" i="9"/>
  <c r="C547" i="9"/>
  <c r="C548" i="9"/>
  <c r="C549" i="9"/>
  <c r="C550" i="9"/>
  <c r="C551" i="9"/>
  <c r="C552" i="9"/>
  <c r="C553" i="9"/>
  <c r="C554" i="9"/>
  <c r="C555" i="9"/>
  <c r="C556" i="9"/>
  <c r="C557" i="9"/>
  <c r="C558" i="9"/>
  <c r="C559" i="9"/>
  <c r="C560" i="9"/>
  <c r="C561" i="9"/>
  <c r="C562" i="9"/>
  <c r="C563" i="9"/>
  <c r="C564" i="9"/>
  <c r="C565" i="9"/>
  <c r="C566" i="9"/>
  <c r="C567" i="9"/>
  <c r="C568" i="9"/>
  <c r="C569" i="9"/>
  <c r="C570" i="9"/>
  <c r="C571" i="9"/>
  <c r="C572" i="9"/>
  <c r="C573" i="9"/>
  <c r="C574" i="9"/>
  <c r="C575" i="9"/>
  <c r="C576" i="9"/>
  <c r="C577" i="9"/>
  <c r="C578" i="9"/>
  <c r="C579" i="9"/>
  <c r="C580" i="9"/>
  <c r="C581" i="9"/>
  <c r="C582" i="9"/>
  <c r="C583" i="9"/>
  <c r="C584" i="9"/>
  <c r="C585" i="9"/>
  <c r="C586" i="9"/>
  <c r="C587" i="9"/>
  <c r="C588" i="9"/>
  <c r="C589" i="9"/>
  <c r="C590" i="9"/>
  <c r="C591" i="9"/>
  <c r="C592" i="9"/>
  <c r="C593" i="9"/>
  <c r="C594" i="9"/>
  <c r="C595" i="9"/>
  <c r="C596" i="9"/>
  <c r="C597" i="9"/>
  <c r="C598" i="9"/>
  <c r="C599" i="9"/>
  <c r="C600" i="9"/>
  <c r="C601" i="9"/>
  <c r="C602" i="9"/>
  <c r="C603" i="9"/>
  <c r="C604" i="9"/>
  <c r="F305" i="9"/>
  <c r="F306" i="9"/>
  <c r="F307" i="9"/>
  <c r="F308" i="9"/>
  <c r="F309" i="9"/>
  <c r="F310" i="9"/>
  <c r="F311" i="9"/>
  <c r="F312" i="9"/>
  <c r="F313" i="9"/>
  <c r="F314" i="9"/>
  <c r="F315" i="9"/>
  <c r="F316" i="9"/>
  <c r="F317" i="9"/>
  <c r="F318" i="9"/>
  <c r="F319" i="9"/>
  <c r="F320" i="9"/>
  <c r="F321" i="9"/>
  <c r="F322" i="9"/>
  <c r="F323" i="9"/>
  <c r="F324" i="9"/>
  <c r="F325" i="9"/>
  <c r="F326" i="9"/>
  <c r="F327" i="9"/>
  <c r="F328" i="9"/>
  <c r="F329" i="9"/>
  <c r="F330" i="9"/>
  <c r="F331" i="9"/>
  <c r="F332" i="9"/>
  <c r="F333" i="9"/>
  <c r="F334" i="9"/>
  <c r="F335" i="9"/>
  <c r="F336" i="9"/>
  <c r="F337" i="9"/>
  <c r="F338" i="9"/>
  <c r="F339" i="9"/>
  <c r="F340" i="9"/>
  <c r="F341" i="9"/>
  <c r="F342" i="9"/>
  <c r="F343" i="9"/>
  <c r="F344" i="9"/>
  <c r="F345" i="9"/>
  <c r="F346" i="9"/>
  <c r="F347" i="9"/>
  <c r="F348" i="9"/>
  <c r="F349" i="9"/>
  <c r="F350" i="9"/>
  <c r="F351" i="9"/>
  <c r="F352" i="9"/>
  <c r="F353" i="9"/>
  <c r="F354" i="9"/>
  <c r="F355" i="9"/>
  <c r="F356" i="9"/>
  <c r="F357" i="9"/>
  <c r="F358" i="9"/>
  <c r="F359" i="9"/>
  <c r="F360" i="9"/>
  <c r="F361" i="9"/>
  <c r="F362" i="9"/>
  <c r="F363" i="9"/>
  <c r="F364" i="9"/>
  <c r="F365" i="9"/>
  <c r="F366" i="9"/>
  <c r="F367" i="9"/>
  <c r="F368" i="9"/>
  <c r="F369" i="9"/>
  <c r="F370" i="9"/>
  <c r="F371" i="9"/>
  <c r="F372" i="9"/>
  <c r="F373" i="9"/>
  <c r="F374" i="9"/>
  <c r="F375" i="9"/>
  <c r="F376" i="9"/>
  <c r="F377" i="9"/>
  <c r="F378" i="9"/>
  <c r="F379" i="9"/>
  <c r="F380" i="9"/>
  <c r="F381" i="9"/>
  <c r="F382" i="9"/>
  <c r="F383" i="9"/>
  <c r="F384" i="9"/>
  <c r="F385" i="9"/>
  <c r="F386" i="9"/>
  <c r="F387" i="9"/>
  <c r="F388" i="9"/>
  <c r="F389" i="9"/>
  <c r="F390" i="9"/>
  <c r="F391" i="9"/>
  <c r="F392" i="9"/>
  <c r="F393" i="9"/>
  <c r="F394" i="9"/>
  <c r="F395" i="9"/>
  <c r="F396" i="9"/>
  <c r="F397" i="9"/>
  <c r="F398" i="9"/>
  <c r="F399" i="9"/>
  <c r="F400" i="9"/>
  <c r="F401" i="9"/>
  <c r="F402" i="9"/>
  <c r="F403" i="9"/>
  <c r="F404" i="9"/>
  <c r="F405" i="9"/>
  <c r="F406" i="9"/>
  <c r="F407" i="9"/>
  <c r="F408" i="9"/>
  <c r="F409" i="9"/>
  <c r="F410" i="9"/>
  <c r="F411" i="9"/>
  <c r="F412" i="9"/>
  <c r="F413" i="9"/>
  <c r="F414" i="9"/>
  <c r="F415" i="9"/>
  <c r="F416" i="9"/>
  <c r="F417" i="9"/>
  <c r="F418" i="9"/>
  <c r="F419" i="9"/>
  <c r="F420" i="9"/>
  <c r="F421" i="9"/>
  <c r="F422" i="9"/>
  <c r="F423" i="9"/>
  <c r="F424" i="9"/>
  <c r="F425" i="9"/>
  <c r="F426" i="9"/>
  <c r="F427" i="9"/>
  <c r="F428" i="9"/>
  <c r="F429" i="9"/>
  <c r="F430" i="9"/>
  <c r="F431" i="9"/>
  <c r="F432" i="9"/>
  <c r="F433" i="9"/>
  <c r="F434" i="9"/>
  <c r="F435" i="9"/>
  <c r="F436" i="9"/>
  <c r="F437" i="9"/>
  <c r="F438" i="9"/>
  <c r="F439" i="9"/>
  <c r="F440" i="9"/>
  <c r="F441" i="9"/>
  <c r="F442" i="9"/>
  <c r="F443" i="9"/>
  <c r="F444" i="9"/>
  <c r="F445" i="9"/>
  <c r="F446" i="9"/>
  <c r="F447" i="9"/>
  <c r="F448" i="9"/>
  <c r="F449" i="9"/>
  <c r="F450" i="9"/>
  <c r="F451" i="9"/>
  <c r="F452" i="9"/>
  <c r="F453" i="9"/>
  <c r="F454" i="9"/>
  <c r="F455" i="9"/>
  <c r="F456" i="9"/>
  <c r="F457" i="9"/>
  <c r="F458" i="9"/>
  <c r="F459" i="9"/>
  <c r="F460" i="9"/>
  <c r="F461" i="9"/>
  <c r="F462" i="9"/>
  <c r="F463" i="9"/>
  <c r="F464" i="9"/>
  <c r="F465" i="9"/>
  <c r="F466" i="9"/>
  <c r="F467" i="9"/>
  <c r="F468" i="9"/>
  <c r="F469" i="9"/>
  <c r="F470" i="9"/>
  <c r="F471" i="9"/>
  <c r="F472" i="9"/>
  <c r="F473" i="9"/>
  <c r="F474" i="9"/>
  <c r="F475" i="9"/>
  <c r="F476" i="9"/>
  <c r="F477" i="9"/>
  <c r="F478" i="9"/>
  <c r="F479" i="9"/>
  <c r="F480" i="9"/>
  <c r="F481" i="9"/>
  <c r="F482" i="9"/>
  <c r="F483" i="9"/>
  <c r="F484" i="9"/>
  <c r="F485" i="9"/>
  <c r="F486" i="9"/>
  <c r="F487" i="9"/>
  <c r="F488" i="9"/>
  <c r="F489" i="9"/>
  <c r="F490" i="9"/>
  <c r="F491" i="9"/>
  <c r="F492" i="9"/>
  <c r="F493" i="9"/>
  <c r="F494" i="9"/>
  <c r="F495" i="9"/>
  <c r="F496" i="9"/>
  <c r="F497" i="9"/>
  <c r="F498" i="9"/>
  <c r="F499" i="9"/>
  <c r="F500" i="9"/>
  <c r="F501" i="9"/>
  <c r="F502" i="9"/>
  <c r="F503" i="9"/>
  <c r="F504" i="9"/>
  <c r="F505" i="9"/>
  <c r="F506" i="9"/>
  <c r="F507" i="9"/>
  <c r="F508" i="9"/>
  <c r="F509" i="9"/>
  <c r="F510" i="9"/>
  <c r="F511" i="9"/>
  <c r="F512" i="9"/>
  <c r="F513" i="9"/>
  <c r="F514" i="9"/>
  <c r="F515" i="9"/>
  <c r="F516" i="9"/>
  <c r="F517" i="9"/>
  <c r="F518" i="9"/>
  <c r="F519" i="9"/>
  <c r="F520" i="9"/>
  <c r="F521" i="9"/>
  <c r="F522" i="9"/>
  <c r="F523" i="9"/>
  <c r="F524" i="9"/>
  <c r="F525" i="9"/>
  <c r="F526" i="9"/>
  <c r="F527" i="9"/>
  <c r="F528" i="9"/>
  <c r="F529" i="9"/>
  <c r="F530" i="9"/>
  <c r="F531" i="9"/>
  <c r="F532" i="9"/>
  <c r="F533" i="9"/>
  <c r="F534" i="9"/>
  <c r="F535" i="9"/>
  <c r="F536" i="9"/>
  <c r="F537" i="9"/>
  <c r="F538" i="9"/>
  <c r="F539" i="9"/>
  <c r="F540" i="9"/>
  <c r="F541" i="9"/>
  <c r="F542" i="9"/>
  <c r="F543" i="9"/>
  <c r="F544" i="9"/>
  <c r="F545" i="9"/>
  <c r="F546" i="9"/>
  <c r="F547" i="9"/>
  <c r="F548" i="9"/>
  <c r="F549" i="9"/>
  <c r="F550" i="9"/>
  <c r="F551" i="9"/>
  <c r="F552" i="9"/>
  <c r="F553" i="9"/>
  <c r="F554" i="9"/>
  <c r="F555" i="9"/>
  <c r="F556" i="9"/>
  <c r="F557" i="9"/>
  <c r="F558" i="9"/>
  <c r="F559" i="9"/>
  <c r="F560" i="9"/>
  <c r="F561" i="9"/>
  <c r="F562" i="9"/>
  <c r="F563" i="9"/>
  <c r="F564" i="9"/>
  <c r="F565" i="9"/>
  <c r="F566" i="9"/>
  <c r="F567" i="9"/>
  <c r="F568" i="9"/>
  <c r="F569" i="9"/>
  <c r="F570" i="9"/>
  <c r="F571" i="9"/>
  <c r="F572" i="9"/>
  <c r="F573" i="9"/>
  <c r="F574" i="9"/>
  <c r="F575" i="9"/>
  <c r="F576" i="9"/>
  <c r="F577" i="9"/>
  <c r="F578" i="9"/>
  <c r="F579" i="9"/>
  <c r="F580" i="9"/>
  <c r="F581" i="9"/>
  <c r="F582" i="9"/>
  <c r="F583" i="9"/>
  <c r="F584" i="9"/>
  <c r="BL264" i="9"/>
  <c r="AE264" i="9" s="1"/>
  <c r="AH264" i="9"/>
  <c r="F264" i="9"/>
  <c r="C264" i="9"/>
  <c r="BL263" i="9"/>
  <c r="AE263" i="9" s="1"/>
  <c r="AH263" i="9"/>
  <c r="F263" i="9"/>
  <c r="C263" i="9"/>
  <c r="BL262" i="9"/>
  <c r="AE262" i="9" s="1"/>
  <c r="AH262" i="9"/>
  <c r="F262" i="9"/>
  <c r="C262" i="9"/>
  <c r="BL261" i="9"/>
  <c r="AE261" i="9" s="1"/>
  <c r="AH261" i="9"/>
  <c r="F261" i="9"/>
  <c r="C261" i="9"/>
  <c r="BL260" i="9"/>
  <c r="AE260" i="9" s="1"/>
  <c r="AH260" i="9"/>
  <c r="F260" i="9"/>
  <c r="C260" i="9"/>
  <c r="BL259" i="9"/>
  <c r="AE259" i="9" s="1"/>
  <c r="AH259" i="9"/>
  <c r="F259" i="9"/>
  <c r="C259" i="9"/>
  <c r="BL258" i="9"/>
  <c r="AE258" i="9" s="1"/>
  <c r="AH258" i="9"/>
  <c r="F258" i="9"/>
  <c r="C258" i="9"/>
  <c r="BL257" i="9"/>
  <c r="AE257" i="9" s="1"/>
  <c r="AH257" i="9"/>
  <c r="F257" i="9"/>
  <c r="C257" i="9"/>
  <c r="BL256" i="9"/>
  <c r="AE256" i="9" s="1"/>
  <c r="AH256" i="9"/>
  <c r="F256" i="9"/>
  <c r="C256" i="9"/>
  <c r="BL255" i="9"/>
  <c r="AE255" i="9" s="1"/>
  <c r="AH255" i="9"/>
  <c r="F255" i="9"/>
  <c r="C255" i="9"/>
  <c r="BL254" i="9"/>
  <c r="AE254" i="9" s="1"/>
  <c r="AH254" i="9"/>
  <c r="F254" i="9"/>
  <c r="C254" i="9"/>
  <c r="BL253" i="9"/>
  <c r="AE253" i="9" s="1"/>
  <c r="AH253" i="9"/>
  <c r="F253" i="9"/>
  <c r="C253" i="9"/>
  <c r="BL252" i="9"/>
  <c r="AE252" i="9" s="1"/>
  <c r="AH252" i="9"/>
  <c r="F252" i="9"/>
  <c r="C252" i="9"/>
  <c r="BL251" i="9"/>
  <c r="AE251" i="9" s="1"/>
  <c r="AH251" i="9"/>
  <c r="F251" i="9"/>
  <c r="C251" i="9"/>
  <c r="BL250" i="9"/>
  <c r="AE250" i="9" s="1"/>
  <c r="AH250" i="9"/>
  <c r="F250" i="9"/>
  <c r="C250" i="9"/>
  <c r="BL249" i="9"/>
  <c r="AE249" i="9" s="1"/>
  <c r="AH249" i="9"/>
  <c r="F249" i="9"/>
  <c r="C249" i="9"/>
  <c r="BL248" i="9"/>
  <c r="AE248" i="9" s="1"/>
  <c r="AH248" i="9"/>
  <c r="F248" i="9"/>
  <c r="C248" i="9"/>
  <c r="BL247" i="9"/>
  <c r="AE247" i="9" s="1"/>
  <c r="AH247" i="9"/>
  <c r="F247" i="9"/>
  <c r="C247" i="9"/>
  <c r="BL246" i="9"/>
  <c r="AE246" i="9" s="1"/>
  <c r="AH246" i="9"/>
  <c r="F246" i="9"/>
  <c r="C246" i="9"/>
  <c r="BL245" i="9"/>
  <c r="AE245" i="9" s="1"/>
  <c r="AH245" i="9"/>
  <c r="F245" i="9"/>
  <c r="C245" i="9"/>
  <c r="A598" i="9" l="1"/>
  <c r="A590" i="9"/>
  <c r="A318" i="9"/>
  <c r="A602" i="9"/>
  <c r="A594" i="9"/>
  <c r="A586" i="9"/>
  <c r="AF248" i="9"/>
  <c r="AF256" i="9"/>
  <c r="AF252" i="9"/>
  <c r="AF258" i="9"/>
  <c r="AF260" i="9"/>
  <c r="AF250" i="9"/>
  <c r="AF254" i="9"/>
  <c r="AF262" i="9"/>
  <c r="AF257" i="9"/>
  <c r="AF261" i="9"/>
  <c r="AF259" i="9"/>
  <c r="AF264" i="9"/>
  <c r="AF263" i="9"/>
  <c r="AF255" i="9"/>
  <c r="AF246" i="9"/>
  <c r="AF245" i="9"/>
  <c r="AF247" i="9"/>
  <c r="AF249" i="9"/>
  <c r="AF251" i="9"/>
  <c r="AF253" i="9"/>
  <c r="AN262" i="9"/>
  <c r="AN246" i="9"/>
  <c r="AN254" i="9"/>
  <c r="AN260" i="9"/>
  <c r="A425" i="9"/>
  <c r="A409" i="9"/>
  <c r="A365" i="9"/>
  <c r="AN245" i="9"/>
  <c r="AN253" i="9"/>
  <c r="AN261" i="9"/>
  <c r="AN248" i="9"/>
  <c r="AN252" i="9"/>
  <c r="AN258" i="9"/>
  <c r="AN247" i="9"/>
  <c r="AN251" i="9"/>
  <c r="AN257" i="9"/>
  <c r="AN263" i="9"/>
  <c r="AN250" i="9"/>
  <c r="AN256" i="9"/>
  <c r="AN264" i="9"/>
  <c r="A473" i="9"/>
  <c r="AN249" i="9"/>
  <c r="AN255" i="9"/>
  <c r="AN259" i="9"/>
  <c r="A603" i="9"/>
  <c r="A595" i="9"/>
  <c r="A587" i="9"/>
  <c r="A601" i="9"/>
  <c r="A553" i="9"/>
  <c r="A489" i="9"/>
  <c r="A300" i="9"/>
  <c r="A577" i="9"/>
  <c r="A537" i="9"/>
  <c r="A317" i="9"/>
  <c r="A554" i="9"/>
  <c r="A490" i="9"/>
  <c r="A513" i="9"/>
  <c r="A381" i="9"/>
  <c r="A571" i="9"/>
  <c r="A359" i="9"/>
  <c r="A385" i="9"/>
  <c r="A341" i="9"/>
  <c r="A599" i="9"/>
  <c r="A591" i="9"/>
  <c r="A426" i="9"/>
  <c r="A449" i="9"/>
  <c r="A301" i="9"/>
  <c r="A297" i="9"/>
  <c r="A293" i="9"/>
  <c r="A289" i="9"/>
  <c r="A285" i="9"/>
  <c r="A443" i="9"/>
  <c r="A403" i="9"/>
  <c r="A319" i="9"/>
  <c r="A530" i="9"/>
  <c r="A466" i="9"/>
  <c r="A382" i="9"/>
  <c r="A358" i="9"/>
  <c r="A342" i="9"/>
  <c r="A296" i="9"/>
  <c r="A569" i="9"/>
  <c r="A561" i="9"/>
  <c r="A545" i="9"/>
  <c r="A529" i="9"/>
  <c r="A521" i="9"/>
  <c r="A505" i="9"/>
  <c r="A497" i="9"/>
  <c r="A481" i="9"/>
  <c r="A465" i="9"/>
  <c r="A457" i="9"/>
  <c r="A441" i="9"/>
  <c r="A433" i="9"/>
  <c r="A417" i="9"/>
  <c r="A401" i="9"/>
  <c r="A393" i="9"/>
  <c r="A373" i="9"/>
  <c r="A357" i="9"/>
  <c r="A349" i="9"/>
  <c r="A333" i="9"/>
  <c r="A325" i="9"/>
  <c r="A309" i="9"/>
  <c r="A531" i="9"/>
  <c r="A507" i="9"/>
  <c r="A467" i="9"/>
  <c r="A335" i="9"/>
  <c r="A402" i="9"/>
  <c r="A572" i="9"/>
  <c r="A548" i="9"/>
  <c r="A524" i="9"/>
  <c r="A500" i="9"/>
  <c r="A476" i="9"/>
  <c r="A460" i="9"/>
  <c r="A444" i="9"/>
  <c r="A420" i="9"/>
  <c r="A396" i="9"/>
  <c r="A384" i="9"/>
  <c r="A360" i="9"/>
  <c r="A344" i="9"/>
  <c r="A320" i="9"/>
  <c r="A579" i="9"/>
  <c r="A555" i="9"/>
  <c r="A499" i="9"/>
  <c r="A475" i="9"/>
  <c r="A451" i="9"/>
  <c r="A427" i="9"/>
  <c r="A387" i="9"/>
  <c r="A383" i="9"/>
  <c r="A327" i="9"/>
  <c r="A570" i="9"/>
  <c r="A546" i="9"/>
  <c r="A538" i="9"/>
  <c r="A522" i="9"/>
  <c r="A514" i="9"/>
  <c r="A506" i="9"/>
  <c r="A498" i="9"/>
  <c r="A482" i="9"/>
  <c r="A474" i="9"/>
  <c r="A458" i="9"/>
  <c r="A450" i="9"/>
  <c r="A442" i="9"/>
  <c r="A434" i="9"/>
  <c r="A418" i="9"/>
  <c r="A410" i="9"/>
  <c r="A394" i="9"/>
  <c r="A386" i="9"/>
  <c r="A374" i="9"/>
  <c r="A366" i="9"/>
  <c r="A350" i="9"/>
  <c r="A334" i="9"/>
  <c r="A326" i="9"/>
  <c r="A310" i="9"/>
  <c r="A304" i="9"/>
  <c r="A292" i="9"/>
  <c r="A288" i="9"/>
  <c r="A593" i="9"/>
  <c r="A585" i="9"/>
  <c r="A564" i="9"/>
  <c r="A540" i="9"/>
  <c r="A516" i="9"/>
  <c r="A492" i="9"/>
  <c r="A468" i="9"/>
  <c r="A436" i="9"/>
  <c r="A404" i="9"/>
  <c r="A388" i="9"/>
  <c r="A376" i="9"/>
  <c r="A352" i="9"/>
  <c r="A328" i="9"/>
  <c r="A547" i="9"/>
  <c r="A523" i="9"/>
  <c r="A483" i="9"/>
  <c r="A459" i="9"/>
  <c r="A419" i="9"/>
  <c r="A395" i="9"/>
  <c r="A375" i="9"/>
  <c r="A343" i="9"/>
  <c r="A311" i="9"/>
  <c r="A562" i="9"/>
  <c r="A580" i="9"/>
  <c r="A556" i="9"/>
  <c r="A532" i="9"/>
  <c r="A508" i="9"/>
  <c r="A484" i="9"/>
  <c r="A452" i="9"/>
  <c r="A428" i="9"/>
  <c r="A412" i="9"/>
  <c r="A368" i="9"/>
  <c r="A336" i="9"/>
  <c r="A312" i="9"/>
  <c r="A563" i="9"/>
  <c r="A539" i="9"/>
  <c r="A515" i="9"/>
  <c r="A491" i="9"/>
  <c r="A435" i="9"/>
  <c r="A411" i="9"/>
  <c r="A367" i="9"/>
  <c r="A351" i="9"/>
  <c r="A578" i="9"/>
  <c r="A600" i="9"/>
  <c r="A592" i="9"/>
  <c r="A584" i="9"/>
  <c r="A576" i="9"/>
  <c r="A568" i="9"/>
  <c r="A560" i="9"/>
  <c r="A552" i="9"/>
  <c r="A544" i="9"/>
  <c r="A536" i="9"/>
  <c r="A528" i="9"/>
  <c r="A520" i="9"/>
  <c r="A512" i="9"/>
  <c r="A504" i="9"/>
  <c r="A496" i="9"/>
  <c r="A488" i="9"/>
  <c r="A480" i="9"/>
  <c r="A472" i="9"/>
  <c r="A464" i="9"/>
  <c r="A456" i="9"/>
  <c r="A448" i="9"/>
  <c r="A440" i="9"/>
  <c r="A432" i="9"/>
  <c r="A424" i="9"/>
  <c r="A416" i="9"/>
  <c r="A408" i="9"/>
  <c r="A400" i="9"/>
  <c r="A392" i="9"/>
  <c r="A380" i="9"/>
  <c r="A372" i="9"/>
  <c r="A364" i="9"/>
  <c r="A356" i="9"/>
  <c r="A348" i="9"/>
  <c r="A340" i="9"/>
  <c r="A332" i="9"/>
  <c r="A324" i="9"/>
  <c r="A316" i="9"/>
  <c r="A308" i="9"/>
  <c r="A303" i="9"/>
  <c r="A299" i="9"/>
  <c r="A295" i="9"/>
  <c r="A291" i="9"/>
  <c r="A287" i="9"/>
  <c r="A302" i="9"/>
  <c r="A294" i="9"/>
  <c r="A286" i="9"/>
  <c r="A581" i="9"/>
  <c r="A573" i="9"/>
  <c r="A565" i="9"/>
  <c r="A557" i="9"/>
  <c r="A549" i="9"/>
  <c r="A541" i="9"/>
  <c r="A533" i="9"/>
  <c r="A525" i="9"/>
  <c r="A517" i="9"/>
  <c r="A509" i="9"/>
  <c r="A501" i="9"/>
  <c r="A493" i="9"/>
  <c r="A485" i="9"/>
  <c r="A477" i="9"/>
  <c r="A469" i="9"/>
  <c r="A461" i="9"/>
  <c r="A453" i="9"/>
  <c r="A445" i="9"/>
  <c r="A437" i="9"/>
  <c r="A429" i="9"/>
  <c r="A421" i="9"/>
  <c r="A413" i="9"/>
  <c r="A405" i="9"/>
  <c r="A397" i="9"/>
  <c r="A389" i="9"/>
  <c r="A377" i="9"/>
  <c r="A369" i="9"/>
  <c r="A361" i="9"/>
  <c r="A353" i="9"/>
  <c r="A345" i="9"/>
  <c r="A337" i="9"/>
  <c r="A329" i="9"/>
  <c r="A321" i="9"/>
  <c r="A313" i="9"/>
  <c r="A305" i="9"/>
  <c r="A583" i="9"/>
  <c r="A559" i="9"/>
  <c r="A535" i="9"/>
  <c r="A511" i="9"/>
  <c r="A487" i="9"/>
  <c r="A463" i="9"/>
  <c r="A423" i="9"/>
  <c r="A399" i="9"/>
  <c r="A379" i="9"/>
  <c r="A355" i="9"/>
  <c r="A331" i="9"/>
  <c r="A307" i="9"/>
  <c r="A574" i="9"/>
  <c r="A550" i="9"/>
  <c r="A526" i="9"/>
  <c r="A502" i="9"/>
  <c r="A478" i="9"/>
  <c r="A454" i="9"/>
  <c r="A430" i="9"/>
  <c r="A406" i="9"/>
  <c r="A362" i="9"/>
  <c r="A330" i="9"/>
  <c r="A314" i="9"/>
  <c r="A597" i="9"/>
  <c r="A589" i="9"/>
  <c r="A604" i="9"/>
  <c r="A596" i="9"/>
  <c r="A588" i="9"/>
  <c r="A567" i="9"/>
  <c r="A543" i="9"/>
  <c r="A527" i="9"/>
  <c r="A503" i="9"/>
  <c r="A471" i="9"/>
  <c r="A455" i="9"/>
  <c r="A439" i="9"/>
  <c r="A407" i="9"/>
  <c r="A371" i="9"/>
  <c r="A347" i="9"/>
  <c r="A323" i="9"/>
  <c r="A582" i="9"/>
  <c r="A566" i="9"/>
  <c r="A542" i="9"/>
  <c r="A510" i="9"/>
  <c r="A494" i="9"/>
  <c r="A470" i="9"/>
  <c r="A446" i="9"/>
  <c r="A422" i="9"/>
  <c r="A398" i="9"/>
  <c r="A370" i="9"/>
  <c r="A346" i="9"/>
  <c r="A338" i="9"/>
  <c r="A306" i="9"/>
  <c r="A290" i="9"/>
  <c r="A575" i="9"/>
  <c r="A551" i="9"/>
  <c r="A519" i="9"/>
  <c r="A495" i="9"/>
  <c r="A479" i="9"/>
  <c r="A447" i="9"/>
  <c r="A431" i="9"/>
  <c r="A415" i="9"/>
  <c r="A391" i="9"/>
  <c r="A363" i="9"/>
  <c r="A339" i="9"/>
  <c r="A315" i="9"/>
  <c r="A558" i="9"/>
  <c r="A534" i="9"/>
  <c r="A518" i="9"/>
  <c r="A486" i="9"/>
  <c r="A462" i="9"/>
  <c r="A438" i="9"/>
  <c r="A414" i="9"/>
  <c r="A390" i="9"/>
  <c r="A378" i="9"/>
  <c r="A354" i="9"/>
  <c r="A322" i="9"/>
  <c r="A298" i="9"/>
  <c r="A263" i="9"/>
  <c r="A251" i="9"/>
  <c r="A259" i="9"/>
  <c r="A257" i="9"/>
  <c r="A255" i="9"/>
  <c r="A260" i="9"/>
  <c r="A248" i="9"/>
  <c r="A249" i="9"/>
  <c r="A252" i="9"/>
  <c r="A247" i="9"/>
  <c r="A256" i="9"/>
  <c r="A264" i="9"/>
  <c r="A250" i="9"/>
  <c r="A254" i="9"/>
  <c r="A258" i="9"/>
  <c r="A262" i="9"/>
  <c r="A246" i="9"/>
  <c r="A245" i="9"/>
  <c r="A253" i="9"/>
  <c r="A261" i="9"/>
  <c r="C21" i="9" l="1"/>
  <c r="F21" i="9"/>
  <c r="AH21" i="9"/>
  <c r="BL21" i="9"/>
  <c r="AE21" i="9" s="1"/>
  <c r="C22" i="9"/>
  <c r="F22" i="9"/>
  <c r="AH22" i="9"/>
  <c r="BL22" i="9"/>
  <c r="AE22" i="9" s="1"/>
  <c r="C23" i="9"/>
  <c r="F23" i="9"/>
  <c r="AH23" i="9"/>
  <c r="BL23" i="9"/>
  <c r="AE23" i="9" s="1"/>
  <c r="C24" i="9"/>
  <c r="F24" i="9"/>
  <c r="AH24" i="9"/>
  <c r="BL24" i="9"/>
  <c r="AE24" i="9" s="1"/>
  <c r="AF23" i="9" l="1"/>
  <c r="AF22" i="9"/>
  <c r="AF24" i="9"/>
  <c r="AN23" i="9"/>
  <c r="AN24" i="9"/>
  <c r="AN22" i="9"/>
  <c r="AN21" i="9"/>
  <c r="A22" i="9"/>
  <c r="A21" i="9"/>
  <c r="A23" i="9"/>
  <c r="A24" i="9"/>
  <c r="O9" i="30" l="1"/>
  <c r="A9" i="30"/>
  <c r="O7" i="30"/>
  <c r="A7" i="30"/>
  <c r="O6" i="30"/>
  <c r="A6" i="30"/>
  <c r="O5" i="30"/>
  <c r="A5" i="30"/>
  <c r="BL284" i="9"/>
  <c r="AE284" i="9" s="1"/>
  <c r="AH284" i="9"/>
  <c r="F284" i="9"/>
  <c r="C284" i="9"/>
  <c r="BL283" i="9"/>
  <c r="AE283" i="9" s="1"/>
  <c r="AH283" i="9"/>
  <c r="F283" i="9"/>
  <c r="C283" i="9"/>
  <c r="BL282" i="9"/>
  <c r="AE282" i="9" s="1"/>
  <c r="AH282" i="9"/>
  <c r="F282" i="9"/>
  <c r="C282" i="9"/>
  <c r="BL281" i="9"/>
  <c r="AE281" i="9" s="1"/>
  <c r="AH281" i="9"/>
  <c r="F281" i="9"/>
  <c r="C281" i="9"/>
  <c r="BL280" i="9"/>
  <c r="AE280" i="9" s="1"/>
  <c r="AH280" i="9"/>
  <c r="F280" i="9"/>
  <c r="C280" i="9"/>
  <c r="BL279" i="9"/>
  <c r="AE279" i="9" s="1"/>
  <c r="AH279" i="9"/>
  <c r="F279" i="9"/>
  <c r="C279" i="9"/>
  <c r="BL278" i="9"/>
  <c r="AE278" i="9" s="1"/>
  <c r="AH278" i="9"/>
  <c r="F278" i="9"/>
  <c r="C278" i="9"/>
  <c r="BL277" i="9"/>
  <c r="AE277" i="9" s="1"/>
  <c r="AH277" i="9"/>
  <c r="F277" i="9"/>
  <c r="C277" i="9"/>
  <c r="BL276" i="9"/>
  <c r="AE276" i="9" s="1"/>
  <c r="AH276" i="9"/>
  <c r="F276" i="9"/>
  <c r="C276" i="9"/>
  <c r="BL275" i="9"/>
  <c r="AE275" i="9" s="1"/>
  <c r="AH275" i="9"/>
  <c r="F275" i="9"/>
  <c r="C275" i="9"/>
  <c r="BL274" i="9"/>
  <c r="AE274" i="9" s="1"/>
  <c r="AH274" i="9"/>
  <c r="F274" i="9"/>
  <c r="C274" i="9"/>
  <c r="BL273" i="9"/>
  <c r="AE273" i="9" s="1"/>
  <c r="AH273" i="9"/>
  <c r="F273" i="9"/>
  <c r="C273" i="9"/>
  <c r="BL272" i="9"/>
  <c r="AE272" i="9" s="1"/>
  <c r="AH272" i="9"/>
  <c r="F272" i="9"/>
  <c r="C272" i="9"/>
  <c r="BL271" i="9"/>
  <c r="AE271" i="9" s="1"/>
  <c r="AH271" i="9"/>
  <c r="F271" i="9"/>
  <c r="C271" i="9"/>
  <c r="BL270" i="9"/>
  <c r="AE270" i="9" s="1"/>
  <c r="AH270" i="9"/>
  <c r="F270" i="9"/>
  <c r="C270" i="9"/>
  <c r="BL269" i="9"/>
  <c r="AE269" i="9" s="1"/>
  <c r="AH269" i="9"/>
  <c r="F269" i="9"/>
  <c r="C269" i="9"/>
  <c r="BL268" i="9"/>
  <c r="AE268" i="9" s="1"/>
  <c r="AH268" i="9"/>
  <c r="F268" i="9"/>
  <c r="C268" i="9"/>
  <c r="BL267" i="9"/>
  <c r="AE267" i="9" s="1"/>
  <c r="AH267" i="9"/>
  <c r="F267" i="9"/>
  <c r="C267" i="9"/>
  <c r="BL266" i="9"/>
  <c r="AE266" i="9" s="1"/>
  <c r="AH266" i="9"/>
  <c r="F266" i="9"/>
  <c r="C266" i="9"/>
  <c r="BL265" i="9"/>
  <c r="AE265" i="9" s="1"/>
  <c r="AH265" i="9"/>
  <c r="F265" i="9"/>
  <c r="C265" i="9"/>
  <c r="BL244" i="9"/>
  <c r="AE244" i="9" s="1"/>
  <c r="AH244" i="9"/>
  <c r="F244" i="9"/>
  <c r="C244" i="9"/>
  <c r="BL243" i="9"/>
  <c r="AE243" i="9" s="1"/>
  <c r="AH243" i="9"/>
  <c r="F243" i="9"/>
  <c r="C243" i="9"/>
  <c r="BL242" i="9"/>
  <c r="AE242" i="9" s="1"/>
  <c r="AH242" i="9"/>
  <c r="F242" i="9"/>
  <c r="C242" i="9"/>
  <c r="BL241" i="9"/>
  <c r="AE241" i="9" s="1"/>
  <c r="AH241" i="9"/>
  <c r="F241" i="9"/>
  <c r="C241" i="9"/>
  <c r="BL240" i="9"/>
  <c r="AE240" i="9" s="1"/>
  <c r="AH240" i="9"/>
  <c r="F240" i="9"/>
  <c r="C240" i="9"/>
  <c r="BL239" i="9"/>
  <c r="AE239" i="9" s="1"/>
  <c r="AH239" i="9"/>
  <c r="F239" i="9"/>
  <c r="C239" i="9"/>
  <c r="BL238" i="9"/>
  <c r="AE238" i="9" s="1"/>
  <c r="AH238" i="9"/>
  <c r="F238" i="9"/>
  <c r="C238" i="9"/>
  <c r="BL237" i="9"/>
  <c r="AE237" i="9" s="1"/>
  <c r="AH237" i="9"/>
  <c r="F237" i="9"/>
  <c r="C237" i="9"/>
  <c r="BL236" i="9"/>
  <c r="AE236" i="9" s="1"/>
  <c r="AH236" i="9"/>
  <c r="F236" i="9"/>
  <c r="C236" i="9"/>
  <c r="BL235" i="9"/>
  <c r="AE235" i="9" s="1"/>
  <c r="AH235" i="9"/>
  <c r="F235" i="9"/>
  <c r="C235" i="9"/>
  <c r="BL234" i="9"/>
  <c r="AE234" i="9" s="1"/>
  <c r="AH234" i="9"/>
  <c r="F234" i="9"/>
  <c r="C234" i="9"/>
  <c r="BL233" i="9"/>
  <c r="AE233" i="9" s="1"/>
  <c r="AH233" i="9"/>
  <c r="F233" i="9"/>
  <c r="C233" i="9"/>
  <c r="BL232" i="9"/>
  <c r="AE232" i="9" s="1"/>
  <c r="AH232" i="9"/>
  <c r="F232" i="9"/>
  <c r="C232" i="9"/>
  <c r="BL231" i="9"/>
  <c r="AE231" i="9" s="1"/>
  <c r="AH231" i="9"/>
  <c r="F231" i="9"/>
  <c r="C231" i="9"/>
  <c r="BL230" i="9"/>
  <c r="AE230" i="9" s="1"/>
  <c r="AH230" i="9"/>
  <c r="F230" i="9"/>
  <c r="C230" i="9"/>
  <c r="BL229" i="9"/>
  <c r="AE229" i="9" s="1"/>
  <c r="AH229" i="9"/>
  <c r="F229" i="9"/>
  <c r="C229" i="9"/>
  <c r="BL228" i="9"/>
  <c r="AE228" i="9" s="1"/>
  <c r="AH228" i="9"/>
  <c r="F228" i="9"/>
  <c r="C228" i="9"/>
  <c r="BL227" i="9"/>
  <c r="AE227" i="9" s="1"/>
  <c r="AH227" i="9"/>
  <c r="F227" i="9"/>
  <c r="C227" i="9"/>
  <c r="BL226" i="9"/>
  <c r="AE226" i="9" s="1"/>
  <c r="AH226" i="9"/>
  <c r="F226" i="9"/>
  <c r="C226" i="9"/>
  <c r="BL225" i="9"/>
  <c r="AE225" i="9" s="1"/>
  <c r="AH225" i="9"/>
  <c r="F225" i="9"/>
  <c r="C225" i="9"/>
  <c r="BL184" i="9"/>
  <c r="AE184" i="9" s="1"/>
  <c r="AH184" i="9"/>
  <c r="F184" i="9"/>
  <c r="C184" i="9"/>
  <c r="BL183" i="9"/>
  <c r="AE183" i="9" s="1"/>
  <c r="AH183" i="9"/>
  <c r="F183" i="9"/>
  <c r="C183" i="9"/>
  <c r="BL182" i="9"/>
  <c r="AE182" i="9" s="1"/>
  <c r="AH182" i="9"/>
  <c r="F182" i="9"/>
  <c r="C182" i="9"/>
  <c r="BL181" i="9"/>
  <c r="AE181" i="9" s="1"/>
  <c r="AH181" i="9"/>
  <c r="F181" i="9"/>
  <c r="C181" i="9"/>
  <c r="BL180" i="9"/>
  <c r="AE180" i="9" s="1"/>
  <c r="AH180" i="9"/>
  <c r="F180" i="9"/>
  <c r="C180" i="9"/>
  <c r="BL179" i="9"/>
  <c r="AE179" i="9" s="1"/>
  <c r="AH179" i="9"/>
  <c r="F179" i="9"/>
  <c r="C179" i="9"/>
  <c r="BL178" i="9"/>
  <c r="AE178" i="9" s="1"/>
  <c r="AH178" i="9"/>
  <c r="F178" i="9"/>
  <c r="C178" i="9"/>
  <c r="BL177" i="9"/>
  <c r="AE177" i="9" s="1"/>
  <c r="AH177" i="9"/>
  <c r="F177" i="9"/>
  <c r="C177" i="9"/>
  <c r="BL176" i="9"/>
  <c r="AE176" i="9" s="1"/>
  <c r="AH176" i="9"/>
  <c r="F176" i="9"/>
  <c r="C176" i="9"/>
  <c r="BL175" i="9"/>
  <c r="AE175" i="9" s="1"/>
  <c r="AH175" i="9"/>
  <c r="F175" i="9"/>
  <c r="C175" i="9"/>
  <c r="BL174" i="9"/>
  <c r="AE174" i="9" s="1"/>
  <c r="AH174" i="9"/>
  <c r="F174" i="9"/>
  <c r="C174" i="9"/>
  <c r="BL173" i="9"/>
  <c r="AE173" i="9" s="1"/>
  <c r="AH173" i="9"/>
  <c r="F173" i="9"/>
  <c r="C173" i="9"/>
  <c r="BL172" i="9"/>
  <c r="AE172" i="9" s="1"/>
  <c r="AH172" i="9"/>
  <c r="F172" i="9"/>
  <c r="C172" i="9"/>
  <c r="BL171" i="9"/>
  <c r="AE171" i="9" s="1"/>
  <c r="AH171" i="9"/>
  <c r="F171" i="9"/>
  <c r="C171" i="9"/>
  <c r="BL170" i="9"/>
  <c r="AE170" i="9" s="1"/>
  <c r="AH170" i="9"/>
  <c r="F170" i="9"/>
  <c r="C170" i="9"/>
  <c r="BL169" i="9"/>
  <c r="AE169" i="9" s="1"/>
  <c r="AH169" i="9"/>
  <c r="F169" i="9"/>
  <c r="C169" i="9"/>
  <c r="BL168" i="9"/>
  <c r="AE168" i="9" s="1"/>
  <c r="AH168" i="9"/>
  <c r="F168" i="9"/>
  <c r="C168" i="9"/>
  <c r="BL167" i="9"/>
  <c r="AE167" i="9" s="1"/>
  <c r="AH167" i="9"/>
  <c r="F167" i="9"/>
  <c r="C167" i="9"/>
  <c r="BL166" i="9"/>
  <c r="AE166" i="9" s="1"/>
  <c r="AH166" i="9"/>
  <c r="F166" i="9"/>
  <c r="C166" i="9"/>
  <c r="BL165" i="9"/>
  <c r="AE165" i="9" s="1"/>
  <c r="AH165" i="9"/>
  <c r="F165" i="9"/>
  <c r="C165" i="9"/>
  <c r="BL164" i="9"/>
  <c r="AE164" i="9" s="1"/>
  <c r="AH164" i="9"/>
  <c r="F164" i="9"/>
  <c r="C164" i="9"/>
  <c r="BL163" i="9"/>
  <c r="AE163" i="9" s="1"/>
  <c r="AH163" i="9"/>
  <c r="F163" i="9"/>
  <c r="C163" i="9"/>
  <c r="BL162" i="9"/>
  <c r="AE162" i="9" s="1"/>
  <c r="AH162" i="9"/>
  <c r="F162" i="9"/>
  <c r="C162" i="9"/>
  <c r="BL161" i="9"/>
  <c r="AE161" i="9" s="1"/>
  <c r="AH161" i="9"/>
  <c r="F161" i="9"/>
  <c r="C161" i="9"/>
  <c r="BL160" i="9"/>
  <c r="AE160" i="9" s="1"/>
  <c r="AH160" i="9"/>
  <c r="F160" i="9"/>
  <c r="C160" i="9"/>
  <c r="BL159" i="9"/>
  <c r="AE159" i="9" s="1"/>
  <c r="AH159" i="9"/>
  <c r="F159" i="9"/>
  <c r="C159" i="9"/>
  <c r="BL158" i="9"/>
  <c r="AE158" i="9" s="1"/>
  <c r="AH158" i="9"/>
  <c r="F158" i="9"/>
  <c r="C158" i="9"/>
  <c r="BL157" i="9"/>
  <c r="AE157" i="9" s="1"/>
  <c r="AH157" i="9"/>
  <c r="F157" i="9"/>
  <c r="C157" i="9"/>
  <c r="BL156" i="9"/>
  <c r="AE156" i="9" s="1"/>
  <c r="AH156" i="9"/>
  <c r="F156" i="9"/>
  <c r="C156" i="9"/>
  <c r="BL155" i="9"/>
  <c r="AE155" i="9" s="1"/>
  <c r="AH155" i="9"/>
  <c r="F155" i="9"/>
  <c r="C155" i="9"/>
  <c r="BL154" i="9"/>
  <c r="AE154" i="9" s="1"/>
  <c r="AH154" i="9"/>
  <c r="F154" i="9"/>
  <c r="C154" i="9"/>
  <c r="BL153" i="9"/>
  <c r="AE153" i="9" s="1"/>
  <c r="AH153" i="9"/>
  <c r="F153" i="9"/>
  <c r="C153" i="9"/>
  <c r="BL152" i="9"/>
  <c r="AE152" i="9" s="1"/>
  <c r="AH152" i="9"/>
  <c r="F152" i="9"/>
  <c r="C152" i="9"/>
  <c r="BL151" i="9"/>
  <c r="AE151" i="9" s="1"/>
  <c r="AH151" i="9"/>
  <c r="F151" i="9"/>
  <c r="C151" i="9"/>
  <c r="BL150" i="9"/>
  <c r="AE150" i="9" s="1"/>
  <c r="AH150" i="9"/>
  <c r="F150" i="9"/>
  <c r="C150" i="9"/>
  <c r="BL149" i="9"/>
  <c r="AE149" i="9" s="1"/>
  <c r="AH149" i="9"/>
  <c r="F149" i="9"/>
  <c r="C149" i="9"/>
  <c r="BL148" i="9"/>
  <c r="AE148" i="9" s="1"/>
  <c r="AH148" i="9"/>
  <c r="F148" i="9"/>
  <c r="C148" i="9"/>
  <c r="BL147" i="9"/>
  <c r="AE147" i="9" s="1"/>
  <c r="AH147" i="9"/>
  <c r="F147" i="9"/>
  <c r="C147" i="9"/>
  <c r="BL146" i="9"/>
  <c r="AE146" i="9" s="1"/>
  <c r="AH146" i="9"/>
  <c r="F146" i="9"/>
  <c r="C146" i="9"/>
  <c r="BL145" i="9"/>
  <c r="AE145" i="9" s="1"/>
  <c r="AH145" i="9"/>
  <c r="F145" i="9"/>
  <c r="C145" i="9"/>
  <c r="BL144" i="9"/>
  <c r="AE144" i="9" s="1"/>
  <c r="AH144" i="9"/>
  <c r="F144" i="9"/>
  <c r="C144" i="9"/>
  <c r="BL143" i="9"/>
  <c r="AE143" i="9" s="1"/>
  <c r="AH143" i="9"/>
  <c r="F143" i="9"/>
  <c r="C143" i="9"/>
  <c r="BL142" i="9"/>
  <c r="AE142" i="9" s="1"/>
  <c r="AH142" i="9"/>
  <c r="F142" i="9"/>
  <c r="C142" i="9"/>
  <c r="BL141" i="9"/>
  <c r="AE141" i="9" s="1"/>
  <c r="AH141" i="9"/>
  <c r="F141" i="9"/>
  <c r="C141" i="9"/>
  <c r="BL140" i="9"/>
  <c r="AE140" i="9" s="1"/>
  <c r="AH140" i="9"/>
  <c r="F140" i="9"/>
  <c r="C140" i="9"/>
  <c r="BL139" i="9"/>
  <c r="AE139" i="9" s="1"/>
  <c r="AH139" i="9"/>
  <c r="F139" i="9"/>
  <c r="C139" i="9"/>
  <c r="BL138" i="9"/>
  <c r="AE138" i="9" s="1"/>
  <c r="AH138" i="9"/>
  <c r="F138" i="9"/>
  <c r="C138" i="9"/>
  <c r="BL137" i="9"/>
  <c r="AE137" i="9" s="1"/>
  <c r="AH137" i="9"/>
  <c r="F137" i="9"/>
  <c r="C137" i="9"/>
  <c r="BL136" i="9"/>
  <c r="AE136" i="9" s="1"/>
  <c r="AH136" i="9"/>
  <c r="F136" i="9"/>
  <c r="C136" i="9"/>
  <c r="BL135" i="9"/>
  <c r="AE135" i="9" s="1"/>
  <c r="AH135" i="9"/>
  <c r="F135" i="9"/>
  <c r="C135" i="9"/>
  <c r="BL134" i="9"/>
  <c r="AE134" i="9" s="1"/>
  <c r="AH134" i="9"/>
  <c r="F134" i="9"/>
  <c r="C134" i="9"/>
  <c r="BL133" i="9"/>
  <c r="AE133" i="9" s="1"/>
  <c r="AH133" i="9"/>
  <c r="F133" i="9"/>
  <c r="C133" i="9"/>
  <c r="BL132" i="9"/>
  <c r="AE132" i="9" s="1"/>
  <c r="AH132" i="9"/>
  <c r="F132" i="9"/>
  <c r="C132" i="9"/>
  <c r="BL131" i="9"/>
  <c r="AE131" i="9" s="1"/>
  <c r="AH131" i="9"/>
  <c r="F131" i="9"/>
  <c r="C131" i="9"/>
  <c r="BL130" i="9"/>
  <c r="AE130" i="9" s="1"/>
  <c r="AH130" i="9"/>
  <c r="F130" i="9"/>
  <c r="C130" i="9"/>
  <c r="BL129" i="9"/>
  <c r="AE129" i="9" s="1"/>
  <c r="AH129" i="9"/>
  <c r="F129" i="9"/>
  <c r="C129" i="9"/>
  <c r="BL128" i="9"/>
  <c r="AE128" i="9" s="1"/>
  <c r="AH128" i="9"/>
  <c r="F128" i="9"/>
  <c r="C128" i="9"/>
  <c r="BL127" i="9"/>
  <c r="AE127" i="9" s="1"/>
  <c r="AH127" i="9"/>
  <c r="F127" i="9"/>
  <c r="C127" i="9"/>
  <c r="BL126" i="9"/>
  <c r="AE126" i="9" s="1"/>
  <c r="AH126" i="9"/>
  <c r="F126" i="9"/>
  <c r="C126" i="9"/>
  <c r="BL125" i="9"/>
  <c r="AE125" i="9" s="1"/>
  <c r="AH125" i="9"/>
  <c r="F125" i="9"/>
  <c r="C125" i="9"/>
  <c r="BL124" i="9"/>
  <c r="AE124" i="9" s="1"/>
  <c r="AH124" i="9"/>
  <c r="F124" i="9"/>
  <c r="C124" i="9"/>
  <c r="BL123" i="9"/>
  <c r="AE123" i="9" s="1"/>
  <c r="AH123" i="9"/>
  <c r="F123" i="9"/>
  <c r="C123" i="9"/>
  <c r="BL122" i="9"/>
  <c r="AE122" i="9" s="1"/>
  <c r="AH122" i="9"/>
  <c r="F122" i="9"/>
  <c r="C122" i="9"/>
  <c r="BL121" i="9"/>
  <c r="AE121" i="9" s="1"/>
  <c r="AH121" i="9"/>
  <c r="F121" i="9"/>
  <c r="C121" i="9"/>
  <c r="BL120" i="9"/>
  <c r="AE120" i="9" s="1"/>
  <c r="AH120" i="9"/>
  <c r="F120" i="9"/>
  <c r="C120" i="9"/>
  <c r="BL119" i="9"/>
  <c r="AE119" i="9" s="1"/>
  <c r="AH119" i="9"/>
  <c r="F119" i="9"/>
  <c r="C119" i="9"/>
  <c r="BL118" i="9"/>
  <c r="AE118" i="9" s="1"/>
  <c r="AH118" i="9"/>
  <c r="F118" i="9"/>
  <c r="C118" i="9"/>
  <c r="BL117" i="9"/>
  <c r="AE117" i="9" s="1"/>
  <c r="AH117" i="9"/>
  <c r="F117" i="9"/>
  <c r="C117" i="9"/>
  <c r="BL116" i="9"/>
  <c r="AE116" i="9" s="1"/>
  <c r="AH116" i="9"/>
  <c r="F116" i="9"/>
  <c r="C116" i="9"/>
  <c r="BL115" i="9"/>
  <c r="AE115" i="9" s="1"/>
  <c r="AH115" i="9"/>
  <c r="F115" i="9"/>
  <c r="C115" i="9"/>
  <c r="BL114" i="9"/>
  <c r="AE114" i="9" s="1"/>
  <c r="AH114" i="9"/>
  <c r="F114" i="9"/>
  <c r="C114" i="9"/>
  <c r="BL113" i="9"/>
  <c r="AE113" i="9" s="1"/>
  <c r="AH113" i="9"/>
  <c r="F113" i="9"/>
  <c r="C113" i="9"/>
  <c r="BL112" i="9"/>
  <c r="AE112" i="9" s="1"/>
  <c r="AH112" i="9"/>
  <c r="F112" i="9"/>
  <c r="C112" i="9"/>
  <c r="BL111" i="9"/>
  <c r="AE111" i="9" s="1"/>
  <c r="AH111" i="9"/>
  <c r="F111" i="9"/>
  <c r="C111" i="9"/>
  <c r="BL110" i="9"/>
  <c r="AE110" i="9" s="1"/>
  <c r="AH110" i="9"/>
  <c r="F110" i="9"/>
  <c r="C110" i="9"/>
  <c r="BL109" i="9"/>
  <c r="AE109" i="9" s="1"/>
  <c r="AH109" i="9"/>
  <c r="F109" i="9"/>
  <c r="C109" i="9"/>
  <c r="BL108" i="9"/>
  <c r="AE108" i="9" s="1"/>
  <c r="AH108" i="9"/>
  <c r="F108" i="9"/>
  <c r="C108" i="9"/>
  <c r="BL107" i="9"/>
  <c r="AE107" i="9" s="1"/>
  <c r="AH107" i="9"/>
  <c r="F107" i="9"/>
  <c r="C107" i="9"/>
  <c r="BL106" i="9"/>
  <c r="AE106" i="9" s="1"/>
  <c r="AH106" i="9"/>
  <c r="F106" i="9"/>
  <c r="C106" i="9"/>
  <c r="BL105" i="9"/>
  <c r="AE105" i="9" s="1"/>
  <c r="AF105" i="9" s="1"/>
  <c r="AH105" i="9"/>
  <c r="F105" i="9"/>
  <c r="C105" i="9"/>
  <c r="BL104" i="9"/>
  <c r="AE104" i="9" s="1"/>
  <c r="AH104" i="9"/>
  <c r="F104" i="9"/>
  <c r="C104" i="9"/>
  <c r="BL103" i="9"/>
  <c r="AE103" i="9" s="1"/>
  <c r="AH103" i="9"/>
  <c r="F103" i="9"/>
  <c r="C103" i="9"/>
  <c r="BL102" i="9"/>
  <c r="AE102" i="9" s="1"/>
  <c r="AH102" i="9"/>
  <c r="F102" i="9"/>
  <c r="C102" i="9"/>
  <c r="BL101" i="9"/>
  <c r="AE101" i="9" s="1"/>
  <c r="AH101" i="9"/>
  <c r="F101" i="9"/>
  <c r="C101" i="9"/>
  <c r="BL100" i="9"/>
  <c r="AE100" i="9" s="1"/>
  <c r="AH100" i="9"/>
  <c r="F100" i="9"/>
  <c r="C100" i="9"/>
  <c r="BL99" i="9"/>
  <c r="AE99" i="9" s="1"/>
  <c r="AH99" i="9"/>
  <c r="F99" i="9"/>
  <c r="C99" i="9"/>
  <c r="BL98" i="9"/>
  <c r="AE98" i="9" s="1"/>
  <c r="AH98" i="9"/>
  <c r="F98" i="9"/>
  <c r="C98" i="9"/>
  <c r="BL97" i="9"/>
  <c r="AE97" i="9" s="1"/>
  <c r="AH97" i="9"/>
  <c r="F97" i="9"/>
  <c r="C97" i="9"/>
  <c r="BL96" i="9"/>
  <c r="AE96" i="9" s="1"/>
  <c r="AH96" i="9"/>
  <c r="F96" i="9"/>
  <c r="C96" i="9"/>
  <c r="BL95" i="9"/>
  <c r="AE95" i="9" s="1"/>
  <c r="AH95" i="9"/>
  <c r="F95" i="9"/>
  <c r="C95" i="9"/>
  <c r="BL94" i="9"/>
  <c r="AE94" i="9" s="1"/>
  <c r="AH94" i="9"/>
  <c r="F94" i="9"/>
  <c r="C94" i="9"/>
  <c r="BL93" i="9"/>
  <c r="AE93" i="9" s="1"/>
  <c r="AH93" i="9"/>
  <c r="F93" i="9"/>
  <c r="C93" i="9"/>
  <c r="BL92" i="9"/>
  <c r="AE92" i="9" s="1"/>
  <c r="AH92" i="9"/>
  <c r="F92" i="9"/>
  <c r="C92" i="9"/>
  <c r="BL91" i="9"/>
  <c r="AE91" i="9" s="1"/>
  <c r="AH91" i="9"/>
  <c r="F91" i="9"/>
  <c r="C91" i="9"/>
  <c r="BL90" i="9"/>
  <c r="AE90" i="9" s="1"/>
  <c r="AH90" i="9"/>
  <c r="F90" i="9"/>
  <c r="C90" i="9"/>
  <c r="BL89" i="9"/>
  <c r="AE89" i="9" s="1"/>
  <c r="AH89" i="9"/>
  <c r="F89" i="9"/>
  <c r="C89" i="9"/>
  <c r="BL88" i="9"/>
  <c r="AE88" i="9" s="1"/>
  <c r="AH88" i="9"/>
  <c r="F88" i="9"/>
  <c r="C88" i="9"/>
  <c r="BL87" i="9"/>
  <c r="AE87" i="9" s="1"/>
  <c r="AH87" i="9"/>
  <c r="F87" i="9"/>
  <c r="C87" i="9"/>
  <c r="BL86" i="9"/>
  <c r="AE86" i="9" s="1"/>
  <c r="AH86" i="9"/>
  <c r="F86" i="9"/>
  <c r="C86" i="9"/>
  <c r="BL85" i="9"/>
  <c r="AE85" i="9" s="1"/>
  <c r="AH85" i="9"/>
  <c r="F85" i="9"/>
  <c r="C85" i="9"/>
  <c r="BL64" i="9"/>
  <c r="AE64" i="9" s="1"/>
  <c r="AH64" i="9"/>
  <c r="F64" i="9"/>
  <c r="C64" i="9"/>
  <c r="BL63" i="9"/>
  <c r="AE63" i="9" s="1"/>
  <c r="AH63" i="9"/>
  <c r="F63" i="9"/>
  <c r="C63" i="9"/>
  <c r="BL62" i="9"/>
  <c r="AE62" i="9" s="1"/>
  <c r="AH62" i="9"/>
  <c r="F62" i="9"/>
  <c r="C62" i="9"/>
  <c r="BL61" i="9"/>
  <c r="AE61" i="9" s="1"/>
  <c r="AH61" i="9"/>
  <c r="F61" i="9"/>
  <c r="C61" i="9"/>
  <c r="BL60" i="9"/>
  <c r="AE60" i="9" s="1"/>
  <c r="AH60" i="9"/>
  <c r="F60" i="9"/>
  <c r="C60" i="9"/>
  <c r="BL59" i="9"/>
  <c r="AE59" i="9" s="1"/>
  <c r="AH59" i="9"/>
  <c r="F59" i="9"/>
  <c r="C59" i="9"/>
  <c r="BL58" i="9"/>
  <c r="AE58" i="9" s="1"/>
  <c r="AH58" i="9"/>
  <c r="F58" i="9"/>
  <c r="C58" i="9"/>
  <c r="BL57" i="9"/>
  <c r="AE57" i="9" s="1"/>
  <c r="AH57" i="9"/>
  <c r="F57" i="9"/>
  <c r="C57" i="9"/>
  <c r="BL56" i="9"/>
  <c r="AE56" i="9" s="1"/>
  <c r="AH56" i="9"/>
  <c r="F56" i="9"/>
  <c r="C56" i="9"/>
  <c r="BL55" i="9"/>
  <c r="AE55" i="9" s="1"/>
  <c r="AH55" i="9"/>
  <c r="F55" i="9"/>
  <c r="C55" i="9"/>
  <c r="BL54" i="9"/>
  <c r="AE54" i="9" s="1"/>
  <c r="AH54" i="9"/>
  <c r="F54" i="9"/>
  <c r="C54" i="9"/>
  <c r="BL53" i="9"/>
  <c r="AE53" i="9" s="1"/>
  <c r="AH53" i="9"/>
  <c r="F53" i="9"/>
  <c r="C53" i="9"/>
  <c r="BL52" i="9"/>
  <c r="AE52" i="9" s="1"/>
  <c r="AH52" i="9"/>
  <c r="F52" i="9"/>
  <c r="C52" i="9"/>
  <c r="BL51" i="9"/>
  <c r="AE51" i="9" s="1"/>
  <c r="AH51" i="9"/>
  <c r="F51" i="9"/>
  <c r="C51" i="9"/>
  <c r="BL50" i="9"/>
  <c r="AE50" i="9" s="1"/>
  <c r="AH50" i="9"/>
  <c r="F50" i="9"/>
  <c r="C50" i="9"/>
  <c r="BL49" i="9"/>
  <c r="AE49" i="9" s="1"/>
  <c r="AH49" i="9"/>
  <c r="F49" i="9"/>
  <c r="C49" i="9"/>
  <c r="BL48" i="9"/>
  <c r="AE48" i="9" s="1"/>
  <c r="AH48" i="9"/>
  <c r="F48" i="9"/>
  <c r="C48" i="9"/>
  <c r="BL47" i="9"/>
  <c r="AE47" i="9" s="1"/>
  <c r="AH47" i="9"/>
  <c r="F47" i="9"/>
  <c r="C47" i="9"/>
  <c r="BL46" i="9"/>
  <c r="AE46" i="9" s="1"/>
  <c r="AH46" i="9"/>
  <c r="F46" i="9"/>
  <c r="C46" i="9"/>
  <c r="BL45" i="9"/>
  <c r="AE45" i="9" s="1"/>
  <c r="AH45" i="9"/>
  <c r="F45" i="9"/>
  <c r="C45" i="9"/>
  <c r="BL44" i="9"/>
  <c r="AE44" i="9" s="1"/>
  <c r="AH44" i="9"/>
  <c r="F44" i="9"/>
  <c r="C44" i="9"/>
  <c r="BL43" i="9"/>
  <c r="AE43" i="9" s="1"/>
  <c r="AH43" i="9"/>
  <c r="F43" i="9"/>
  <c r="C43" i="9"/>
  <c r="BL42" i="9"/>
  <c r="AE42" i="9" s="1"/>
  <c r="AH42" i="9"/>
  <c r="F42" i="9"/>
  <c r="C42" i="9"/>
  <c r="BL41" i="9"/>
  <c r="AE41" i="9" s="1"/>
  <c r="AH41" i="9"/>
  <c r="F41" i="9"/>
  <c r="C41" i="9"/>
  <c r="BL40" i="9"/>
  <c r="AE40" i="9" s="1"/>
  <c r="AH40" i="9"/>
  <c r="F40" i="9"/>
  <c r="C40" i="9"/>
  <c r="BL39" i="9"/>
  <c r="AE39" i="9" s="1"/>
  <c r="AH39" i="9"/>
  <c r="F39" i="9"/>
  <c r="C39" i="9"/>
  <c r="BL38" i="9"/>
  <c r="AE38" i="9" s="1"/>
  <c r="AH38" i="9"/>
  <c r="F38" i="9"/>
  <c r="C38" i="9"/>
  <c r="BL37" i="9"/>
  <c r="AE37" i="9" s="1"/>
  <c r="AH37" i="9"/>
  <c r="F37" i="9"/>
  <c r="C37" i="9"/>
  <c r="BL36" i="9"/>
  <c r="AE36" i="9" s="1"/>
  <c r="AH36" i="9"/>
  <c r="F36" i="9"/>
  <c r="C36" i="9"/>
  <c r="BL35" i="9"/>
  <c r="AE35" i="9" s="1"/>
  <c r="AH35" i="9"/>
  <c r="F35" i="9"/>
  <c r="C35" i="9"/>
  <c r="BL34" i="9"/>
  <c r="AE34" i="9" s="1"/>
  <c r="AH34" i="9"/>
  <c r="F34" i="9"/>
  <c r="C34" i="9"/>
  <c r="BL33" i="9"/>
  <c r="AE33" i="9" s="1"/>
  <c r="AH33" i="9"/>
  <c r="F33" i="9"/>
  <c r="C33" i="9"/>
  <c r="BL32" i="9"/>
  <c r="AE32" i="9" s="1"/>
  <c r="AH32" i="9"/>
  <c r="F32" i="9"/>
  <c r="C32" i="9"/>
  <c r="BL31" i="9"/>
  <c r="AE31" i="9" s="1"/>
  <c r="AH31" i="9"/>
  <c r="F31" i="9"/>
  <c r="C31" i="9"/>
  <c r="BL30" i="9"/>
  <c r="AE30" i="9" s="1"/>
  <c r="AH30" i="9"/>
  <c r="F30" i="9"/>
  <c r="C30" i="9"/>
  <c r="BL29" i="9"/>
  <c r="AE29" i="9" s="1"/>
  <c r="AH29" i="9"/>
  <c r="F29" i="9"/>
  <c r="C29" i="9"/>
  <c r="BL28" i="9"/>
  <c r="AE28" i="9" s="1"/>
  <c r="AH28" i="9"/>
  <c r="F28" i="9"/>
  <c r="C28" i="9"/>
  <c r="BL27" i="9"/>
  <c r="AE27" i="9" s="1"/>
  <c r="AH27" i="9"/>
  <c r="F27" i="9"/>
  <c r="C27" i="9"/>
  <c r="BL26" i="9"/>
  <c r="AE26" i="9" s="1"/>
  <c r="AH26" i="9"/>
  <c r="F26" i="9"/>
  <c r="C26" i="9"/>
  <c r="BL25" i="9"/>
  <c r="AE25" i="9" s="1"/>
  <c r="AF25" i="9" s="1"/>
  <c r="AH25" i="9"/>
  <c r="F25" i="9"/>
  <c r="C25" i="9"/>
  <c r="BL20" i="9"/>
  <c r="AE20" i="9" s="1"/>
  <c r="AF21" i="9" s="1"/>
  <c r="AH20" i="9"/>
  <c r="F20" i="9"/>
  <c r="C20" i="9"/>
  <c r="BL19" i="9"/>
  <c r="AE19" i="9" s="1"/>
  <c r="AH19" i="9"/>
  <c r="F19" i="9"/>
  <c r="C19" i="9"/>
  <c r="BL18" i="9"/>
  <c r="AE18" i="9" s="1"/>
  <c r="AH18" i="9"/>
  <c r="F18" i="9"/>
  <c r="C18" i="9"/>
  <c r="BL17" i="9"/>
  <c r="AE17" i="9" s="1"/>
  <c r="AH17" i="9"/>
  <c r="F17" i="9"/>
  <c r="C17" i="9"/>
  <c r="BL16" i="9"/>
  <c r="AE16" i="9" s="1"/>
  <c r="AH16" i="9"/>
  <c r="F16" i="9"/>
  <c r="C16" i="9"/>
  <c r="BL15" i="9"/>
  <c r="AE15" i="9" s="1"/>
  <c r="AH15" i="9"/>
  <c r="F15" i="9"/>
  <c r="C15" i="9"/>
  <c r="BL14" i="9"/>
  <c r="AE14" i="9" s="1"/>
  <c r="AH14" i="9"/>
  <c r="F14" i="9"/>
  <c r="C14" i="9"/>
  <c r="BL13" i="9"/>
  <c r="AE13" i="9" s="1"/>
  <c r="AH13" i="9"/>
  <c r="F13" i="9"/>
  <c r="C13" i="9"/>
  <c r="BL12" i="9"/>
  <c r="AE12" i="9" s="1"/>
  <c r="AH12" i="9"/>
  <c r="F12" i="9"/>
  <c r="C12" i="9"/>
  <c r="BL11" i="9"/>
  <c r="AE11" i="9" s="1"/>
  <c r="AH11" i="9"/>
  <c r="F11" i="9"/>
  <c r="C11" i="9"/>
  <c r="BL10" i="9"/>
  <c r="AE10" i="9" s="1"/>
  <c r="AH10" i="9"/>
  <c r="F10" i="9"/>
  <c r="C10" i="9"/>
  <c r="BL9" i="9"/>
  <c r="AE9" i="9" s="1"/>
  <c r="AH9" i="9"/>
  <c r="F9" i="9"/>
  <c r="C9" i="9"/>
  <c r="BL8" i="9"/>
  <c r="AE8" i="9" s="1"/>
  <c r="AH8" i="9"/>
  <c r="F8" i="9"/>
  <c r="C8" i="9"/>
  <c r="BL7" i="9"/>
  <c r="AE7" i="9" s="1"/>
  <c r="AH7" i="9"/>
  <c r="F7" i="9"/>
  <c r="C7" i="9"/>
  <c r="BL6" i="9"/>
  <c r="AE6" i="9" s="1"/>
  <c r="AH6" i="9"/>
  <c r="F6" i="9"/>
  <c r="C6" i="9"/>
  <c r="BL5" i="9"/>
  <c r="AE5" i="9" s="1"/>
  <c r="AH5" i="9"/>
  <c r="F5" i="9"/>
  <c r="C5" i="9"/>
  <c r="X9" i="9" l="1"/>
  <c r="X17" i="9"/>
  <c r="X11" i="9"/>
  <c r="X20" i="9"/>
  <c r="X13" i="9"/>
  <c r="X5" i="9"/>
  <c r="X6" i="9"/>
  <c r="X22" i="9"/>
  <c r="X7" i="9"/>
  <c r="X15" i="9"/>
  <c r="X8" i="9"/>
  <c r="X16" i="9"/>
  <c r="X24" i="9"/>
  <c r="X10" i="9"/>
  <c r="X18" i="9"/>
  <c r="X19" i="9"/>
  <c r="X12" i="9"/>
  <c r="X21" i="9"/>
  <c r="X14" i="9"/>
  <c r="X23" i="9"/>
  <c r="AP10" i="9"/>
  <c r="U177" i="9"/>
  <c r="U169" i="9"/>
  <c r="X125" i="9"/>
  <c r="X133" i="9"/>
  <c r="X141" i="9"/>
  <c r="X149" i="9"/>
  <c r="X157" i="9"/>
  <c r="U183" i="9"/>
  <c r="U167" i="9"/>
  <c r="X127" i="9"/>
  <c r="X143" i="9"/>
  <c r="X159" i="9"/>
  <c r="U182" i="9"/>
  <c r="U166" i="9"/>
  <c r="X128" i="9"/>
  <c r="X144" i="9"/>
  <c r="X160" i="9"/>
  <c r="U181" i="9"/>
  <c r="X129" i="9"/>
  <c r="X145" i="9"/>
  <c r="X161" i="9"/>
  <c r="U184" i="9"/>
  <c r="U176" i="9"/>
  <c r="U168" i="9"/>
  <c r="X126" i="9"/>
  <c r="X134" i="9"/>
  <c r="X142" i="9"/>
  <c r="X150" i="9"/>
  <c r="X158" i="9"/>
  <c r="U175" i="9"/>
  <c r="X135" i="9"/>
  <c r="X151" i="9"/>
  <c r="U174" i="9"/>
  <c r="X136" i="9"/>
  <c r="X152" i="9"/>
  <c r="U173" i="9"/>
  <c r="U165" i="9"/>
  <c r="X137" i="9"/>
  <c r="X153" i="9"/>
  <c r="U180" i="9"/>
  <c r="U172" i="9"/>
  <c r="X130" i="9"/>
  <c r="X138" i="9"/>
  <c r="X146" i="9"/>
  <c r="X154" i="9"/>
  <c r="X162" i="9"/>
  <c r="U179" i="9"/>
  <c r="U171" i="9"/>
  <c r="X131" i="9"/>
  <c r="X139" i="9"/>
  <c r="X147" i="9"/>
  <c r="X155" i="9"/>
  <c r="X163" i="9"/>
  <c r="U178" i="9"/>
  <c r="U170" i="9"/>
  <c r="X132" i="9"/>
  <c r="X140" i="9"/>
  <c r="X148" i="9"/>
  <c r="X156" i="9"/>
  <c r="X164" i="9"/>
  <c r="X45" i="9"/>
  <c r="X53" i="9"/>
  <c r="X61" i="9"/>
  <c r="X55" i="9"/>
  <c r="X64" i="9"/>
  <c r="X50" i="9"/>
  <c r="X46" i="9"/>
  <c r="X54" i="9"/>
  <c r="X62" i="9"/>
  <c r="X47" i="9"/>
  <c r="X63" i="9"/>
  <c r="X48" i="9"/>
  <c r="X49" i="9"/>
  <c r="X51" i="9"/>
  <c r="X52" i="9"/>
  <c r="X56" i="9"/>
  <c r="X57" i="9"/>
  <c r="X58" i="9"/>
  <c r="X59" i="9"/>
  <c r="X60" i="9"/>
  <c r="X25" i="9"/>
  <c r="X33" i="9"/>
  <c r="X41" i="9"/>
  <c r="X44" i="9"/>
  <c r="X29" i="9"/>
  <c r="X26" i="9"/>
  <c r="X34" i="9"/>
  <c r="X42" i="9"/>
  <c r="X36" i="9"/>
  <c r="X40" i="9"/>
  <c r="X27" i="9"/>
  <c r="X35" i="9"/>
  <c r="X43" i="9"/>
  <c r="X28" i="9"/>
  <c r="X37" i="9"/>
  <c r="X30" i="9"/>
  <c r="X38" i="9"/>
  <c r="X31" i="9"/>
  <c r="X39" i="9"/>
  <c r="X32" i="9"/>
  <c r="AF20" i="9"/>
  <c r="AF30" i="9"/>
  <c r="AF36" i="9"/>
  <c r="AF44" i="9"/>
  <c r="AF50" i="9"/>
  <c r="AF52" i="9"/>
  <c r="AF54" i="9"/>
  <c r="AF56" i="9"/>
  <c r="AF58" i="9"/>
  <c r="AF60" i="9"/>
  <c r="AF62" i="9"/>
  <c r="AF64" i="9"/>
  <c r="AF90" i="9"/>
  <c r="AF92" i="9"/>
  <c r="AF94" i="9"/>
  <c r="AF96" i="9"/>
  <c r="AF100" i="9"/>
  <c r="AF102" i="9"/>
  <c r="AF104" i="9"/>
  <c r="AF108" i="9"/>
  <c r="AF110" i="9"/>
  <c r="AF114" i="9"/>
  <c r="AF116" i="9"/>
  <c r="AF122" i="9"/>
  <c r="AF124" i="9"/>
  <c r="AF128" i="9"/>
  <c r="AF130" i="9"/>
  <c r="AF132" i="9"/>
  <c r="AF134" i="9"/>
  <c r="AF136" i="9"/>
  <c r="AF137" i="9"/>
  <c r="AF140" i="9"/>
  <c r="AF142" i="9"/>
  <c r="AF144" i="9"/>
  <c r="AF148" i="9"/>
  <c r="AF150" i="9"/>
  <c r="AF152" i="9"/>
  <c r="AF154" i="9"/>
  <c r="AF156" i="9"/>
  <c r="AF158" i="9"/>
  <c r="AF160" i="9"/>
  <c r="AF162" i="9"/>
  <c r="AF164" i="9"/>
  <c r="AF168" i="9"/>
  <c r="AF170" i="9"/>
  <c r="AF172" i="9"/>
  <c r="AF174" i="9"/>
  <c r="AF180" i="9"/>
  <c r="AF182" i="9"/>
  <c r="AF184" i="9"/>
  <c r="AF228" i="9"/>
  <c r="AF230" i="9"/>
  <c r="AF232" i="9"/>
  <c r="AF234" i="9"/>
  <c r="AF236" i="9"/>
  <c r="AF238" i="9"/>
  <c r="AF240" i="9"/>
  <c r="AF242" i="9"/>
  <c r="AF244" i="9"/>
  <c r="AF268" i="9"/>
  <c r="AF272" i="9"/>
  <c r="AF274" i="9"/>
  <c r="AF276" i="9"/>
  <c r="AF278" i="9"/>
  <c r="AF280" i="9"/>
  <c r="AF284" i="9"/>
  <c r="AF32" i="9"/>
  <c r="AF38" i="9"/>
  <c r="AF48" i="9"/>
  <c r="AF28" i="9"/>
  <c r="AF34" i="9"/>
  <c r="AF42" i="9"/>
  <c r="AF269" i="9"/>
  <c r="AF270" i="9"/>
  <c r="AF7" i="9"/>
  <c r="AF11" i="9"/>
  <c r="AF15" i="9"/>
  <c r="AF19" i="9"/>
  <c r="AF265" i="9"/>
  <c r="AF266" i="9"/>
  <c r="AF9" i="9"/>
  <c r="AF13" i="9"/>
  <c r="AF17" i="9"/>
  <c r="AF267" i="9"/>
  <c r="AF271" i="9"/>
  <c r="AF273" i="9"/>
  <c r="AF275" i="9"/>
  <c r="AF277" i="9"/>
  <c r="AF279" i="9"/>
  <c r="AF281" i="9"/>
  <c r="AF282" i="9"/>
  <c r="AF283" i="9"/>
  <c r="AF6" i="9"/>
  <c r="AF5" i="9"/>
  <c r="AF10" i="9"/>
  <c r="AF14" i="9"/>
  <c r="AF18" i="9"/>
  <c r="AF45" i="9"/>
  <c r="AF46" i="9"/>
  <c r="AF86" i="9"/>
  <c r="AF85" i="9"/>
  <c r="AF97" i="9"/>
  <c r="AF98" i="9"/>
  <c r="AF226" i="9"/>
  <c r="AF225" i="9"/>
  <c r="AF8" i="9"/>
  <c r="AF12" i="9"/>
  <c r="AF16" i="9"/>
  <c r="AF117" i="9"/>
  <c r="AF118" i="9"/>
  <c r="AF126" i="9"/>
  <c r="AF125" i="9"/>
  <c r="AF145" i="9"/>
  <c r="AF146" i="9"/>
  <c r="AF166" i="9"/>
  <c r="AF165" i="9"/>
  <c r="AF26" i="9"/>
  <c r="AF27" i="9"/>
  <c r="AF29" i="9"/>
  <c r="AF31" i="9"/>
  <c r="AF33" i="9"/>
  <c r="AF35" i="9"/>
  <c r="AF37" i="9"/>
  <c r="AF39" i="9"/>
  <c r="AF40" i="9"/>
  <c r="AF41" i="9"/>
  <c r="AF43" i="9"/>
  <c r="AF47" i="9"/>
  <c r="AF49" i="9"/>
  <c r="AF51" i="9"/>
  <c r="AF53" i="9"/>
  <c r="AF55" i="9"/>
  <c r="AF57" i="9"/>
  <c r="AF59" i="9"/>
  <c r="AF61" i="9"/>
  <c r="AF63" i="9"/>
  <c r="AF87" i="9"/>
  <c r="AF88" i="9"/>
  <c r="AF89" i="9"/>
  <c r="AF91" i="9"/>
  <c r="AF93" i="9"/>
  <c r="AF95" i="9"/>
  <c r="AF99" i="9"/>
  <c r="AF101" i="9"/>
  <c r="AF103" i="9"/>
  <c r="AF106" i="9"/>
  <c r="AF107" i="9"/>
  <c r="AF109" i="9"/>
  <c r="AF111" i="9"/>
  <c r="AF112" i="9"/>
  <c r="AF113" i="9"/>
  <c r="AF115" i="9"/>
  <c r="AF119" i="9"/>
  <c r="AF120" i="9"/>
  <c r="AF121" i="9"/>
  <c r="AF123" i="9"/>
  <c r="AF127" i="9"/>
  <c r="AF129" i="9"/>
  <c r="AF131" i="9"/>
  <c r="AF133" i="9"/>
  <c r="AF135" i="9"/>
  <c r="AF138" i="9"/>
  <c r="AF139" i="9"/>
  <c r="AF141" i="9"/>
  <c r="AF143" i="9"/>
  <c r="AF147" i="9"/>
  <c r="AF149" i="9"/>
  <c r="AF151" i="9"/>
  <c r="AF153" i="9"/>
  <c r="AF155" i="9"/>
  <c r="AF157" i="9"/>
  <c r="AF159" i="9"/>
  <c r="AF161" i="9"/>
  <c r="AF163" i="9"/>
  <c r="AF167" i="9"/>
  <c r="AF169" i="9"/>
  <c r="AF171" i="9"/>
  <c r="AF173" i="9"/>
  <c r="AF175" i="9"/>
  <c r="AF176" i="9"/>
  <c r="AF177" i="9"/>
  <c r="AF178" i="9"/>
  <c r="AF179" i="9"/>
  <c r="AF181" i="9"/>
  <c r="AF183" i="9"/>
  <c r="AF227" i="9"/>
  <c r="AF229" i="9"/>
  <c r="AF231" i="9"/>
  <c r="AF233" i="9"/>
  <c r="AF235" i="9"/>
  <c r="AF237" i="9"/>
  <c r="AF239" i="9"/>
  <c r="AF241" i="9"/>
  <c r="AF243" i="9"/>
  <c r="AN8" i="9"/>
  <c r="AN16" i="9"/>
  <c r="AN28" i="9"/>
  <c r="AN36" i="9"/>
  <c r="AN44" i="9"/>
  <c r="AN52" i="9"/>
  <c r="AN60" i="9"/>
  <c r="AN92" i="9"/>
  <c r="AN102" i="9"/>
  <c r="AN110" i="9"/>
  <c r="AN120" i="9"/>
  <c r="AN130" i="9"/>
  <c r="AN140" i="9"/>
  <c r="AN148" i="9"/>
  <c r="AN156" i="9"/>
  <c r="AN164" i="9"/>
  <c r="AN172" i="9"/>
  <c r="AN180" i="9"/>
  <c r="AN230" i="9"/>
  <c r="AN240" i="9"/>
  <c r="AN270" i="9"/>
  <c r="AN280" i="9"/>
  <c r="AN10" i="9"/>
  <c r="AN18" i="9"/>
  <c r="AN30" i="9"/>
  <c r="AN38" i="9"/>
  <c r="AN46" i="9"/>
  <c r="AN56" i="9"/>
  <c r="AN86" i="9"/>
  <c r="AN94" i="9"/>
  <c r="AN100" i="9"/>
  <c r="AN108" i="9"/>
  <c r="AN116" i="9"/>
  <c r="AN124" i="9"/>
  <c r="AN132" i="9"/>
  <c r="AN138" i="9"/>
  <c r="AN146" i="9"/>
  <c r="AN154" i="9"/>
  <c r="AN162" i="9"/>
  <c r="AN170" i="9"/>
  <c r="AN178" i="9"/>
  <c r="AN226" i="9"/>
  <c r="AN234" i="9"/>
  <c r="AN242" i="9"/>
  <c r="AN266" i="9"/>
  <c r="AN272" i="9"/>
  <c r="AN278" i="9"/>
  <c r="AN5" i="9"/>
  <c r="AN11" i="9"/>
  <c r="AN17" i="9"/>
  <c r="AN27" i="9"/>
  <c r="AN33" i="9"/>
  <c r="AN39" i="9"/>
  <c r="AN45" i="9"/>
  <c r="AN51" i="9"/>
  <c r="AN57" i="9"/>
  <c r="AN63" i="9"/>
  <c r="AN89" i="9"/>
  <c r="AN95" i="9"/>
  <c r="AN101" i="9"/>
  <c r="AN107" i="9"/>
  <c r="AN115" i="9"/>
  <c r="AN121" i="9"/>
  <c r="AN127" i="9"/>
  <c r="AN133" i="9"/>
  <c r="AN139" i="9"/>
  <c r="AN145" i="9"/>
  <c r="AN151" i="9"/>
  <c r="AN157" i="9"/>
  <c r="AN163" i="9"/>
  <c r="AN169" i="9"/>
  <c r="AN175" i="9"/>
  <c r="AN181" i="9"/>
  <c r="AN227" i="9"/>
  <c r="AN233" i="9"/>
  <c r="AN239" i="9"/>
  <c r="AN265" i="9"/>
  <c r="AN271" i="9"/>
  <c r="AN275" i="9"/>
  <c r="AN281" i="9"/>
  <c r="AN12" i="9"/>
  <c r="AN26" i="9"/>
  <c r="AN34" i="9"/>
  <c r="AN42" i="9"/>
  <c r="AN50" i="9"/>
  <c r="AN58" i="9"/>
  <c r="AN64" i="9"/>
  <c r="AN90" i="9"/>
  <c r="AN96" i="9"/>
  <c r="AN104" i="9"/>
  <c r="AN112" i="9"/>
  <c r="AN118" i="9"/>
  <c r="AN126" i="9"/>
  <c r="AN134" i="9"/>
  <c r="AN142" i="9"/>
  <c r="AN150" i="9"/>
  <c r="AN158" i="9"/>
  <c r="AN166" i="9"/>
  <c r="AN174" i="9"/>
  <c r="AN182" i="9"/>
  <c r="AN228" i="9"/>
  <c r="AN236" i="9"/>
  <c r="AN244" i="9"/>
  <c r="AN274" i="9"/>
  <c r="AN282" i="9"/>
  <c r="AN7" i="9"/>
  <c r="AN13" i="9"/>
  <c r="AN25" i="9"/>
  <c r="AN31" i="9"/>
  <c r="AN37" i="9"/>
  <c r="AN43" i="9"/>
  <c r="AN49" i="9"/>
  <c r="AN55" i="9"/>
  <c r="AN61" i="9"/>
  <c r="AN87" i="9"/>
  <c r="AN93" i="9"/>
  <c r="AN99" i="9"/>
  <c r="AN105" i="9"/>
  <c r="AN111" i="9"/>
  <c r="AN117" i="9"/>
  <c r="AN123" i="9"/>
  <c r="AN129" i="9"/>
  <c r="AN135" i="9"/>
  <c r="AN141" i="9"/>
  <c r="AN147" i="9"/>
  <c r="AN153" i="9"/>
  <c r="AN159" i="9"/>
  <c r="AN165" i="9"/>
  <c r="AN171" i="9"/>
  <c r="AN177" i="9"/>
  <c r="AN183" i="9"/>
  <c r="AN229" i="9"/>
  <c r="AN235" i="9"/>
  <c r="AN241" i="9"/>
  <c r="AN267" i="9"/>
  <c r="AN273" i="9"/>
  <c r="AN277" i="9"/>
  <c r="AN283" i="9"/>
  <c r="AN6" i="9"/>
  <c r="AN14" i="9"/>
  <c r="AN20" i="9"/>
  <c r="AN32" i="9"/>
  <c r="AN40" i="9"/>
  <c r="AN48" i="9"/>
  <c r="AN54" i="9"/>
  <c r="AN62" i="9"/>
  <c r="AN88" i="9"/>
  <c r="AN98" i="9"/>
  <c r="AN106" i="9"/>
  <c r="AN114" i="9"/>
  <c r="AN122" i="9"/>
  <c r="AN128" i="9"/>
  <c r="AN136" i="9"/>
  <c r="AN144" i="9"/>
  <c r="AN152" i="9"/>
  <c r="AN160" i="9"/>
  <c r="AN168" i="9"/>
  <c r="AN176" i="9"/>
  <c r="AN184" i="9"/>
  <c r="AN232" i="9"/>
  <c r="AN238" i="9"/>
  <c r="AN268" i="9"/>
  <c r="AN276" i="9"/>
  <c r="AN284" i="9"/>
  <c r="AN9" i="9"/>
  <c r="AN15" i="9"/>
  <c r="AN19" i="9"/>
  <c r="AN29" i="9"/>
  <c r="AN35" i="9"/>
  <c r="AN41" i="9"/>
  <c r="AN47" i="9"/>
  <c r="AN53" i="9"/>
  <c r="AN59" i="9"/>
  <c r="AN85" i="9"/>
  <c r="AN91" i="9"/>
  <c r="AN97" i="9"/>
  <c r="AN103" i="9"/>
  <c r="AN109" i="9"/>
  <c r="AN113" i="9"/>
  <c r="AN119" i="9"/>
  <c r="AN125" i="9"/>
  <c r="AN131" i="9"/>
  <c r="AN137" i="9"/>
  <c r="AN143" i="9"/>
  <c r="AN149" i="9"/>
  <c r="AN155" i="9"/>
  <c r="AN161" i="9"/>
  <c r="AN167" i="9"/>
  <c r="AN173" i="9"/>
  <c r="AN179" i="9"/>
  <c r="AN225" i="9"/>
  <c r="AN231" i="9"/>
  <c r="AN237" i="9"/>
  <c r="AN243" i="9"/>
  <c r="AN269" i="9"/>
  <c r="AN279" i="9"/>
  <c r="AP367" i="9"/>
  <c r="AP375" i="9"/>
  <c r="AP368" i="9"/>
  <c r="AP376" i="9"/>
  <c r="AP369" i="9"/>
  <c r="AP377" i="9"/>
  <c r="AP370" i="9"/>
  <c r="AP378" i="9"/>
  <c r="AP371" i="9"/>
  <c r="AP372" i="9"/>
  <c r="AP365" i="9"/>
  <c r="AP366" i="9"/>
  <c r="AP373" i="9"/>
  <c r="AP374" i="9"/>
  <c r="AP79" i="9"/>
  <c r="AP77" i="9"/>
  <c r="AP67" i="9"/>
  <c r="AP65" i="9"/>
  <c r="AP51" i="9"/>
  <c r="AP59" i="9"/>
  <c r="AP27" i="9"/>
  <c r="AP35" i="9"/>
  <c r="AP43" i="9"/>
  <c r="AP12" i="9"/>
  <c r="AP20" i="9"/>
  <c r="AP70" i="9"/>
  <c r="AP75" i="9"/>
  <c r="AP73" i="9"/>
  <c r="AP52" i="9"/>
  <c r="AP60" i="9"/>
  <c r="AP28" i="9"/>
  <c r="AP36" i="9"/>
  <c r="AP44" i="9"/>
  <c r="AP13" i="9"/>
  <c r="AP21" i="9"/>
  <c r="AP68" i="9"/>
  <c r="AP83" i="9"/>
  <c r="AP81" i="9"/>
  <c r="AP45" i="9"/>
  <c r="AP53" i="9"/>
  <c r="AP61" i="9"/>
  <c r="AP29" i="9"/>
  <c r="AP37" i="9"/>
  <c r="AP6" i="9"/>
  <c r="AP14" i="9"/>
  <c r="AP22" i="9"/>
  <c r="AP78" i="9"/>
  <c r="AP76" i="9"/>
  <c r="AP72" i="9"/>
  <c r="AP66" i="9"/>
  <c r="AP47" i="9"/>
  <c r="AP55" i="9"/>
  <c r="AP63" i="9"/>
  <c r="AP31" i="9"/>
  <c r="AP39" i="9"/>
  <c r="AP8" i="9"/>
  <c r="AP16" i="9"/>
  <c r="AP24" i="9"/>
  <c r="AP50" i="9"/>
  <c r="AP26" i="9"/>
  <c r="AP42" i="9"/>
  <c r="AP19" i="9"/>
  <c r="AP7" i="9"/>
  <c r="AP57" i="9"/>
  <c r="AP41" i="9"/>
  <c r="AP54" i="9"/>
  <c r="AP30" i="9"/>
  <c r="AP23" i="9"/>
  <c r="AP80" i="9"/>
  <c r="AP33" i="9"/>
  <c r="AP34" i="9"/>
  <c r="AP25" i="9"/>
  <c r="AP56" i="9"/>
  <c r="AP32" i="9"/>
  <c r="AP9" i="9"/>
  <c r="AP5" i="9"/>
  <c r="AP58" i="9"/>
  <c r="AP11" i="9"/>
  <c r="AP49" i="9"/>
  <c r="AP84" i="9"/>
  <c r="AP82" i="9"/>
  <c r="AP69" i="9"/>
  <c r="AP46" i="9"/>
  <c r="AP62" i="9"/>
  <c r="AP38" i="9"/>
  <c r="AP15" i="9"/>
  <c r="AP74" i="9"/>
  <c r="AP71" i="9"/>
  <c r="AP48" i="9"/>
  <c r="AP64" i="9"/>
  <c r="AP40" i="9"/>
  <c r="AP17" i="9"/>
  <c r="AP18" i="9"/>
  <c r="A283" i="9"/>
  <c r="A32" i="9"/>
  <c r="A163" i="9"/>
  <c r="A102" i="9"/>
  <c r="A168" i="9"/>
  <c r="A167" i="9"/>
  <c r="A232" i="9"/>
  <c r="A100" i="9"/>
  <c r="A244" i="9"/>
  <c r="A274" i="9"/>
  <c r="A97" i="9"/>
  <c r="A104" i="9"/>
  <c r="A276" i="9"/>
  <c r="A182" i="9"/>
  <c r="A235" i="9"/>
  <c r="A240" i="9"/>
  <c r="A101" i="9"/>
  <c r="A137" i="9"/>
  <c r="A171" i="9"/>
  <c r="A239" i="9"/>
  <c r="A280" i="9"/>
  <c r="A279" i="9"/>
  <c r="A18" i="9"/>
  <c r="A28" i="9"/>
  <c r="A123" i="9"/>
  <c r="A155" i="9"/>
  <c r="A183" i="9"/>
  <c r="A38" i="9"/>
  <c r="A7" i="9"/>
  <c r="A8" i="9"/>
  <c r="A17" i="9"/>
  <c r="A60" i="9"/>
  <c r="A64" i="9"/>
  <c r="A138" i="9"/>
  <c r="A140" i="9"/>
  <c r="A157" i="9"/>
  <c r="A226" i="9"/>
  <c r="A229" i="9"/>
  <c r="A277" i="9"/>
  <c r="A284" i="9"/>
  <c r="A118" i="9"/>
  <c r="A132" i="9"/>
  <c r="A148" i="9"/>
  <c r="A127" i="9"/>
  <c r="A36" i="9"/>
  <c r="A43" i="9"/>
  <c r="A51" i="9"/>
  <c r="A88" i="9"/>
  <c r="A161" i="9"/>
  <c r="A170" i="9"/>
  <c r="A174" i="9"/>
  <c r="A178" i="9"/>
  <c r="A56" i="9"/>
  <c r="A59" i="9"/>
  <c r="A146" i="9"/>
  <c r="A169" i="9"/>
  <c r="A173" i="9"/>
  <c r="A231" i="9"/>
  <c r="A234" i="9"/>
  <c r="A6" i="9"/>
  <c r="A29" i="9"/>
  <c r="A35" i="9"/>
  <c r="A98" i="9"/>
  <c r="A119" i="9"/>
  <c r="A164" i="9"/>
  <c r="A172" i="9"/>
  <c r="A228" i="9"/>
  <c r="A243" i="9"/>
  <c r="A269" i="9"/>
  <c r="A92" i="9"/>
  <c r="A272" i="9"/>
  <c r="A34" i="9"/>
  <c r="A44" i="9"/>
  <c r="A95" i="9"/>
  <c r="A110" i="9"/>
  <c r="A121" i="9"/>
  <c r="A143" i="9"/>
  <c r="A154" i="9"/>
  <c r="A86" i="9"/>
  <c r="A241" i="9"/>
  <c r="A265" i="9"/>
  <c r="A52" i="9"/>
  <c r="A63" i="9"/>
  <c r="A139" i="9"/>
  <c r="A166" i="9"/>
  <c r="A242" i="9"/>
  <c r="A282" i="9"/>
  <c r="A19" i="9"/>
  <c r="A25" i="9"/>
  <c r="A33" i="9"/>
  <c r="A39" i="9"/>
  <c r="A41" i="9"/>
  <c r="A57" i="9"/>
  <c r="A87" i="9"/>
  <c r="A136" i="9"/>
  <c r="A147" i="9"/>
  <c r="A150" i="9"/>
  <c r="A160" i="9"/>
  <c r="A165" i="9"/>
  <c r="A270" i="9"/>
  <c r="A275" i="9"/>
  <c r="A159" i="9"/>
  <c r="A181" i="9"/>
  <c r="A268" i="9"/>
  <c r="A91" i="9"/>
  <c r="A156" i="9"/>
  <c r="A267" i="9"/>
  <c r="A10" i="9"/>
  <c r="A14" i="9"/>
  <c r="A40" i="9"/>
  <c r="A42" i="9"/>
  <c r="A50" i="9"/>
  <c r="A55" i="9"/>
  <c r="A90" i="9"/>
  <c r="A99" i="9"/>
  <c r="A105" i="9"/>
  <c r="A112" i="9"/>
  <c r="A115" i="9"/>
  <c r="A145" i="9"/>
  <c r="A152" i="9"/>
  <c r="A227" i="9"/>
  <c r="A266" i="9"/>
  <c r="A61" i="9"/>
  <c r="A107" i="9"/>
  <c r="A271" i="9"/>
  <c r="A12" i="9"/>
  <c r="A27" i="9"/>
  <c r="A89" i="9"/>
  <c r="A94" i="9"/>
  <c r="A124" i="9"/>
  <c r="A126" i="9"/>
  <c r="A134" i="9"/>
  <c r="A162" i="9"/>
  <c r="A177" i="9"/>
  <c r="A225" i="9"/>
  <c r="A230" i="9"/>
  <c r="A236" i="9"/>
  <c r="A281" i="9"/>
  <c r="A11" i="9"/>
  <c r="A20" i="9"/>
  <c r="A31" i="9"/>
  <c r="A45" i="9"/>
  <c r="A58" i="9"/>
  <c r="A93" i="9"/>
  <c r="A114" i="9"/>
  <c r="A125" i="9"/>
  <c r="A133" i="9"/>
  <c r="A184" i="9"/>
  <c r="A233" i="9"/>
  <c r="A238" i="9"/>
  <c r="A278" i="9"/>
  <c r="A48" i="9"/>
  <c r="A179" i="9"/>
  <c r="A111" i="9"/>
  <c r="A47" i="9"/>
  <c r="A144" i="9"/>
  <c r="A54" i="9"/>
  <c r="A103" i="9"/>
  <c r="A158" i="9"/>
  <c r="A128" i="9"/>
  <c r="A175" i="9"/>
  <c r="A130" i="9"/>
  <c r="A15" i="9"/>
  <c r="A176" i="9"/>
  <c r="A9" i="9"/>
  <c r="A13" i="9"/>
  <c r="A30" i="9"/>
  <c r="A49" i="9"/>
  <c r="A53" i="9"/>
  <c r="A85" i="9"/>
  <c r="A106" i="9"/>
  <c r="A109" i="9"/>
  <c r="A116" i="9"/>
  <c r="A120" i="9"/>
  <c r="A122" i="9"/>
  <c r="A135" i="9"/>
  <c r="A141" i="9"/>
  <c r="A5" i="9"/>
  <c r="A16" i="9"/>
  <c r="A26" i="9"/>
  <c r="A37" i="9"/>
  <c r="A46" i="9"/>
  <c r="A62" i="9"/>
  <c r="A108" i="9"/>
  <c r="A113" i="9"/>
  <c r="A129" i="9"/>
  <c r="A142" i="9"/>
  <c r="A151" i="9"/>
  <c r="A96" i="9"/>
  <c r="A117" i="9"/>
  <c r="A237" i="9"/>
  <c r="A131" i="9"/>
  <c r="A149" i="9"/>
  <c r="A153" i="9"/>
  <c r="A180" i="9"/>
  <c r="A273" i="9"/>
</calcChain>
</file>

<file path=xl/sharedStrings.xml><?xml version="1.0" encoding="utf-8"?>
<sst xmlns="http://schemas.openxmlformats.org/spreadsheetml/2006/main" count="3994" uniqueCount="797">
  <si>
    <t>舰队相关科技</t>
  </si>
  <si>
    <t>建筑</t>
  </si>
  <si>
    <t>星港</t>
  </si>
  <si>
    <t>提供可储存舰船空间，升级星港增加空间</t>
  </si>
  <si>
    <t>科技</t>
  </si>
  <si>
    <t>舰队科技理论</t>
  </si>
  <si>
    <t>升级提高舰队可支配科技点数</t>
  </si>
  <si>
    <t>舰队编制理论</t>
  </si>
  <si>
    <t>升级提高舰队可容纳舰船空间</t>
  </si>
  <si>
    <t>舰队调配理论</t>
  </si>
  <si>
    <t>升级提高可编制舰队总数上限</t>
  </si>
  <si>
    <t>工厂效率优化理论</t>
  </si>
  <si>
    <t>升级提高工厂生产效率</t>
  </si>
  <si>
    <t>舰船构成规则</t>
  </si>
  <si>
    <t>科技书</t>
  </si>
  <si>
    <t>组装技术类科技书</t>
  </si>
  <si>
    <t>组装技术类科技</t>
  </si>
  <si>
    <t>舰船组装技术解锁，共有大约50种不同科技</t>
  </si>
  <si>
    <t>每种科技</t>
  </si>
  <si>
    <t>初始提供一种舰船组装技术</t>
  </si>
  <si>
    <t>升级更新该舰船组装技术</t>
  </si>
  <si>
    <t>每种舰船组装技术包含</t>
  </si>
  <si>
    <t>舰船空间上限</t>
  </si>
  <si>
    <t>舰体组装结构</t>
  </si>
  <si>
    <t>配件槽位能量上限</t>
  </si>
  <si>
    <t>配件槽位</t>
  </si>
  <si>
    <t>舰船核心特性列表</t>
  </si>
  <si>
    <t>可装配舰体部件索引列表</t>
  </si>
  <si>
    <t>可装配配件索引列表</t>
  </si>
  <si>
    <t>舰体部件类科技书</t>
  </si>
  <si>
    <t>舰体部件类科技</t>
  </si>
  <si>
    <t>舰体部件配方解锁，共有大约200种不同科技</t>
  </si>
  <si>
    <t>初始提供一种舰体部件配方</t>
  </si>
  <si>
    <t>升级更新该舰体部件配方</t>
  </si>
  <si>
    <t>每种舰体部件配方包含</t>
  </si>
  <si>
    <t>生产一个该舰体部件的消耗</t>
  </si>
  <si>
    <t>占用舰队空间</t>
  </si>
  <si>
    <t>舰体部位</t>
  </si>
  <si>
    <t>舰体属性列表</t>
  </si>
  <si>
    <t>武器特性列表</t>
  </si>
  <si>
    <t>防御特性列表</t>
  </si>
  <si>
    <t>配件类科技书</t>
  </si>
  <si>
    <t>配件类科技</t>
  </si>
  <si>
    <t>舰体配件配方解锁，共有大约100种不同科技</t>
  </si>
  <si>
    <t>初始提供一种配件配方</t>
  </si>
  <si>
    <t>升级更新该配件配方</t>
  </si>
  <si>
    <t>每种配件配方包含</t>
  </si>
  <si>
    <t>生产一个该配件的消耗</t>
  </si>
  <si>
    <t>配件类型</t>
  </si>
  <si>
    <t>配件槽位能量消耗</t>
  </si>
  <si>
    <t>配件特性列表</t>
  </si>
  <si>
    <t>装配要求</t>
  </si>
  <si>
    <t>所有舰种，要求</t>
  </si>
  <si>
    <t>至少有一个舰体部件具备动力</t>
  </si>
  <si>
    <t>至少有一个舰体部件具备防御</t>
  </si>
  <si>
    <t>军用舰种，要求</t>
  </si>
  <si>
    <t>至少有一个舰体部件具备武器</t>
  </si>
  <si>
    <t>功能舰种，要求</t>
  </si>
  <si>
    <t>至少有一个舰体部件具备对应功能</t>
  </si>
  <si>
    <t>required</t>
  </si>
  <si>
    <t>optional</t>
  </si>
  <si>
    <t>int32</t>
  </si>
  <si>
    <t>string</t>
  </si>
  <si>
    <t>对护盾伤害</t>
  </si>
  <si>
    <t>repeated</t>
  </si>
  <si>
    <t>命名说明</t>
  </si>
  <si>
    <t>组装技术</t>
  </si>
  <si>
    <t>舰船</t>
  </si>
  <si>
    <t>特性</t>
  </si>
  <si>
    <t>舰体</t>
  </si>
  <si>
    <t>hull</t>
  </si>
  <si>
    <t>配件</t>
  </si>
  <si>
    <t>材料</t>
  </si>
  <si>
    <t>mat</t>
  </si>
  <si>
    <t>数量</t>
  </si>
  <si>
    <t>nrg</t>
  </si>
  <si>
    <t>能量</t>
  </si>
  <si>
    <t>子系统</t>
  </si>
  <si>
    <t>subsys</t>
  </si>
  <si>
    <t>武器</t>
  </si>
  <si>
    <t>weapon</t>
  </si>
  <si>
    <t>wpn</t>
  </si>
  <si>
    <t>攻击</t>
  </si>
  <si>
    <t>防御</t>
  </si>
  <si>
    <t>def</t>
  </si>
  <si>
    <t>可使用的</t>
  </si>
  <si>
    <t>avail</t>
  </si>
  <si>
    <t>功能</t>
  </si>
  <si>
    <t>functionality</t>
  </si>
  <si>
    <t>func</t>
  </si>
  <si>
    <t>结构</t>
  </si>
  <si>
    <t>structure</t>
  </si>
  <si>
    <t>available</t>
  </si>
  <si>
    <t>subsystem</t>
  </si>
  <si>
    <t>energy</t>
  </si>
  <si>
    <t>material</t>
  </si>
  <si>
    <t>shield</t>
  </si>
  <si>
    <t>shld</t>
  </si>
  <si>
    <t>护盾</t>
  </si>
  <si>
    <t>strut</t>
  </si>
  <si>
    <t>修复</t>
  </si>
  <si>
    <t>repair</t>
  </si>
  <si>
    <t>repr</t>
  </si>
  <si>
    <t>抗性</t>
  </si>
  <si>
    <t>耐性</t>
  </si>
  <si>
    <t>ship</t>
  </si>
  <si>
    <t>component</t>
  </si>
  <si>
    <t>modification techonology</t>
  </si>
  <si>
    <t>mod_tech</t>
  </si>
  <si>
    <t>trait</t>
  </si>
  <si>
    <t>qty</t>
  </si>
  <si>
    <t>offensive</t>
  </si>
  <si>
    <t>defensive</t>
  </si>
  <si>
    <t>off</t>
  </si>
  <si>
    <t>resistance</t>
  </si>
  <si>
    <t>res</t>
  </si>
  <si>
    <t>回避</t>
  </si>
  <si>
    <t>evasion</t>
  </si>
  <si>
    <t>accuracy</t>
  </si>
  <si>
    <t>targeting</t>
  </si>
  <si>
    <t>tgt</t>
  </si>
  <si>
    <t>eva</t>
  </si>
  <si>
    <t>payload</t>
  </si>
  <si>
    <t>ac</t>
  </si>
  <si>
    <t xml:space="preserve">  </t>
  </si>
  <si>
    <t>cpnt</t>
  </si>
  <si>
    <t>动能</t>
  </si>
  <si>
    <t>电磁</t>
  </si>
  <si>
    <t>热能</t>
  </si>
  <si>
    <t>爆炸</t>
  </si>
  <si>
    <t>em</t>
  </si>
  <si>
    <t>thermal</t>
  </si>
  <si>
    <t>kinetic</t>
  </si>
  <si>
    <t>kin</t>
  </si>
  <si>
    <t>electromagnet</t>
  </si>
  <si>
    <t>explosive</t>
  </si>
  <si>
    <t>exp</t>
  </si>
  <si>
    <t>therm</t>
  </si>
  <si>
    <t>瞄准</t>
  </si>
  <si>
    <t>移速</t>
  </si>
  <si>
    <t>转速</t>
  </si>
  <si>
    <t>异常状态</t>
  </si>
  <si>
    <t>anomaly</t>
  </si>
  <si>
    <t>ano</t>
  </si>
  <si>
    <t>减益状态</t>
  </si>
  <si>
    <t>debuff</t>
  </si>
  <si>
    <t>deb</t>
  </si>
  <si>
    <t>命中率</t>
  </si>
  <si>
    <t>damage to shield</t>
  </si>
  <si>
    <t>dmg_to_shld</t>
  </si>
  <si>
    <t>单发</t>
  </si>
  <si>
    <t>one shot</t>
  </si>
  <si>
    <t>os</t>
  </si>
  <si>
    <t>距离</t>
  </si>
  <si>
    <t>range</t>
  </si>
  <si>
    <t>rng</t>
  </si>
  <si>
    <t>延迟</t>
  </si>
  <si>
    <t>delay</t>
  </si>
  <si>
    <t>dalay</t>
  </si>
  <si>
    <t>连发</t>
  </si>
  <si>
    <t>burst</t>
  </si>
  <si>
    <t>间隔</t>
  </si>
  <si>
    <t>interval</t>
  </si>
  <si>
    <t>intvl</t>
  </si>
  <si>
    <t>装弹</t>
  </si>
  <si>
    <t>reload</t>
  </si>
  <si>
    <t>thrust</t>
  </si>
  <si>
    <t>推力</t>
  </si>
  <si>
    <t>容量</t>
  </si>
  <si>
    <t>volume</t>
  </si>
  <si>
    <t>vol</t>
  </si>
  <si>
    <t>消耗</t>
  </si>
  <si>
    <t>consumption</t>
  </si>
  <si>
    <t>cons</t>
  </si>
  <si>
    <t>采矿</t>
  </si>
  <si>
    <t>mining</t>
  </si>
  <si>
    <t>装载量</t>
  </si>
  <si>
    <t>殖民</t>
  </si>
  <si>
    <t>colony</t>
  </si>
  <si>
    <t>col</t>
  </si>
  <si>
    <t>探索</t>
  </si>
  <si>
    <t>expl</t>
  </si>
  <si>
    <t>中文</t>
  </si>
  <si>
    <t>英文</t>
  </si>
  <si>
    <t>简写</t>
  </si>
  <si>
    <t>逻辑属性计算公式</t>
  </si>
  <si>
    <t>=</t>
  </si>
  <si>
    <t>舰队的采集a（深度）等级的速度</t>
  </si>
  <si>
    <t>舰队的探索a（深度）等级的速度</t>
  </si>
  <si>
    <t>舰队的矿物装载量</t>
  </si>
  <si>
    <r>
      <t>舰队中所有采集舰中</t>
    </r>
    <r>
      <rPr>
        <b/>
        <sz val="11"/>
        <color theme="9" tint="-0.249977111117893"/>
        <rFont val="宋体"/>
        <family val="2"/>
        <scheme val="minor"/>
      </rPr>
      <t>修正矿物装载量</t>
    </r>
    <r>
      <rPr>
        <sz val="11"/>
        <color theme="9" tint="-0.249977111117893"/>
        <rFont val="宋体"/>
        <family val="2"/>
        <scheme val="minor"/>
      </rPr>
      <t>之和</t>
    </r>
  </si>
  <si>
    <r>
      <t>采集舰的a等级</t>
    </r>
    <r>
      <rPr>
        <b/>
        <sz val="11"/>
        <color theme="9" tint="-0.249977111117893"/>
        <rFont val="宋体"/>
        <family val="2"/>
        <scheme val="minor"/>
      </rPr>
      <t>修正采集速度</t>
    </r>
  </si>
  <si>
    <r>
      <t>采集舰的a等级</t>
    </r>
    <r>
      <rPr>
        <b/>
        <sz val="11"/>
        <color theme="9" tint="-0.249977111117893"/>
        <rFont val="宋体"/>
        <family val="2"/>
        <scheme val="minor"/>
      </rPr>
      <t>修正探索速度</t>
    </r>
  </si>
  <si>
    <r>
      <t>采集舰的</t>
    </r>
    <r>
      <rPr>
        <b/>
        <sz val="11"/>
        <color theme="9" tint="-0.249977111117893"/>
        <rFont val="宋体"/>
        <family val="2"/>
        <scheme val="minor"/>
      </rPr>
      <t>修正矿物装载量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</si>
  <si>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修正星轨上移动速度</t>
    </r>
  </si>
  <si>
    <t>舰队的星轨上移动速度</t>
  </si>
  <si>
    <r>
      <t>舰队中</t>
    </r>
    <r>
      <rPr>
        <b/>
        <sz val="11"/>
        <color theme="9" tint="-0.249977111117893"/>
        <rFont val="宋体"/>
        <family val="2"/>
        <scheme val="minor"/>
      </rPr>
      <t>修正星轨上移动速度</t>
    </r>
    <r>
      <rPr>
        <sz val="11"/>
        <color theme="9" tint="-0.249977111117893"/>
        <rFont val="宋体"/>
        <family val="2"/>
        <scheme val="minor"/>
      </rPr>
      <t>最低的舰船的</t>
    </r>
    <r>
      <rPr>
        <b/>
        <sz val="11"/>
        <color theme="9" tint="-0.249977111117893"/>
        <rFont val="宋体"/>
        <family val="2"/>
        <scheme val="minor"/>
      </rPr>
      <t>修正星轨上移动速度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</si>
  <si>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修正质量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</si>
  <si>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修正动力</t>
    </r>
  </si>
  <si>
    <r>
      <t>所有</t>
    </r>
    <r>
      <rPr>
        <b/>
        <sz val="11"/>
        <color rgb="FF00B0F0"/>
        <rFont val="宋体"/>
        <family val="2"/>
        <scheme val="minor"/>
      </rPr>
      <t>可探索等级(expl_level)</t>
    </r>
    <r>
      <rPr>
        <sz val="11"/>
        <color theme="9" tint="-0.249977111117893"/>
        <rFont val="宋体"/>
        <family val="2"/>
        <scheme val="minor"/>
      </rPr>
      <t>为a的船体部件中的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</si>
  <si>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</si>
  <si>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</si>
  <si>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所有</t>
    </r>
    <r>
      <rPr>
        <b/>
        <sz val="11"/>
        <color rgb="FF00B0F0"/>
        <rFont val="宋体"/>
        <family val="2"/>
        <scheme val="minor"/>
      </rPr>
      <t>可采集等级(mining_lvl)</t>
    </r>
    <r>
      <rPr>
        <sz val="11"/>
        <color theme="9" tint="-0.249977111117893"/>
        <rFont val="宋体"/>
        <family val="2"/>
        <scheme val="minor"/>
      </rPr>
      <t>为a的船体部件中的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</si>
  <si>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</si>
  <si>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</si>
  <si>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所有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</t>
    </r>
    <r>
      <rPr>
        <b/>
        <sz val="11"/>
        <color theme="9" tint="-0.249977111117893"/>
        <rFont val="宋体"/>
        <family val="2"/>
        <scheme val="minor"/>
      </rPr>
      <t>矿物</t>
    </r>
    <r>
      <rPr>
        <sz val="11"/>
        <color theme="9" tint="-0.249977111117893"/>
        <rFont val="宋体"/>
        <family val="2"/>
        <scheme val="minor"/>
      </rPr>
      <t>的舰体部件的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</si>
  <si>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为矿物的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</si>
  <si>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为矿物的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</si>
  <si>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修正动力</t>
    </r>
    <r>
      <rPr>
        <sz val="11"/>
        <color theme="9" tint="-0.249977111117893"/>
        <rFont val="宋体"/>
        <family val="2"/>
        <scheme val="minor"/>
      </rPr>
      <t>/舰船的</t>
    </r>
    <r>
      <rPr>
        <b/>
        <sz val="11"/>
        <color theme="9" tint="-0.249977111117893"/>
        <rFont val="宋体"/>
        <family val="2"/>
        <scheme val="minor"/>
      </rPr>
      <t>修正质量</t>
    </r>
    <r>
      <rPr>
        <sz val="11"/>
        <color theme="9" tint="-0.249977111117893"/>
        <rFont val="宋体"/>
        <family val="2"/>
        <scheme val="minor"/>
      </rPr>
      <t/>
    </r>
  </si>
  <si>
    <r>
      <t>遍历所有该舰船配件，如有对星轨上移动速度有加成的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</si>
  <si>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，如有对星轨上移动速度有加成的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</si>
  <si>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舰船所有船体部件的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</si>
  <si>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</si>
  <si>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</si>
  <si>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舰船所有船体部件的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</si>
  <si>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</si>
  <si>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</si>
  <si>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t>id</t>
  </si>
  <si>
    <r>
      <t>舰队中所有有</t>
    </r>
    <r>
      <rPr>
        <b/>
        <sz val="11"/>
        <color rgb="FF00B0F0"/>
        <rFont val="宋体"/>
        <family val="2"/>
        <scheme val="minor"/>
      </rPr>
      <t>可探索等级(expl_level)</t>
    </r>
    <r>
      <rPr>
        <sz val="11"/>
        <color theme="9" tint="-0.249977111117893"/>
        <rFont val="宋体"/>
        <family val="2"/>
        <scheme val="minor"/>
      </rPr>
      <t>为a的舰体部件的采集舰的a等级</t>
    </r>
    <r>
      <rPr>
        <b/>
        <sz val="11"/>
        <color theme="9" tint="-0.249977111117893"/>
        <rFont val="宋体"/>
        <family val="2"/>
        <scheme val="minor"/>
      </rPr>
      <t>修正探索速度</t>
    </r>
    <r>
      <rPr>
        <sz val="11"/>
        <color theme="9" tint="-0.249977111117893"/>
        <rFont val="宋体"/>
        <family val="2"/>
        <scheme val="minor"/>
      </rPr>
      <t>之和</t>
    </r>
  </si>
  <si>
    <r>
      <t>舰队中所有有</t>
    </r>
    <r>
      <rPr>
        <b/>
        <sz val="11"/>
        <color rgb="FF00B0F0"/>
        <rFont val="宋体"/>
        <family val="2"/>
        <scheme val="minor"/>
      </rPr>
      <t>可采集等级(mining_lvl)</t>
    </r>
    <r>
      <rPr>
        <sz val="11"/>
        <color theme="9" tint="-0.249977111117893"/>
        <rFont val="宋体"/>
        <family val="2"/>
        <scheme val="minor"/>
      </rPr>
      <t>为a的舰体部件的采集舰的a等级</t>
    </r>
    <r>
      <rPr>
        <b/>
        <sz val="11"/>
        <color theme="9" tint="-0.249977111117893"/>
        <rFont val="宋体"/>
        <family val="2"/>
        <scheme val="minor"/>
      </rPr>
      <t>修正采集速度</t>
    </r>
    <r>
      <rPr>
        <sz val="11"/>
        <color theme="9" tint="-0.249977111117893"/>
        <rFont val="宋体"/>
        <family val="2"/>
        <scheme val="minor"/>
      </rPr>
      <t>之和</t>
    </r>
  </si>
  <si>
    <t>quantity</t>
  </si>
  <si>
    <t>building</t>
  </si>
  <si>
    <t>bldg</t>
  </si>
  <si>
    <t>维持</t>
  </si>
  <si>
    <t>upkeep</t>
  </si>
  <si>
    <t>电力</t>
  </si>
  <si>
    <t>electricity</t>
  </si>
  <si>
    <t>ele</t>
  </si>
  <si>
    <t>劳力</t>
  </si>
  <si>
    <t>labor</t>
  </si>
  <si>
    <t>资源</t>
  </si>
  <si>
    <t>resource</t>
  </si>
  <si>
    <t>单质</t>
  </si>
  <si>
    <t>element</t>
  </si>
  <si>
    <t>elt</t>
  </si>
  <si>
    <t>提炼厂</t>
  </si>
  <si>
    <t>消耗名称</t>
  </si>
  <si>
    <t>消耗ID</t>
  </si>
  <si>
    <t>模型名</t>
  </si>
  <si>
    <t>建筑等级</t>
  </si>
  <si>
    <t>建筑名称</t>
  </si>
  <si>
    <t>建筑类型</t>
  </si>
  <si>
    <t>表示建筑</t>
  </si>
  <si>
    <t>建筑ID</t>
  </si>
  <si>
    <t>cost_qty</t>
  </si>
  <si>
    <t>cost_id</t>
  </si>
  <si>
    <t>time_cost</t>
  </si>
  <si>
    <t>prefab_name</t>
  </si>
  <si>
    <t>bldg_lvl</t>
  </si>
  <si>
    <t>bldg_name</t>
  </si>
  <si>
    <t>bldg_type</t>
  </si>
  <si>
    <t>optional_struct</t>
  </si>
  <si>
    <t>cost_table</t>
  </si>
  <si>
    <t>CostStruct</t>
  </si>
  <si>
    <t>物品-单质</t>
  </si>
  <si>
    <t>宇宙-探索载体</t>
  </si>
  <si>
    <t>舰船-特性</t>
  </si>
  <si>
    <t>舰船-配件</t>
  </si>
  <si>
    <t>舰船-舰体部件</t>
  </si>
  <si>
    <t>舰船-组装技术</t>
  </si>
  <si>
    <t>静态ID首位</t>
  </si>
  <si>
    <t>自定义</t>
  </si>
  <si>
    <t>大类</t>
  </si>
  <si>
    <t>不同表</t>
  </si>
  <si>
    <t>说明</t>
  </si>
  <si>
    <t>1-200</t>
  </si>
  <si>
    <t>范围</t>
  </si>
  <si>
    <t>第五段</t>
  </si>
  <si>
    <t>第四段</t>
  </si>
  <si>
    <t>第三段</t>
  </si>
  <si>
    <t>第二段</t>
  </si>
  <si>
    <t>第一段</t>
  </si>
  <si>
    <t>段数</t>
  </si>
  <si>
    <t>静态ID为全局唯一。总共5段，每段范围和意义见下表。</t>
  </si>
  <si>
    <t>静态ID规则</t>
  </si>
  <si>
    <t>空间站</t>
  </si>
  <si>
    <t>space station</t>
  </si>
  <si>
    <t>ss</t>
  </si>
  <si>
    <t>解锁</t>
  </si>
  <si>
    <t>unlock</t>
  </si>
  <si>
    <t>uock</t>
  </si>
  <si>
    <t>前置</t>
  </si>
  <si>
    <t>prerequisite</t>
  </si>
  <si>
    <t>pre</t>
  </si>
  <si>
    <t>采集器</t>
  </si>
  <si>
    <t>collector</t>
  </si>
  <si>
    <t>研究</t>
  </si>
  <si>
    <t>research</t>
  </si>
  <si>
    <t>resch</t>
  </si>
  <si>
    <t>工厂</t>
  </si>
  <si>
    <t>factory</t>
  </si>
  <si>
    <t>fact</t>
  </si>
  <si>
    <t>uk</t>
  </si>
  <si>
    <t>0-9</t>
  </si>
  <si>
    <t>0-99</t>
  </si>
  <si>
    <t>所有有意义的段都从1开始编号</t>
  </si>
  <si>
    <t>没有意义的段统一填0</t>
  </si>
  <si>
    <t>refinery</t>
  </si>
  <si>
    <t>refny</t>
  </si>
  <si>
    <t>capacity</t>
  </si>
  <si>
    <t>cap</t>
  </si>
  <si>
    <t>纯度</t>
  </si>
  <si>
    <t>fineness</t>
  </si>
  <si>
    <t>fin</t>
  </si>
  <si>
    <t>系数</t>
  </si>
  <si>
    <t>coefficient</t>
  </si>
  <si>
    <t>coeff</t>
  </si>
  <si>
    <t>舰船空间</t>
  </si>
  <si>
    <t>ship space</t>
  </si>
  <si>
    <t>ssp</t>
  </si>
  <si>
    <t>消耗数量
(qty=quantity)</t>
  </si>
  <si>
    <t>exploration</t>
  </si>
  <si>
    <t>文明度</t>
  </si>
  <si>
    <t>cult_pt</t>
  </si>
  <si>
    <t>culture point</t>
  </si>
  <si>
    <t>仓库</t>
  </si>
  <si>
    <t>storage</t>
  </si>
  <si>
    <t>stg</t>
  </si>
  <si>
    <t>消耗时间
(秒)</t>
  </si>
  <si>
    <t>返还</t>
  </si>
  <si>
    <t>refund</t>
  </si>
  <si>
    <t>max_bldg_lvl</t>
  </si>
  <si>
    <t>icon_name</t>
  </si>
  <si>
    <t>图标名称</t>
  </si>
  <si>
    <t>desc</t>
  </si>
  <si>
    <t>描述</t>
  </si>
  <si>
    <t>description</t>
  </si>
  <si>
    <t>acceleration</t>
  </si>
  <si>
    <t>acc</t>
  </si>
  <si>
    <t>加速度</t>
  </si>
  <si>
    <t>revolving velocity</t>
  </si>
  <si>
    <t>cruising velocity</t>
  </si>
  <si>
    <t>cruz_vel</t>
  </si>
  <si>
    <t>rev_vel</t>
  </si>
  <si>
    <t>建筑功能表名</t>
  </si>
  <si>
    <t>bldg_func_table_name</t>
  </si>
  <si>
    <t>stor_unit</t>
  </si>
  <si>
    <t>矿物ID</t>
  </si>
  <si>
    <t>min_name</t>
  </si>
  <si>
    <t>建筑功能表索引ID</t>
  </si>
  <si>
    <t>bldg_func_table_id</t>
  </si>
  <si>
    <t>in_use</t>
  </si>
  <si>
    <t>可用
1表示是
0表示否</t>
  </si>
  <si>
    <t>item_lvl</t>
  </si>
  <si>
    <t>物品等级</t>
  </si>
  <si>
    <t>建筑-功能</t>
  </si>
  <si>
    <t>物品通用</t>
  </si>
  <si>
    <t>small_icon_name</t>
  </si>
  <si>
    <t>小图标名称</t>
  </si>
  <si>
    <t>物品-全局</t>
  </si>
  <si>
    <t>物品-行星资源</t>
  </si>
  <si>
    <t>数量复制</t>
  </si>
  <si>
    <t>图标文件名称</t>
  </si>
  <si>
    <t>图标路径</t>
  </si>
  <si>
    <t>客户端表现</t>
  </si>
  <si>
    <t>索引字段</t>
  </si>
  <si>
    <t>建筑最大等级</t>
  </si>
  <si>
    <t>蔬菜种植场</t>
    <phoneticPr fontId="12" type="noConversion"/>
  </si>
  <si>
    <t>水果园</t>
    <phoneticPr fontId="12" type="noConversion"/>
  </si>
  <si>
    <t>露水收集器</t>
    <phoneticPr fontId="12" type="noConversion"/>
  </si>
  <si>
    <t>井</t>
    <phoneticPr fontId="12" type="noConversion"/>
  </si>
  <si>
    <t>矿物质水加工器</t>
    <phoneticPr fontId="12" type="noConversion"/>
  </si>
  <si>
    <t>MG42撕布机</t>
  </si>
  <si>
    <t>M134速射机枪</t>
  </si>
  <si>
    <t>马克沁重机枪</t>
    <phoneticPr fontId="12" type="noConversion"/>
  </si>
  <si>
    <t>马克沁重机枪</t>
    <phoneticPr fontId="12" type="noConversion"/>
  </si>
  <si>
    <t>太阳能电板</t>
    <phoneticPr fontId="12" type="noConversion"/>
  </si>
  <si>
    <t>能量健身房</t>
    <phoneticPr fontId="12" type="noConversion"/>
  </si>
  <si>
    <t>炼钢厂</t>
    <phoneticPr fontId="12" type="noConversion"/>
  </si>
  <si>
    <t>木材加工厂</t>
    <phoneticPr fontId="12" type="noConversion"/>
  </si>
  <si>
    <t>GAU-8</t>
  </si>
  <si>
    <t>GAU-8</t>
    <phoneticPr fontId="12" type="noConversion"/>
  </si>
  <si>
    <t>炼油厂</t>
    <phoneticPr fontId="12" type="noConversion"/>
  </si>
  <si>
    <t>炼油厂</t>
    <phoneticPr fontId="12" type="noConversion"/>
  </si>
  <si>
    <t>炼钢厂</t>
    <phoneticPr fontId="12" type="noConversion"/>
  </si>
  <si>
    <t>MG42撕布机</t>
    <phoneticPr fontId="12" type="noConversion"/>
  </si>
  <si>
    <t>M134速射机枪</t>
    <phoneticPr fontId="12" type="noConversion"/>
  </si>
  <si>
    <t>饲料厂</t>
    <phoneticPr fontId="12" type="noConversion"/>
  </si>
  <si>
    <t>猪圈</t>
    <phoneticPr fontId="12" type="noConversion"/>
  </si>
  <si>
    <t>松树林</t>
    <phoneticPr fontId="12" type="noConversion"/>
  </si>
  <si>
    <t>仓库</t>
    <phoneticPr fontId="12" type="noConversion"/>
  </si>
  <si>
    <t>混凝土围墙</t>
    <phoneticPr fontId="12" type="noConversion"/>
  </si>
  <si>
    <t>蔬菜种植场</t>
    <phoneticPr fontId="12" type="noConversion"/>
  </si>
  <si>
    <t>水果园</t>
    <phoneticPr fontId="12" type="noConversion"/>
  </si>
  <si>
    <t>AWP</t>
    <phoneticPr fontId="12" type="noConversion"/>
  </si>
  <si>
    <t>巴雷特-M82A1</t>
    <phoneticPr fontId="12" type="noConversion"/>
  </si>
  <si>
    <t>巴雷特-M82A1</t>
    <phoneticPr fontId="12" type="noConversion"/>
  </si>
  <si>
    <t>庄园大门</t>
    <phoneticPr fontId="12" type="noConversion"/>
  </si>
  <si>
    <t>电池组</t>
    <phoneticPr fontId="12" type="noConversion"/>
  </si>
  <si>
    <t>MG42</t>
  </si>
  <si>
    <t>MG42</t>
    <phoneticPr fontId="12" type="noConversion"/>
  </si>
  <si>
    <t>M134</t>
  </si>
  <si>
    <t>M134</t>
    <phoneticPr fontId="12" type="noConversion"/>
  </si>
  <si>
    <t>GAU-8</t>
    <phoneticPr fontId="12" type="noConversion"/>
  </si>
  <si>
    <t>MG42</t>
    <phoneticPr fontId="12" type="noConversion"/>
  </si>
  <si>
    <t>98K</t>
  </si>
  <si>
    <t>98K</t>
    <phoneticPr fontId="12" type="noConversion"/>
  </si>
  <si>
    <t>AWP</t>
    <phoneticPr fontId="12" type="noConversion"/>
  </si>
  <si>
    <t>M82A1</t>
  </si>
  <si>
    <t>M82A1</t>
    <phoneticPr fontId="12" type="noConversion"/>
  </si>
  <si>
    <t>大米</t>
    <phoneticPr fontId="12" type="noConversion"/>
  </si>
  <si>
    <t>蔬菜</t>
    <phoneticPr fontId="12" type="noConversion"/>
  </si>
  <si>
    <t>水果</t>
    <phoneticPr fontId="12" type="noConversion"/>
  </si>
  <si>
    <t>纯净水</t>
    <phoneticPr fontId="12" type="noConversion"/>
  </si>
  <si>
    <t>矿物质水</t>
    <phoneticPr fontId="12" type="noConversion"/>
  </si>
  <si>
    <t>猪肉</t>
    <phoneticPr fontId="12" type="noConversion"/>
  </si>
  <si>
    <t>饲料</t>
    <phoneticPr fontId="12" type="noConversion"/>
  </si>
  <si>
    <t>原油</t>
    <phoneticPr fontId="12" type="noConversion"/>
  </si>
  <si>
    <t>汽油</t>
    <phoneticPr fontId="12" type="noConversion"/>
  </si>
  <si>
    <t>铁</t>
    <phoneticPr fontId="12" type="noConversion"/>
  </si>
  <si>
    <t>钢</t>
    <phoneticPr fontId="12" type="noConversion"/>
  </si>
  <si>
    <t>松木板</t>
    <phoneticPr fontId="12" type="noConversion"/>
  </si>
  <si>
    <t>子弹</t>
    <phoneticPr fontId="12" type="noConversion"/>
  </si>
  <si>
    <t>庄园日志</t>
    <phoneticPr fontId="12" type="noConversion"/>
  </si>
  <si>
    <t>重机枪图纸</t>
    <phoneticPr fontId="12" type="noConversion"/>
  </si>
  <si>
    <t>狙击枪图纸</t>
    <phoneticPr fontId="12" type="noConversion"/>
  </si>
  <si>
    <t>机炮设计图</t>
    <phoneticPr fontId="12" type="noConversion"/>
  </si>
  <si>
    <t>手枪</t>
    <phoneticPr fontId="12" type="noConversion"/>
  </si>
  <si>
    <t>步枪</t>
    <phoneticPr fontId="12" type="noConversion"/>
  </si>
  <si>
    <t>轻机枪</t>
    <phoneticPr fontId="12" type="noConversion"/>
  </si>
  <si>
    <t>1级防弹衣</t>
    <phoneticPr fontId="12" type="noConversion"/>
  </si>
  <si>
    <t>2级防弹衣</t>
    <phoneticPr fontId="12" type="noConversion"/>
  </si>
  <si>
    <t>3级防弹衣</t>
    <phoneticPr fontId="12" type="noConversion"/>
  </si>
  <si>
    <t>草</t>
    <phoneticPr fontId="12" type="noConversion"/>
  </si>
  <si>
    <t>探索产出</t>
    <phoneticPr fontId="12" type="noConversion"/>
  </si>
  <si>
    <t>合成</t>
  </si>
  <si>
    <t>合成</t>
    <phoneticPr fontId="12" type="noConversion"/>
  </si>
  <si>
    <t>建筑</t>
    <phoneticPr fontId="12" type="noConversion"/>
  </si>
  <si>
    <t>产出方式1</t>
    <phoneticPr fontId="12" type="noConversion"/>
  </si>
  <si>
    <t>产出方式2</t>
    <phoneticPr fontId="12" type="noConversion"/>
  </si>
  <si>
    <t>这是一种…</t>
    <phoneticPr fontId="12" type="noConversion"/>
  </si>
  <si>
    <t>名称</t>
    <phoneticPr fontId="12" type="noConversion"/>
  </si>
  <si>
    <t>储存体积
占用</t>
    <phoneticPr fontId="12" type="noConversion"/>
  </si>
  <si>
    <t>表示资源</t>
    <phoneticPr fontId="12" type="noConversion"/>
  </si>
  <si>
    <t>自定义2</t>
    <phoneticPr fontId="12" type="noConversion"/>
  </si>
  <si>
    <t>资源等级</t>
    <phoneticPr fontId="12" type="noConversion"/>
  </si>
  <si>
    <t>前置条件</t>
    <phoneticPr fontId="12" type="noConversion"/>
  </si>
  <si>
    <t>时间复制</t>
    <phoneticPr fontId="12" type="noConversion"/>
  </si>
  <si>
    <t>bldg_strength_lim</t>
    <phoneticPr fontId="12" type="noConversion"/>
  </si>
  <si>
    <t>消耗黄金</t>
    <phoneticPr fontId="12" type="noConversion"/>
  </si>
  <si>
    <t>gold_cost</t>
    <phoneticPr fontId="12" type="noConversion"/>
  </si>
  <si>
    <t>黄金复制</t>
    <phoneticPr fontId="12" type="noConversion"/>
  </si>
  <si>
    <t>gold_conv</t>
    <phoneticPr fontId="12" type="noConversion"/>
  </si>
  <si>
    <t>混凝土搅拌站</t>
    <phoneticPr fontId="12" type="noConversion"/>
  </si>
  <si>
    <t>水泥</t>
  </si>
  <si>
    <t>混凝土</t>
  </si>
  <si>
    <t>混凝土</t>
    <phoneticPr fontId="12" type="noConversion"/>
  </si>
  <si>
    <t>消耗电力</t>
    <phoneticPr fontId="12" type="noConversion"/>
  </si>
  <si>
    <t>电力复制</t>
    <phoneticPr fontId="12" type="noConversion"/>
  </si>
  <si>
    <t>纯净水</t>
    <phoneticPr fontId="12" type="noConversion"/>
  </si>
  <si>
    <t>纯净水</t>
    <phoneticPr fontId="12" type="noConversion"/>
  </si>
  <si>
    <t>纯净水</t>
    <phoneticPr fontId="12" type="noConversion"/>
  </si>
  <si>
    <t>松木</t>
  </si>
  <si>
    <t>松木</t>
    <phoneticPr fontId="12" type="noConversion"/>
  </si>
  <si>
    <t>松木</t>
    <phoneticPr fontId="12" type="noConversion"/>
  </si>
  <si>
    <t>混凝土</t>
    <phoneticPr fontId="12" type="noConversion"/>
  </si>
  <si>
    <t>铁</t>
  </si>
  <si>
    <t>铁</t>
    <phoneticPr fontId="12" type="noConversion"/>
  </si>
  <si>
    <t>铁</t>
    <phoneticPr fontId="12" type="noConversion"/>
  </si>
  <si>
    <t>水泥</t>
    <phoneticPr fontId="12" type="noConversion"/>
  </si>
  <si>
    <t>铁</t>
    <phoneticPr fontId="12" type="noConversion"/>
  </si>
  <si>
    <t>水泥围墙</t>
    <phoneticPr fontId="12" type="noConversion"/>
  </si>
  <si>
    <t>铁</t>
    <phoneticPr fontId="12" type="noConversion"/>
  </si>
  <si>
    <t>化肥合成器</t>
    <phoneticPr fontId="12" type="noConversion"/>
  </si>
  <si>
    <t>建筑</t>
    <phoneticPr fontId="12" type="noConversion"/>
  </si>
  <si>
    <t>bldg_strength_add</t>
    <phoneticPr fontId="12" type="noConversion"/>
  </si>
  <si>
    <t>矿物质水</t>
    <phoneticPr fontId="12" type="noConversion"/>
  </si>
  <si>
    <t>铁木</t>
  </si>
  <si>
    <t>铁木</t>
    <phoneticPr fontId="12" type="noConversion"/>
  </si>
  <si>
    <t>钢</t>
  </si>
  <si>
    <t>钢</t>
    <phoneticPr fontId="12" type="noConversion"/>
  </si>
  <si>
    <t>钢</t>
    <phoneticPr fontId="12" type="noConversion"/>
  </si>
  <si>
    <t>铁</t>
    <phoneticPr fontId="12" type="noConversion"/>
  </si>
  <si>
    <t>钢</t>
    <phoneticPr fontId="12" type="noConversion"/>
  </si>
  <si>
    <t>钢</t>
    <phoneticPr fontId="12" type="noConversion"/>
  </si>
  <si>
    <t>化肥</t>
    <phoneticPr fontId="12" type="noConversion"/>
  </si>
  <si>
    <t>水泥</t>
    <phoneticPr fontId="12" type="noConversion"/>
  </si>
  <si>
    <t>化肥</t>
    <phoneticPr fontId="12" type="noConversion"/>
  </si>
  <si>
    <t>探索产出</t>
    <phoneticPr fontId="12" type="noConversion"/>
  </si>
  <si>
    <t>松木板</t>
    <phoneticPr fontId="12" type="noConversion"/>
  </si>
  <si>
    <t>铁木板</t>
    <phoneticPr fontId="12" type="noConversion"/>
  </si>
  <si>
    <t>庄园日志</t>
    <phoneticPr fontId="12" type="noConversion"/>
  </si>
  <si>
    <t>《袁隆平传》</t>
    <phoneticPr fontId="12" type="noConversion"/>
  </si>
  <si>
    <t>《化肥工业概论》</t>
    <phoneticPr fontId="12" type="noConversion"/>
  </si>
  <si>
    <t>《论如何养猪》</t>
    <phoneticPr fontId="12" type="noConversion"/>
  </si>
  <si>
    <t>《特斯拉传》</t>
    <phoneticPr fontId="12" type="noConversion"/>
  </si>
  <si>
    <t>《洛克菲勒传》</t>
    <phoneticPr fontId="12" type="noConversion"/>
  </si>
  <si>
    <t>《卡耐基传》</t>
    <phoneticPr fontId="12" type="noConversion"/>
  </si>
  <si>
    <t>《袁隆平传》</t>
    <phoneticPr fontId="12" type="noConversion"/>
  </si>
  <si>
    <t>《化肥工业概论》</t>
    <phoneticPr fontId="12" type="noConversion"/>
  </si>
  <si>
    <t>《论如何养猪》</t>
    <phoneticPr fontId="12" type="noConversion"/>
  </si>
  <si>
    <t>《仓储管理》</t>
    <phoneticPr fontId="12" type="noConversion"/>
  </si>
  <si>
    <t>《仓储管理》</t>
    <phoneticPr fontId="12" type="noConversion"/>
  </si>
  <si>
    <t>《特斯拉传》</t>
    <phoneticPr fontId="12" type="noConversion"/>
  </si>
  <si>
    <t>《洛克菲勒传》</t>
    <phoneticPr fontId="12" type="noConversion"/>
  </si>
  <si>
    <t>《卡耐基传》</t>
    <phoneticPr fontId="12" type="noConversion"/>
  </si>
  <si>
    <t>《鲁班传》</t>
    <phoneticPr fontId="12" type="noConversion"/>
  </si>
  <si>
    <t>《鲁班传》</t>
    <phoneticPr fontId="12" type="noConversion"/>
  </si>
  <si>
    <t>《土木工程概论》</t>
  </si>
  <si>
    <t>《土木工程概论》</t>
    <phoneticPr fontId="12" type="noConversion"/>
  </si>
  <si>
    <t>《防盗门技术》</t>
    <phoneticPr fontId="12" type="noConversion"/>
  </si>
  <si>
    <t>《土木工程概论》</t>
    <phoneticPr fontId="12" type="noConversion"/>
  </si>
  <si>
    <t>《防盗门技术》</t>
    <phoneticPr fontId="12" type="noConversion"/>
  </si>
  <si>
    <t>重机枪图纸</t>
  </si>
  <si>
    <t>机炮设计图</t>
  </si>
  <si>
    <t>狙击枪图纸</t>
  </si>
  <si>
    <t>《马克沁传》</t>
  </si>
  <si>
    <t>《马克沁传》</t>
    <phoneticPr fontId="12" type="noConversion"/>
  </si>
  <si>
    <t>《加特林传》</t>
  </si>
  <si>
    <t>《加特林传》</t>
    <phoneticPr fontId="12" type="noConversion"/>
  </si>
  <si>
    <t>《巴雷特的笔记》</t>
    <phoneticPr fontId="12" type="noConversion"/>
  </si>
  <si>
    <t>《官人吃鸡指南》</t>
  </si>
  <si>
    <t>《官人吃鸡指南》</t>
    <phoneticPr fontId="12" type="noConversion"/>
  </si>
  <si>
    <t>《巴雷特的笔记》</t>
    <phoneticPr fontId="12" type="noConversion"/>
  </si>
  <si>
    <t>《我的奋斗》</t>
    <phoneticPr fontId="12" type="noConversion"/>
  </si>
  <si>
    <t>《我的奋斗》</t>
    <phoneticPr fontId="12" type="noConversion"/>
  </si>
  <si>
    <t>升级必备</t>
    <phoneticPr fontId="12" type="noConversion"/>
  </si>
  <si>
    <t>string</t>
    <phoneticPr fontId="12" type="noConversion"/>
  </si>
  <si>
    <t>建筑描述</t>
    <phoneticPr fontId="12" type="noConversion"/>
  </si>
  <si>
    <t>bldg_info</t>
    <phoneticPr fontId="12" type="noConversion"/>
  </si>
  <si>
    <t>elec_cost</t>
    <phoneticPr fontId="12" type="noConversion"/>
  </si>
  <si>
    <t>事件</t>
    <phoneticPr fontId="12" type="noConversion"/>
  </si>
  <si>
    <t>1级头盔</t>
    <phoneticPr fontId="12" type="noConversion"/>
  </si>
  <si>
    <t>2级头盔</t>
    <phoneticPr fontId="12" type="noConversion"/>
  </si>
  <si>
    <t>3级头盔</t>
    <phoneticPr fontId="12" type="noConversion"/>
  </si>
  <si>
    <t>1级作训裤</t>
    <phoneticPr fontId="12" type="noConversion"/>
  </si>
  <si>
    <t>2级作训裤</t>
    <phoneticPr fontId="12" type="noConversion"/>
  </si>
  <si>
    <t>3级作训裤</t>
    <phoneticPr fontId="12" type="noConversion"/>
  </si>
  <si>
    <t>1级越野靴</t>
    <phoneticPr fontId="12" type="noConversion"/>
  </si>
  <si>
    <t>2级越野靴</t>
    <phoneticPr fontId="12" type="noConversion"/>
  </si>
  <si>
    <t>3级越野靴</t>
    <phoneticPr fontId="12" type="noConversion"/>
  </si>
  <si>
    <t>探索产出</t>
    <phoneticPr fontId="12" type="noConversion"/>
  </si>
  <si>
    <t>这是一种…</t>
    <phoneticPr fontId="12" type="noConversion"/>
  </si>
  <si>
    <t>急救包</t>
    <phoneticPr fontId="12" type="noConversion"/>
  </si>
  <si>
    <t>探索产出</t>
    <phoneticPr fontId="12" type="noConversion"/>
  </si>
  <si>
    <t>系统赠予</t>
    <phoneticPr fontId="12" type="noConversion"/>
  </si>
  <si>
    <t>另外计算任务</t>
    <phoneticPr fontId="4" type="noConversion"/>
  </si>
  <si>
    <t>无线电接收站</t>
    <phoneticPr fontId="12" type="noConversion"/>
  </si>
  <si>
    <t>钢</t>
    <phoneticPr fontId="12" type="noConversion"/>
  </si>
  <si>
    <t>《特斯拉传》</t>
    <phoneticPr fontId="12" type="noConversion"/>
  </si>
  <si>
    <t>int32</t>
    <phoneticPr fontId="12" type="noConversion"/>
  </si>
  <si>
    <t>pro_id</t>
    <phoneticPr fontId="12" type="noConversion"/>
  </si>
  <si>
    <t>DAMI</t>
    <phoneticPr fontId="12" type="noConversion"/>
  </si>
  <si>
    <t>SHUCAI</t>
    <phoneticPr fontId="12" type="noConversion"/>
  </si>
  <si>
    <t>SHUIGUO</t>
    <phoneticPr fontId="12" type="noConversion"/>
  </si>
  <si>
    <t>HUAFEI</t>
    <phoneticPr fontId="12" type="noConversion"/>
  </si>
  <si>
    <t>ZHUJUAN</t>
    <phoneticPr fontId="12" type="noConversion"/>
  </si>
  <si>
    <t>SILIAO</t>
    <phoneticPr fontId="12" type="noConversion"/>
  </si>
  <si>
    <t>JING</t>
    <phoneticPr fontId="12" type="noConversion"/>
  </si>
  <si>
    <t>LUSHUI</t>
    <phoneticPr fontId="12" type="noConversion"/>
  </si>
  <si>
    <t>KUANGQUANSHUI</t>
    <phoneticPr fontId="12" type="noConversion"/>
  </si>
  <si>
    <t>WUXIANDIAN</t>
    <phoneticPr fontId="12" type="noConversion"/>
  </si>
  <si>
    <t>CANGKU</t>
    <phoneticPr fontId="12" type="noConversion"/>
  </si>
  <si>
    <t>DIANCHIZU</t>
    <phoneticPr fontId="12" type="noConversion"/>
  </si>
  <si>
    <t>JIANSHENFANG</t>
    <phoneticPr fontId="12" type="noConversion"/>
  </si>
  <si>
    <t>JSFADIANJI</t>
    <phoneticPr fontId="12" type="noConversion"/>
  </si>
  <si>
    <t>TAIYANGNENG</t>
    <phoneticPr fontId="12" type="noConversion"/>
  </si>
  <si>
    <t>LIANYOU</t>
    <phoneticPr fontId="12" type="noConversion"/>
  </si>
  <si>
    <t>LIANGANG</t>
    <phoneticPr fontId="12" type="noConversion"/>
  </si>
  <si>
    <t>SONGSHU</t>
    <phoneticPr fontId="12" type="noConversion"/>
  </si>
  <si>
    <t>HUNNINGTU</t>
    <phoneticPr fontId="12" type="noConversion"/>
  </si>
  <si>
    <t>MUCAIJIAGONG</t>
    <phoneticPr fontId="12" type="noConversion"/>
  </si>
  <si>
    <t>QIANG</t>
    <phoneticPr fontId="12" type="noConversion"/>
  </si>
  <si>
    <t>DAMEN</t>
    <phoneticPr fontId="12" type="noConversion"/>
  </si>
  <si>
    <t>MAKEQIN</t>
    <phoneticPr fontId="12" type="noConversion"/>
  </si>
  <si>
    <t>松木</t>
    <phoneticPr fontId="12" type="noConversion"/>
  </si>
  <si>
    <t>木材加工厂</t>
    <phoneticPr fontId="12" type="noConversion"/>
  </si>
  <si>
    <t>con_id</t>
    <phoneticPr fontId="12" type="noConversion"/>
  </si>
  <si>
    <t>产出id</t>
    <phoneticPr fontId="12" type="noConversion"/>
  </si>
  <si>
    <t>消耗id</t>
    <phoneticPr fontId="12" type="noConversion"/>
  </si>
  <si>
    <t>产出道具名</t>
    <phoneticPr fontId="12" type="noConversion"/>
  </si>
  <si>
    <t>消耗道具名</t>
    <phoneticPr fontId="12" type="noConversion"/>
  </si>
  <si>
    <t>大米</t>
    <phoneticPr fontId="12" type="noConversion"/>
  </si>
  <si>
    <t>蔬菜</t>
    <phoneticPr fontId="12" type="noConversion"/>
  </si>
  <si>
    <t>水果</t>
    <phoneticPr fontId="12" type="noConversion"/>
  </si>
  <si>
    <t>化肥</t>
    <phoneticPr fontId="12" type="noConversion"/>
  </si>
  <si>
    <t>猪肉</t>
    <phoneticPr fontId="12" type="noConversion"/>
  </si>
  <si>
    <t>饲料</t>
    <phoneticPr fontId="12" type="noConversion"/>
  </si>
  <si>
    <t>纯净水</t>
    <phoneticPr fontId="12" type="noConversion"/>
  </si>
  <si>
    <t>矿物质水</t>
    <phoneticPr fontId="12" type="noConversion"/>
  </si>
  <si>
    <t>汽油</t>
    <phoneticPr fontId="12" type="noConversion"/>
  </si>
  <si>
    <t>松木</t>
    <phoneticPr fontId="12" type="noConversion"/>
  </si>
  <si>
    <t>混凝土</t>
    <phoneticPr fontId="12" type="noConversion"/>
  </si>
  <si>
    <t>松木板</t>
    <phoneticPr fontId="12" type="noConversion"/>
  </si>
  <si>
    <t>草</t>
    <phoneticPr fontId="12" type="noConversion"/>
  </si>
  <si>
    <t>原油</t>
    <phoneticPr fontId="12" type="noConversion"/>
  </si>
  <si>
    <t>铁</t>
    <phoneticPr fontId="12" type="noConversion"/>
  </si>
  <si>
    <t>水泥</t>
    <phoneticPr fontId="12" type="noConversion"/>
  </si>
  <si>
    <t>功能</t>
    <phoneticPr fontId="12" type="noConversion"/>
  </si>
  <si>
    <t>领取
加工</t>
    <phoneticPr fontId="12" type="noConversion"/>
  </si>
  <si>
    <t>实力
限制</t>
    <phoneticPr fontId="12" type="noConversion"/>
  </si>
  <si>
    <t>con_pro</t>
    <phoneticPr fontId="12" type="noConversion"/>
  </si>
  <si>
    <t>建筑类型
领取=1
加工=2
功能建筑=3
防御建筑=4
武器=5</t>
    <phoneticPr fontId="12" type="noConversion"/>
  </si>
  <si>
    <t>x/黄金
未来读表</t>
    <phoneticPr fontId="12" type="noConversion"/>
  </si>
  <si>
    <t>player_cap</t>
    <phoneticPr fontId="12" type="noConversion"/>
  </si>
  <si>
    <t>玩家等级</t>
    <phoneticPr fontId="12" type="noConversion"/>
  </si>
  <si>
    <t>玩家实力</t>
    <phoneticPr fontId="12" type="noConversion"/>
  </si>
  <si>
    <t>庄园等级</t>
    <phoneticPr fontId="12" type="noConversion"/>
  </si>
  <si>
    <t>庄园实力</t>
    <phoneticPr fontId="12" type="noConversion"/>
  </si>
  <si>
    <t>manor_cap</t>
    <phoneticPr fontId="12" type="noConversion"/>
  </si>
  <si>
    <t>消耗产出比</t>
    <phoneticPr fontId="12" type="noConversion"/>
  </si>
  <si>
    <t>水稻种植场</t>
    <phoneticPr fontId="12" type="noConversion"/>
  </si>
  <si>
    <t>蔬菜种植场</t>
    <phoneticPr fontId="12" type="noConversion"/>
  </si>
  <si>
    <t>required</t>
    <phoneticPr fontId="12" type="noConversion"/>
  </si>
  <si>
    <t>庄园等级</t>
    <phoneticPr fontId="12" type="noConversion"/>
  </si>
  <si>
    <t>required</t>
    <phoneticPr fontId="12" type="noConversion"/>
  </si>
  <si>
    <t>雷达站</t>
    <phoneticPr fontId="12" type="noConversion"/>
  </si>
  <si>
    <t>LEIDA</t>
    <phoneticPr fontId="12" type="noConversion"/>
  </si>
  <si>
    <t>属性id</t>
    <phoneticPr fontId="12" type="noConversion"/>
  </si>
  <si>
    <t>血量</t>
    <phoneticPr fontId="12" type="noConversion"/>
  </si>
  <si>
    <t>攻击</t>
    <phoneticPr fontId="12" type="noConversion"/>
  </si>
  <si>
    <t>个人属性</t>
    <phoneticPr fontId="12" type="noConversion"/>
  </si>
  <si>
    <t>僵尸属性</t>
    <phoneticPr fontId="12" type="noConversion"/>
  </si>
  <si>
    <t>id</t>
    <phoneticPr fontId="12" type="noConversion"/>
  </si>
  <si>
    <t>表示僵尸属性</t>
    <phoneticPr fontId="12" type="noConversion"/>
  </si>
  <si>
    <t>required</t>
    <phoneticPr fontId="12" type="noConversion"/>
  </si>
  <si>
    <t>内容</t>
    <phoneticPr fontId="12" type="noConversion"/>
  </si>
  <si>
    <t>庄园实力</t>
    <phoneticPr fontId="12" type="noConversion"/>
  </si>
  <si>
    <t>所有建筑实力之和+所有个人战力</t>
    <phoneticPr fontId="12" type="noConversion"/>
  </si>
  <si>
    <t>个人实力</t>
    <phoneticPr fontId="12" type="noConversion"/>
  </si>
  <si>
    <t>公式</t>
    <phoneticPr fontId="12" type="noConversion"/>
  </si>
  <si>
    <t>个人战斗力</t>
    <phoneticPr fontId="12" type="noConversion"/>
  </si>
  <si>
    <t>僵尸入侵匹配值</t>
    <phoneticPr fontId="12" type="noConversion"/>
  </si>
  <si>
    <t>所有建筑实力之和*我的股份+我的个人战力</t>
    <phoneticPr fontId="12" type="noConversion"/>
  </si>
  <si>
    <t>股份算法</t>
    <phoneticPr fontId="12" type="noConversion"/>
  </si>
  <si>
    <t>1/n+[（（个人总贡献+k1）/（庄园内所有玩家总贡献+nk））-1/n]*k2</t>
    <phoneticPr fontId="12" type="noConversion"/>
  </si>
  <si>
    <t>ac_k1</t>
    <phoneticPr fontId="12" type="noConversion"/>
  </si>
  <si>
    <t>ac_k2</t>
    <phoneticPr fontId="12" type="noConversion"/>
  </si>
  <si>
    <t>ac_k3</t>
    <phoneticPr fontId="12" type="noConversion"/>
  </si>
  <si>
    <t>增加庄园实力</t>
    <phoneticPr fontId="12" type="noConversion"/>
  </si>
  <si>
    <t>庄园实力限制</t>
    <phoneticPr fontId="12" type="noConversion"/>
  </si>
  <si>
    <t>算法系数k4</t>
    <phoneticPr fontId="12" type="noConversion"/>
  </si>
  <si>
    <t>k1血量*（攻击+k2防御）/[（1-战斗中闪避）*(1-k3战前逃脱)]</t>
    <phoneticPr fontId="12" type="noConversion"/>
  </si>
  <si>
    <t>ac_k4</t>
    <phoneticPr fontId="12" type="noConversion"/>
  </si>
  <si>
    <t>manorcap_zombie</t>
    <phoneticPr fontId="12" type="noConversion"/>
  </si>
  <si>
    <t>防御</t>
    <phoneticPr fontId="12" type="noConversion"/>
  </si>
  <si>
    <t>zombie_atk</t>
    <phoneticPr fontId="12" type="noConversion"/>
  </si>
  <si>
    <t>zombie_def</t>
    <phoneticPr fontId="12" type="noConversion"/>
  </si>
  <si>
    <t>zombie_num</t>
    <phoneticPr fontId="12" type="noConversion"/>
  </si>
  <si>
    <t>僵尸数量</t>
    <phoneticPr fontId="12" type="noConversion"/>
  </si>
  <si>
    <t>optional</t>
    <phoneticPr fontId="12" type="noConversion"/>
  </si>
  <si>
    <t>理想人类防御</t>
    <phoneticPr fontId="12" type="noConversion"/>
  </si>
  <si>
    <t>僵尸dps*血*数量</t>
    <phoneticPr fontId="12" type="noConversion"/>
  </si>
  <si>
    <t>世界事件</t>
    <phoneticPr fontId="12" type="noConversion"/>
  </si>
  <si>
    <t>表示世界事件</t>
    <phoneticPr fontId="12" type="noConversion"/>
  </si>
  <si>
    <t>coeff_num</t>
    <phoneticPr fontId="12" type="noConversion"/>
  </si>
  <si>
    <t>系数</t>
    <phoneticPr fontId="12" type="noConversion"/>
  </si>
  <si>
    <t>类型（1=资源价格，2=出现概率，3=强度）</t>
    <phoneticPr fontId="12" type="noConversion"/>
  </si>
  <si>
    <t xml:space="preserve">僵尸向南迁徙Ⅰ </t>
    <phoneticPr fontId="12" type="noConversion"/>
  </si>
  <si>
    <t>僵尸向南迁徙Ⅱ</t>
    <phoneticPr fontId="12" type="noConversion"/>
  </si>
  <si>
    <t>僵尸向南迁徙Ⅲ</t>
    <phoneticPr fontId="12" type="noConversion"/>
  </si>
  <si>
    <t xml:space="preserve">变异僵尸聚集Ⅰ </t>
    <phoneticPr fontId="12" type="noConversion"/>
  </si>
  <si>
    <t>debuffzb_south1</t>
    <phoneticPr fontId="12" type="noConversion"/>
  </si>
  <si>
    <t>debuffzb_south2</t>
    <phoneticPr fontId="12" type="noConversion"/>
  </si>
  <si>
    <t>debuffzb_south3</t>
    <phoneticPr fontId="12" type="noConversion"/>
  </si>
  <si>
    <t xml:space="preserve">僵尸向北迁徙Ⅰ </t>
    <phoneticPr fontId="12" type="noConversion"/>
  </si>
  <si>
    <t>僵尸向北迁徙Ⅱ</t>
    <phoneticPr fontId="12" type="noConversion"/>
  </si>
  <si>
    <t>僵尸向北迁徙Ⅲ</t>
    <phoneticPr fontId="12" type="noConversion"/>
  </si>
  <si>
    <t>buffzb_south1</t>
    <phoneticPr fontId="12" type="noConversion"/>
  </si>
  <si>
    <t>南部发生局部战争</t>
    <phoneticPr fontId="12" type="noConversion"/>
  </si>
  <si>
    <t>南部发生战争</t>
    <phoneticPr fontId="12" type="noConversion"/>
  </si>
  <si>
    <t>南部发生大规模战争</t>
    <phoneticPr fontId="12" type="noConversion"/>
  </si>
  <si>
    <t xml:space="preserve">变异僵尸聚集Ⅱ </t>
    <phoneticPr fontId="12" type="noConversion"/>
  </si>
  <si>
    <t>optional</t>
    <phoneticPr fontId="12" type="noConversion"/>
  </si>
  <si>
    <t>资源类型（1=资源，2=装备，3=特殊）</t>
    <phoneticPr fontId="12" type="noConversion"/>
  </si>
  <si>
    <t>自定义1</t>
    <phoneticPr fontId="12" type="noConversion"/>
  </si>
  <si>
    <t>buffzb_south2</t>
    <phoneticPr fontId="12" type="noConversion"/>
  </si>
  <si>
    <t>buffzb_south3</t>
    <phoneticPr fontId="12" type="noConversion"/>
  </si>
  <si>
    <t>ac_k5</t>
    <phoneticPr fontId="12" type="noConversion"/>
  </si>
  <si>
    <t>zombie_hp</t>
    <phoneticPr fontId="12" type="noConversion"/>
  </si>
  <si>
    <t>兑黄金兑换比例</t>
    <phoneticPr fontId="12" type="noConversion"/>
  </si>
  <si>
    <t>表示个人属性</t>
    <phoneticPr fontId="12" type="noConversion"/>
  </si>
  <si>
    <t>属性类型</t>
    <phoneticPr fontId="12" type="noConversion"/>
  </si>
  <si>
    <t>属性ID</t>
    <phoneticPr fontId="12" type="noConversion"/>
  </si>
  <si>
    <t>属性名称</t>
    <phoneticPr fontId="12" type="noConversion"/>
  </si>
  <si>
    <t>描述</t>
    <phoneticPr fontId="12" type="noConversion"/>
  </si>
  <si>
    <t>初始</t>
    <phoneticPr fontId="12" type="noConversion"/>
  </si>
  <si>
    <t>系数k1</t>
    <phoneticPr fontId="12" type="noConversion"/>
  </si>
  <si>
    <t>特殊判断</t>
    <phoneticPr fontId="12" type="noConversion"/>
  </si>
  <si>
    <t>血量</t>
    <phoneticPr fontId="12" type="noConversion"/>
  </si>
  <si>
    <t>食物</t>
    <phoneticPr fontId="12" type="noConversion"/>
  </si>
  <si>
    <t>水</t>
    <phoneticPr fontId="12" type="noConversion"/>
  </si>
  <si>
    <t>健康</t>
    <phoneticPr fontId="12" type="noConversion"/>
  </si>
  <si>
    <t>心情</t>
    <phoneticPr fontId="12" type="noConversion"/>
  </si>
  <si>
    <t>攻击</t>
    <phoneticPr fontId="12" type="noConversion"/>
  </si>
  <si>
    <t>防御</t>
    <phoneticPr fontId="12" type="noConversion"/>
  </si>
  <si>
    <t>敏捷</t>
    <phoneticPr fontId="12" type="noConversion"/>
  </si>
  <si>
    <t>移速</t>
    <phoneticPr fontId="12" type="noConversion"/>
  </si>
  <si>
    <t>智力</t>
    <phoneticPr fontId="12" type="noConversion"/>
  </si>
  <si>
    <t>战中闪避率</t>
    <phoneticPr fontId="12" type="noConversion"/>
  </si>
  <si>
    <t>int32</t>
    <phoneticPr fontId="12" type="noConversion"/>
  </si>
  <si>
    <t>系数k1*100</t>
    <phoneticPr fontId="12" type="noConversion"/>
  </si>
  <si>
    <t>系数k2*100</t>
    <phoneticPr fontId="12" type="noConversion"/>
  </si>
  <si>
    <t>上限*100</t>
    <phoneticPr fontId="12" type="noConversion"/>
  </si>
  <si>
    <t>等级</t>
    <phoneticPr fontId="12" type="noConversion"/>
  </si>
  <si>
    <t>optional</t>
    <phoneticPr fontId="12" type="noConversion"/>
  </si>
  <si>
    <t>begin_num</t>
    <phoneticPr fontId="12" type="noConversion"/>
  </si>
  <si>
    <t>attr_k1</t>
    <phoneticPr fontId="12" type="noConversion"/>
  </si>
  <si>
    <t>attr_k2</t>
    <phoneticPr fontId="12" type="noConversion"/>
  </si>
  <si>
    <t>rec_k1</t>
    <phoneticPr fontId="12" type="noConversion"/>
  </si>
  <si>
    <t>lim_real</t>
    <phoneticPr fontId="12" type="noConversion"/>
  </si>
  <si>
    <t>lim_k1</t>
    <phoneticPr fontId="12" type="noConversion"/>
  </si>
  <si>
    <t>lim_k2</t>
    <phoneticPr fontId="12" type="noConversion"/>
  </si>
  <si>
    <t>spc_k1</t>
    <phoneticPr fontId="12" type="noConversion"/>
  </si>
  <si>
    <t>spc_k2</t>
    <phoneticPr fontId="12" type="noConversion"/>
  </si>
  <si>
    <t>低了扣血</t>
    <phoneticPr fontId="12" type="noConversion"/>
  </si>
  <si>
    <t>影响上限</t>
    <phoneticPr fontId="12" type="noConversion"/>
  </si>
  <si>
    <t>影响回复速度</t>
    <phoneticPr fontId="12" type="noConversion"/>
  </si>
  <si>
    <t>影响闪避</t>
    <phoneticPr fontId="12" type="noConversion"/>
  </si>
  <si>
    <t>影响探险时间</t>
    <phoneticPr fontId="12" type="noConversion"/>
  </si>
  <si>
    <t>影响逃脱率</t>
    <phoneticPr fontId="12" type="noConversion"/>
  </si>
  <si>
    <t>战前逃脱率</t>
    <phoneticPr fontId="12" type="noConversion"/>
  </si>
  <si>
    <t>玩家不可见</t>
    <phoneticPr fontId="12" type="noConversion"/>
  </si>
  <si>
    <t>初始+健康/k1</t>
    <phoneticPr fontId="12" type="noConversion"/>
  </si>
  <si>
    <t>初始+健康/k1+心情/k2</t>
    <phoneticPr fontId="12" type="noConversion"/>
  </si>
  <si>
    <t>初始+健康k1</t>
    <phoneticPr fontId="12" type="noConversion"/>
  </si>
  <si>
    <t>ATK我-k1DEF敌</t>
    <phoneticPr fontId="12" type="noConversion"/>
  </si>
  <si>
    <t>初始+心情k1</t>
    <phoneticPr fontId="12" type="noConversion"/>
  </si>
  <si>
    <t>初始+k1*敏捷/（k2+智力）</t>
    <phoneticPr fontId="12" type="noConversion"/>
  </si>
  <si>
    <t>初始+k1*敏捷/（k2+敏捷）</t>
    <phoneticPr fontId="12" type="noConversion"/>
  </si>
  <si>
    <t>每5分钟回复算法</t>
    <phoneticPr fontId="12" type="noConversion"/>
  </si>
  <si>
    <t>1+心情/k1</t>
    <phoneticPr fontId="12" type="noConversion"/>
  </si>
  <si>
    <t>-1+心情/k1</t>
    <phoneticPr fontId="12" type="noConversion"/>
  </si>
  <si>
    <t>-1+心情/K1</t>
    <phoneticPr fontId="12" type="noConversion"/>
  </si>
  <si>
    <t>上限算法</t>
    <phoneticPr fontId="12" type="noConversion"/>
  </si>
  <si>
    <t>k1+k2*健康</t>
  </si>
  <si>
    <t>k1+k2*健康</t>
    <phoneticPr fontId="12" type="noConversion"/>
  </si>
  <si>
    <t>≤k1进入受伤状态</t>
    <phoneticPr fontId="12" type="noConversion"/>
  </si>
  <si>
    <t>≤k1停止血量恢复，每分钟扣血k2</t>
  </si>
  <si>
    <t>≤k1停止血量恢复，每分钟扣血k2</t>
    <phoneticPr fontId="12" type="noConversion"/>
  </si>
  <si>
    <t>值算法</t>
    <phoneticPr fontId="12" type="noConversion"/>
  </si>
  <si>
    <t>值算法k1*100</t>
    <phoneticPr fontId="12" type="noConversion"/>
  </si>
  <si>
    <t>值算法k2*100</t>
    <phoneticPr fontId="12" type="noConversion"/>
  </si>
  <si>
    <t>僵尸到大门的时间t</t>
    <phoneticPr fontId="12" type="noConversion"/>
  </si>
  <si>
    <t>掠夺完资源的时间t</t>
    <phoneticPr fontId="12" type="noConversion"/>
  </si>
  <si>
    <t>上限</t>
    <phoneticPr fontId="12" type="noConversion"/>
  </si>
  <si>
    <t>大仓库资源比例*100</t>
    <phoneticPr fontId="12" type="noConversion"/>
  </si>
  <si>
    <t>黄金比例*100</t>
    <phoneticPr fontId="12" type="noConversion"/>
  </si>
  <si>
    <t>算法系数k1*100</t>
    <phoneticPr fontId="12" type="noConversion"/>
  </si>
  <si>
    <t>算法系数k2*100</t>
    <phoneticPr fontId="12" type="noConversion"/>
  </si>
  <si>
    <t>算法系数k3*100</t>
    <phoneticPr fontId="12" type="noConversion"/>
  </si>
  <si>
    <t>t</t>
    <phoneticPr fontId="12" type="noConversion"/>
  </si>
  <si>
    <t>k1*除了武器以外的建筑实力+k2*武器实力+k3*战力最高个人战力</t>
    <phoneticPr fontId="12" type="noConversion"/>
  </si>
  <si>
    <t>id</t>
    <phoneticPr fontId="12" type="noConversion"/>
  </si>
  <si>
    <t>transit_depot</t>
    <phoneticPr fontId="12" type="noConversion"/>
  </si>
  <si>
    <t>领取类仓库比例*100</t>
    <phoneticPr fontId="12" type="noConversion"/>
  </si>
  <si>
    <t>big_warehouse</t>
    <phoneticPr fontId="12" type="noConversion"/>
  </si>
  <si>
    <t>bw_lim</t>
    <phoneticPr fontId="12" type="noConversion"/>
  </si>
  <si>
    <t>gold_prop</t>
    <phoneticPr fontId="12" type="noConversion"/>
  </si>
  <si>
    <t>gold_lim</t>
    <phoneticPr fontId="12" type="noConversion"/>
  </si>
  <si>
    <t>世界事件延迟</t>
    <phoneticPr fontId="12" type="noConversion"/>
  </si>
  <si>
    <t>算法系数k5*10000</t>
    <phoneticPr fontId="12" type="noConversion"/>
  </si>
  <si>
    <t>k4,单位（min）</t>
    <phoneticPr fontId="12" type="noConversion"/>
  </si>
  <si>
    <t>系数</t>
    <phoneticPr fontId="12" type="noConversion"/>
  </si>
  <si>
    <t>表示系数</t>
    <phoneticPr fontId="12" type="noConversion"/>
  </si>
  <si>
    <t>k5,比例</t>
    <phoneticPr fontId="12" type="noConversion"/>
  </si>
  <si>
    <t>僵尸攻打延迟</t>
    <phoneticPr fontId="12" type="noConversion"/>
  </si>
  <si>
    <t>k4,单位（min）</t>
    <phoneticPr fontId="12" type="noConversion"/>
  </si>
  <si>
    <t>每级消耗资源价值（每级增加实力）</t>
    <phoneticPr fontId="12" type="noConversion"/>
  </si>
  <si>
    <t>伤害公式</t>
    <phoneticPr fontId="12" type="noConversion"/>
  </si>
  <si>
    <t>次数</t>
    <phoneticPr fontId="12" type="noConversion"/>
  </si>
  <si>
    <t>每分钟入侵庄园比例</t>
    <phoneticPr fontId="12" type="noConversion"/>
  </si>
  <si>
    <t>每个庄园每天被僵尸入侵上限</t>
    <phoneticPr fontId="12" type="noConversion"/>
  </si>
  <si>
    <t>每k4天每个庄园固定被入侵1次</t>
    <phoneticPr fontId="12" type="noConversion"/>
  </si>
  <si>
    <t>天数</t>
    <phoneticPr fontId="12" type="noConversion"/>
  </si>
  <si>
    <t>B级旱稻，种出来的大米虽然口感一般，但却是果腹生存之必备，符合国人的口味</t>
    <phoneticPr fontId="12" type="noConversion"/>
  </si>
  <si>
    <t>A级旱稻，种出来的大米虽然口感一般，但却是果腹生存之必备，符合国人的口味</t>
    <phoneticPr fontId="12" type="noConversion"/>
  </si>
  <si>
    <t>S级旱稻，种出来的大米虽然口感一般，但却是果腹生存之必备，符合国人的口味</t>
    <phoneticPr fontId="12" type="noConversion"/>
  </si>
  <si>
    <t>SS级旱稻，种出来的大米虽然口感一般，但却是果腹生存之必备，符合国人的口味</t>
    <phoneticPr fontId="12" type="noConversion"/>
  </si>
  <si>
    <t>此米只应天上有</t>
    <phoneticPr fontId="12" type="noConversion"/>
  </si>
  <si>
    <t>B级旱稻，种出来的大米虽然口感一般，但却是生存果腹之必备，符合国人的口味</t>
    <phoneticPr fontId="12" type="noConversion"/>
  </si>
  <si>
    <t>只吃白米饭？那样不健康！</t>
    <phoneticPr fontId="12" type="noConversion"/>
  </si>
  <si>
    <t>有了大米和蔬菜，你还差一个水果。吃了水果，不仅越来越健康，打僵尸都越来越有劲了！——尼古拉斯.赵四</t>
    <phoneticPr fontId="12" type="noConversion"/>
  </si>
  <si>
    <t>利用空气中的氮合成化肥，它可以让你的农作物长得更快！</t>
    <phoneticPr fontId="12" type="noConversion"/>
  </si>
  <si>
    <t>你可以不吃东西，但不能不喝水</t>
    <phoneticPr fontId="12" type="noConversion"/>
  </si>
  <si>
    <t>“它能够把纯净水加工成矿物质水，而矿物质水喝了更健康，所以人人都应该有一台矿物质水加工器”——专家如是说道</t>
    <phoneticPr fontId="12" type="noConversion"/>
  </si>
  <si>
    <t>可以接收到来自世界各地的无线电消息，了解世界动态。不要小瞧这些，这些消息有可能救你一命，也有可能让你大赚一笔。</t>
    <phoneticPr fontId="12" type="noConversion"/>
  </si>
  <si>
    <t>灵感来源于蝙蝠，它可以探测到正在接近庄园的东西</t>
    <phoneticPr fontId="12" type="noConversion"/>
  </si>
  <si>
    <t>农家仓库，居家必备</t>
    <phoneticPr fontId="12" type="noConversion"/>
  </si>
  <si>
    <t>工业仓库，谁用谁知道</t>
    <phoneticPr fontId="12" type="noConversion"/>
  </si>
  <si>
    <t>存储电力的设备</t>
    <phoneticPr fontId="12" type="noConversion"/>
  </si>
  <si>
    <t>通过高中学的电磁感应原理，将动能转化为电能。也许你会问："动能从哪里来？“你看了看你的大肚子，瞬间想通了这个道理</t>
    <phoneticPr fontId="12" type="noConversion"/>
  </si>
  <si>
    <t>僵尸咬人会释放动能，为什么我们不能将它利用起来呢？——你灵机一动，僵尸发电机诞生了</t>
    <phoneticPr fontId="12" type="noConversion"/>
  </si>
  <si>
    <t>僵尸发电机</t>
    <phoneticPr fontId="12" type="noConversion"/>
  </si>
  <si>
    <t>传统风力发电机，原理简单，构造可靠</t>
    <phoneticPr fontId="12" type="noConversion"/>
  </si>
  <si>
    <t>把原油精炼为汽油</t>
    <phoneticPr fontId="12" type="noConversion"/>
  </si>
  <si>
    <t>钢铁是怎样炼成的？——你需要铁，还有一个炼钢厂</t>
    <phoneticPr fontId="12" type="noConversion"/>
  </si>
  <si>
    <t>可以把松木加工成更易易于建造的松木板，极大的提高了建造质量。</t>
    <phoneticPr fontId="12" type="noConversion"/>
  </si>
  <si>
    <t>水泥做的围墙，谁用谁知道</t>
    <phoneticPr fontId="12" type="noConversion"/>
  </si>
  <si>
    <t>比起纯水泥，还是混凝土结实！</t>
    <phoneticPr fontId="12" type="noConversion"/>
  </si>
  <si>
    <t>大门不仅要气派，更要结实！</t>
    <phoneticPr fontId="12" type="noConversion"/>
  </si>
  <si>
    <t>搅啊搅，搅啊搅，水泥就成了混凝土，神不神奇，想不想要？！！</t>
    <phoneticPr fontId="12" type="noConversion"/>
  </si>
  <si>
    <t>曾经，学校后的小树林总会发生一些羞羞的事，但在这末世已经很难见到了——不过这些树木仍然是很好的建造材料</t>
    <phoneticPr fontId="12" type="noConversion"/>
  </si>
  <si>
    <t>可以接收到来自世界各地的无线电消息，了解世界动态。不要小瞧这些，这些消息有可能救你一命，也有可能让你大赚一笔。</t>
    <phoneticPr fontId="12" type="noConversion"/>
  </si>
  <si>
    <t>利用冷凝技术收集空气中的水</t>
    <phoneticPr fontId="12" type="noConversion"/>
  </si>
  <si>
    <t>“读书不如养猪”——现在你没有机会读书了，但你还有机会养猪</t>
    <phoneticPr fontId="12" type="noConversion"/>
  </si>
  <si>
    <t>把草加工成饲料，然后可以用来喂猪，职业养猪人的选择，值得信赖</t>
    <phoneticPr fontId="1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</si>
</sst>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4" x14ac:knownFonts="1">
    <font>
      <sz val="11"/>
      <color theme="1"/>
      <name val="宋体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5" tint="-0.249977111117893"/>
      <name val="微软雅黑"/>
      <family val="2"/>
      <charset val="134"/>
    </font>
    <font>
      <sz val="11"/>
      <color theme="9" tint="-0.249977111117893"/>
      <name val="宋体"/>
      <family val="2"/>
      <scheme val="minor"/>
    </font>
    <font>
      <b/>
      <sz val="11"/>
      <color theme="9" tint="-0.499984740745262"/>
      <name val="宋体"/>
      <family val="2"/>
      <scheme val="minor"/>
    </font>
    <font>
      <b/>
      <sz val="11"/>
      <color theme="9" tint="-0.249977111117893"/>
      <name val="宋体"/>
      <family val="2"/>
      <scheme val="minor"/>
    </font>
    <font>
      <b/>
      <sz val="11"/>
      <color rgb="FF00B0F0"/>
      <name val="宋体"/>
      <family val="2"/>
      <scheme val="minor"/>
    </font>
    <font>
      <sz val="11"/>
      <color theme="1"/>
      <name val="宋体"/>
      <family val="2"/>
      <scheme val="minor"/>
    </font>
    <font>
      <sz val="10"/>
      <color theme="1"/>
      <name val="微软雅黑"/>
      <family val="2"/>
      <charset val="134"/>
    </font>
    <font>
      <sz val="11"/>
      <color theme="9" tint="-0.249977111117893"/>
      <name val="宋体"/>
      <family val="2"/>
      <charset val="134"/>
      <scheme val="minor"/>
    </font>
    <font>
      <sz val="9"/>
      <name val="宋体"/>
      <family val="3"/>
      <charset val="134"/>
      <scheme val="minor"/>
    </font>
    <font>
      <sz val="11"/>
      <color theme="6" tint="0.79998168889431442"/>
      <name val="微软雅黑"/>
      <family val="2"/>
      <charset val="134"/>
    </font>
  </fonts>
  <fills count="19">
    <fill>
      <patternFill patternType="none"/>
    </fill>
    <fill>
      <patternFill patternType="gray125"/>
    </fill>
    <fill>
      <patternFill patternType="solid">
        <fgColor theme="9" tint="0.79992065187536243"/>
        <bgColor indexed="64"/>
      </patternFill>
    </fill>
    <fill>
      <patternFill patternType="solid">
        <fgColor theme="5" tint="0.79992065187536243"/>
        <bgColor indexed="64"/>
      </patternFill>
    </fill>
    <fill>
      <patternFill patternType="solid">
        <fgColor theme="7" tint="0.7999206518753624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749992370372631"/>
        <bgColor indexed="64"/>
      </patternFill>
    </fill>
  </fills>
  <borders count="16">
    <border>
      <left/>
      <right/>
      <top/>
      <bottom/>
      <diagonal/>
    </border>
    <border>
      <left/>
      <right/>
      <top style="medium">
        <color theme="5" tint="-0.499984740745262"/>
      </top>
      <bottom/>
      <diagonal/>
    </border>
    <border>
      <left/>
      <right/>
      <top/>
      <bottom style="medium">
        <color theme="5" tint="-0.499984740745262"/>
      </bottom>
      <diagonal/>
    </border>
    <border>
      <left style="thin">
        <color theme="9" tint="-0.24994659260841701"/>
      </left>
      <right style="medium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thin">
        <color theme="9" tint="-0.24994659260841701"/>
      </left>
      <right style="medium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medium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medium">
        <color theme="5" tint="-0.499984740745262"/>
      </bottom>
      <diagonal/>
    </border>
    <border>
      <left style="thin">
        <color auto="1"/>
      </left>
      <right/>
      <top style="medium">
        <color theme="5" tint="-0.499984740745262"/>
      </top>
      <bottom/>
      <diagonal/>
    </border>
  </borders>
  <cellStyleXfs count="6">
    <xf numFmtId="0" fontId="0" fillId="0" borderId="0"/>
    <xf numFmtId="0" fontId="9" fillId="0" borderId="0"/>
    <xf numFmtId="0" fontId="3" fillId="0" borderId="0"/>
    <xf numFmtId="0" fontId="10" fillId="0" borderId="0">
      <alignment vertical="center"/>
    </xf>
    <xf numFmtId="0" fontId="3" fillId="0" borderId="0"/>
    <xf numFmtId="0" fontId="2" fillId="0" borderId="0"/>
  </cellStyleXfs>
  <cellXfs count="145">
    <xf numFmtId="0" fontId="0" fillId="0" borderId="0" xfId="0"/>
    <xf numFmtId="0" fontId="4" fillId="4" borderId="0" xfId="0" applyFont="1" applyFill="1" applyAlignment="1">
      <alignment horizontal="center" vertical="center"/>
    </xf>
    <xf numFmtId="0" fontId="4" fillId="4" borderId="2" xfId="0" applyFont="1" applyFill="1" applyBorder="1" applyAlignment="1">
      <alignment horizontal="center" vertical="center" wrapText="1"/>
    </xf>
    <xf numFmtId="0" fontId="5" fillId="5" borderId="0" xfId="0" applyFont="1" applyFill="1"/>
    <xf numFmtId="0" fontId="5" fillId="2" borderId="0" xfId="0" applyFont="1" applyFill="1"/>
    <xf numFmtId="0" fontId="6" fillId="5" borderId="0" xfId="0" applyFont="1" applyFill="1"/>
    <xf numFmtId="0" fontId="7" fillId="2" borderId="0" xfId="0" applyFont="1" applyFill="1"/>
    <xf numFmtId="0" fontId="4" fillId="8" borderId="0" xfId="0" applyFont="1" applyFill="1" applyAlignment="1">
      <alignment horizontal="center" vertical="center"/>
    </xf>
    <xf numFmtId="0" fontId="4" fillId="2" borderId="0" xfId="1" applyFont="1" applyFill="1" applyBorder="1" applyAlignment="1">
      <alignment horizontal="center"/>
    </xf>
    <xf numFmtId="0" fontId="4" fillId="4" borderId="0" xfId="1" applyFont="1" applyFill="1" applyBorder="1" applyAlignment="1">
      <alignment horizontal="center" vertical="center"/>
    </xf>
    <xf numFmtId="0" fontId="4" fillId="8" borderId="0" xfId="1" applyFont="1" applyFill="1" applyBorder="1" applyAlignment="1">
      <alignment horizontal="center" vertical="center"/>
    </xf>
    <xf numFmtId="0" fontId="4" fillId="9" borderId="0" xfId="1" applyFont="1" applyFill="1" applyBorder="1" applyAlignment="1">
      <alignment horizontal="center" vertical="center"/>
    </xf>
    <xf numFmtId="0" fontId="4" fillId="6" borderId="0" xfId="1" applyFont="1" applyFill="1" applyBorder="1" applyAlignment="1">
      <alignment horizontal="center" vertical="center"/>
    </xf>
    <xf numFmtId="0" fontId="4" fillId="3" borderId="0" xfId="1" applyFont="1" applyFill="1" applyBorder="1" applyAlignment="1">
      <alignment horizontal="center" vertical="center"/>
    </xf>
    <xf numFmtId="0" fontId="4" fillId="2" borderId="0" xfId="1" applyFont="1" applyFill="1" applyBorder="1" applyAlignment="1">
      <alignment horizontal="center" vertical="center"/>
    </xf>
    <xf numFmtId="0" fontId="4" fillId="2" borderId="1" xfId="1" applyFont="1" applyFill="1" applyBorder="1" applyAlignment="1">
      <alignment horizontal="center"/>
    </xf>
    <xf numFmtId="0" fontId="4" fillId="4" borderId="1" xfId="1" applyFont="1" applyFill="1" applyBorder="1" applyAlignment="1">
      <alignment horizontal="center" vertical="center"/>
    </xf>
    <xf numFmtId="0" fontId="4" fillId="8" borderId="1" xfId="1" applyFont="1" applyFill="1" applyBorder="1" applyAlignment="1">
      <alignment horizontal="center" vertical="center"/>
    </xf>
    <xf numFmtId="0" fontId="4" fillId="9" borderId="1" xfId="1" applyFont="1" applyFill="1" applyBorder="1" applyAlignment="1">
      <alignment horizontal="center" vertical="center"/>
    </xf>
    <xf numFmtId="0" fontId="4" fillId="6" borderId="1" xfId="1" applyFont="1" applyFill="1" applyBorder="1" applyAlignment="1">
      <alignment horizontal="center" vertical="center"/>
    </xf>
    <xf numFmtId="0" fontId="4" fillId="3" borderId="1" xfId="1" applyFont="1" applyFill="1" applyBorder="1" applyAlignment="1">
      <alignment horizontal="center" vertical="center"/>
    </xf>
    <xf numFmtId="0" fontId="4" fillId="2" borderId="1" xfId="1" applyFont="1" applyFill="1" applyBorder="1" applyAlignment="1">
      <alignment horizontal="center" vertical="center"/>
    </xf>
    <xf numFmtId="0" fontId="4" fillId="2" borderId="0" xfId="1" applyFont="1" applyFill="1" applyBorder="1" applyAlignment="1">
      <alignment horizontal="center" vertical="center" wrapText="1"/>
    </xf>
    <xf numFmtId="1" fontId="4" fillId="8" borderId="2" xfId="1" applyNumberFormat="1" applyFont="1" applyFill="1" applyBorder="1" applyAlignment="1">
      <alignment horizontal="center" vertical="center"/>
    </xf>
    <xf numFmtId="1" fontId="4" fillId="9" borderId="2" xfId="1" applyNumberFormat="1" applyFont="1" applyFill="1" applyBorder="1" applyAlignment="1">
      <alignment horizontal="center" vertical="center"/>
    </xf>
    <xf numFmtId="1" fontId="4" fillId="9" borderId="2" xfId="1" applyNumberFormat="1" applyFont="1" applyFill="1" applyBorder="1" applyAlignment="1">
      <alignment horizontal="center" vertical="center" wrapText="1"/>
    </xf>
    <xf numFmtId="1" fontId="4" fillId="8" borderId="2" xfId="1" applyNumberFormat="1" applyFont="1" applyFill="1" applyBorder="1" applyAlignment="1">
      <alignment horizontal="center" vertical="center" wrapText="1"/>
    </xf>
    <xf numFmtId="0" fontId="4" fillId="4" borderId="0" xfId="1" applyFont="1" applyFill="1" applyBorder="1" applyAlignment="1">
      <alignment horizontal="center" vertical="center" wrapText="1"/>
    </xf>
    <xf numFmtId="0" fontId="4" fillId="3" borderId="0" xfId="1" applyFont="1" applyFill="1" applyBorder="1" applyAlignment="1">
      <alignment horizontal="center" vertical="center" wrapText="1"/>
    </xf>
    <xf numFmtId="0" fontId="4" fillId="6" borderId="0" xfId="1" applyFont="1" applyFill="1" applyBorder="1" applyAlignment="1">
      <alignment horizontal="center" vertical="center" wrapText="1"/>
    </xf>
    <xf numFmtId="1" fontId="4" fillId="8" borderId="0" xfId="1" applyNumberFormat="1" applyFont="1" applyFill="1" applyAlignment="1">
      <alignment horizontal="center" vertical="center"/>
    </xf>
    <xf numFmtId="1" fontId="4" fillId="9" borderId="0" xfId="1" applyNumberFormat="1" applyFont="1" applyFill="1" applyAlignment="1">
      <alignment horizontal="center" vertical="center"/>
    </xf>
    <xf numFmtId="0" fontId="4" fillId="8" borderId="0" xfId="1" applyFont="1" applyFill="1" applyAlignment="1">
      <alignment horizontal="center" vertical="center"/>
    </xf>
    <xf numFmtId="0" fontId="4" fillId="9" borderId="0" xfId="1" applyFont="1" applyFill="1" applyAlignment="1">
      <alignment horizontal="center" vertical="center"/>
    </xf>
    <xf numFmtId="0" fontId="4" fillId="9" borderId="0" xfId="2" applyFont="1" applyFill="1" applyAlignment="1">
      <alignment horizontal="center" vertical="center"/>
    </xf>
    <xf numFmtId="0" fontId="4" fillId="7" borderId="0" xfId="2" applyFont="1" applyFill="1" applyAlignment="1">
      <alignment horizontal="center" vertical="center"/>
    </xf>
    <xf numFmtId="0" fontId="4" fillId="8" borderId="0" xfId="2" applyFont="1" applyFill="1" applyAlignment="1">
      <alignment horizontal="center" vertical="center"/>
    </xf>
    <xf numFmtId="0" fontId="4" fillId="9" borderId="0" xfId="2" applyFont="1" applyFill="1" applyBorder="1" applyAlignment="1">
      <alignment horizontal="center" vertical="center"/>
    </xf>
    <xf numFmtId="0" fontId="4" fillId="7" borderId="0" xfId="2" applyFont="1" applyFill="1" applyBorder="1" applyAlignment="1">
      <alignment horizontal="center" vertical="center"/>
    </xf>
    <xf numFmtId="0" fontId="4" fillId="8" borderId="0" xfId="2" applyFont="1" applyFill="1" applyBorder="1" applyAlignment="1">
      <alignment horizontal="center" vertical="center"/>
    </xf>
    <xf numFmtId="0" fontId="4" fillId="9" borderId="0" xfId="2" applyFont="1" applyFill="1" applyAlignment="1">
      <alignment horizontal="center" vertical="center" wrapText="1"/>
    </xf>
    <xf numFmtId="0" fontId="5" fillId="9" borderId="0" xfId="1" applyFont="1" applyFill="1"/>
    <xf numFmtId="0" fontId="6" fillId="5" borderId="0" xfId="1" applyFont="1" applyFill="1"/>
    <xf numFmtId="0" fontId="5" fillId="5" borderId="0" xfId="1" applyFont="1" applyFill="1"/>
    <xf numFmtId="0" fontId="11" fillId="9" borderId="0" xfId="5" applyFont="1" applyFill="1"/>
    <xf numFmtId="0" fontId="11" fillId="5" borderId="0" xfId="5" applyFont="1" applyFill="1"/>
    <xf numFmtId="0" fontId="6" fillId="5" borderId="0" xfId="5" applyFont="1" applyFill="1"/>
    <xf numFmtId="0" fontId="11" fillId="9" borderId="3" xfId="5" applyFont="1" applyFill="1" applyBorder="1"/>
    <xf numFmtId="0" fontId="11" fillId="9" borderId="4" xfId="5" applyFont="1" applyFill="1" applyBorder="1"/>
    <xf numFmtId="0" fontId="11" fillId="9" borderId="5" xfId="5" applyFont="1" applyFill="1" applyBorder="1"/>
    <xf numFmtId="49" fontId="11" fillId="9" borderId="6" xfId="5" applyNumberFormat="1" applyFont="1" applyFill="1" applyBorder="1"/>
    <xf numFmtId="49" fontId="11" fillId="9" borderId="7" xfId="5" applyNumberFormat="1" applyFont="1" applyFill="1" applyBorder="1"/>
    <xf numFmtId="0" fontId="11" fillId="9" borderId="8" xfId="5" applyFont="1" applyFill="1" applyBorder="1"/>
    <xf numFmtId="0" fontId="11" fillId="9" borderId="9" xfId="5" applyFont="1" applyFill="1" applyBorder="1"/>
    <xf numFmtId="0" fontId="11" fillId="9" borderId="10" xfId="5" applyFont="1" applyFill="1" applyBorder="1"/>
    <xf numFmtId="0" fontId="11" fillId="9" borderId="11" xfId="5" applyFont="1" applyFill="1" applyBorder="1"/>
    <xf numFmtId="0" fontId="4" fillId="7" borderId="0" xfId="1" applyFont="1" applyFill="1" applyBorder="1" applyAlignment="1">
      <alignment horizontal="center" vertical="center"/>
    </xf>
    <xf numFmtId="0" fontId="4" fillId="7" borderId="1" xfId="1" applyFont="1" applyFill="1" applyBorder="1" applyAlignment="1">
      <alignment horizontal="center" vertical="center"/>
    </xf>
    <xf numFmtId="0" fontId="4" fillId="7" borderId="2" xfId="1" applyFont="1" applyFill="1" applyBorder="1" applyAlignment="1">
      <alignment horizontal="center" vertical="center" wrapText="1"/>
    </xf>
    <xf numFmtId="0" fontId="4" fillId="7" borderId="0" xfId="1" applyFont="1" applyFill="1" applyAlignment="1">
      <alignment horizontal="center" vertical="center"/>
    </xf>
    <xf numFmtId="1" fontId="4" fillId="7" borderId="0" xfId="1" applyNumberFormat="1" applyFont="1" applyFill="1" applyAlignment="1">
      <alignment horizontal="center" vertical="center"/>
    </xf>
    <xf numFmtId="1" fontId="4" fillId="7" borderId="2" xfId="1" applyNumberFormat="1" applyFont="1" applyFill="1" applyBorder="1" applyAlignment="1">
      <alignment horizontal="center" vertical="center" wrapText="1"/>
    </xf>
    <xf numFmtId="0" fontId="4" fillId="7" borderId="0" xfId="3" applyFont="1" applyFill="1" applyBorder="1" applyAlignment="1">
      <alignment horizontal="center" vertical="center"/>
    </xf>
    <xf numFmtId="0" fontId="4" fillId="7" borderId="0" xfId="1" applyFont="1" applyFill="1" applyBorder="1" applyAlignment="1">
      <alignment horizontal="center"/>
    </xf>
    <xf numFmtId="0" fontId="4" fillId="7" borderId="1" xfId="1" applyFont="1" applyFill="1" applyBorder="1" applyAlignment="1">
      <alignment horizontal="center"/>
    </xf>
    <xf numFmtId="1" fontId="4" fillId="8" borderId="0" xfId="1" applyNumberFormat="1" applyFont="1" applyFill="1" applyBorder="1" applyAlignment="1">
      <alignment horizontal="center" vertical="center" wrapText="1"/>
    </xf>
    <xf numFmtId="1" fontId="4" fillId="9" borderId="0" xfId="1" applyNumberFormat="1" applyFont="1" applyFill="1" applyBorder="1" applyAlignment="1">
      <alignment horizontal="center" vertical="center" wrapText="1"/>
    </xf>
    <xf numFmtId="0" fontId="4" fillId="4" borderId="1" xfId="1" applyFont="1" applyFill="1" applyBorder="1" applyAlignment="1">
      <alignment horizontal="center" vertical="center" wrapText="1"/>
    </xf>
    <xf numFmtId="0" fontId="4" fillId="8" borderId="0" xfId="0" applyFont="1" applyFill="1" applyBorder="1" applyAlignment="1">
      <alignment horizontal="center" vertical="center" wrapText="1"/>
    </xf>
    <xf numFmtId="0" fontId="4" fillId="8" borderId="0" xfId="3" applyFont="1" applyFill="1" applyBorder="1" applyAlignment="1">
      <alignment horizontal="center" vertical="center"/>
    </xf>
    <xf numFmtId="0" fontId="4" fillId="9" borderId="0" xfId="3" applyFont="1" applyFill="1" applyBorder="1" applyAlignment="1">
      <alignment horizontal="center" vertical="center"/>
    </xf>
    <xf numFmtId="0" fontId="13" fillId="10" borderId="0" xfId="0" applyFont="1" applyFill="1" applyAlignment="1">
      <alignment horizontal="center" vertical="center"/>
    </xf>
    <xf numFmtId="0" fontId="13" fillId="10" borderId="2" xfId="0" applyFont="1" applyFill="1" applyBorder="1" applyAlignment="1">
      <alignment horizontal="center" vertical="center" wrapText="1"/>
    </xf>
    <xf numFmtId="0" fontId="13" fillId="10" borderId="1" xfId="2" applyFont="1" applyFill="1" applyBorder="1" applyAlignment="1">
      <alignment horizontal="center" vertical="center"/>
    </xf>
    <xf numFmtId="0" fontId="13" fillId="10" borderId="0" xfId="2" applyFont="1" applyFill="1" applyBorder="1" applyAlignment="1">
      <alignment horizontal="center" vertical="center"/>
    </xf>
    <xf numFmtId="0" fontId="13" fillId="10" borderId="2" xfId="2" applyFont="1" applyFill="1" applyBorder="1" applyAlignment="1">
      <alignment horizontal="center" vertical="center"/>
    </xf>
    <xf numFmtId="0" fontId="13" fillId="10" borderId="0" xfId="2" applyFont="1" applyFill="1" applyAlignment="1">
      <alignment horizontal="center" vertical="center"/>
    </xf>
    <xf numFmtId="0" fontId="13" fillId="10" borderId="0" xfId="3" applyFont="1" applyFill="1" applyBorder="1" applyAlignment="1">
      <alignment horizontal="center" vertical="center"/>
    </xf>
    <xf numFmtId="0" fontId="13" fillId="10" borderId="0" xfId="1" applyFont="1" applyFill="1" applyBorder="1" applyAlignment="1">
      <alignment horizontal="center"/>
    </xf>
    <xf numFmtId="0" fontId="13" fillId="10" borderId="0" xfId="1" applyFont="1" applyFill="1" applyBorder="1" applyAlignment="1">
      <alignment horizontal="center" vertical="center" wrapText="1"/>
    </xf>
    <xf numFmtId="0" fontId="13" fillId="10" borderId="1" xfId="1" applyFont="1" applyFill="1" applyBorder="1" applyAlignment="1">
      <alignment horizontal="center"/>
    </xf>
    <xf numFmtId="0" fontId="4" fillId="9" borderId="2" xfId="2" applyFont="1" applyFill="1" applyBorder="1" applyAlignment="1">
      <alignment horizontal="center" vertical="center" wrapText="1"/>
    </xf>
    <xf numFmtId="0" fontId="4" fillId="8" borderId="2" xfId="2" applyFont="1" applyFill="1" applyBorder="1" applyAlignment="1">
      <alignment horizontal="center" vertical="center" wrapText="1"/>
    </xf>
    <xf numFmtId="0" fontId="4" fillId="7" borderId="2" xfId="2" applyFont="1" applyFill="1" applyBorder="1" applyAlignment="1">
      <alignment horizontal="center" vertical="center" wrapText="1"/>
    </xf>
    <xf numFmtId="0" fontId="4" fillId="8" borderId="2" xfId="0" applyNumberFormat="1" applyFont="1" applyFill="1" applyBorder="1" applyAlignment="1">
      <alignment horizontal="center" vertical="center" wrapText="1"/>
    </xf>
    <xf numFmtId="0" fontId="4" fillId="4" borderId="0" xfId="1" applyFont="1" applyFill="1" applyBorder="1" applyAlignment="1">
      <alignment horizontal="left" vertical="top"/>
    </xf>
    <xf numFmtId="0" fontId="4" fillId="11" borderId="0" xfId="1" applyFont="1" applyFill="1" applyBorder="1" applyAlignment="1">
      <alignment horizontal="center" vertical="center"/>
    </xf>
    <xf numFmtId="0" fontId="4" fillId="11" borderId="0" xfId="1" applyFont="1" applyFill="1" applyBorder="1" applyAlignment="1">
      <alignment horizontal="center" vertical="center" wrapText="1"/>
    </xf>
    <xf numFmtId="0" fontId="4" fillId="11" borderId="1" xfId="1" applyFont="1" applyFill="1" applyBorder="1" applyAlignment="1">
      <alignment horizontal="center" vertical="center"/>
    </xf>
    <xf numFmtId="0" fontId="1" fillId="10" borderId="0" xfId="2" applyFont="1" applyFill="1" applyAlignment="1">
      <alignment horizontal="center" vertical="center"/>
    </xf>
    <xf numFmtId="0" fontId="4" fillId="9" borderId="0" xfId="1" applyFont="1" applyFill="1" applyBorder="1" applyAlignment="1">
      <alignment horizontal="center" vertical="center" wrapText="1"/>
    </xf>
    <xf numFmtId="0" fontId="4" fillId="7" borderId="0" xfId="1" applyFont="1" applyFill="1" applyBorder="1" applyAlignment="1">
      <alignment horizontal="center" vertical="center" wrapText="1"/>
    </xf>
    <xf numFmtId="0" fontId="4" fillId="8" borderId="0" xfId="1" applyFont="1" applyFill="1" applyBorder="1" applyAlignment="1">
      <alignment horizontal="center" vertical="center" wrapText="1"/>
    </xf>
    <xf numFmtId="0" fontId="0" fillId="9" borderId="0" xfId="0" applyFill="1"/>
    <xf numFmtId="0" fontId="4" fillId="7" borderId="2" xfId="1" applyFont="1" applyFill="1" applyBorder="1" applyAlignment="1">
      <alignment horizontal="center" vertical="center"/>
    </xf>
    <xf numFmtId="0" fontId="4" fillId="8" borderId="2" xfId="1" applyFont="1" applyFill="1" applyBorder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4" fillId="7" borderId="2" xfId="0" applyFont="1" applyFill="1" applyBorder="1" applyAlignment="1">
      <alignment horizontal="center" vertical="center"/>
    </xf>
    <xf numFmtId="0" fontId="4" fillId="7" borderId="0" xfId="0" applyFont="1" applyFill="1" applyBorder="1" applyAlignment="1">
      <alignment horizontal="center" vertical="center"/>
    </xf>
    <xf numFmtId="0" fontId="4" fillId="9" borderId="2" xfId="1" applyFont="1" applyFill="1" applyBorder="1" applyAlignment="1">
      <alignment horizontal="center" vertical="center"/>
    </xf>
    <xf numFmtId="0" fontId="4" fillId="9" borderId="13" xfId="1" applyFont="1" applyFill="1" applyBorder="1" applyAlignment="1">
      <alignment horizontal="center" vertical="center"/>
    </xf>
    <xf numFmtId="0" fontId="4" fillId="9" borderId="13" xfId="0" applyFont="1" applyFill="1" applyBorder="1" applyAlignment="1">
      <alignment horizontal="center" vertical="center"/>
    </xf>
    <xf numFmtId="0" fontId="4" fillId="9" borderId="13" xfId="0" quotePrefix="1" applyFont="1" applyFill="1" applyBorder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4" fillId="9" borderId="2" xfId="0" applyFont="1" applyFill="1" applyBorder="1" applyAlignment="1">
      <alignment horizontal="center" vertical="center"/>
    </xf>
    <xf numFmtId="0" fontId="4" fillId="9" borderId="14" xfId="0" applyFont="1" applyFill="1" applyBorder="1" applyAlignment="1">
      <alignment horizontal="center" vertical="center"/>
    </xf>
    <xf numFmtId="0" fontId="4" fillId="9" borderId="0" xfId="0" applyFont="1" applyFill="1" applyBorder="1" applyAlignment="1">
      <alignment horizontal="center" vertical="center"/>
    </xf>
    <xf numFmtId="0" fontId="4" fillId="13" borderId="0" xfId="1" applyFont="1" applyFill="1" applyBorder="1" applyAlignment="1">
      <alignment horizontal="center" vertical="center"/>
    </xf>
    <xf numFmtId="0" fontId="4" fillId="13" borderId="0" xfId="1" applyFont="1" applyFill="1" applyBorder="1" applyAlignment="1">
      <alignment horizontal="center" vertical="center" wrapText="1"/>
    </xf>
    <xf numFmtId="0" fontId="4" fillId="13" borderId="1" xfId="1" applyFont="1" applyFill="1" applyBorder="1" applyAlignment="1">
      <alignment horizontal="center" vertical="center"/>
    </xf>
    <xf numFmtId="0" fontId="4" fillId="7" borderId="0" xfId="0" quotePrefix="1" applyFont="1" applyFill="1" applyBorder="1" applyAlignment="1">
      <alignment horizontal="center" vertical="center"/>
    </xf>
    <xf numFmtId="0" fontId="4" fillId="3" borderId="2" xfId="1" applyFont="1" applyFill="1" applyBorder="1" applyAlignment="1">
      <alignment horizontal="center" vertical="center" wrapText="1"/>
    </xf>
    <xf numFmtId="0" fontId="4" fillId="6" borderId="2" xfId="1" applyFont="1" applyFill="1" applyBorder="1" applyAlignment="1">
      <alignment horizontal="center" vertical="center" wrapText="1"/>
    </xf>
    <xf numFmtId="0" fontId="4" fillId="3" borderId="12" xfId="1" applyFont="1" applyFill="1" applyBorder="1" applyAlignment="1">
      <alignment horizontal="center" vertical="center"/>
    </xf>
    <xf numFmtId="0" fontId="4" fillId="6" borderId="12" xfId="1" applyFont="1" applyFill="1" applyBorder="1" applyAlignment="1">
      <alignment horizontal="center" vertical="center"/>
    </xf>
    <xf numFmtId="0" fontId="4" fillId="7" borderId="1" xfId="0" applyFont="1" applyFill="1" applyBorder="1" applyAlignment="1">
      <alignment horizontal="center" vertical="center"/>
    </xf>
    <xf numFmtId="0" fontId="0" fillId="7" borderId="0" xfId="0" applyFill="1"/>
    <xf numFmtId="0" fontId="4" fillId="13" borderId="0" xfId="2" applyFont="1" applyFill="1" applyBorder="1" applyAlignment="1">
      <alignment horizontal="center" vertical="center"/>
    </xf>
    <xf numFmtId="0" fontId="4" fillId="13" borderId="0" xfId="2" applyFont="1" applyFill="1" applyAlignment="1">
      <alignment horizontal="center" vertical="center"/>
    </xf>
    <xf numFmtId="0" fontId="4" fillId="14" borderId="0" xfId="2" applyFont="1" applyFill="1" applyAlignment="1">
      <alignment horizontal="center" vertical="center"/>
    </xf>
    <xf numFmtId="0" fontId="4" fillId="5" borderId="0" xfId="2" applyFont="1" applyFill="1" applyBorder="1" applyAlignment="1">
      <alignment horizontal="center" vertical="center"/>
    </xf>
    <xf numFmtId="0" fontId="4" fillId="16" borderId="0" xfId="2" applyFont="1" applyFill="1" applyBorder="1" applyAlignment="1">
      <alignment horizontal="center" vertical="center"/>
    </xf>
    <xf numFmtId="0" fontId="4" fillId="16" borderId="0" xfId="2" applyFont="1" applyFill="1" applyAlignment="1">
      <alignment horizontal="center" vertical="center"/>
    </xf>
    <xf numFmtId="0" fontId="4" fillId="5" borderId="0" xfId="2" applyFont="1" applyFill="1" applyAlignment="1">
      <alignment horizontal="center" vertical="center"/>
    </xf>
    <xf numFmtId="0" fontId="4" fillId="15" borderId="0" xfId="2" applyFont="1" applyFill="1" applyAlignment="1">
      <alignment horizontal="center" vertical="center"/>
    </xf>
    <xf numFmtId="0" fontId="4" fillId="17" borderId="0" xfId="2" applyFont="1" applyFill="1" applyAlignment="1">
      <alignment horizontal="center" vertical="center"/>
    </xf>
    <xf numFmtId="0" fontId="4" fillId="18" borderId="0" xfId="2" applyFont="1" applyFill="1" applyAlignment="1">
      <alignment horizontal="center" vertical="center"/>
    </xf>
    <xf numFmtId="0" fontId="4" fillId="8" borderId="0" xfId="0" applyFont="1" applyFill="1" applyAlignment="1">
      <alignment horizontal="center"/>
    </xf>
    <xf numFmtId="0" fontId="4" fillId="7" borderId="0" xfId="0" applyFont="1" applyFill="1" applyAlignment="1">
      <alignment horizontal="center"/>
    </xf>
    <xf numFmtId="0" fontId="4" fillId="8" borderId="1" xfId="0" applyFont="1" applyFill="1" applyBorder="1" applyAlignment="1">
      <alignment horizontal="center"/>
    </xf>
    <xf numFmtId="0" fontId="4" fillId="7" borderId="1" xfId="0" applyFont="1" applyFill="1" applyBorder="1" applyAlignment="1">
      <alignment horizontal="center"/>
    </xf>
    <xf numFmtId="0" fontId="4" fillId="9" borderId="0" xfId="0" applyFont="1" applyFill="1" applyAlignment="1">
      <alignment horizontal="center"/>
    </xf>
    <xf numFmtId="0" fontId="4" fillId="13" borderId="0" xfId="0" applyFont="1" applyFill="1" applyAlignment="1">
      <alignment horizontal="center"/>
    </xf>
    <xf numFmtId="0" fontId="4" fillId="8" borderId="13" xfId="0" applyFont="1" applyFill="1" applyBorder="1" applyAlignment="1">
      <alignment horizontal="center"/>
    </xf>
    <xf numFmtId="0" fontId="4" fillId="8" borderId="13" xfId="1" applyFont="1" applyFill="1" applyBorder="1" applyAlignment="1">
      <alignment horizontal="center" vertical="center" wrapText="1"/>
    </xf>
    <xf numFmtId="0" fontId="4" fillId="12" borderId="15" xfId="0" applyFont="1" applyFill="1" applyBorder="1" applyAlignment="1">
      <alignment horizontal="center"/>
    </xf>
    <xf numFmtId="0" fontId="4" fillId="12" borderId="13" xfId="0" applyFont="1" applyFill="1" applyBorder="1" applyAlignment="1">
      <alignment horizontal="center"/>
    </xf>
    <xf numFmtId="0" fontId="4" fillId="8" borderId="15" xfId="0" applyFont="1" applyFill="1" applyBorder="1" applyAlignment="1">
      <alignment horizontal="center"/>
    </xf>
    <xf numFmtId="0" fontId="4" fillId="9" borderId="13" xfId="0" applyFont="1" applyFill="1" applyBorder="1" applyAlignment="1">
      <alignment horizontal="center"/>
    </xf>
    <xf numFmtId="0" fontId="4" fillId="9" borderId="15" xfId="0" applyFont="1" applyFill="1" applyBorder="1" applyAlignment="1">
      <alignment horizontal="center"/>
    </xf>
    <xf numFmtId="0" fontId="4" fillId="9" borderId="13" xfId="0" quotePrefix="1" applyFont="1" applyFill="1" applyBorder="1" applyAlignment="1">
      <alignment horizontal="center"/>
    </xf>
    <xf numFmtId="0" fontId="4" fillId="7" borderId="13" xfId="1" applyFont="1" applyFill="1" applyBorder="1" applyAlignment="1">
      <alignment horizontal="center" vertical="center"/>
    </xf>
    <xf numFmtId="0" fontId="4" fillId="7" borderId="13" xfId="0" applyFont="1" applyFill="1" applyBorder="1" applyAlignment="1">
      <alignment horizontal="center" vertical="center"/>
    </xf>
    <xf numFmtId="0" fontId="4" fillId="7" borderId="14" xfId="1" applyFont="1" applyFill="1" applyBorder="1" applyAlignment="1">
      <alignment horizontal="center" vertical="center" wrapText="1"/>
    </xf>
    <xf numFmtId="0" fontId="4" fillId="9" borderId="2" xfId="1" applyFont="1" applyFill="1" applyBorder="1" applyAlignment="1">
      <alignment horizontal="center" vertical="center" wrapText="1"/>
    </xf>
  </cellXfs>
  <cellStyles count="6">
    <cellStyle name="常规" xfId="0" builtinId="0"/>
    <cellStyle name="常规 2" xfId="1"/>
    <cellStyle name="常规 2 2" xfId="2"/>
    <cellStyle name="常规 2 2 2" xfId="3"/>
    <cellStyle name="常规 3" xfId="4"/>
    <cellStyle name="常规 4" xfId="5"/>
  </cellStyles>
  <dxfs count="2">
    <dxf>
      <font>
        <b/>
        <i val="0"/>
      </font>
      <fill>
        <patternFill patternType="solid">
          <bgColor rgb="FFD7D7D7"/>
        </patternFill>
      </fill>
    </dxf>
    <dxf>
      <font>
        <b val="0"/>
        <i val="0"/>
      </font>
      <fill>
        <patternFill patternType="none"/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colors>
    <mruColors>
      <color rgb="FFFCE4D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9" tint="0.79998168889431442"/>
  </sheetPr>
  <dimension ref="A1:H88"/>
  <sheetViews>
    <sheetView topLeftCell="A49" zoomScale="90" zoomScaleNormal="90" workbookViewId="0">
      <selection activeCell="F103" sqref="F103"/>
    </sheetView>
  </sheetViews>
  <sheetFormatPr defaultColWidth="9.125" defaultRowHeight="13.5" x14ac:dyDescent="0.15"/>
  <cols>
    <col min="1" max="16384" width="9.125" style="4"/>
  </cols>
  <sheetData>
    <row r="1" spans="1:7" s="3" customFormat="1" x14ac:dyDescent="0.15">
      <c r="A1" s="5" t="s">
        <v>0</v>
      </c>
    </row>
    <row r="3" spans="1:7" x14ac:dyDescent="0.15">
      <c r="B3" s="4" t="s">
        <v>1</v>
      </c>
      <c r="C3" s="4" t="s">
        <v>2</v>
      </c>
      <c r="E3" s="4" t="s">
        <v>3</v>
      </c>
    </row>
    <row r="4" spans="1:7" x14ac:dyDescent="0.15">
      <c r="B4" s="4" t="s">
        <v>4</v>
      </c>
      <c r="C4" s="4" t="s">
        <v>5</v>
      </c>
      <c r="E4" s="4" t="s">
        <v>6</v>
      </c>
    </row>
    <row r="5" spans="1:7" x14ac:dyDescent="0.15">
      <c r="B5" s="4" t="s">
        <v>4</v>
      </c>
      <c r="C5" s="4" t="s">
        <v>7</v>
      </c>
      <c r="E5" s="4" t="s">
        <v>8</v>
      </c>
    </row>
    <row r="6" spans="1:7" x14ac:dyDescent="0.15">
      <c r="B6" s="4" t="s">
        <v>4</v>
      </c>
      <c r="C6" s="4" t="s">
        <v>9</v>
      </c>
      <c r="E6" s="4" t="s">
        <v>10</v>
      </c>
    </row>
    <row r="7" spans="1:7" x14ac:dyDescent="0.15">
      <c r="B7" s="4" t="s">
        <v>4</v>
      </c>
      <c r="C7" s="4" t="s">
        <v>11</v>
      </c>
      <c r="E7" s="4" t="s">
        <v>12</v>
      </c>
    </row>
    <row r="10" spans="1:7" s="3" customFormat="1" x14ac:dyDescent="0.15">
      <c r="A10" s="5" t="s">
        <v>13</v>
      </c>
    </row>
    <row r="12" spans="1:7" x14ac:dyDescent="0.15">
      <c r="B12" s="4" t="s">
        <v>14</v>
      </c>
      <c r="C12" s="4" t="s">
        <v>15</v>
      </c>
    </row>
    <row r="13" spans="1:7" x14ac:dyDescent="0.15">
      <c r="B13" s="4" t="s">
        <v>4</v>
      </c>
      <c r="C13" s="4" t="s">
        <v>16</v>
      </c>
      <c r="E13" s="4" t="s">
        <v>17</v>
      </c>
    </row>
    <row r="14" spans="1:7" x14ac:dyDescent="0.15">
      <c r="F14" s="4" t="s">
        <v>18</v>
      </c>
    </row>
    <row r="15" spans="1:7" x14ac:dyDescent="0.15">
      <c r="G15" s="4" t="s">
        <v>19</v>
      </c>
    </row>
    <row r="16" spans="1:7" x14ac:dyDescent="0.15">
      <c r="G16" s="4" t="s">
        <v>20</v>
      </c>
    </row>
    <row r="17" spans="2:7" x14ac:dyDescent="0.15">
      <c r="F17" s="4" t="s">
        <v>21</v>
      </c>
    </row>
    <row r="18" spans="2:7" x14ac:dyDescent="0.15">
      <c r="G18" s="4" t="s">
        <v>22</v>
      </c>
    </row>
    <row r="19" spans="2:7" x14ac:dyDescent="0.15">
      <c r="G19" s="4" t="s">
        <v>23</v>
      </c>
    </row>
    <row r="20" spans="2:7" x14ac:dyDescent="0.15">
      <c r="G20" s="4" t="s">
        <v>24</v>
      </c>
    </row>
    <row r="21" spans="2:7" x14ac:dyDescent="0.15">
      <c r="G21" s="4" t="s">
        <v>25</v>
      </c>
    </row>
    <row r="22" spans="2:7" x14ac:dyDescent="0.15">
      <c r="G22" s="4" t="s">
        <v>26</v>
      </c>
    </row>
    <row r="23" spans="2:7" x14ac:dyDescent="0.15">
      <c r="G23" s="4" t="s">
        <v>27</v>
      </c>
    </row>
    <row r="24" spans="2:7" x14ac:dyDescent="0.15">
      <c r="G24" s="4" t="s">
        <v>28</v>
      </c>
    </row>
    <row r="26" spans="2:7" x14ac:dyDescent="0.15">
      <c r="B26" s="4" t="s">
        <v>14</v>
      </c>
      <c r="C26" s="4" t="s">
        <v>29</v>
      </c>
    </row>
    <row r="27" spans="2:7" x14ac:dyDescent="0.15">
      <c r="B27" s="4" t="s">
        <v>4</v>
      </c>
      <c r="C27" s="4" t="s">
        <v>30</v>
      </c>
      <c r="E27" s="4" t="s">
        <v>31</v>
      </c>
    </row>
    <row r="28" spans="2:7" x14ac:dyDescent="0.15">
      <c r="F28" s="4" t="s">
        <v>18</v>
      </c>
    </row>
    <row r="29" spans="2:7" x14ac:dyDescent="0.15">
      <c r="G29" s="4" t="s">
        <v>32</v>
      </c>
    </row>
    <row r="30" spans="2:7" x14ac:dyDescent="0.15">
      <c r="G30" s="4" t="s">
        <v>33</v>
      </c>
    </row>
    <row r="31" spans="2:7" x14ac:dyDescent="0.15">
      <c r="F31" s="4" t="s">
        <v>34</v>
      </c>
    </row>
    <row r="32" spans="2:7" x14ac:dyDescent="0.15">
      <c r="G32" s="4" t="s">
        <v>35</v>
      </c>
    </row>
    <row r="33" spans="2:7" x14ac:dyDescent="0.15">
      <c r="G33" s="4" t="s">
        <v>36</v>
      </c>
    </row>
    <row r="34" spans="2:7" x14ac:dyDescent="0.15">
      <c r="G34" s="4" t="s">
        <v>37</v>
      </c>
    </row>
    <row r="35" spans="2:7" x14ac:dyDescent="0.15">
      <c r="G35" s="4" t="s">
        <v>38</v>
      </c>
    </row>
    <row r="36" spans="2:7" x14ac:dyDescent="0.15">
      <c r="G36" s="4" t="s">
        <v>39</v>
      </c>
    </row>
    <row r="37" spans="2:7" x14ac:dyDescent="0.15">
      <c r="G37" s="4" t="s">
        <v>40</v>
      </c>
    </row>
    <row r="39" spans="2:7" x14ac:dyDescent="0.15">
      <c r="B39" s="4" t="s">
        <v>14</v>
      </c>
      <c r="C39" s="4" t="s">
        <v>41</v>
      </c>
    </row>
    <row r="40" spans="2:7" x14ac:dyDescent="0.15">
      <c r="B40" s="4" t="s">
        <v>4</v>
      </c>
      <c r="C40" s="4" t="s">
        <v>42</v>
      </c>
      <c r="E40" s="4" t="s">
        <v>43</v>
      </c>
    </row>
    <row r="41" spans="2:7" x14ac:dyDescent="0.15">
      <c r="F41" s="4" t="s">
        <v>18</v>
      </c>
    </row>
    <row r="42" spans="2:7" x14ac:dyDescent="0.15">
      <c r="G42" s="4" t="s">
        <v>44</v>
      </c>
    </row>
    <row r="43" spans="2:7" x14ac:dyDescent="0.15">
      <c r="G43" s="4" t="s">
        <v>45</v>
      </c>
    </row>
    <row r="44" spans="2:7" x14ac:dyDescent="0.15">
      <c r="F44" s="4" t="s">
        <v>46</v>
      </c>
    </row>
    <row r="45" spans="2:7" x14ac:dyDescent="0.15">
      <c r="G45" s="4" t="s">
        <v>47</v>
      </c>
    </row>
    <row r="46" spans="2:7" x14ac:dyDescent="0.15">
      <c r="G46" s="4" t="s">
        <v>48</v>
      </c>
    </row>
    <row r="47" spans="2:7" x14ac:dyDescent="0.15">
      <c r="G47" s="4" t="s">
        <v>49</v>
      </c>
    </row>
    <row r="48" spans="2:7" x14ac:dyDescent="0.15">
      <c r="G48" s="4" t="s">
        <v>50</v>
      </c>
    </row>
    <row r="51" spans="1:7" s="3" customFormat="1" x14ac:dyDescent="0.15">
      <c r="A51" s="5" t="s">
        <v>51</v>
      </c>
    </row>
    <row r="53" spans="1:7" x14ac:dyDescent="0.15">
      <c r="B53" s="4" t="s">
        <v>52</v>
      </c>
    </row>
    <row r="54" spans="1:7" x14ac:dyDescent="0.15">
      <c r="C54" s="4" t="s">
        <v>53</v>
      </c>
    </row>
    <row r="55" spans="1:7" x14ac:dyDescent="0.15">
      <c r="C55" s="4" t="s">
        <v>54</v>
      </c>
    </row>
    <row r="56" spans="1:7" x14ac:dyDescent="0.15">
      <c r="B56" s="4" t="s">
        <v>55</v>
      </c>
    </row>
    <row r="57" spans="1:7" x14ac:dyDescent="0.15">
      <c r="C57" s="4" t="s">
        <v>56</v>
      </c>
    </row>
    <row r="58" spans="1:7" x14ac:dyDescent="0.15">
      <c r="B58" s="4" t="s">
        <v>57</v>
      </c>
    </row>
    <row r="59" spans="1:7" x14ac:dyDescent="0.15">
      <c r="C59" s="4" t="s">
        <v>58</v>
      </c>
    </row>
    <row r="62" spans="1:7" s="3" customFormat="1" x14ac:dyDescent="0.15">
      <c r="A62" s="5" t="s">
        <v>185</v>
      </c>
    </row>
    <row r="64" spans="1:7" x14ac:dyDescent="0.15">
      <c r="B64" s="4" t="s">
        <v>188</v>
      </c>
      <c r="F64" s="4" t="s">
        <v>186</v>
      </c>
      <c r="G64" s="4" t="s">
        <v>218</v>
      </c>
    </row>
    <row r="65" spans="2:8" x14ac:dyDescent="0.15">
      <c r="C65" s="4" t="s">
        <v>192</v>
      </c>
      <c r="F65" s="4" t="s">
        <v>186</v>
      </c>
      <c r="G65" s="4" t="s">
        <v>199</v>
      </c>
    </row>
    <row r="66" spans="2:8" x14ac:dyDescent="0.15">
      <c r="H66" s="4" t="s">
        <v>200</v>
      </c>
    </row>
    <row r="67" spans="2:8" x14ac:dyDescent="0.15">
      <c r="H67" s="4" t="s">
        <v>201</v>
      </c>
    </row>
    <row r="68" spans="2:8" x14ac:dyDescent="0.15">
      <c r="B68" s="4" t="s">
        <v>187</v>
      </c>
      <c r="F68" s="4" t="s">
        <v>186</v>
      </c>
      <c r="G68" s="4" t="s">
        <v>219</v>
      </c>
    </row>
    <row r="69" spans="2:8" x14ac:dyDescent="0.15">
      <c r="C69" s="4" t="s">
        <v>191</v>
      </c>
      <c r="F69" s="4" t="s">
        <v>186</v>
      </c>
      <c r="G69" s="4" t="s">
        <v>202</v>
      </c>
    </row>
    <row r="70" spans="2:8" x14ac:dyDescent="0.15">
      <c r="H70" s="4" t="s">
        <v>203</v>
      </c>
    </row>
    <row r="71" spans="2:8" x14ac:dyDescent="0.15">
      <c r="H71" s="4" t="s">
        <v>204</v>
      </c>
    </row>
    <row r="72" spans="2:8" x14ac:dyDescent="0.15">
      <c r="B72" s="4" t="s">
        <v>189</v>
      </c>
      <c r="F72" s="4" t="s">
        <v>186</v>
      </c>
      <c r="G72" s="4" t="s">
        <v>190</v>
      </c>
    </row>
    <row r="73" spans="2:8" x14ac:dyDescent="0.15">
      <c r="C73" s="4" t="s">
        <v>193</v>
      </c>
      <c r="F73" s="4" t="s">
        <v>186</v>
      </c>
      <c r="G73" s="4" t="s">
        <v>205</v>
      </c>
    </row>
    <row r="74" spans="2:8" x14ac:dyDescent="0.15">
      <c r="H74" s="4" t="s">
        <v>206</v>
      </c>
    </row>
    <row r="75" spans="2:8" x14ac:dyDescent="0.15">
      <c r="H75" s="4" t="s">
        <v>207</v>
      </c>
    </row>
    <row r="76" spans="2:8" x14ac:dyDescent="0.15">
      <c r="B76" s="4" t="s">
        <v>195</v>
      </c>
      <c r="F76" s="4" t="s">
        <v>186</v>
      </c>
      <c r="G76" s="4" t="s">
        <v>196</v>
      </c>
    </row>
    <row r="77" spans="2:8" x14ac:dyDescent="0.15">
      <c r="C77" s="4" t="s">
        <v>194</v>
      </c>
      <c r="F77" s="4" t="s">
        <v>186</v>
      </c>
      <c r="G77" s="4" t="s">
        <v>208</v>
      </c>
    </row>
    <row r="78" spans="2:8" x14ac:dyDescent="0.15">
      <c r="H78" s="4" t="s">
        <v>209</v>
      </c>
    </row>
    <row r="79" spans="2:8" x14ac:dyDescent="0.15">
      <c r="H79" s="4" t="s">
        <v>210</v>
      </c>
    </row>
    <row r="80" spans="2:8" x14ac:dyDescent="0.15">
      <c r="C80" s="4" t="s">
        <v>198</v>
      </c>
      <c r="F80" s="4" t="s">
        <v>186</v>
      </c>
      <c r="G80" s="4" t="s">
        <v>211</v>
      </c>
    </row>
    <row r="81" spans="1:8" x14ac:dyDescent="0.15">
      <c r="H81" s="4" t="s">
        <v>212</v>
      </c>
    </row>
    <row r="82" spans="1:8" x14ac:dyDescent="0.15">
      <c r="H82" s="4" t="s">
        <v>213</v>
      </c>
    </row>
    <row r="83" spans="1:8" x14ac:dyDescent="0.15">
      <c r="C83" s="4" t="s">
        <v>197</v>
      </c>
      <c r="F83" s="4" t="s">
        <v>186</v>
      </c>
      <c r="G83" s="4" t="s">
        <v>214</v>
      </c>
    </row>
    <row r="84" spans="1:8" x14ac:dyDescent="0.15">
      <c r="H84" s="4" t="s">
        <v>215</v>
      </c>
    </row>
    <row r="85" spans="1:8" x14ac:dyDescent="0.15">
      <c r="H85" s="4" t="s">
        <v>216</v>
      </c>
    </row>
    <row r="88" spans="1:8" s="3" customFormat="1" x14ac:dyDescent="0.15">
      <c r="A88" s="5"/>
    </row>
  </sheetData>
  <phoneticPr fontId="12" type="noConversion"/>
  <pageMargins left="0.69930555555555596" right="0.69930555555555596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9" tint="0.79998168889431442"/>
  </sheetPr>
  <dimension ref="A1:G227"/>
  <sheetViews>
    <sheetView zoomScale="90" zoomScaleNormal="90" workbookViewId="0">
      <selection activeCell="F18" sqref="F18"/>
    </sheetView>
  </sheetViews>
  <sheetFormatPr defaultColWidth="9.125" defaultRowHeight="13.5" x14ac:dyDescent="0.15"/>
  <cols>
    <col min="1" max="16384" width="9.125" style="44"/>
  </cols>
  <sheetData>
    <row r="1" spans="1:7" s="45" customFormat="1" x14ac:dyDescent="0.15">
      <c r="A1" s="46" t="s">
        <v>274</v>
      </c>
    </row>
    <row r="3" spans="1:7" x14ac:dyDescent="0.15">
      <c r="B3" s="44" t="s">
        <v>273</v>
      </c>
    </row>
    <row r="4" spans="1:7" ht="14.25" thickBot="1" x14ac:dyDescent="0.2"/>
    <row r="5" spans="1:7" x14ac:dyDescent="0.15">
      <c r="B5" s="55" t="s">
        <v>272</v>
      </c>
      <c r="C5" s="54" t="s">
        <v>271</v>
      </c>
      <c r="D5" s="54" t="s">
        <v>270</v>
      </c>
      <c r="E5" s="54" t="s">
        <v>269</v>
      </c>
      <c r="F5" s="54" t="s">
        <v>268</v>
      </c>
      <c r="G5" s="53" t="s">
        <v>267</v>
      </c>
    </row>
    <row r="6" spans="1:7" x14ac:dyDescent="0.15">
      <c r="B6" s="52" t="s">
        <v>266</v>
      </c>
      <c r="C6" s="51" t="s">
        <v>265</v>
      </c>
      <c r="D6" s="51" t="s">
        <v>293</v>
      </c>
      <c r="E6" s="51" t="s">
        <v>294</v>
      </c>
      <c r="F6" s="51" t="s">
        <v>294</v>
      </c>
      <c r="G6" s="50" t="s">
        <v>294</v>
      </c>
    </row>
    <row r="7" spans="1:7" ht="14.25" thickBot="1" x14ac:dyDescent="0.2">
      <c r="B7" s="49" t="s">
        <v>264</v>
      </c>
      <c r="C7" s="48" t="s">
        <v>263</v>
      </c>
      <c r="D7" s="48" t="s">
        <v>262</v>
      </c>
      <c r="E7" s="48" t="s">
        <v>261</v>
      </c>
      <c r="F7" s="48" t="s">
        <v>261</v>
      </c>
      <c r="G7" s="47" t="s">
        <v>261</v>
      </c>
    </row>
    <row r="9" spans="1:7" x14ac:dyDescent="0.15">
      <c r="B9" s="44" t="s">
        <v>295</v>
      </c>
    </row>
    <row r="10" spans="1:7" x14ac:dyDescent="0.15">
      <c r="B10" s="44" t="s">
        <v>296</v>
      </c>
    </row>
    <row r="13" spans="1:7" s="45" customFormat="1" x14ac:dyDescent="0.15">
      <c r="A13" s="46" t="s">
        <v>260</v>
      </c>
    </row>
    <row r="15" spans="1:7" x14ac:dyDescent="0.15">
      <c r="B15" s="44">
        <v>1</v>
      </c>
      <c r="D15" s="44" t="s">
        <v>259</v>
      </c>
      <c r="F15" s="44" t="s">
        <v>611</v>
      </c>
    </row>
    <row r="16" spans="1:7" x14ac:dyDescent="0.15">
      <c r="B16" s="44">
        <v>2</v>
      </c>
      <c r="D16" s="44" t="s">
        <v>258</v>
      </c>
      <c r="F16" s="44" t="s">
        <v>612</v>
      </c>
    </row>
    <row r="17" spans="2:6" x14ac:dyDescent="0.15">
      <c r="B17" s="44">
        <v>3</v>
      </c>
      <c r="D17" s="44" t="s">
        <v>257</v>
      </c>
      <c r="F17" s="44" t="s">
        <v>753</v>
      </c>
    </row>
    <row r="18" spans="2:6" x14ac:dyDescent="0.15">
      <c r="B18" s="44">
        <v>4</v>
      </c>
      <c r="D18" s="44" t="s">
        <v>256</v>
      </c>
    </row>
    <row r="19" spans="2:6" x14ac:dyDescent="0.15">
      <c r="B19" s="44">
        <v>5</v>
      </c>
    </row>
    <row r="20" spans="2:6" x14ac:dyDescent="0.15">
      <c r="B20" s="44">
        <v>6</v>
      </c>
      <c r="D20" s="44" t="s">
        <v>255</v>
      </c>
      <c r="F20" s="44" t="s">
        <v>643</v>
      </c>
    </row>
    <row r="21" spans="2:6" x14ac:dyDescent="0.15">
      <c r="B21" s="44">
        <v>7</v>
      </c>
    </row>
    <row r="22" spans="2:6" x14ac:dyDescent="0.15">
      <c r="B22" s="44">
        <v>8</v>
      </c>
    </row>
    <row r="23" spans="2:6" x14ac:dyDescent="0.15">
      <c r="B23" s="44">
        <v>9</v>
      </c>
    </row>
    <row r="24" spans="2:6" x14ac:dyDescent="0.15">
      <c r="B24" s="44">
        <v>10</v>
      </c>
    </row>
    <row r="25" spans="2:6" x14ac:dyDescent="0.15">
      <c r="B25" s="44">
        <v>11</v>
      </c>
      <c r="D25" s="44" t="s">
        <v>1</v>
      </c>
    </row>
    <row r="26" spans="2:6" x14ac:dyDescent="0.15">
      <c r="B26" s="44">
        <v>12</v>
      </c>
      <c r="D26" s="44" t="s">
        <v>345</v>
      </c>
    </row>
    <row r="27" spans="2:6" x14ac:dyDescent="0.15">
      <c r="B27" s="44">
        <v>13</v>
      </c>
    </row>
    <row r="28" spans="2:6" x14ac:dyDescent="0.15">
      <c r="B28" s="44">
        <v>14</v>
      </c>
    </row>
    <row r="29" spans="2:6" x14ac:dyDescent="0.15">
      <c r="B29" s="44">
        <v>15</v>
      </c>
    </row>
    <row r="30" spans="2:6" x14ac:dyDescent="0.15">
      <c r="B30" s="44">
        <v>16</v>
      </c>
    </row>
    <row r="31" spans="2:6" x14ac:dyDescent="0.15">
      <c r="B31" s="44">
        <v>17</v>
      </c>
    </row>
    <row r="32" spans="2:6" x14ac:dyDescent="0.15">
      <c r="B32" s="44">
        <v>18</v>
      </c>
    </row>
    <row r="33" spans="2:4" x14ac:dyDescent="0.15">
      <c r="B33" s="44">
        <v>19</v>
      </c>
    </row>
    <row r="34" spans="2:4" x14ac:dyDescent="0.15">
      <c r="B34" s="44">
        <v>20</v>
      </c>
    </row>
    <row r="35" spans="2:4" x14ac:dyDescent="0.15">
      <c r="B35" s="44">
        <v>21</v>
      </c>
      <c r="D35" s="44" t="s">
        <v>350</v>
      </c>
    </row>
    <row r="36" spans="2:4" x14ac:dyDescent="0.15">
      <c r="B36" s="44">
        <v>22</v>
      </c>
      <c r="D36" s="44" t="s">
        <v>254</v>
      </c>
    </row>
    <row r="37" spans="2:4" x14ac:dyDescent="0.15">
      <c r="B37" s="44">
        <v>23</v>
      </c>
      <c r="D37" s="44" t="s">
        <v>349</v>
      </c>
    </row>
    <row r="38" spans="2:4" x14ac:dyDescent="0.15">
      <c r="B38" s="44">
        <v>24</v>
      </c>
    </row>
    <row r="39" spans="2:4" x14ac:dyDescent="0.15">
      <c r="B39" s="44">
        <v>25</v>
      </c>
    </row>
    <row r="40" spans="2:4" x14ac:dyDescent="0.15">
      <c r="B40" s="44">
        <v>26</v>
      </c>
    </row>
    <row r="41" spans="2:4" x14ac:dyDescent="0.15">
      <c r="B41" s="44">
        <v>27</v>
      </c>
    </row>
    <row r="42" spans="2:4" x14ac:dyDescent="0.15">
      <c r="B42" s="44">
        <v>28</v>
      </c>
    </row>
    <row r="43" spans="2:4" x14ac:dyDescent="0.15">
      <c r="B43" s="44">
        <v>29</v>
      </c>
    </row>
    <row r="44" spans="2:4" x14ac:dyDescent="0.15">
      <c r="B44" s="44">
        <v>30</v>
      </c>
    </row>
    <row r="45" spans="2:4" x14ac:dyDescent="0.15">
      <c r="B45" s="44">
        <v>31</v>
      </c>
      <c r="D45" s="44" t="s">
        <v>521</v>
      </c>
    </row>
    <row r="46" spans="2:4" x14ac:dyDescent="0.15">
      <c r="B46" s="44">
        <v>32</v>
      </c>
    </row>
    <row r="47" spans="2:4" x14ac:dyDescent="0.15">
      <c r="B47" s="44">
        <v>33</v>
      </c>
    </row>
    <row r="48" spans="2:4" x14ac:dyDescent="0.15">
      <c r="B48" s="44">
        <v>34</v>
      </c>
    </row>
    <row r="49" spans="2:2" x14ac:dyDescent="0.15">
      <c r="B49" s="44">
        <v>35</v>
      </c>
    </row>
    <row r="50" spans="2:2" x14ac:dyDescent="0.15">
      <c r="B50" s="44">
        <v>36</v>
      </c>
    </row>
    <row r="51" spans="2:2" x14ac:dyDescent="0.15">
      <c r="B51" s="44">
        <v>37</v>
      </c>
    </row>
    <row r="52" spans="2:2" x14ac:dyDescent="0.15">
      <c r="B52" s="44">
        <v>38</v>
      </c>
    </row>
    <row r="53" spans="2:2" x14ac:dyDescent="0.15">
      <c r="B53" s="44">
        <v>39</v>
      </c>
    </row>
    <row r="54" spans="2:2" x14ac:dyDescent="0.15">
      <c r="B54" s="44">
        <v>40</v>
      </c>
    </row>
    <row r="55" spans="2:2" x14ac:dyDescent="0.15">
      <c r="B55" s="44">
        <v>41</v>
      </c>
    </row>
    <row r="56" spans="2:2" x14ac:dyDescent="0.15">
      <c r="B56" s="44">
        <v>42</v>
      </c>
    </row>
    <row r="57" spans="2:2" x14ac:dyDescent="0.15">
      <c r="B57" s="44">
        <v>43</v>
      </c>
    </row>
    <row r="58" spans="2:2" x14ac:dyDescent="0.15">
      <c r="B58" s="44">
        <v>44</v>
      </c>
    </row>
    <row r="59" spans="2:2" x14ac:dyDescent="0.15">
      <c r="B59" s="44">
        <v>45</v>
      </c>
    </row>
    <row r="60" spans="2:2" x14ac:dyDescent="0.15">
      <c r="B60" s="44">
        <v>46</v>
      </c>
    </row>
    <row r="61" spans="2:2" x14ac:dyDescent="0.15">
      <c r="B61" s="44">
        <v>47</v>
      </c>
    </row>
    <row r="62" spans="2:2" x14ac:dyDescent="0.15">
      <c r="B62" s="44">
        <v>48</v>
      </c>
    </row>
    <row r="63" spans="2:2" x14ac:dyDescent="0.15">
      <c r="B63" s="44">
        <v>49</v>
      </c>
    </row>
    <row r="64" spans="2:2" x14ac:dyDescent="0.15">
      <c r="B64" s="44">
        <v>50</v>
      </c>
    </row>
    <row r="65" spans="2:2" x14ac:dyDescent="0.15">
      <c r="B65" s="44">
        <v>51</v>
      </c>
    </row>
    <row r="66" spans="2:2" x14ac:dyDescent="0.15">
      <c r="B66" s="44">
        <v>52</v>
      </c>
    </row>
    <row r="67" spans="2:2" x14ac:dyDescent="0.15">
      <c r="B67" s="44">
        <v>53</v>
      </c>
    </row>
    <row r="68" spans="2:2" x14ac:dyDescent="0.15">
      <c r="B68" s="44">
        <v>54</v>
      </c>
    </row>
    <row r="69" spans="2:2" x14ac:dyDescent="0.15">
      <c r="B69" s="44">
        <v>55</v>
      </c>
    </row>
    <row r="70" spans="2:2" x14ac:dyDescent="0.15">
      <c r="B70" s="44">
        <v>56</v>
      </c>
    </row>
    <row r="71" spans="2:2" x14ac:dyDescent="0.15">
      <c r="B71" s="44">
        <v>57</v>
      </c>
    </row>
    <row r="72" spans="2:2" x14ac:dyDescent="0.15">
      <c r="B72" s="44">
        <v>58</v>
      </c>
    </row>
    <row r="73" spans="2:2" x14ac:dyDescent="0.15">
      <c r="B73" s="44">
        <v>59</v>
      </c>
    </row>
    <row r="74" spans="2:2" x14ac:dyDescent="0.15">
      <c r="B74" s="44">
        <v>60</v>
      </c>
    </row>
    <row r="75" spans="2:2" x14ac:dyDescent="0.15">
      <c r="B75" s="44">
        <v>61</v>
      </c>
    </row>
    <row r="76" spans="2:2" x14ac:dyDescent="0.15">
      <c r="B76" s="44">
        <v>62</v>
      </c>
    </row>
    <row r="77" spans="2:2" x14ac:dyDescent="0.15">
      <c r="B77" s="44">
        <v>63</v>
      </c>
    </row>
    <row r="78" spans="2:2" x14ac:dyDescent="0.15">
      <c r="B78" s="44">
        <v>64</v>
      </c>
    </row>
    <row r="79" spans="2:2" x14ac:dyDescent="0.15">
      <c r="B79" s="44">
        <v>65</v>
      </c>
    </row>
    <row r="80" spans="2:2" x14ac:dyDescent="0.15">
      <c r="B80" s="44">
        <v>66</v>
      </c>
    </row>
    <row r="81" spans="2:2" x14ac:dyDescent="0.15">
      <c r="B81" s="44">
        <v>67</v>
      </c>
    </row>
    <row r="82" spans="2:2" x14ac:dyDescent="0.15">
      <c r="B82" s="44">
        <v>68</v>
      </c>
    </row>
    <row r="83" spans="2:2" x14ac:dyDescent="0.15">
      <c r="B83" s="44">
        <v>69</v>
      </c>
    </row>
    <row r="84" spans="2:2" x14ac:dyDescent="0.15">
      <c r="B84" s="44">
        <v>70</v>
      </c>
    </row>
    <row r="85" spans="2:2" x14ac:dyDescent="0.15">
      <c r="B85" s="44">
        <v>71</v>
      </c>
    </row>
    <row r="86" spans="2:2" x14ac:dyDescent="0.15">
      <c r="B86" s="44">
        <v>72</v>
      </c>
    </row>
    <row r="87" spans="2:2" x14ac:dyDescent="0.15">
      <c r="B87" s="44">
        <v>73</v>
      </c>
    </row>
    <row r="88" spans="2:2" x14ac:dyDescent="0.15">
      <c r="B88" s="44">
        <v>74</v>
      </c>
    </row>
    <row r="89" spans="2:2" x14ac:dyDescent="0.15">
      <c r="B89" s="44">
        <v>75</v>
      </c>
    </row>
    <row r="90" spans="2:2" x14ac:dyDescent="0.15">
      <c r="B90" s="44">
        <v>76</v>
      </c>
    </row>
    <row r="91" spans="2:2" x14ac:dyDescent="0.15">
      <c r="B91" s="44">
        <v>77</v>
      </c>
    </row>
    <row r="92" spans="2:2" x14ac:dyDescent="0.15">
      <c r="B92" s="44">
        <v>78</v>
      </c>
    </row>
    <row r="93" spans="2:2" x14ac:dyDescent="0.15">
      <c r="B93" s="44">
        <v>79</v>
      </c>
    </row>
    <row r="94" spans="2:2" x14ac:dyDescent="0.15">
      <c r="B94" s="44">
        <v>80</v>
      </c>
    </row>
    <row r="95" spans="2:2" x14ac:dyDescent="0.15">
      <c r="B95" s="44">
        <v>81</v>
      </c>
    </row>
    <row r="96" spans="2:2" x14ac:dyDescent="0.15">
      <c r="B96" s="44">
        <v>82</v>
      </c>
    </row>
    <row r="97" spans="2:2" x14ac:dyDescent="0.15">
      <c r="B97" s="44">
        <v>83</v>
      </c>
    </row>
    <row r="98" spans="2:2" x14ac:dyDescent="0.15">
      <c r="B98" s="44">
        <v>84</v>
      </c>
    </row>
    <row r="99" spans="2:2" x14ac:dyDescent="0.15">
      <c r="B99" s="44">
        <v>85</v>
      </c>
    </row>
    <row r="100" spans="2:2" x14ac:dyDescent="0.15">
      <c r="B100" s="44">
        <v>86</v>
      </c>
    </row>
    <row r="101" spans="2:2" x14ac:dyDescent="0.15">
      <c r="B101" s="44">
        <v>87</v>
      </c>
    </row>
    <row r="102" spans="2:2" x14ac:dyDescent="0.15">
      <c r="B102" s="44">
        <v>88</v>
      </c>
    </row>
    <row r="103" spans="2:2" x14ac:dyDescent="0.15">
      <c r="B103" s="44">
        <v>89</v>
      </c>
    </row>
    <row r="104" spans="2:2" x14ac:dyDescent="0.15">
      <c r="B104" s="44">
        <v>90</v>
      </c>
    </row>
    <row r="105" spans="2:2" x14ac:dyDescent="0.15">
      <c r="B105" s="44">
        <v>91</v>
      </c>
    </row>
    <row r="106" spans="2:2" x14ac:dyDescent="0.15">
      <c r="B106" s="44">
        <v>92</v>
      </c>
    </row>
    <row r="107" spans="2:2" x14ac:dyDescent="0.15">
      <c r="B107" s="44">
        <v>93</v>
      </c>
    </row>
    <row r="108" spans="2:2" x14ac:dyDescent="0.15">
      <c r="B108" s="44">
        <v>94</v>
      </c>
    </row>
    <row r="109" spans="2:2" x14ac:dyDescent="0.15">
      <c r="B109" s="44">
        <v>95</v>
      </c>
    </row>
    <row r="110" spans="2:2" x14ac:dyDescent="0.15">
      <c r="B110" s="44">
        <v>96</v>
      </c>
    </row>
    <row r="111" spans="2:2" x14ac:dyDescent="0.15">
      <c r="B111" s="44">
        <v>97</v>
      </c>
    </row>
    <row r="112" spans="2:2" x14ac:dyDescent="0.15">
      <c r="B112" s="44">
        <v>98</v>
      </c>
    </row>
    <row r="113" spans="2:2" x14ac:dyDescent="0.15">
      <c r="B113" s="44">
        <v>99</v>
      </c>
    </row>
    <row r="114" spans="2:2" x14ac:dyDescent="0.15">
      <c r="B114" s="44">
        <v>100</v>
      </c>
    </row>
    <row r="115" spans="2:2" x14ac:dyDescent="0.15">
      <c r="B115" s="44">
        <v>101</v>
      </c>
    </row>
    <row r="116" spans="2:2" x14ac:dyDescent="0.15">
      <c r="B116" s="44">
        <v>102</v>
      </c>
    </row>
    <row r="117" spans="2:2" x14ac:dyDescent="0.15">
      <c r="B117" s="44">
        <v>103</v>
      </c>
    </row>
    <row r="118" spans="2:2" x14ac:dyDescent="0.15">
      <c r="B118" s="44">
        <v>104</v>
      </c>
    </row>
    <row r="119" spans="2:2" x14ac:dyDescent="0.15">
      <c r="B119" s="44">
        <v>105</v>
      </c>
    </row>
    <row r="120" spans="2:2" x14ac:dyDescent="0.15">
      <c r="B120" s="44">
        <v>106</v>
      </c>
    </row>
    <row r="121" spans="2:2" x14ac:dyDescent="0.15">
      <c r="B121" s="44">
        <v>107</v>
      </c>
    </row>
    <row r="122" spans="2:2" x14ac:dyDescent="0.15">
      <c r="B122" s="44">
        <v>108</v>
      </c>
    </row>
    <row r="123" spans="2:2" x14ac:dyDescent="0.15">
      <c r="B123" s="44">
        <v>109</v>
      </c>
    </row>
    <row r="124" spans="2:2" x14ac:dyDescent="0.15">
      <c r="B124" s="44">
        <v>110</v>
      </c>
    </row>
    <row r="125" spans="2:2" x14ac:dyDescent="0.15">
      <c r="B125" s="44">
        <v>111</v>
      </c>
    </row>
    <row r="126" spans="2:2" x14ac:dyDescent="0.15">
      <c r="B126" s="44">
        <v>112</v>
      </c>
    </row>
    <row r="127" spans="2:2" x14ac:dyDescent="0.15">
      <c r="B127" s="44">
        <v>113</v>
      </c>
    </row>
    <row r="128" spans="2:2" x14ac:dyDescent="0.15">
      <c r="B128" s="44">
        <v>114</v>
      </c>
    </row>
    <row r="129" spans="2:2" x14ac:dyDescent="0.15">
      <c r="B129" s="44">
        <v>115</v>
      </c>
    </row>
    <row r="130" spans="2:2" x14ac:dyDescent="0.15">
      <c r="B130" s="44">
        <v>116</v>
      </c>
    </row>
    <row r="131" spans="2:2" x14ac:dyDescent="0.15">
      <c r="B131" s="44">
        <v>117</v>
      </c>
    </row>
    <row r="132" spans="2:2" x14ac:dyDescent="0.15">
      <c r="B132" s="44">
        <v>118</v>
      </c>
    </row>
    <row r="133" spans="2:2" x14ac:dyDescent="0.15">
      <c r="B133" s="44">
        <v>119</v>
      </c>
    </row>
    <row r="134" spans="2:2" x14ac:dyDescent="0.15">
      <c r="B134" s="44">
        <v>120</v>
      </c>
    </row>
    <row r="135" spans="2:2" x14ac:dyDescent="0.15">
      <c r="B135" s="44">
        <v>121</v>
      </c>
    </row>
    <row r="136" spans="2:2" x14ac:dyDescent="0.15">
      <c r="B136" s="44">
        <v>122</v>
      </c>
    </row>
    <row r="137" spans="2:2" x14ac:dyDescent="0.15">
      <c r="B137" s="44">
        <v>123</v>
      </c>
    </row>
    <row r="138" spans="2:2" x14ac:dyDescent="0.15">
      <c r="B138" s="44">
        <v>124</v>
      </c>
    </row>
    <row r="139" spans="2:2" x14ac:dyDescent="0.15">
      <c r="B139" s="44">
        <v>125</v>
      </c>
    </row>
    <row r="140" spans="2:2" x14ac:dyDescent="0.15">
      <c r="B140" s="44">
        <v>126</v>
      </c>
    </row>
    <row r="141" spans="2:2" x14ac:dyDescent="0.15">
      <c r="B141" s="44">
        <v>127</v>
      </c>
    </row>
    <row r="142" spans="2:2" x14ac:dyDescent="0.15">
      <c r="B142" s="44">
        <v>128</v>
      </c>
    </row>
    <row r="143" spans="2:2" x14ac:dyDescent="0.15">
      <c r="B143" s="44">
        <v>129</v>
      </c>
    </row>
    <row r="144" spans="2:2" x14ac:dyDescent="0.15">
      <c r="B144" s="44">
        <v>130</v>
      </c>
    </row>
    <row r="145" spans="2:2" x14ac:dyDescent="0.15">
      <c r="B145" s="44">
        <v>131</v>
      </c>
    </row>
    <row r="146" spans="2:2" x14ac:dyDescent="0.15">
      <c r="B146" s="44">
        <v>132</v>
      </c>
    </row>
    <row r="147" spans="2:2" x14ac:dyDescent="0.15">
      <c r="B147" s="44">
        <v>133</v>
      </c>
    </row>
    <row r="148" spans="2:2" x14ac:dyDescent="0.15">
      <c r="B148" s="44">
        <v>134</v>
      </c>
    </row>
    <row r="149" spans="2:2" x14ac:dyDescent="0.15">
      <c r="B149" s="44">
        <v>135</v>
      </c>
    </row>
    <row r="150" spans="2:2" x14ac:dyDescent="0.15">
      <c r="B150" s="44">
        <v>136</v>
      </c>
    </row>
    <row r="151" spans="2:2" x14ac:dyDescent="0.15">
      <c r="B151" s="44">
        <v>137</v>
      </c>
    </row>
    <row r="152" spans="2:2" x14ac:dyDescent="0.15">
      <c r="B152" s="44">
        <v>138</v>
      </c>
    </row>
    <row r="153" spans="2:2" x14ac:dyDescent="0.15">
      <c r="B153" s="44">
        <v>139</v>
      </c>
    </row>
    <row r="154" spans="2:2" x14ac:dyDescent="0.15">
      <c r="B154" s="44">
        <v>140</v>
      </c>
    </row>
    <row r="155" spans="2:2" x14ac:dyDescent="0.15">
      <c r="B155" s="44">
        <v>141</v>
      </c>
    </row>
    <row r="156" spans="2:2" x14ac:dyDescent="0.15">
      <c r="B156" s="44">
        <v>142</v>
      </c>
    </row>
    <row r="157" spans="2:2" x14ac:dyDescent="0.15">
      <c r="B157" s="44">
        <v>143</v>
      </c>
    </row>
    <row r="158" spans="2:2" x14ac:dyDescent="0.15">
      <c r="B158" s="44">
        <v>144</v>
      </c>
    </row>
    <row r="159" spans="2:2" x14ac:dyDescent="0.15">
      <c r="B159" s="44">
        <v>145</v>
      </c>
    </row>
    <row r="160" spans="2:2" x14ac:dyDescent="0.15">
      <c r="B160" s="44">
        <v>146</v>
      </c>
    </row>
    <row r="161" spans="2:2" x14ac:dyDescent="0.15">
      <c r="B161" s="44">
        <v>147</v>
      </c>
    </row>
    <row r="162" spans="2:2" x14ac:dyDescent="0.15">
      <c r="B162" s="44">
        <v>148</v>
      </c>
    </row>
    <row r="163" spans="2:2" x14ac:dyDescent="0.15">
      <c r="B163" s="44">
        <v>149</v>
      </c>
    </row>
    <row r="164" spans="2:2" x14ac:dyDescent="0.15">
      <c r="B164" s="44">
        <v>150</v>
      </c>
    </row>
    <row r="165" spans="2:2" x14ac:dyDescent="0.15">
      <c r="B165" s="44">
        <v>151</v>
      </c>
    </row>
    <row r="166" spans="2:2" x14ac:dyDescent="0.15">
      <c r="B166" s="44">
        <v>152</v>
      </c>
    </row>
    <row r="167" spans="2:2" x14ac:dyDescent="0.15">
      <c r="B167" s="44">
        <v>153</v>
      </c>
    </row>
    <row r="168" spans="2:2" x14ac:dyDescent="0.15">
      <c r="B168" s="44">
        <v>154</v>
      </c>
    </row>
    <row r="169" spans="2:2" x14ac:dyDescent="0.15">
      <c r="B169" s="44">
        <v>155</v>
      </c>
    </row>
    <row r="170" spans="2:2" x14ac:dyDescent="0.15">
      <c r="B170" s="44">
        <v>156</v>
      </c>
    </row>
    <row r="171" spans="2:2" x14ac:dyDescent="0.15">
      <c r="B171" s="44">
        <v>157</v>
      </c>
    </row>
    <row r="172" spans="2:2" x14ac:dyDescent="0.15">
      <c r="B172" s="44">
        <v>158</v>
      </c>
    </row>
    <row r="173" spans="2:2" x14ac:dyDescent="0.15">
      <c r="B173" s="44">
        <v>159</v>
      </c>
    </row>
    <row r="174" spans="2:2" x14ac:dyDescent="0.15">
      <c r="B174" s="44">
        <v>160</v>
      </c>
    </row>
    <row r="175" spans="2:2" x14ac:dyDescent="0.15">
      <c r="B175" s="44">
        <v>161</v>
      </c>
    </row>
    <row r="176" spans="2:2" x14ac:dyDescent="0.15">
      <c r="B176" s="44">
        <v>162</v>
      </c>
    </row>
    <row r="177" spans="2:2" x14ac:dyDescent="0.15">
      <c r="B177" s="44">
        <v>163</v>
      </c>
    </row>
    <row r="178" spans="2:2" x14ac:dyDescent="0.15">
      <c r="B178" s="44">
        <v>164</v>
      </c>
    </row>
    <row r="179" spans="2:2" x14ac:dyDescent="0.15">
      <c r="B179" s="44">
        <v>165</v>
      </c>
    </row>
    <row r="180" spans="2:2" x14ac:dyDescent="0.15">
      <c r="B180" s="44">
        <v>166</v>
      </c>
    </row>
    <row r="181" spans="2:2" x14ac:dyDescent="0.15">
      <c r="B181" s="44">
        <v>167</v>
      </c>
    </row>
    <row r="182" spans="2:2" x14ac:dyDescent="0.15">
      <c r="B182" s="44">
        <v>168</v>
      </c>
    </row>
    <row r="183" spans="2:2" x14ac:dyDescent="0.15">
      <c r="B183" s="44">
        <v>169</v>
      </c>
    </row>
    <row r="184" spans="2:2" x14ac:dyDescent="0.15">
      <c r="B184" s="44">
        <v>170</v>
      </c>
    </row>
    <row r="185" spans="2:2" x14ac:dyDescent="0.15">
      <c r="B185" s="44">
        <v>171</v>
      </c>
    </row>
    <row r="186" spans="2:2" x14ac:dyDescent="0.15">
      <c r="B186" s="44">
        <v>172</v>
      </c>
    </row>
    <row r="187" spans="2:2" x14ac:dyDescent="0.15">
      <c r="B187" s="44">
        <v>173</v>
      </c>
    </row>
    <row r="188" spans="2:2" x14ac:dyDescent="0.15">
      <c r="B188" s="44">
        <v>174</v>
      </c>
    </row>
    <row r="189" spans="2:2" x14ac:dyDescent="0.15">
      <c r="B189" s="44">
        <v>175</v>
      </c>
    </row>
    <row r="190" spans="2:2" x14ac:dyDescent="0.15">
      <c r="B190" s="44">
        <v>176</v>
      </c>
    </row>
    <row r="191" spans="2:2" x14ac:dyDescent="0.15">
      <c r="B191" s="44">
        <v>177</v>
      </c>
    </row>
    <row r="192" spans="2:2" x14ac:dyDescent="0.15">
      <c r="B192" s="44">
        <v>178</v>
      </c>
    </row>
    <row r="193" spans="2:2" x14ac:dyDescent="0.15">
      <c r="B193" s="44">
        <v>179</v>
      </c>
    </row>
    <row r="194" spans="2:2" x14ac:dyDescent="0.15">
      <c r="B194" s="44">
        <v>180</v>
      </c>
    </row>
    <row r="195" spans="2:2" x14ac:dyDescent="0.15">
      <c r="B195" s="44">
        <v>181</v>
      </c>
    </row>
    <row r="196" spans="2:2" x14ac:dyDescent="0.15">
      <c r="B196" s="44">
        <v>182</v>
      </c>
    </row>
    <row r="197" spans="2:2" x14ac:dyDescent="0.15">
      <c r="B197" s="44">
        <v>183</v>
      </c>
    </row>
    <row r="198" spans="2:2" x14ac:dyDescent="0.15">
      <c r="B198" s="44">
        <v>184</v>
      </c>
    </row>
    <row r="199" spans="2:2" x14ac:dyDescent="0.15">
      <c r="B199" s="44">
        <v>185</v>
      </c>
    </row>
    <row r="200" spans="2:2" x14ac:dyDescent="0.15">
      <c r="B200" s="44">
        <v>186</v>
      </c>
    </row>
    <row r="201" spans="2:2" x14ac:dyDescent="0.15">
      <c r="B201" s="44">
        <v>187</v>
      </c>
    </row>
    <row r="202" spans="2:2" x14ac:dyDescent="0.15">
      <c r="B202" s="44">
        <v>188</v>
      </c>
    </row>
    <row r="203" spans="2:2" x14ac:dyDescent="0.15">
      <c r="B203" s="44">
        <v>189</v>
      </c>
    </row>
    <row r="204" spans="2:2" x14ac:dyDescent="0.15">
      <c r="B204" s="44">
        <v>190</v>
      </c>
    </row>
    <row r="205" spans="2:2" x14ac:dyDescent="0.15">
      <c r="B205" s="44">
        <v>191</v>
      </c>
    </row>
    <row r="206" spans="2:2" x14ac:dyDescent="0.15">
      <c r="B206" s="44">
        <v>192</v>
      </c>
    </row>
    <row r="207" spans="2:2" x14ac:dyDescent="0.15">
      <c r="B207" s="44">
        <v>193</v>
      </c>
    </row>
    <row r="208" spans="2:2" x14ac:dyDescent="0.15">
      <c r="B208" s="44">
        <v>194</v>
      </c>
    </row>
    <row r="209" spans="2:2" x14ac:dyDescent="0.15">
      <c r="B209" s="44">
        <v>195</v>
      </c>
    </row>
    <row r="210" spans="2:2" x14ac:dyDescent="0.15">
      <c r="B210" s="44">
        <v>196</v>
      </c>
    </row>
    <row r="211" spans="2:2" x14ac:dyDescent="0.15">
      <c r="B211" s="44">
        <v>197</v>
      </c>
    </row>
    <row r="212" spans="2:2" x14ac:dyDescent="0.15">
      <c r="B212" s="44">
        <v>198</v>
      </c>
    </row>
    <row r="213" spans="2:2" x14ac:dyDescent="0.15">
      <c r="B213" s="44">
        <v>199</v>
      </c>
    </row>
    <row r="214" spans="2:2" x14ac:dyDescent="0.15">
      <c r="B214" s="44">
        <v>200</v>
      </c>
    </row>
    <row r="215" spans="2:2" x14ac:dyDescent="0.15">
      <c r="B215" s="44">
        <v>201</v>
      </c>
    </row>
    <row r="216" spans="2:2" x14ac:dyDescent="0.15">
      <c r="B216" s="44">
        <v>202</v>
      </c>
    </row>
    <row r="217" spans="2:2" x14ac:dyDescent="0.15">
      <c r="B217" s="44">
        <v>203</v>
      </c>
    </row>
    <row r="218" spans="2:2" x14ac:dyDescent="0.15">
      <c r="B218" s="44">
        <v>204</v>
      </c>
    </row>
    <row r="219" spans="2:2" x14ac:dyDescent="0.15">
      <c r="B219" s="44">
        <v>205</v>
      </c>
    </row>
    <row r="220" spans="2:2" x14ac:dyDescent="0.15">
      <c r="B220" s="44">
        <v>206</v>
      </c>
    </row>
    <row r="221" spans="2:2" x14ac:dyDescent="0.15">
      <c r="B221" s="44">
        <v>207</v>
      </c>
    </row>
    <row r="222" spans="2:2" x14ac:dyDescent="0.15">
      <c r="B222" s="44">
        <v>208</v>
      </c>
    </row>
    <row r="223" spans="2:2" x14ac:dyDescent="0.15">
      <c r="B223" s="44">
        <v>209</v>
      </c>
    </row>
    <row r="224" spans="2:2" x14ac:dyDescent="0.15">
      <c r="B224" s="44">
        <v>210</v>
      </c>
    </row>
    <row r="225" spans="2:2" x14ac:dyDescent="0.15">
      <c r="B225" s="44">
        <v>211</v>
      </c>
    </row>
    <row r="226" spans="2:2" x14ac:dyDescent="0.15">
      <c r="B226" s="44">
        <v>212</v>
      </c>
    </row>
    <row r="227" spans="2:2" x14ac:dyDescent="0.15">
      <c r="B227" s="44">
        <v>213</v>
      </c>
    </row>
  </sheetData>
  <phoneticPr fontId="12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79998168889431442"/>
  </sheetPr>
  <dimension ref="A1:I83"/>
  <sheetViews>
    <sheetView zoomScale="90" zoomScaleNormal="90" workbookViewId="0">
      <selection activeCell="B28" sqref="B28:B50"/>
    </sheetView>
  </sheetViews>
  <sheetFormatPr defaultColWidth="9.125" defaultRowHeight="13.5" x14ac:dyDescent="0.15"/>
  <cols>
    <col min="1" max="16384" width="9.125" style="41"/>
  </cols>
  <sheetData>
    <row r="1" spans="1:9" s="42" customFormat="1" x14ac:dyDescent="0.15">
      <c r="A1" s="42" t="s">
        <v>65</v>
      </c>
    </row>
    <row r="2" spans="1:9" s="4" customFormat="1" x14ac:dyDescent="0.15"/>
    <row r="3" spans="1:9" s="6" customFormat="1" x14ac:dyDescent="0.15">
      <c r="B3" s="6" t="s">
        <v>182</v>
      </c>
      <c r="D3" s="6" t="s">
        <v>183</v>
      </c>
      <c r="G3" s="6" t="s">
        <v>184</v>
      </c>
    </row>
    <row r="4" spans="1:9" s="4" customFormat="1" x14ac:dyDescent="0.15">
      <c r="B4" s="4" t="s">
        <v>67</v>
      </c>
      <c r="D4" s="4" t="s">
        <v>105</v>
      </c>
      <c r="G4" s="4" t="s">
        <v>105</v>
      </c>
    </row>
    <row r="5" spans="1:9" s="4" customFormat="1" x14ac:dyDescent="0.15">
      <c r="B5" s="4" t="s">
        <v>66</v>
      </c>
      <c r="D5" s="4" t="s">
        <v>107</v>
      </c>
      <c r="G5" s="4" t="s">
        <v>108</v>
      </c>
    </row>
    <row r="6" spans="1:9" s="4" customFormat="1" x14ac:dyDescent="0.15">
      <c r="B6" s="4" t="s">
        <v>72</v>
      </c>
      <c r="D6" s="4" t="s">
        <v>95</v>
      </c>
      <c r="G6" s="4" t="s">
        <v>73</v>
      </c>
    </row>
    <row r="7" spans="1:9" s="4" customFormat="1" x14ac:dyDescent="0.15">
      <c r="B7" s="4" t="s">
        <v>68</v>
      </c>
      <c r="D7" s="4" t="s">
        <v>109</v>
      </c>
      <c r="G7" s="4" t="s">
        <v>109</v>
      </c>
    </row>
    <row r="8" spans="1:9" s="4" customFormat="1" x14ac:dyDescent="0.15">
      <c r="B8" s="4" t="s">
        <v>69</v>
      </c>
      <c r="D8" s="4" t="s">
        <v>70</v>
      </c>
      <c r="G8" s="4" t="s">
        <v>70</v>
      </c>
    </row>
    <row r="9" spans="1:9" s="4" customFormat="1" x14ac:dyDescent="0.15">
      <c r="B9" s="4" t="s">
        <v>71</v>
      </c>
      <c r="D9" s="4" t="s">
        <v>106</v>
      </c>
      <c r="G9" s="4" t="s">
        <v>125</v>
      </c>
    </row>
    <row r="10" spans="1:9" s="4" customFormat="1" x14ac:dyDescent="0.15">
      <c r="B10" s="4" t="s">
        <v>307</v>
      </c>
      <c r="D10" s="4" t="s">
        <v>308</v>
      </c>
      <c r="G10" s="4" t="s">
        <v>309</v>
      </c>
    </row>
    <row r="11" spans="1:9" s="4" customFormat="1" x14ac:dyDescent="0.15">
      <c r="B11" s="4" t="s">
        <v>74</v>
      </c>
      <c r="D11" s="4" t="s">
        <v>220</v>
      </c>
      <c r="G11" s="4" t="s">
        <v>110</v>
      </c>
    </row>
    <row r="12" spans="1:9" s="4" customFormat="1" x14ac:dyDescent="0.15">
      <c r="B12" s="4" t="s">
        <v>76</v>
      </c>
      <c r="D12" s="4" t="s">
        <v>94</v>
      </c>
      <c r="G12" s="4" t="s">
        <v>75</v>
      </c>
    </row>
    <row r="13" spans="1:9" s="4" customFormat="1" x14ac:dyDescent="0.15">
      <c r="B13" s="4" t="s">
        <v>82</v>
      </c>
      <c r="D13" s="4" t="s">
        <v>111</v>
      </c>
      <c r="G13" s="4" t="s">
        <v>113</v>
      </c>
      <c r="I13" s="4" t="s">
        <v>124</v>
      </c>
    </row>
    <row r="14" spans="1:9" s="4" customFormat="1" x14ac:dyDescent="0.15">
      <c r="B14" s="4" t="s">
        <v>83</v>
      </c>
      <c r="D14" s="4" t="s">
        <v>112</v>
      </c>
      <c r="G14" s="4" t="s">
        <v>84</v>
      </c>
    </row>
    <row r="15" spans="1:9" s="4" customFormat="1" x14ac:dyDescent="0.15">
      <c r="B15" s="4" t="s">
        <v>79</v>
      </c>
      <c r="D15" s="4" t="s">
        <v>80</v>
      </c>
      <c r="G15" s="4" t="s">
        <v>81</v>
      </c>
    </row>
    <row r="16" spans="1:9" s="4" customFormat="1" x14ac:dyDescent="0.15">
      <c r="B16" s="4" t="s">
        <v>77</v>
      </c>
      <c r="D16" s="4" t="s">
        <v>93</v>
      </c>
      <c r="G16" s="4" t="s">
        <v>78</v>
      </c>
    </row>
    <row r="17" spans="2:7" s="4" customFormat="1" x14ac:dyDescent="0.15">
      <c r="B17" s="4" t="s">
        <v>85</v>
      </c>
      <c r="D17" s="4" t="s">
        <v>92</v>
      </c>
      <c r="G17" s="4" t="s">
        <v>86</v>
      </c>
    </row>
    <row r="18" spans="2:7" s="4" customFormat="1" x14ac:dyDescent="0.15">
      <c r="B18" s="4" t="s">
        <v>87</v>
      </c>
      <c r="D18" s="4" t="s">
        <v>88</v>
      </c>
      <c r="G18" s="4" t="s">
        <v>89</v>
      </c>
    </row>
    <row r="19" spans="2:7" s="4" customFormat="1" x14ac:dyDescent="0.15"/>
    <row r="20" spans="2:7" s="4" customFormat="1" x14ac:dyDescent="0.15">
      <c r="B20" s="4" t="s">
        <v>90</v>
      </c>
      <c r="D20" s="4" t="s">
        <v>91</v>
      </c>
      <c r="G20" s="4" t="s">
        <v>99</v>
      </c>
    </row>
    <row r="21" spans="2:7" s="4" customFormat="1" x14ac:dyDescent="0.15">
      <c r="B21" s="4" t="s">
        <v>98</v>
      </c>
      <c r="D21" s="4" t="s">
        <v>96</v>
      </c>
      <c r="G21" s="4" t="s">
        <v>97</v>
      </c>
    </row>
    <row r="22" spans="2:7" s="4" customFormat="1" x14ac:dyDescent="0.15">
      <c r="B22" s="4" t="s">
        <v>100</v>
      </c>
      <c r="D22" s="4" t="s">
        <v>101</v>
      </c>
      <c r="G22" s="4" t="s">
        <v>102</v>
      </c>
    </row>
    <row r="23" spans="2:7" s="4" customFormat="1" x14ac:dyDescent="0.15">
      <c r="B23" s="4" t="s">
        <v>103</v>
      </c>
      <c r="D23" s="4" t="s">
        <v>114</v>
      </c>
      <c r="G23" s="4" t="s">
        <v>115</v>
      </c>
    </row>
    <row r="24" spans="2:7" s="4" customFormat="1" x14ac:dyDescent="0.15">
      <c r="B24" s="4" t="s">
        <v>127</v>
      </c>
      <c r="D24" s="4" t="s">
        <v>134</v>
      </c>
      <c r="G24" s="4" t="s">
        <v>130</v>
      </c>
    </row>
    <row r="25" spans="2:7" s="4" customFormat="1" x14ac:dyDescent="0.15">
      <c r="B25" s="4" t="s">
        <v>128</v>
      </c>
      <c r="D25" s="4" t="s">
        <v>131</v>
      </c>
      <c r="G25" s="4" t="s">
        <v>137</v>
      </c>
    </row>
    <row r="26" spans="2:7" s="4" customFormat="1" x14ac:dyDescent="0.15">
      <c r="B26" s="4" t="s">
        <v>126</v>
      </c>
      <c r="D26" s="4" t="s">
        <v>132</v>
      </c>
      <c r="G26" s="4" t="s">
        <v>133</v>
      </c>
    </row>
    <row r="27" spans="2:7" s="4" customFormat="1" x14ac:dyDescent="0.15">
      <c r="B27" s="4" t="s">
        <v>129</v>
      </c>
      <c r="D27" s="4" t="s">
        <v>135</v>
      </c>
      <c r="G27" s="4" t="s">
        <v>136</v>
      </c>
    </row>
    <row r="28" spans="2:7" s="4" customFormat="1" x14ac:dyDescent="0.15">
      <c r="B28" s="4" t="s">
        <v>138</v>
      </c>
      <c r="D28" s="4" t="s">
        <v>119</v>
      </c>
      <c r="G28" s="4" t="s">
        <v>120</v>
      </c>
    </row>
    <row r="29" spans="2:7" s="4" customFormat="1" x14ac:dyDescent="0.15">
      <c r="B29" s="4" t="s">
        <v>116</v>
      </c>
      <c r="D29" s="4" t="s">
        <v>117</v>
      </c>
      <c r="G29" s="4" t="s">
        <v>121</v>
      </c>
    </row>
    <row r="30" spans="2:7" s="4" customFormat="1" x14ac:dyDescent="0.15">
      <c r="B30" s="4" t="s">
        <v>139</v>
      </c>
      <c r="D30" s="4" t="s">
        <v>331</v>
      </c>
      <c r="G30" s="4" t="s">
        <v>332</v>
      </c>
    </row>
    <row r="31" spans="2:7" s="4" customFormat="1" x14ac:dyDescent="0.15">
      <c r="B31" s="4" t="s">
        <v>140</v>
      </c>
      <c r="D31" s="4" t="s">
        <v>330</v>
      </c>
      <c r="G31" s="4" t="s">
        <v>333</v>
      </c>
    </row>
    <row r="32" spans="2:7" s="4" customFormat="1" x14ac:dyDescent="0.15">
      <c r="B32" s="4" t="s">
        <v>329</v>
      </c>
      <c r="D32" s="4" t="s">
        <v>327</v>
      </c>
      <c r="G32" s="4" t="s">
        <v>328</v>
      </c>
    </row>
    <row r="33" spans="2:7" s="4" customFormat="1" x14ac:dyDescent="0.15">
      <c r="B33" s="4" t="s">
        <v>141</v>
      </c>
      <c r="D33" s="4" t="s">
        <v>142</v>
      </c>
      <c r="G33" s="4" t="s">
        <v>143</v>
      </c>
    </row>
    <row r="34" spans="2:7" s="4" customFormat="1" x14ac:dyDescent="0.15">
      <c r="B34" s="4" t="s">
        <v>144</v>
      </c>
      <c r="D34" s="4" t="s">
        <v>145</v>
      </c>
      <c r="G34" s="4" t="s">
        <v>146</v>
      </c>
    </row>
    <row r="35" spans="2:7" s="4" customFormat="1" x14ac:dyDescent="0.15">
      <c r="B35" s="4" t="s">
        <v>104</v>
      </c>
      <c r="D35" s="4" t="s">
        <v>114</v>
      </c>
      <c r="G35" s="4" t="s">
        <v>115</v>
      </c>
    </row>
    <row r="36" spans="2:7" s="4" customFormat="1" x14ac:dyDescent="0.15">
      <c r="B36" s="4" t="s">
        <v>63</v>
      </c>
      <c r="D36" s="4" t="s">
        <v>148</v>
      </c>
      <c r="G36" s="4" t="s">
        <v>149</v>
      </c>
    </row>
    <row r="37" spans="2:7" s="4" customFormat="1" x14ac:dyDescent="0.15">
      <c r="B37" s="4" t="s">
        <v>150</v>
      </c>
      <c r="D37" s="4" t="s">
        <v>151</v>
      </c>
      <c r="G37" s="4" t="s">
        <v>152</v>
      </c>
    </row>
    <row r="38" spans="2:7" s="4" customFormat="1" x14ac:dyDescent="0.15">
      <c r="B38" s="4" t="s">
        <v>153</v>
      </c>
      <c r="D38" s="4" t="s">
        <v>154</v>
      </c>
      <c r="G38" s="4" t="s">
        <v>155</v>
      </c>
    </row>
    <row r="39" spans="2:7" s="4" customFormat="1" x14ac:dyDescent="0.15">
      <c r="B39" s="4" t="s">
        <v>147</v>
      </c>
      <c r="D39" s="4" t="s">
        <v>118</v>
      </c>
      <c r="G39" s="4" t="s">
        <v>123</v>
      </c>
    </row>
    <row r="40" spans="2:7" s="4" customFormat="1" x14ac:dyDescent="0.15">
      <c r="B40" s="4" t="s">
        <v>156</v>
      </c>
      <c r="D40" s="4" t="s">
        <v>157</v>
      </c>
      <c r="G40" s="4" t="s">
        <v>158</v>
      </c>
    </row>
    <row r="41" spans="2:7" s="4" customFormat="1" x14ac:dyDescent="0.15">
      <c r="B41" s="4" t="s">
        <v>159</v>
      </c>
      <c r="D41" s="4" t="s">
        <v>160</v>
      </c>
      <c r="G41" s="4" t="s">
        <v>160</v>
      </c>
    </row>
    <row r="42" spans="2:7" s="4" customFormat="1" x14ac:dyDescent="0.15">
      <c r="B42" s="4" t="s">
        <v>161</v>
      </c>
      <c r="D42" s="4" t="s">
        <v>162</v>
      </c>
      <c r="G42" s="4" t="s">
        <v>163</v>
      </c>
    </row>
    <row r="43" spans="2:7" s="4" customFormat="1" x14ac:dyDescent="0.15">
      <c r="B43" s="4" t="s">
        <v>164</v>
      </c>
      <c r="D43" s="4" t="s">
        <v>165</v>
      </c>
      <c r="G43" s="4" t="s">
        <v>165</v>
      </c>
    </row>
    <row r="44" spans="2:7" s="4" customFormat="1" x14ac:dyDescent="0.15">
      <c r="B44" s="4" t="s">
        <v>167</v>
      </c>
      <c r="D44" s="4" t="s">
        <v>166</v>
      </c>
      <c r="G44" s="4" t="s">
        <v>166</v>
      </c>
    </row>
    <row r="45" spans="2:7" s="4" customFormat="1" x14ac:dyDescent="0.15">
      <c r="B45" s="4" t="s">
        <v>168</v>
      </c>
      <c r="D45" s="4" t="s">
        <v>169</v>
      </c>
      <c r="G45" s="4" t="s">
        <v>170</v>
      </c>
    </row>
    <row r="46" spans="2:7" s="4" customFormat="1" x14ac:dyDescent="0.15">
      <c r="B46" s="4" t="s">
        <v>171</v>
      </c>
      <c r="D46" s="4" t="s">
        <v>172</v>
      </c>
      <c r="G46" s="4" t="s">
        <v>173</v>
      </c>
    </row>
    <row r="47" spans="2:7" s="4" customFormat="1" x14ac:dyDescent="0.15">
      <c r="B47" s="4" t="s">
        <v>180</v>
      </c>
      <c r="D47" s="4" t="s">
        <v>311</v>
      </c>
      <c r="G47" s="4" t="s">
        <v>181</v>
      </c>
    </row>
    <row r="48" spans="2:7" s="4" customFormat="1" x14ac:dyDescent="0.15">
      <c r="B48" s="4" t="s">
        <v>174</v>
      </c>
      <c r="D48" s="4" t="s">
        <v>175</v>
      </c>
      <c r="G48" s="4" t="s">
        <v>175</v>
      </c>
    </row>
    <row r="49" spans="2:7" s="4" customFormat="1" x14ac:dyDescent="0.15">
      <c r="B49" s="4" t="s">
        <v>176</v>
      </c>
      <c r="D49" s="4" t="s">
        <v>122</v>
      </c>
      <c r="G49" s="4" t="s">
        <v>122</v>
      </c>
    </row>
    <row r="50" spans="2:7" s="4" customFormat="1" x14ac:dyDescent="0.15">
      <c r="B50" s="4" t="s">
        <v>177</v>
      </c>
      <c r="D50" s="4" t="s">
        <v>178</v>
      </c>
      <c r="G50" s="4" t="s">
        <v>179</v>
      </c>
    </row>
    <row r="51" spans="2:7" s="4" customFormat="1" x14ac:dyDescent="0.15"/>
    <row r="52" spans="2:7" s="4" customFormat="1" x14ac:dyDescent="0.15">
      <c r="B52" s="4" t="s">
        <v>1</v>
      </c>
      <c r="D52" s="4" t="s">
        <v>221</v>
      </c>
      <c r="G52" s="4" t="s">
        <v>222</v>
      </c>
    </row>
    <row r="53" spans="2:7" s="4" customFormat="1" x14ac:dyDescent="0.15">
      <c r="B53" s="4" t="s">
        <v>312</v>
      </c>
      <c r="D53" s="4" t="s">
        <v>314</v>
      </c>
      <c r="G53" s="4" t="s">
        <v>313</v>
      </c>
    </row>
    <row r="54" spans="2:7" s="4" customFormat="1" x14ac:dyDescent="0.15">
      <c r="B54" s="4" t="s">
        <v>319</v>
      </c>
      <c r="D54" s="4" t="s">
        <v>320</v>
      </c>
      <c r="G54" s="4" t="s">
        <v>320</v>
      </c>
    </row>
    <row r="55" spans="2:7" s="4" customFormat="1" x14ac:dyDescent="0.15">
      <c r="B55" s="4" t="s">
        <v>235</v>
      </c>
      <c r="D55" s="4" t="s">
        <v>297</v>
      </c>
      <c r="G55" s="4" t="s">
        <v>298</v>
      </c>
    </row>
    <row r="56" spans="2:7" s="4" customFormat="1" x14ac:dyDescent="0.15">
      <c r="B56" s="4" t="s">
        <v>289</v>
      </c>
      <c r="D56" s="4" t="s">
        <v>290</v>
      </c>
      <c r="G56" s="4" t="s">
        <v>291</v>
      </c>
    </row>
    <row r="57" spans="2:7" s="4" customFormat="1" x14ac:dyDescent="0.15">
      <c r="B57" s="4" t="s">
        <v>284</v>
      </c>
      <c r="D57" s="4" t="s">
        <v>285</v>
      </c>
      <c r="G57" s="4" t="s">
        <v>179</v>
      </c>
    </row>
    <row r="58" spans="2:7" x14ac:dyDescent="0.15">
      <c r="B58" s="41" t="s">
        <v>275</v>
      </c>
      <c r="D58" s="41" t="s">
        <v>276</v>
      </c>
      <c r="G58" s="41" t="s">
        <v>277</v>
      </c>
    </row>
    <row r="59" spans="2:7" x14ac:dyDescent="0.15">
      <c r="B59" s="41" t="s">
        <v>315</v>
      </c>
      <c r="D59" s="41" t="s">
        <v>316</v>
      </c>
      <c r="G59" s="41" t="s">
        <v>317</v>
      </c>
    </row>
    <row r="60" spans="2:7" x14ac:dyDescent="0.15">
      <c r="B60" s="41" t="s">
        <v>286</v>
      </c>
      <c r="D60" s="41" t="s">
        <v>287</v>
      </c>
      <c r="G60" s="41" t="s">
        <v>288</v>
      </c>
    </row>
    <row r="61" spans="2:7" s="4" customFormat="1" x14ac:dyDescent="0.15">
      <c r="B61" s="4" t="s">
        <v>223</v>
      </c>
      <c r="D61" s="4" t="s">
        <v>224</v>
      </c>
      <c r="G61" s="4" t="s">
        <v>292</v>
      </c>
    </row>
    <row r="62" spans="2:7" s="4" customFormat="1" x14ac:dyDescent="0.15">
      <c r="B62" s="4" t="s">
        <v>225</v>
      </c>
      <c r="D62" s="4" t="s">
        <v>226</v>
      </c>
      <c r="G62" s="4" t="s">
        <v>227</v>
      </c>
    </row>
    <row r="63" spans="2:7" s="4" customFormat="1" x14ac:dyDescent="0.15">
      <c r="B63" s="4" t="s">
        <v>228</v>
      </c>
      <c r="D63" s="4" t="s">
        <v>229</v>
      </c>
      <c r="G63" s="4" t="s">
        <v>229</v>
      </c>
    </row>
    <row r="64" spans="2:7" s="4" customFormat="1" x14ac:dyDescent="0.15">
      <c r="B64" s="4" t="s">
        <v>230</v>
      </c>
      <c r="D64" s="4" t="s">
        <v>231</v>
      </c>
      <c r="G64" s="4" t="s">
        <v>115</v>
      </c>
    </row>
    <row r="65" spans="2:7" s="4" customFormat="1" x14ac:dyDescent="0.15">
      <c r="B65" s="4" t="s">
        <v>232</v>
      </c>
      <c r="D65" s="4" t="s">
        <v>233</v>
      </c>
      <c r="G65" s="4" t="s">
        <v>234</v>
      </c>
    </row>
    <row r="66" spans="2:7" s="4" customFormat="1" x14ac:dyDescent="0.15">
      <c r="B66" s="4" t="s">
        <v>278</v>
      </c>
      <c r="D66" s="4" t="s">
        <v>279</v>
      </c>
      <c r="G66" s="4" t="s">
        <v>280</v>
      </c>
    </row>
    <row r="67" spans="2:7" x14ac:dyDescent="0.15">
      <c r="B67" s="41" t="s">
        <v>281</v>
      </c>
      <c r="D67" s="41" t="s">
        <v>282</v>
      </c>
      <c r="G67" s="41" t="s">
        <v>283</v>
      </c>
    </row>
    <row r="68" spans="2:7" x14ac:dyDescent="0.15">
      <c r="B68" s="41" t="s">
        <v>168</v>
      </c>
      <c r="D68" s="41" t="s">
        <v>299</v>
      </c>
      <c r="G68" s="41" t="s">
        <v>300</v>
      </c>
    </row>
    <row r="69" spans="2:7" x14ac:dyDescent="0.15">
      <c r="B69" s="41" t="s">
        <v>301</v>
      </c>
      <c r="D69" s="41" t="s">
        <v>302</v>
      </c>
      <c r="G69" s="41" t="s">
        <v>303</v>
      </c>
    </row>
    <row r="70" spans="2:7" x14ac:dyDescent="0.15">
      <c r="B70" s="41" t="s">
        <v>304</v>
      </c>
      <c r="D70" s="41" t="s">
        <v>305</v>
      </c>
      <c r="G70" s="41" t="s">
        <v>306</v>
      </c>
    </row>
    <row r="72" spans="2:7" x14ac:dyDescent="0.15">
      <c r="B72" s="41" t="s">
        <v>325</v>
      </c>
      <c r="D72" s="41" t="s">
        <v>326</v>
      </c>
      <c r="G72" s="41" t="s">
        <v>324</v>
      </c>
    </row>
    <row r="80" spans="2:7" s="4" customFormat="1" x14ac:dyDescent="0.15"/>
    <row r="81" s="4" customFormat="1" x14ac:dyDescent="0.15"/>
    <row r="82" s="4" customFormat="1" x14ac:dyDescent="0.15"/>
    <row r="83" s="43" customFormat="1" x14ac:dyDescent="0.15"/>
  </sheetData>
  <phoneticPr fontId="1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7" tint="0.79998168889431442"/>
  </sheetPr>
  <dimension ref="A1:BM605"/>
  <sheetViews>
    <sheetView topLeftCell="N1" zoomScaleNormal="100" workbookViewId="0">
      <selection activeCell="U5" sqref="U5"/>
    </sheetView>
  </sheetViews>
  <sheetFormatPr defaultColWidth="9.125" defaultRowHeight="16.5" x14ac:dyDescent="0.3"/>
  <cols>
    <col min="1" max="1" width="12.875" style="14" bestFit="1" customWidth="1"/>
    <col min="2" max="2" width="3.875" style="13" customWidth="1"/>
    <col min="3" max="3" width="3.375" style="12" bestFit="1" customWidth="1"/>
    <col min="4" max="5" width="2.875" style="13" bestFit="1" customWidth="1"/>
    <col min="6" max="6" width="3.875" style="12" bestFit="1" customWidth="1"/>
    <col min="7" max="7" width="5.625" style="78" bestFit="1" customWidth="1"/>
    <col min="8" max="8" width="19.875" style="9" bestFit="1" customWidth="1"/>
    <col min="9" max="9" width="10" style="9" bestFit="1" customWidth="1"/>
    <col min="10" max="10" width="5.625" style="78" bestFit="1" customWidth="1"/>
    <col min="11" max="11" width="14.875" style="9" customWidth="1"/>
    <col min="12" max="12" width="10" style="9" bestFit="1" customWidth="1"/>
    <col min="13" max="13" width="14.875" style="9" bestFit="1" customWidth="1"/>
    <col min="14" max="14" width="22.125" style="9" bestFit="1" customWidth="1"/>
    <col min="15" max="15" width="18.125" style="10" bestFit="1" customWidth="1"/>
    <col min="16" max="16" width="14.25" style="10" bestFit="1" customWidth="1"/>
    <col min="17" max="17" width="35" style="11" bestFit="1" customWidth="1"/>
    <col min="18" max="18" width="29.375" style="9" customWidth="1"/>
    <col min="19" max="19" width="5.625" style="78" bestFit="1" customWidth="1"/>
    <col min="20" max="20" width="21.125" style="86" bestFit="1" customWidth="1"/>
    <col min="21" max="21" width="27.25" style="9" bestFit="1" customWidth="1"/>
    <col min="22" max="22" width="27.25" style="11" bestFit="1" customWidth="1"/>
    <col min="23" max="23" width="21.125" style="86" bestFit="1" customWidth="1"/>
    <col min="24" max="24" width="27.25" style="9" bestFit="1" customWidth="1"/>
    <col min="25" max="25" width="5.625" style="78" bestFit="1" customWidth="1"/>
    <col min="26" max="26" width="27.25" style="9" bestFit="1" customWidth="1"/>
    <col min="27" max="27" width="21.125" style="9" bestFit="1" customWidth="1"/>
    <col min="28" max="28" width="5.625" style="78" bestFit="1" customWidth="1"/>
    <col min="29" max="29" width="21.125" style="9" bestFit="1" customWidth="1"/>
    <col min="30" max="30" width="5.625" style="78" bestFit="1" customWidth="1"/>
    <col min="31" max="31" width="21.125" style="56" bestFit="1" customWidth="1"/>
    <col min="32" max="32" width="21.125" style="10" bestFit="1" customWidth="1"/>
    <col min="33" max="33" width="5.625" style="78" bestFit="1" customWidth="1"/>
    <col min="34" max="34" width="11.375" style="11" bestFit="1" customWidth="1"/>
    <col min="35" max="35" width="15.625" style="10" bestFit="1" customWidth="1"/>
    <col min="36" max="36" width="11.375" style="11" bestFit="1" customWidth="1"/>
    <col min="37" max="37" width="15.625" style="10" bestFit="1" customWidth="1"/>
    <col min="38" max="38" width="11.375" style="11" bestFit="1" customWidth="1"/>
    <col min="39" max="39" width="15.625" style="10" bestFit="1" customWidth="1"/>
    <col min="40" max="40" width="12" style="56" bestFit="1" customWidth="1"/>
    <col min="41" max="41" width="17.125" style="11" bestFit="1" customWidth="1"/>
    <col min="42" max="42" width="12.875" style="11" bestFit="1" customWidth="1"/>
    <col min="43" max="43" width="10.25" style="10" bestFit="1" customWidth="1"/>
    <col min="44" max="44" width="16.375" style="11" bestFit="1" customWidth="1"/>
    <col min="45" max="45" width="15.625" style="10" bestFit="1" customWidth="1"/>
    <col min="46" max="46" width="17.125" style="11" bestFit="1" customWidth="1"/>
    <col min="47" max="47" width="12.875" style="11" bestFit="1" customWidth="1"/>
    <col min="48" max="48" width="10.25" style="10" bestFit="1" customWidth="1"/>
    <col min="49" max="49" width="16.375" style="11" bestFit="1" customWidth="1"/>
    <col min="50" max="50" width="15.625" style="10" bestFit="1" customWidth="1"/>
    <col min="51" max="51" width="17.125" style="11" bestFit="1" customWidth="1"/>
    <col min="52" max="52" width="12.875" style="11" bestFit="1" customWidth="1"/>
    <col min="53" max="53" width="10.25" style="10" bestFit="1" customWidth="1"/>
    <col min="54" max="54" width="16.375" style="11" bestFit="1" customWidth="1"/>
    <col min="55" max="55" width="15.625" style="10" bestFit="1" customWidth="1"/>
    <col min="56" max="56" width="17.125" style="11" bestFit="1" customWidth="1"/>
    <col min="57" max="57" width="12.875" style="11" bestFit="1" customWidth="1"/>
    <col min="58" max="58" width="10.25" style="10" bestFit="1" customWidth="1"/>
    <col min="59" max="59" width="16.375" style="11" bestFit="1" customWidth="1"/>
    <col min="60" max="60" width="15.625" style="10" bestFit="1" customWidth="1"/>
    <col min="61" max="61" width="17.125" style="11" bestFit="1" customWidth="1"/>
    <col min="62" max="62" width="10" style="11" bestFit="1" customWidth="1"/>
    <col min="63" max="63" width="9.875" style="10" bestFit="1" customWidth="1"/>
    <col min="64" max="64" width="16.375" style="11" bestFit="1" customWidth="1"/>
    <col min="65" max="65" width="9.875" style="10" bestFit="1" customWidth="1"/>
    <col min="66" max="16384" width="9.125" style="8"/>
  </cols>
  <sheetData>
    <row r="1" spans="1:65" x14ac:dyDescent="0.3">
      <c r="A1" s="14" t="s">
        <v>59</v>
      </c>
      <c r="H1" s="9" t="s">
        <v>60</v>
      </c>
      <c r="I1" s="9" t="s">
        <v>60</v>
      </c>
      <c r="K1" s="9" t="s">
        <v>60</v>
      </c>
      <c r="L1" s="9" t="s">
        <v>60</v>
      </c>
      <c r="M1" s="9" t="s">
        <v>60</v>
      </c>
      <c r="N1" s="9" t="s">
        <v>60</v>
      </c>
      <c r="O1" s="7"/>
      <c r="P1" s="7"/>
      <c r="Q1" s="34" t="s">
        <v>60</v>
      </c>
      <c r="R1" s="9" t="s">
        <v>60</v>
      </c>
      <c r="U1" s="9" t="s">
        <v>60</v>
      </c>
      <c r="V1" s="11" t="s">
        <v>60</v>
      </c>
      <c r="X1" s="9" t="s">
        <v>60</v>
      </c>
      <c r="Z1" s="9" t="s">
        <v>60</v>
      </c>
      <c r="AA1" s="9" t="s">
        <v>60</v>
      </c>
      <c r="AC1" s="9" t="s">
        <v>60</v>
      </c>
      <c r="AE1" s="56" t="s">
        <v>60</v>
      </c>
      <c r="AH1" s="33" t="s">
        <v>60</v>
      </c>
      <c r="AI1" s="32"/>
      <c r="AJ1" s="33" t="s">
        <v>60</v>
      </c>
      <c r="AK1" s="32"/>
      <c r="AL1" s="33" t="s">
        <v>60</v>
      </c>
      <c r="AM1" s="32"/>
      <c r="AN1" s="59" t="s">
        <v>64</v>
      </c>
      <c r="AO1" s="33" t="s">
        <v>251</v>
      </c>
      <c r="AP1" s="33" t="s">
        <v>60</v>
      </c>
      <c r="AQ1" s="32"/>
      <c r="AR1" s="33" t="s">
        <v>60</v>
      </c>
      <c r="AS1" s="32"/>
      <c r="AT1" s="33" t="s">
        <v>251</v>
      </c>
      <c r="AU1" s="33" t="s">
        <v>60</v>
      </c>
      <c r="AV1" s="32"/>
      <c r="AW1" s="33" t="s">
        <v>60</v>
      </c>
      <c r="AX1" s="32"/>
      <c r="AY1" s="33" t="s">
        <v>251</v>
      </c>
      <c r="AZ1" s="33" t="s">
        <v>60</v>
      </c>
      <c r="BA1" s="32"/>
      <c r="BB1" s="33" t="s">
        <v>60</v>
      </c>
      <c r="BC1" s="32"/>
      <c r="BD1" s="33" t="s">
        <v>251</v>
      </c>
      <c r="BE1" s="33" t="s">
        <v>60</v>
      </c>
      <c r="BF1" s="32"/>
      <c r="BG1" s="33" t="s">
        <v>60</v>
      </c>
      <c r="BH1" s="32"/>
      <c r="BI1" s="33" t="s">
        <v>251</v>
      </c>
      <c r="BJ1" s="33" t="s">
        <v>60</v>
      </c>
      <c r="BK1" s="32"/>
      <c r="BL1" s="33" t="s">
        <v>60</v>
      </c>
      <c r="BM1" s="32"/>
    </row>
    <row r="2" spans="1:65" x14ac:dyDescent="0.3">
      <c r="A2" s="14" t="s">
        <v>61</v>
      </c>
      <c r="H2" s="9" t="s">
        <v>61</v>
      </c>
      <c r="I2" s="9" t="s">
        <v>61</v>
      </c>
      <c r="K2" s="9" t="s">
        <v>62</v>
      </c>
      <c r="L2" s="9" t="s">
        <v>61</v>
      </c>
      <c r="M2" s="9" t="s">
        <v>61</v>
      </c>
      <c r="N2" s="9" t="s">
        <v>62</v>
      </c>
      <c r="O2" s="7"/>
      <c r="P2" s="7"/>
      <c r="Q2" s="34" t="s">
        <v>62</v>
      </c>
      <c r="R2" s="9" t="s">
        <v>517</v>
      </c>
      <c r="U2" s="9" t="s">
        <v>540</v>
      </c>
      <c r="V2" s="11" t="s">
        <v>61</v>
      </c>
      <c r="X2" s="9" t="s">
        <v>540</v>
      </c>
      <c r="Z2" s="9" t="s">
        <v>62</v>
      </c>
      <c r="AA2" s="9" t="s">
        <v>61</v>
      </c>
      <c r="AC2" s="9" t="s">
        <v>61</v>
      </c>
      <c r="AE2" s="56" t="s">
        <v>61</v>
      </c>
      <c r="AH2" s="31" t="s">
        <v>61</v>
      </c>
      <c r="AI2" s="30"/>
      <c r="AJ2" s="31" t="s">
        <v>61</v>
      </c>
      <c r="AK2" s="30"/>
      <c r="AL2" s="31" t="s">
        <v>61</v>
      </c>
      <c r="AM2" s="30"/>
      <c r="AN2" s="60">
        <v>5</v>
      </c>
      <c r="AO2" s="31">
        <v>4</v>
      </c>
      <c r="AP2" s="31" t="s">
        <v>61</v>
      </c>
      <c r="AQ2" s="30"/>
      <c r="AR2" s="31" t="s">
        <v>61</v>
      </c>
      <c r="AS2" s="30"/>
      <c r="AT2" s="31">
        <v>4</v>
      </c>
      <c r="AU2" s="31" t="s">
        <v>61</v>
      </c>
      <c r="AV2" s="30"/>
      <c r="AW2" s="31" t="s">
        <v>61</v>
      </c>
      <c r="AX2" s="30"/>
      <c r="AY2" s="31">
        <v>4</v>
      </c>
      <c r="AZ2" s="31" t="s">
        <v>61</v>
      </c>
      <c r="BA2" s="30"/>
      <c r="BB2" s="31" t="s">
        <v>61</v>
      </c>
      <c r="BC2" s="30"/>
      <c r="BD2" s="31">
        <v>4</v>
      </c>
      <c r="BE2" s="31" t="s">
        <v>61</v>
      </c>
      <c r="BF2" s="30"/>
      <c r="BG2" s="31" t="s">
        <v>61</v>
      </c>
      <c r="BH2" s="30"/>
      <c r="BI2" s="31">
        <v>4</v>
      </c>
      <c r="BJ2" s="31" t="s">
        <v>61</v>
      </c>
      <c r="BK2" s="30"/>
      <c r="BL2" s="31" t="s">
        <v>61</v>
      </c>
      <c r="BM2" s="30"/>
    </row>
    <row r="3" spans="1:65" x14ac:dyDescent="0.3">
      <c r="A3" s="14" t="s">
        <v>217</v>
      </c>
      <c r="H3" s="9" t="s">
        <v>250</v>
      </c>
      <c r="I3" s="9" t="s">
        <v>248</v>
      </c>
      <c r="K3" s="9" t="s">
        <v>249</v>
      </c>
      <c r="L3" s="9" t="s">
        <v>341</v>
      </c>
      <c r="M3" s="9" t="s">
        <v>321</v>
      </c>
      <c r="N3" s="9" t="s">
        <v>247</v>
      </c>
      <c r="O3" s="7"/>
      <c r="P3" s="7"/>
      <c r="Q3" s="34" t="s">
        <v>322</v>
      </c>
      <c r="R3" s="9" t="s">
        <v>519</v>
      </c>
      <c r="U3" s="9" t="s">
        <v>567</v>
      </c>
      <c r="V3" s="11" t="s">
        <v>591</v>
      </c>
      <c r="X3" s="9" t="s">
        <v>541</v>
      </c>
      <c r="Z3" s="9" t="s">
        <v>335</v>
      </c>
      <c r="AA3" s="9" t="s">
        <v>340</v>
      </c>
      <c r="AC3" s="9" t="s">
        <v>438</v>
      </c>
      <c r="AE3" s="56" t="s">
        <v>465</v>
      </c>
      <c r="AH3" s="31" t="s">
        <v>246</v>
      </c>
      <c r="AI3" s="30"/>
      <c r="AJ3" s="31" t="s">
        <v>440</v>
      </c>
      <c r="AK3" s="30"/>
      <c r="AL3" s="31" t="s">
        <v>520</v>
      </c>
      <c r="AM3" s="30"/>
      <c r="AN3" s="60" t="s">
        <v>252</v>
      </c>
      <c r="AO3" s="31" t="s">
        <v>253</v>
      </c>
      <c r="AP3" s="31" t="s">
        <v>245</v>
      </c>
      <c r="AQ3" s="30"/>
      <c r="AR3" s="31" t="s">
        <v>244</v>
      </c>
      <c r="AS3" s="30"/>
      <c r="AT3" s="31" t="s">
        <v>253</v>
      </c>
      <c r="AU3" s="31" t="s">
        <v>245</v>
      </c>
      <c r="AV3" s="30"/>
      <c r="AW3" s="31" t="s">
        <v>244</v>
      </c>
      <c r="AX3" s="30"/>
      <c r="AY3" s="31" t="s">
        <v>253</v>
      </c>
      <c r="AZ3" s="31" t="s">
        <v>245</v>
      </c>
      <c r="BA3" s="30"/>
      <c r="BB3" s="31" t="s">
        <v>244</v>
      </c>
      <c r="BC3" s="30"/>
      <c r="BD3" s="31" t="s">
        <v>253</v>
      </c>
      <c r="BE3" s="31" t="s">
        <v>245</v>
      </c>
      <c r="BF3" s="30"/>
      <c r="BG3" s="31" t="s">
        <v>244</v>
      </c>
      <c r="BH3" s="30"/>
      <c r="BI3" s="31" t="s">
        <v>253</v>
      </c>
      <c r="BJ3" s="31" t="s">
        <v>245</v>
      </c>
      <c r="BK3" s="30"/>
      <c r="BL3" s="31" t="s">
        <v>244</v>
      </c>
      <c r="BM3" s="30"/>
    </row>
    <row r="4" spans="1:65" s="22" customFormat="1" ht="99.75" thickBot="1" x14ac:dyDescent="0.2">
      <c r="A4" s="22" t="s">
        <v>243</v>
      </c>
      <c r="B4" s="28" t="s">
        <v>242</v>
      </c>
      <c r="C4" s="29" t="s">
        <v>241</v>
      </c>
      <c r="D4" s="28"/>
      <c r="E4" s="28"/>
      <c r="F4" s="29" t="s">
        <v>239</v>
      </c>
      <c r="G4" s="79" t="s">
        <v>355</v>
      </c>
      <c r="H4" s="27" t="s">
        <v>592</v>
      </c>
      <c r="I4" s="27" t="s">
        <v>239</v>
      </c>
      <c r="J4" s="79" t="s">
        <v>354</v>
      </c>
      <c r="K4" s="27" t="s">
        <v>240</v>
      </c>
      <c r="L4" s="27" t="s">
        <v>342</v>
      </c>
      <c r="M4" s="27" t="s">
        <v>356</v>
      </c>
      <c r="N4" s="27" t="s">
        <v>238</v>
      </c>
      <c r="O4" s="68" t="s">
        <v>353</v>
      </c>
      <c r="P4" s="68" t="s">
        <v>352</v>
      </c>
      <c r="Q4" s="40" t="s">
        <v>323</v>
      </c>
      <c r="R4" s="9" t="s">
        <v>518</v>
      </c>
      <c r="S4" s="79" t="s">
        <v>589</v>
      </c>
      <c r="T4" s="87" t="s">
        <v>571</v>
      </c>
      <c r="U4" s="27" t="s">
        <v>569</v>
      </c>
      <c r="V4" s="90" t="s">
        <v>600</v>
      </c>
      <c r="W4" s="87" t="s">
        <v>570</v>
      </c>
      <c r="X4" s="27" t="s">
        <v>568</v>
      </c>
      <c r="Y4" s="79" t="s">
        <v>588</v>
      </c>
      <c r="Z4" s="27" t="s">
        <v>334</v>
      </c>
      <c r="AA4" s="27" t="s">
        <v>339</v>
      </c>
      <c r="AB4" s="79" t="s">
        <v>436</v>
      </c>
      <c r="AC4" s="27" t="s">
        <v>630</v>
      </c>
      <c r="AD4" s="79" t="s">
        <v>590</v>
      </c>
      <c r="AE4" s="91" t="s">
        <v>758</v>
      </c>
      <c r="AF4" s="92" t="s">
        <v>629</v>
      </c>
      <c r="AG4" s="79" t="s">
        <v>171</v>
      </c>
      <c r="AH4" s="66" t="s">
        <v>318</v>
      </c>
      <c r="AI4" s="65" t="s">
        <v>437</v>
      </c>
      <c r="AJ4" s="66" t="s">
        <v>439</v>
      </c>
      <c r="AK4" s="65" t="s">
        <v>441</v>
      </c>
      <c r="AL4" s="66" t="s">
        <v>447</v>
      </c>
      <c r="AM4" s="65" t="s">
        <v>448</v>
      </c>
      <c r="AN4" s="61"/>
      <c r="AO4" s="24" t="s">
        <v>252</v>
      </c>
      <c r="AP4" s="24" t="s">
        <v>237</v>
      </c>
      <c r="AQ4" s="23" t="s">
        <v>236</v>
      </c>
      <c r="AR4" s="25" t="s">
        <v>310</v>
      </c>
      <c r="AS4" s="26" t="s">
        <v>351</v>
      </c>
      <c r="AT4" s="24" t="s">
        <v>252</v>
      </c>
      <c r="AU4" s="24" t="s">
        <v>237</v>
      </c>
      <c r="AV4" s="23" t="s">
        <v>236</v>
      </c>
      <c r="AW4" s="25" t="s">
        <v>310</v>
      </c>
      <c r="AX4" s="26" t="s">
        <v>351</v>
      </c>
      <c r="AY4" s="24" t="s">
        <v>252</v>
      </c>
      <c r="AZ4" s="24" t="s">
        <v>237</v>
      </c>
      <c r="BA4" s="23" t="s">
        <v>236</v>
      </c>
      <c r="BB4" s="25" t="s">
        <v>310</v>
      </c>
      <c r="BC4" s="26" t="s">
        <v>351</v>
      </c>
      <c r="BD4" s="24" t="s">
        <v>252</v>
      </c>
      <c r="BE4" s="24" t="s">
        <v>237</v>
      </c>
      <c r="BF4" s="23" t="s">
        <v>236</v>
      </c>
      <c r="BG4" s="25" t="s">
        <v>310</v>
      </c>
      <c r="BH4" s="26" t="s">
        <v>351</v>
      </c>
      <c r="BI4" s="24" t="s">
        <v>252</v>
      </c>
      <c r="BJ4" s="24" t="s">
        <v>237</v>
      </c>
      <c r="BK4" s="23" t="s">
        <v>236</v>
      </c>
      <c r="BL4" s="25" t="s">
        <v>310</v>
      </c>
      <c r="BM4" s="26" t="s">
        <v>351</v>
      </c>
    </row>
    <row r="5" spans="1:65" s="15" customFormat="1" x14ac:dyDescent="0.3">
      <c r="A5" s="21">
        <f t="shared" ref="A5:A88" si="0">B5*10000000+C5*1000000+D5*10000+E5*100+F5</f>
        <v>111010001</v>
      </c>
      <c r="B5" s="20">
        <v>11</v>
      </c>
      <c r="C5" s="19">
        <f t="shared" ref="C5:C88" si="1">H5</f>
        <v>1</v>
      </c>
      <c r="D5" s="20">
        <v>1</v>
      </c>
      <c r="E5" s="20">
        <v>0</v>
      </c>
      <c r="F5" s="19">
        <f t="shared" ref="F5:F88" si="2">I5</f>
        <v>1</v>
      </c>
      <c r="G5" s="80"/>
      <c r="H5" s="16">
        <v>1</v>
      </c>
      <c r="I5" s="16">
        <v>1</v>
      </c>
      <c r="J5" s="80"/>
      <c r="K5" s="16" t="s">
        <v>601</v>
      </c>
      <c r="L5" s="16">
        <v>1</v>
      </c>
      <c r="M5" s="16">
        <v>15</v>
      </c>
      <c r="N5" s="16"/>
      <c r="O5" s="17"/>
      <c r="P5" s="17"/>
      <c r="Q5" s="18"/>
      <c r="R5" s="16" t="s">
        <v>770</v>
      </c>
      <c r="S5" s="80"/>
      <c r="T5" s="88"/>
      <c r="U5" s="16">
        <f ca="1">IFERROR(OFFSET(ITEM_RES!$A$5,MATCH(BUILDING!T5,ITEM_RES!$J$5:$J$229,0)-1,0),0)</f>
        <v>0</v>
      </c>
      <c r="V5" s="18"/>
      <c r="W5" s="88" t="s">
        <v>572</v>
      </c>
      <c r="X5" s="16">
        <f ca="1">IFERROR(OFFSET(ITEM_RES!$A$5,MATCH(BUILDING!W5,ITEM_RES!$J$5:$J$229,0)-1,0),0)</f>
        <v>211010101</v>
      </c>
      <c r="Y5" s="80"/>
      <c r="Z5" s="16" t="s">
        <v>542</v>
      </c>
      <c r="AA5" s="16">
        <v>1</v>
      </c>
      <c r="AB5" s="80"/>
      <c r="AC5" s="16">
        <v>0</v>
      </c>
      <c r="AD5" s="80"/>
      <c r="AE5" s="57">
        <f>AK5*10+AM5+AR5+AW5+500*BB5+500*BG5+500*BL5</f>
        <v>605</v>
      </c>
      <c r="AF5" s="17">
        <f>AE5</f>
        <v>605</v>
      </c>
      <c r="AG5" s="80"/>
      <c r="AH5" s="18">
        <f t="shared" ref="AH5:AH68" si="3">ROUND(AI5,0)</f>
        <v>5</v>
      </c>
      <c r="AI5" s="17">
        <v>5</v>
      </c>
      <c r="AJ5" s="18">
        <f>ROUND(AK5,0)</f>
        <v>5</v>
      </c>
      <c r="AK5" s="17">
        <v>5</v>
      </c>
      <c r="AL5" s="18">
        <f>ROUND(AM5,0)</f>
        <v>5</v>
      </c>
      <c r="AM5" s="17">
        <v>5</v>
      </c>
      <c r="AN5" s="57">
        <f>(AR5&gt;0)*1+(AW5&gt;0)*1+(BB5&gt;0)*1+(BG5&gt;0)*1+(BL5&gt;0)*1</f>
        <v>3</v>
      </c>
      <c r="AO5" s="18"/>
      <c r="AP5" s="18">
        <f ca="1">IFERROR(OFFSET(ITEM_RES!$A$1,MATCH(AQ5,ITEM_RES!$J:$J,0)-1,0),0)</f>
        <v>211010501</v>
      </c>
      <c r="AQ5" s="17" t="s">
        <v>449</v>
      </c>
      <c r="AR5" s="18">
        <v>25</v>
      </c>
      <c r="AS5" s="17"/>
      <c r="AT5" s="18"/>
      <c r="AU5" s="18">
        <f ca="1">IFERROR(OFFSET(ITEM_RES!$A$1,MATCH(AV5,ITEM_RES!$J:$J,0)-1,0),0)</f>
        <v>211020101</v>
      </c>
      <c r="AV5" s="17" t="s">
        <v>475</v>
      </c>
      <c r="AW5" s="18">
        <v>25</v>
      </c>
      <c r="AX5" s="17"/>
      <c r="AY5" s="18"/>
      <c r="AZ5" s="18">
        <f ca="1">IFERROR(OFFSET(ITEM_RES!$A$1,MATCH(BA5,ITEM_RES!$J:$J,0)-1,0),0)</f>
        <v>213010101</v>
      </c>
      <c r="BA5" s="17" t="s">
        <v>481</v>
      </c>
      <c r="BB5" s="18">
        <v>1</v>
      </c>
      <c r="BC5" s="17"/>
      <c r="BD5" s="18"/>
      <c r="BE5" s="18">
        <f ca="1">IFERROR(OFFSET(ITEM_RES!$A$1,MATCH(BF5,ITEM_RES!$J:$J,0)-1,0),0)</f>
        <v>0</v>
      </c>
      <c r="BF5" s="17"/>
      <c r="BG5" s="18"/>
      <c r="BH5" s="17"/>
      <c r="BI5" s="18"/>
      <c r="BJ5" s="18">
        <f ca="1">IFERROR(OFFSET(ITEM_RES!$A$1,MATCH(BK5,ITEM_RES!$J:$J,0)-1,0),0)</f>
        <v>0</v>
      </c>
      <c r="BK5" s="17"/>
      <c r="BL5" s="18">
        <f t="shared" ref="BL5:BL88" si="4">IF(BM5&lt;100,ROUND(BM5,1-LEN(ROUND(BM5,0))),ROUND(BM5,2-LEN(ROUND(BM5,0))))</f>
        <v>0</v>
      </c>
      <c r="BM5" s="17"/>
    </row>
    <row r="6" spans="1:65" x14ac:dyDescent="0.3">
      <c r="A6" s="14">
        <f t="shared" si="0"/>
        <v>111010002</v>
      </c>
      <c r="B6" s="13">
        <v>11</v>
      </c>
      <c r="C6" s="12">
        <f t="shared" si="1"/>
        <v>1</v>
      </c>
      <c r="D6" s="13">
        <v>1</v>
      </c>
      <c r="E6" s="13">
        <v>0</v>
      </c>
      <c r="F6" s="12">
        <f t="shared" si="2"/>
        <v>2</v>
      </c>
      <c r="H6" s="9">
        <v>1</v>
      </c>
      <c r="I6" s="9">
        <v>2</v>
      </c>
      <c r="K6" s="9" t="s">
        <v>601</v>
      </c>
      <c r="L6" s="9">
        <v>1</v>
      </c>
      <c r="M6" s="9">
        <v>15</v>
      </c>
      <c r="R6" s="9" t="s">
        <v>765</v>
      </c>
      <c r="U6" s="9">
        <f ca="1">IFERROR(OFFSET(ITEM_RES!$A$5,MATCH(BUILDING!T6,ITEM_RES!$J$5:$J$229,0)-1,0),0)</f>
        <v>0</v>
      </c>
      <c r="W6" s="86" t="s">
        <v>572</v>
      </c>
      <c r="X6" s="9">
        <f ca="1">IFERROR(OFFSET(ITEM_RES!$A$5,MATCH(BUILDING!W6,ITEM_RES!$J$5:$J$229,0)-1,0),0)</f>
        <v>211010101</v>
      </c>
      <c r="Z6" s="9" t="s">
        <v>542</v>
      </c>
      <c r="AA6" s="9">
        <v>2</v>
      </c>
      <c r="AC6" s="9">
        <v>200</v>
      </c>
      <c r="AE6" s="56">
        <f t="shared" ref="AE6:AE69" si="5">AK6*10+AM6+AR6+AW6+500*BB6+500*BG6+500*BL6</f>
        <v>210</v>
      </c>
      <c r="AF6" s="10">
        <f>AE5+AE6</f>
        <v>815</v>
      </c>
      <c r="AH6" s="11">
        <f t="shared" si="3"/>
        <v>10</v>
      </c>
      <c r="AI6" s="10">
        <v>10</v>
      </c>
      <c r="AJ6" s="11">
        <f t="shared" ref="AJ6:AL89" si="6">ROUND(AK6,0)</f>
        <v>10</v>
      </c>
      <c r="AK6" s="10">
        <v>10</v>
      </c>
      <c r="AL6" s="11">
        <f t="shared" si="6"/>
        <v>10</v>
      </c>
      <c r="AM6" s="10">
        <v>10</v>
      </c>
      <c r="AN6" s="56">
        <f t="shared" ref="AN6:AN69" si="7">(AR6&gt;0)*1+(AW6&gt;0)*1+(BB6&gt;0)*1+(BG6&gt;0)*1+(BL6&gt;0)*1</f>
        <v>2</v>
      </c>
      <c r="AP6" s="11">
        <f ca="1">IFERROR(OFFSET(ITEM_RES!$A$1,MATCH(AQ6,ITEM_RES!$J:$J,0)-1,0),0)</f>
        <v>211010501</v>
      </c>
      <c r="AQ6" s="10" t="s">
        <v>449</v>
      </c>
      <c r="AR6" s="11">
        <v>50</v>
      </c>
      <c r="AU6" s="11">
        <f ca="1">IFERROR(OFFSET(ITEM_RES!$A$1,MATCH(AV6,ITEM_RES!$J:$J,0)-1,0),0)</f>
        <v>211020101</v>
      </c>
      <c r="AV6" s="10" t="s">
        <v>475</v>
      </c>
      <c r="AW6" s="11">
        <v>50</v>
      </c>
      <c r="AZ6" s="11">
        <f ca="1">IFERROR(OFFSET(ITEM_RES!$A$1,MATCH(BA6,ITEM_RES!$J:$J,0)-1,0),0)</f>
        <v>0</v>
      </c>
      <c r="BE6" s="11">
        <f ca="1">IFERROR(OFFSET(ITEM_RES!$A$1,MATCH(BF6,ITEM_RES!$J:$J,0)-1,0),0)</f>
        <v>0</v>
      </c>
      <c r="BJ6" s="11">
        <f ca="1">IFERROR(OFFSET(ITEM_RES!$A$1,MATCH(BK6,ITEM_RES!$J:$J,0)-1,0),0)</f>
        <v>0</v>
      </c>
      <c r="BL6" s="11">
        <f t="shared" si="4"/>
        <v>0</v>
      </c>
    </row>
    <row r="7" spans="1:65" x14ac:dyDescent="0.3">
      <c r="A7" s="14">
        <f t="shared" si="0"/>
        <v>111010003</v>
      </c>
      <c r="B7" s="13">
        <v>11</v>
      </c>
      <c r="C7" s="12">
        <f t="shared" si="1"/>
        <v>1</v>
      </c>
      <c r="D7" s="13">
        <v>1</v>
      </c>
      <c r="E7" s="13">
        <v>0</v>
      </c>
      <c r="F7" s="12">
        <f t="shared" si="2"/>
        <v>3</v>
      </c>
      <c r="H7" s="9">
        <v>1</v>
      </c>
      <c r="I7" s="9">
        <v>3</v>
      </c>
      <c r="K7" s="9" t="s">
        <v>601</v>
      </c>
      <c r="L7" s="9">
        <v>1</v>
      </c>
      <c r="M7" s="9">
        <v>15</v>
      </c>
      <c r="R7" s="9" t="s">
        <v>765</v>
      </c>
      <c r="U7" s="9">
        <f ca="1">IFERROR(OFFSET(ITEM_RES!$A$5,MATCH(BUILDING!T7,ITEM_RES!$J$5:$J$229,0)-1,0),0)</f>
        <v>0</v>
      </c>
      <c r="W7" s="86" t="s">
        <v>572</v>
      </c>
      <c r="X7" s="9">
        <f ca="1">IFERROR(OFFSET(ITEM_RES!$A$5,MATCH(BUILDING!W7,ITEM_RES!$J$5:$J$229,0)-1,0),0)</f>
        <v>211010101</v>
      </c>
      <c r="Z7" s="9" t="s">
        <v>542</v>
      </c>
      <c r="AA7" s="9">
        <v>3</v>
      </c>
      <c r="AC7" s="9">
        <v>600</v>
      </c>
      <c r="AE7" s="56">
        <f t="shared" si="5"/>
        <v>315</v>
      </c>
      <c r="AF7" s="10">
        <f t="shared" ref="AF7:AF24" si="8">AE6+AE7</f>
        <v>525</v>
      </c>
      <c r="AH7" s="11">
        <f t="shared" si="3"/>
        <v>15</v>
      </c>
      <c r="AI7" s="10">
        <v>15</v>
      </c>
      <c r="AJ7" s="11">
        <f t="shared" si="6"/>
        <v>15</v>
      </c>
      <c r="AK7" s="10">
        <v>15</v>
      </c>
      <c r="AL7" s="11">
        <f t="shared" si="6"/>
        <v>15</v>
      </c>
      <c r="AM7" s="10">
        <v>15</v>
      </c>
      <c r="AN7" s="56">
        <f t="shared" si="7"/>
        <v>2</v>
      </c>
      <c r="AP7" s="11">
        <f ca="1">IFERROR(OFFSET(ITEM_RES!$A$1,MATCH(AQ7,ITEM_RES!$J:$J,0)-1,0),0)</f>
        <v>211010501</v>
      </c>
      <c r="AQ7" s="10" t="s">
        <v>449</v>
      </c>
      <c r="AR7" s="11">
        <v>75</v>
      </c>
      <c r="AU7" s="11">
        <f ca="1">IFERROR(OFFSET(ITEM_RES!$A$1,MATCH(AV7,ITEM_RES!$J:$J,0)-1,0),0)</f>
        <v>211020101</v>
      </c>
      <c r="AV7" s="10" t="s">
        <v>475</v>
      </c>
      <c r="AW7" s="11">
        <v>75</v>
      </c>
      <c r="AZ7" s="11">
        <f ca="1">IFERROR(OFFSET(ITEM_RES!$A$1,MATCH(BA7,ITEM_RES!$J:$J,0)-1,0),0)</f>
        <v>0</v>
      </c>
      <c r="BE7" s="11">
        <f ca="1">IFERROR(OFFSET(ITEM_RES!$A$1,MATCH(BF7,ITEM_RES!$J:$J,0)-1,0),0)</f>
        <v>0</v>
      </c>
      <c r="BJ7" s="11">
        <f ca="1">IFERROR(OFFSET(ITEM_RES!$A$1,MATCH(BK7,ITEM_RES!$J:$J,0)-1,0),0)</f>
        <v>0</v>
      </c>
      <c r="BL7" s="11">
        <f t="shared" si="4"/>
        <v>0</v>
      </c>
    </row>
    <row r="8" spans="1:65" x14ac:dyDescent="0.3">
      <c r="A8" s="14">
        <f t="shared" si="0"/>
        <v>111010004</v>
      </c>
      <c r="B8" s="13">
        <v>11</v>
      </c>
      <c r="C8" s="12">
        <f t="shared" si="1"/>
        <v>1</v>
      </c>
      <c r="D8" s="13">
        <v>1</v>
      </c>
      <c r="E8" s="13">
        <v>0</v>
      </c>
      <c r="F8" s="12">
        <f t="shared" si="2"/>
        <v>4</v>
      </c>
      <c r="H8" s="9">
        <v>1</v>
      </c>
      <c r="I8" s="9">
        <v>4</v>
      </c>
      <c r="K8" s="9" t="s">
        <v>601</v>
      </c>
      <c r="L8" s="9">
        <v>1</v>
      </c>
      <c r="M8" s="9">
        <v>15</v>
      </c>
      <c r="R8" s="9" t="s">
        <v>766</v>
      </c>
      <c r="U8" s="9">
        <f ca="1">IFERROR(OFFSET(ITEM_RES!$A$5,MATCH(BUILDING!T8,ITEM_RES!$J$5:$J$229,0)-1,0),0)</f>
        <v>0</v>
      </c>
      <c r="W8" s="86" t="s">
        <v>572</v>
      </c>
      <c r="X8" s="9">
        <f ca="1">IFERROR(OFFSET(ITEM_RES!$A$5,MATCH(BUILDING!W8,ITEM_RES!$J$5:$J$229,0)-1,0),0)</f>
        <v>211010101</v>
      </c>
      <c r="Z8" s="9" t="s">
        <v>542</v>
      </c>
      <c r="AA8" s="9">
        <v>4</v>
      </c>
      <c r="AC8" s="9">
        <v>1000</v>
      </c>
      <c r="AE8" s="56">
        <f t="shared" si="5"/>
        <v>525</v>
      </c>
      <c r="AF8" s="10">
        <f t="shared" si="8"/>
        <v>840</v>
      </c>
      <c r="AH8" s="11">
        <f t="shared" si="3"/>
        <v>20</v>
      </c>
      <c r="AI8" s="10">
        <v>20</v>
      </c>
      <c r="AJ8" s="11">
        <f t="shared" si="6"/>
        <v>25</v>
      </c>
      <c r="AK8" s="10">
        <v>25</v>
      </c>
      <c r="AL8" s="11">
        <f t="shared" si="6"/>
        <v>25</v>
      </c>
      <c r="AM8" s="10">
        <v>25</v>
      </c>
      <c r="AN8" s="56">
        <f t="shared" si="7"/>
        <v>2</v>
      </c>
      <c r="AP8" s="11">
        <f ca="1">IFERROR(OFFSET(ITEM_RES!$A$1,MATCH(AQ8,ITEM_RES!$J:$J,0)-1,0),0)</f>
        <v>211010501</v>
      </c>
      <c r="AQ8" s="10" t="s">
        <v>449</v>
      </c>
      <c r="AR8" s="11">
        <v>125</v>
      </c>
      <c r="AU8" s="11">
        <f ca="1">IFERROR(OFFSET(ITEM_RES!$A$1,MATCH(AV8,ITEM_RES!$J:$J,0)-1,0),0)</f>
        <v>211020101</v>
      </c>
      <c r="AV8" s="10" t="s">
        <v>475</v>
      </c>
      <c r="AW8" s="11">
        <v>125</v>
      </c>
      <c r="AZ8" s="11">
        <f ca="1">IFERROR(OFFSET(ITEM_RES!$A$1,MATCH(BA8,ITEM_RES!$J:$J,0)-1,0),0)</f>
        <v>0</v>
      </c>
      <c r="BE8" s="11">
        <f ca="1">IFERROR(OFFSET(ITEM_RES!$A$1,MATCH(BF8,ITEM_RES!$J:$J,0)-1,0),0)</f>
        <v>0</v>
      </c>
      <c r="BJ8" s="11">
        <f ca="1">IFERROR(OFFSET(ITEM_RES!$A$1,MATCH(BK8,ITEM_RES!$J:$J,0)-1,0),0)</f>
        <v>0</v>
      </c>
      <c r="BL8" s="11">
        <f t="shared" si="4"/>
        <v>0</v>
      </c>
    </row>
    <row r="9" spans="1:65" x14ac:dyDescent="0.3">
      <c r="A9" s="14">
        <f t="shared" si="0"/>
        <v>111010005</v>
      </c>
      <c r="B9" s="13">
        <v>11</v>
      </c>
      <c r="C9" s="12">
        <f t="shared" si="1"/>
        <v>1</v>
      </c>
      <c r="D9" s="13">
        <v>1</v>
      </c>
      <c r="E9" s="13">
        <v>0</v>
      </c>
      <c r="F9" s="12">
        <f t="shared" si="2"/>
        <v>5</v>
      </c>
      <c r="H9" s="9">
        <v>1</v>
      </c>
      <c r="I9" s="9">
        <v>5</v>
      </c>
      <c r="K9" s="9" t="s">
        <v>601</v>
      </c>
      <c r="L9" s="9">
        <v>1</v>
      </c>
      <c r="M9" s="9">
        <v>15</v>
      </c>
      <c r="R9" s="9" t="s">
        <v>766</v>
      </c>
      <c r="U9" s="9">
        <f ca="1">IFERROR(OFFSET(ITEM_RES!$A$5,MATCH(BUILDING!T9,ITEM_RES!$J$5:$J$229,0)-1,0),0)</f>
        <v>0</v>
      </c>
      <c r="W9" s="86" t="s">
        <v>572</v>
      </c>
      <c r="X9" s="9">
        <f ca="1">IFERROR(OFFSET(ITEM_RES!$A$5,MATCH(BUILDING!W9,ITEM_RES!$J$5:$J$229,0)-1,0),0)</f>
        <v>211010101</v>
      </c>
      <c r="Z9" s="9" t="s">
        <v>542</v>
      </c>
      <c r="AA9" s="9">
        <v>5</v>
      </c>
      <c r="AC9" s="9">
        <v>1600</v>
      </c>
      <c r="AE9" s="56">
        <f t="shared" si="5"/>
        <v>840</v>
      </c>
      <c r="AF9" s="10">
        <f t="shared" si="8"/>
        <v>1365</v>
      </c>
      <c r="AH9" s="11">
        <f t="shared" si="3"/>
        <v>25</v>
      </c>
      <c r="AI9" s="10">
        <v>25</v>
      </c>
      <c r="AJ9" s="11">
        <f t="shared" si="6"/>
        <v>40</v>
      </c>
      <c r="AK9" s="10">
        <v>40</v>
      </c>
      <c r="AL9" s="11">
        <f t="shared" si="6"/>
        <v>40</v>
      </c>
      <c r="AM9" s="10">
        <v>40</v>
      </c>
      <c r="AN9" s="56">
        <f t="shared" si="7"/>
        <v>2</v>
      </c>
      <c r="AP9" s="11">
        <f ca="1">IFERROR(OFFSET(ITEM_RES!$A$1,MATCH(AQ9,ITEM_RES!$J:$J,0)-1,0),0)</f>
        <v>211010501</v>
      </c>
      <c r="AQ9" s="10" t="s">
        <v>449</v>
      </c>
      <c r="AR9" s="11">
        <v>200</v>
      </c>
      <c r="AU9" s="11">
        <f ca="1">IFERROR(OFFSET(ITEM_RES!$A$1,MATCH(AV9,ITEM_RES!$J:$J,0)-1,0),0)</f>
        <v>211020101</v>
      </c>
      <c r="AV9" s="10" t="s">
        <v>475</v>
      </c>
      <c r="AW9" s="11">
        <v>200</v>
      </c>
      <c r="AZ9" s="11">
        <f ca="1">IFERROR(OFFSET(ITEM_RES!$A$1,MATCH(BA9,ITEM_RES!$J:$J,0)-1,0),0)</f>
        <v>0</v>
      </c>
      <c r="BE9" s="11">
        <f ca="1">IFERROR(OFFSET(ITEM_RES!$A$1,MATCH(BF9,ITEM_RES!$J:$J,0)-1,0),0)</f>
        <v>0</v>
      </c>
      <c r="BJ9" s="11">
        <f ca="1">IFERROR(OFFSET(ITEM_RES!$A$1,MATCH(BK9,ITEM_RES!$J:$J,0)-1,0),0)</f>
        <v>0</v>
      </c>
      <c r="BL9" s="11">
        <f t="shared" si="4"/>
        <v>0</v>
      </c>
    </row>
    <row r="10" spans="1:65" x14ac:dyDescent="0.3">
      <c r="A10" s="14">
        <f t="shared" si="0"/>
        <v>111010006</v>
      </c>
      <c r="B10" s="13">
        <v>11</v>
      </c>
      <c r="C10" s="12">
        <f t="shared" si="1"/>
        <v>1</v>
      </c>
      <c r="D10" s="13">
        <v>1</v>
      </c>
      <c r="E10" s="13">
        <v>0</v>
      </c>
      <c r="F10" s="12">
        <f t="shared" si="2"/>
        <v>6</v>
      </c>
      <c r="H10" s="9">
        <v>1</v>
      </c>
      <c r="I10" s="9">
        <v>6</v>
      </c>
      <c r="K10" s="9" t="s">
        <v>601</v>
      </c>
      <c r="L10" s="9">
        <v>1</v>
      </c>
      <c r="M10" s="9">
        <v>15</v>
      </c>
      <c r="R10" s="9" t="s">
        <v>766</v>
      </c>
      <c r="U10" s="9">
        <f ca="1">IFERROR(OFFSET(ITEM_RES!$A$5,MATCH(BUILDING!T10,ITEM_RES!$J$5:$J$229,0)-1,0),0)</f>
        <v>0</v>
      </c>
      <c r="W10" s="86" t="s">
        <v>572</v>
      </c>
      <c r="X10" s="9">
        <f ca="1">IFERROR(OFFSET(ITEM_RES!$A$5,MATCH(BUILDING!W10,ITEM_RES!$J$5:$J$229,0)-1,0),0)</f>
        <v>211010101</v>
      </c>
      <c r="Z10" s="9" t="s">
        <v>542</v>
      </c>
      <c r="AA10" s="9">
        <v>6</v>
      </c>
      <c r="AC10" s="9">
        <v>2000</v>
      </c>
      <c r="AE10" s="56">
        <f t="shared" si="5"/>
        <v>1050</v>
      </c>
      <c r="AF10" s="10">
        <f t="shared" si="8"/>
        <v>1890</v>
      </c>
      <c r="AH10" s="11">
        <f t="shared" si="3"/>
        <v>30</v>
      </c>
      <c r="AI10" s="10">
        <v>30</v>
      </c>
      <c r="AJ10" s="11">
        <f t="shared" si="6"/>
        <v>50</v>
      </c>
      <c r="AK10" s="10">
        <v>50</v>
      </c>
      <c r="AL10" s="11">
        <f t="shared" si="6"/>
        <v>50</v>
      </c>
      <c r="AM10" s="10">
        <v>50</v>
      </c>
      <c r="AN10" s="56">
        <f t="shared" si="7"/>
        <v>2</v>
      </c>
      <c r="AP10" s="11">
        <f ca="1">IFERROR(OFFSET(ITEM_RES!$A$1,MATCH(AQ10,ITEM_RES!$J:$J,0)-1,0),0)</f>
        <v>211010501</v>
      </c>
      <c r="AQ10" s="10" t="s">
        <v>449</v>
      </c>
      <c r="AR10" s="11">
        <v>250</v>
      </c>
      <c r="AU10" s="11">
        <f ca="1">IFERROR(OFFSET(ITEM_RES!$A$1,MATCH(AV10,ITEM_RES!$J:$J,0)-1,0),0)</f>
        <v>211020101</v>
      </c>
      <c r="AV10" s="10" t="s">
        <v>475</v>
      </c>
      <c r="AW10" s="11">
        <v>250</v>
      </c>
      <c r="AZ10" s="11">
        <f ca="1">IFERROR(OFFSET(ITEM_RES!$A$1,MATCH(BA10,ITEM_RES!$J:$J,0)-1,0),0)</f>
        <v>0</v>
      </c>
      <c r="BE10" s="11">
        <f ca="1">IFERROR(OFFSET(ITEM_RES!$A$1,MATCH(BF10,ITEM_RES!$J:$J,0)-1,0),0)</f>
        <v>0</v>
      </c>
      <c r="BJ10" s="11">
        <f ca="1">IFERROR(OFFSET(ITEM_RES!$A$1,MATCH(BK10,ITEM_RES!$J:$J,0)-1,0),0)</f>
        <v>0</v>
      </c>
      <c r="BL10" s="11">
        <f t="shared" si="4"/>
        <v>0</v>
      </c>
    </row>
    <row r="11" spans="1:65" x14ac:dyDescent="0.3">
      <c r="A11" s="14">
        <f t="shared" si="0"/>
        <v>111010007</v>
      </c>
      <c r="B11" s="13">
        <v>11</v>
      </c>
      <c r="C11" s="12">
        <f t="shared" si="1"/>
        <v>1</v>
      </c>
      <c r="D11" s="13">
        <v>1</v>
      </c>
      <c r="E11" s="13">
        <v>0</v>
      </c>
      <c r="F11" s="12">
        <f t="shared" si="2"/>
        <v>7</v>
      </c>
      <c r="H11" s="9">
        <v>1</v>
      </c>
      <c r="I11" s="9">
        <v>7</v>
      </c>
      <c r="K11" s="9" t="s">
        <v>601</v>
      </c>
      <c r="L11" s="9">
        <v>1</v>
      </c>
      <c r="M11" s="9">
        <v>15</v>
      </c>
      <c r="R11" s="9" t="s">
        <v>766</v>
      </c>
      <c r="U11" s="9">
        <f ca="1">IFERROR(OFFSET(ITEM_RES!$A$5,MATCH(BUILDING!T11,ITEM_RES!$J$5:$J$229,0)-1,0),0)</f>
        <v>0</v>
      </c>
      <c r="W11" s="86" t="s">
        <v>572</v>
      </c>
      <c r="X11" s="9">
        <f ca="1">IFERROR(OFFSET(ITEM_RES!$A$5,MATCH(BUILDING!W11,ITEM_RES!$J$5:$J$229,0)-1,0),0)</f>
        <v>211010101</v>
      </c>
      <c r="Z11" s="9" t="s">
        <v>542</v>
      </c>
      <c r="AA11" s="9">
        <v>7</v>
      </c>
      <c r="AC11" s="9">
        <v>4000</v>
      </c>
      <c r="AE11" s="56">
        <f t="shared" si="5"/>
        <v>2100</v>
      </c>
      <c r="AF11" s="10">
        <f t="shared" si="8"/>
        <v>3150</v>
      </c>
      <c r="AH11" s="11">
        <f t="shared" si="3"/>
        <v>35</v>
      </c>
      <c r="AI11" s="10">
        <v>35</v>
      </c>
      <c r="AJ11" s="11">
        <f t="shared" si="6"/>
        <v>100</v>
      </c>
      <c r="AK11" s="10">
        <v>100</v>
      </c>
      <c r="AL11" s="11">
        <f t="shared" si="6"/>
        <v>100</v>
      </c>
      <c r="AM11" s="10">
        <v>100</v>
      </c>
      <c r="AN11" s="56">
        <f t="shared" si="7"/>
        <v>2</v>
      </c>
      <c r="AP11" s="11">
        <f ca="1">IFERROR(OFFSET(ITEM_RES!$A$1,MATCH(AQ11,ITEM_RES!$J:$J,0)-1,0),0)</f>
        <v>211010501</v>
      </c>
      <c r="AQ11" s="10" t="s">
        <v>449</v>
      </c>
      <c r="AR11" s="11">
        <v>500</v>
      </c>
      <c r="AU11" s="11">
        <f ca="1">IFERROR(OFFSET(ITEM_RES!$A$1,MATCH(AV11,ITEM_RES!$J:$J,0)-1,0),0)</f>
        <v>211020101</v>
      </c>
      <c r="AV11" s="10" t="s">
        <v>475</v>
      </c>
      <c r="AW11" s="11">
        <v>500</v>
      </c>
      <c r="AZ11" s="11">
        <f ca="1">IFERROR(OFFSET(ITEM_RES!$A$1,MATCH(BA11,ITEM_RES!$J:$J,0)-1,0),0)</f>
        <v>0</v>
      </c>
      <c r="BE11" s="11">
        <f ca="1">IFERROR(OFFSET(ITEM_RES!$A$1,MATCH(BF11,ITEM_RES!$J:$J,0)-1,0),0)</f>
        <v>0</v>
      </c>
      <c r="BJ11" s="11">
        <f ca="1">IFERROR(OFFSET(ITEM_RES!$A$1,MATCH(BK11,ITEM_RES!$J:$J,0)-1,0),0)</f>
        <v>0</v>
      </c>
      <c r="BL11" s="11">
        <f t="shared" si="4"/>
        <v>0</v>
      </c>
    </row>
    <row r="12" spans="1:65" x14ac:dyDescent="0.3">
      <c r="A12" s="14">
        <f t="shared" si="0"/>
        <v>111010008</v>
      </c>
      <c r="B12" s="13">
        <v>11</v>
      </c>
      <c r="C12" s="12">
        <f t="shared" si="1"/>
        <v>1</v>
      </c>
      <c r="D12" s="13">
        <v>1</v>
      </c>
      <c r="E12" s="13">
        <v>0</v>
      </c>
      <c r="F12" s="12">
        <f t="shared" si="2"/>
        <v>8</v>
      </c>
      <c r="H12" s="9">
        <v>1</v>
      </c>
      <c r="I12" s="9">
        <v>8</v>
      </c>
      <c r="K12" s="9" t="s">
        <v>601</v>
      </c>
      <c r="L12" s="9">
        <v>1</v>
      </c>
      <c r="M12" s="9">
        <v>15</v>
      </c>
      <c r="R12" s="9" t="s">
        <v>766</v>
      </c>
      <c r="U12" s="9">
        <f ca="1">IFERROR(OFFSET(ITEM_RES!$A$5,MATCH(BUILDING!T12,ITEM_RES!$J$5:$J$229,0)-1,0),0)</f>
        <v>0</v>
      </c>
      <c r="W12" s="86" t="s">
        <v>572</v>
      </c>
      <c r="X12" s="9">
        <f ca="1">IFERROR(OFFSET(ITEM_RES!$A$5,MATCH(BUILDING!W12,ITEM_RES!$J$5:$J$229,0)-1,0),0)</f>
        <v>211010101</v>
      </c>
      <c r="Z12" s="9" t="s">
        <v>542</v>
      </c>
      <c r="AA12" s="9">
        <v>8</v>
      </c>
      <c r="AC12" s="9">
        <v>4000</v>
      </c>
      <c r="AE12" s="56">
        <f t="shared" si="5"/>
        <v>2100</v>
      </c>
      <c r="AF12" s="10">
        <f t="shared" si="8"/>
        <v>4200</v>
      </c>
      <c r="AH12" s="11">
        <f t="shared" si="3"/>
        <v>40</v>
      </c>
      <c r="AI12" s="10">
        <v>40</v>
      </c>
      <c r="AJ12" s="11">
        <f t="shared" si="6"/>
        <v>100</v>
      </c>
      <c r="AK12" s="10">
        <v>100</v>
      </c>
      <c r="AL12" s="11">
        <f t="shared" si="6"/>
        <v>100</v>
      </c>
      <c r="AM12" s="10">
        <v>100</v>
      </c>
      <c r="AN12" s="56">
        <f t="shared" si="7"/>
        <v>2</v>
      </c>
      <c r="AP12" s="11">
        <f ca="1">IFERROR(OFFSET(ITEM_RES!$A$1,MATCH(AQ12,ITEM_RES!$J:$J,0)-1,0),0)</f>
        <v>211010501</v>
      </c>
      <c r="AQ12" s="10" t="s">
        <v>449</v>
      </c>
      <c r="AR12" s="11">
        <v>500</v>
      </c>
      <c r="AU12" s="11">
        <f ca="1">IFERROR(OFFSET(ITEM_RES!$A$1,MATCH(AV12,ITEM_RES!$J:$J,0)-1,0),0)</f>
        <v>211020101</v>
      </c>
      <c r="AV12" s="10" t="s">
        <v>475</v>
      </c>
      <c r="AW12" s="11">
        <v>500</v>
      </c>
      <c r="AZ12" s="11">
        <f ca="1">IFERROR(OFFSET(ITEM_RES!$A$1,MATCH(BA12,ITEM_RES!$J:$J,0)-1,0),0)</f>
        <v>0</v>
      </c>
      <c r="BE12" s="11">
        <f ca="1">IFERROR(OFFSET(ITEM_RES!$A$1,MATCH(BF12,ITEM_RES!$J:$J,0)-1,0),0)</f>
        <v>0</v>
      </c>
      <c r="BJ12" s="11">
        <f ca="1">IFERROR(OFFSET(ITEM_RES!$A$1,MATCH(BK12,ITEM_RES!$J:$J,0)-1,0),0)</f>
        <v>0</v>
      </c>
      <c r="BL12" s="11">
        <f t="shared" si="4"/>
        <v>0</v>
      </c>
    </row>
    <row r="13" spans="1:65" x14ac:dyDescent="0.3">
      <c r="A13" s="14">
        <f t="shared" si="0"/>
        <v>111010009</v>
      </c>
      <c r="B13" s="13">
        <v>11</v>
      </c>
      <c r="C13" s="12">
        <f t="shared" si="1"/>
        <v>1</v>
      </c>
      <c r="D13" s="13">
        <v>1</v>
      </c>
      <c r="E13" s="13">
        <v>0</v>
      </c>
      <c r="F13" s="12">
        <f t="shared" si="2"/>
        <v>9</v>
      </c>
      <c r="H13" s="9">
        <v>1</v>
      </c>
      <c r="I13" s="9">
        <v>9</v>
      </c>
      <c r="K13" s="9" t="s">
        <v>601</v>
      </c>
      <c r="L13" s="9">
        <v>1</v>
      </c>
      <c r="M13" s="9">
        <v>15</v>
      </c>
      <c r="R13" s="9" t="s">
        <v>767</v>
      </c>
      <c r="U13" s="9">
        <f ca="1">IFERROR(OFFSET(ITEM_RES!$A$5,MATCH(BUILDING!T13,ITEM_RES!$J$5:$J$229,0)-1,0),0)</f>
        <v>0</v>
      </c>
      <c r="W13" s="86" t="s">
        <v>572</v>
      </c>
      <c r="X13" s="9">
        <f ca="1">IFERROR(OFFSET(ITEM_RES!$A$5,MATCH(BUILDING!W13,ITEM_RES!$J$5:$J$229,0)-1,0),0)</f>
        <v>211010101</v>
      </c>
      <c r="Z13" s="9" t="s">
        <v>542</v>
      </c>
      <c r="AA13" s="9">
        <v>9</v>
      </c>
      <c r="AC13" s="9">
        <v>6000</v>
      </c>
      <c r="AE13" s="56">
        <f t="shared" si="5"/>
        <v>3150</v>
      </c>
      <c r="AF13" s="10">
        <f t="shared" si="8"/>
        <v>5250</v>
      </c>
      <c r="AH13" s="11">
        <f t="shared" si="3"/>
        <v>45</v>
      </c>
      <c r="AI13" s="10">
        <v>45</v>
      </c>
      <c r="AJ13" s="11">
        <f t="shared" si="6"/>
        <v>150</v>
      </c>
      <c r="AK13" s="10">
        <v>150</v>
      </c>
      <c r="AL13" s="11">
        <f t="shared" si="6"/>
        <v>150</v>
      </c>
      <c r="AM13" s="10">
        <v>150</v>
      </c>
      <c r="AN13" s="56">
        <f t="shared" si="7"/>
        <v>2</v>
      </c>
      <c r="AP13" s="11">
        <f ca="1">IFERROR(OFFSET(ITEM_RES!$A$1,MATCH(AQ13,ITEM_RES!$J:$J,0)-1,0),0)</f>
        <v>211010501</v>
      </c>
      <c r="AQ13" s="10" t="s">
        <v>449</v>
      </c>
      <c r="AR13" s="11">
        <v>750</v>
      </c>
      <c r="AU13" s="11">
        <f ca="1">IFERROR(OFFSET(ITEM_RES!$A$1,MATCH(AV13,ITEM_RES!$J:$J,0)-1,0),0)</f>
        <v>211020101</v>
      </c>
      <c r="AV13" s="10" t="s">
        <v>475</v>
      </c>
      <c r="AW13" s="11">
        <v>750</v>
      </c>
      <c r="AZ13" s="11">
        <f ca="1">IFERROR(OFFSET(ITEM_RES!$A$1,MATCH(BA13,ITEM_RES!$J:$J,0)-1,0),0)</f>
        <v>0</v>
      </c>
      <c r="BE13" s="11">
        <f ca="1">IFERROR(OFFSET(ITEM_RES!$A$1,MATCH(BF13,ITEM_RES!$J:$J,0)-1,0),0)</f>
        <v>0</v>
      </c>
      <c r="BJ13" s="11">
        <f ca="1">IFERROR(OFFSET(ITEM_RES!$A$1,MATCH(BK13,ITEM_RES!$J:$J,0)-1,0),0)</f>
        <v>0</v>
      </c>
      <c r="BL13" s="11">
        <f t="shared" si="4"/>
        <v>0</v>
      </c>
    </row>
    <row r="14" spans="1:65" x14ac:dyDescent="0.3">
      <c r="A14" s="14">
        <f t="shared" si="0"/>
        <v>111010010</v>
      </c>
      <c r="B14" s="13">
        <v>11</v>
      </c>
      <c r="C14" s="12">
        <f t="shared" si="1"/>
        <v>1</v>
      </c>
      <c r="D14" s="13">
        <v>1</v>
      </c>
      <c r="E14" s="13">
        <v>0</v>
      </c>
      <c r="F14" s="12">
        <f t="shared" si="2"/>
        <v>10</v>
      </c>
      <c r="H14" s="9">
        <v>1</v>
      </c>
      <c r="I14" s="9">
        <v>10</v>
      </c>
      <c r="K14" s="9" t="s">
        <v>601</v>
      </c>
      <c r="L14" s="9">
        <v>1</v>
      </c>
      <c r="M14" s="9">
        <v>15</v>
      </c>
      <c r="R14" s="9" t="s">
        <v>767</v>
      </c>
      <c r="U14" s="9">
        <f ca="1">IFERROR(OFFSET(ITEM_RES!$A$5,MATCH(BUILDING!T14,ITEM_RES!$J$5:$J$229,0)-1,0),0)</f>
        <v>0</v>
      </c>
      <c r="W14" s="86" t="s">
        <v>572</v>
      </c>
      <c r="X14" s="9">
        <f ca="1">IFERROR(OFFSET(ITEM_RES!$A$5,MATCH(BUILDING!W14,ITEM_RES!$J$5:$J$229,0)-1,0),0)</f>
        <v>211010101</v>
      </c>
      <c r="Z14" s="9" t="s">
        <v>542</v>
      </c>
      <c r="AA14" s="9">
        <v>10</v>
      </c>
      <c r="AC14" s="9">
        <v>8000</v>
      </c>
      <c r="AE14" s="56">
        <f t="shared" si="5"/>
        <v>4700</v>
      </c>
      <c r="AF14" s="10">
        <f t="shared" si="8"/>
        <v>7850</v>
      </c>
      <c r="AH14" s="11">
        <f t="shared" si="3"/>
        <v>50</v>
      </c>
      <c r="AI14" s="10">
        <v>50</v>
      </c>
      <c r="AJ14" s="11">
        <f t="shared" si="6"/>
        <v>200</v>
      </c>
      <c r="AK14" s="10">
        <v>200</v>
      </c>
      <c r="AL14" s="11">
        <f t="shared" si="6"/>
        <v>200</v>
      </c>
      <c r="AM14" s="10">
        <v>200</v>
      </c>
      <c r="AN14" s="56">
        <f t="shared" si="7"/>
        <v>3</v>
      </c>
      <c r="AP14" s="11">
        <f ca="1">IFERROR(OFFSET(ITEM_RES!$A$1,MATCH(AQ14,ITEM_RES!$J:$J,0)-1,0),0)</f>
        <v>211010501</v>
      </c>
      <c r="AQ14" s="10" t="s">
        <v>449</v>
      </c>
      <c r="AR14" s="11">
        <v>1000</v>
      </c>
      <c r="AU14" s="11">
        <f ca="1">IFERROR(OFFSET(ITEM_RES!$A$1,MATCH(AV14,ITEM_RES!$J:$J,0)-1,0),0)</f>
        <v>211020101</v>
      </c>
      <c r="AV14" s="10" t="s">
        <v>475</v>
      </c>
      <c r="AW14" s="11">
        <v>1000</v>
      </c>
      <c r="AZ14" s="11">
        <f ca="1">IFERROR(OFFSET(ITEM_RES!$A$1,MATCH(BA14,ITEM_RES!$J:$J,0)-1,0),0)</f>
        <v>0</v>
      </c>
      <c r="BE14" s="11">
        <f ca="1">IFERROR(OFFSET(ITEM_RES!$A$1,MATCH(BF14,ITEM_RES!$J:$J,0)-1,0),0)</f>
        <v>213010501</v>
      </c>
      <c r="BF14" s="10" t="s">
        <v>488</v>
      </c>
      <c r="BG14" s="11">
        <v>1</v>
      </c>
      <c r="BJ14" s="11">
        <f ca="1">IFERROR(OFFSET(ITEM_RES!$A$1,MATCH(BK14,ITEM_RES!$J:$J,0)-1,0),0)</f>
        <v>0</v>
      </c>
      <c r="BL14" s="11">
        <f t="shared" si="4"/>
        <v>0</v>
      </c>
    </row>
    <row r="15" spans="1:65" x14ac:dyDescent="0.3">
      <c r="A15" s="14">
        <f t="shared" si="0"/>
        <v>111010011</v>
      </c>
      <c r="B15" s="13">
        <v>11</v>
      </c>
      <c r="C15" s="12">
        <f t="shared" si="1"/>
        <v>1</v>
      </c>
      <c r="D15" s="13">
        <v>1</v>
      </c>
      <c r="E15" s="13">
        <v>0</v>
      </c>
      <c r="F15" s="12">
        <f t="shared" si="2"/>
        <v>11</v>
      </c>
      <c r="H15" s="9">
        <v>1</v>
      </c>
      <c r="I15" s="9">
        <v>11</v>
      </c>
      <c r="K15" s="9" t="s">
        <v>601</v>
      </c>
      <c r="L15" s="9">
        <v>1</v>
      </c>
      <c r="M15" s="9">
        <v>15</v>
      </c>
      <c r="R15" s="9" t="s">
        <v>767</v>
      </c>
      <c r="U15" s="9">
        <f ca="1">IFERROR(OFFSET(ITEM_RES!$A$5,MATCH(BUILDING!T15,ITEM_RES!$J$5:$J$229,0)-1,0),0)</f>
        <v>0</v>
      </c>
      <c r="W15" s="86" t="s">
        <v>572</v>
      </c>
      <c r="X15" s="9">
        <f ca="1">IFERROR(OFFSET(ITEM_RES!$A$5,MATCH(BUILDING!W15,ITEM_RES!$J$5:$J$229,0)-1,0),0)</f>
        <v>211010101</v>
      </c>
      <c r="Z15" s="9" t="s">
        <v>542</v>
      </c>
      <c r="AA15" s="9">
        <v>11</v>
      </c>
      <c r="AC15" s="9">
        <v>10000</v>
      </c>
      <c r="AE15" s="56">
        <f t="shared" si="5"/>
        <v>5250</v>
      </c>
      <c r="AF15" s="10">
        <f t="shared" si="8"/>
        <v>9950</v>
      </c>
      <c r="AH15" s="11">
        <f t="shared" si="3"/>
        <v>55</v>
      </c>
      <c r="AI15" s="10">
        <v>55</v>
      </c>
      <c r="AJ15" s="11">
        <f t="shared" si="6"/>
        <v>250</v>
      </c>
      <c r="AK15" s="10">
        <v>250</v>
      </c>
      <c r="AL15" s="11">
        <f t="shared" si="6"/>
        <v>250</v>
      </c>
      <c r="AM15" s="10">
        <v>250</v>
      </c>
      <c r="AN15" s="56">
        <f t="shared" si="7"/>
        <v>2</v>
      </c>
      <c r="AP15" s="11">
        <f ca="1">IFERROR(OFFSET(ITEM_RES!$A$1,MATCH(AQ15,ITEM_RES!$J:$J,0)-1,0),0)</f>
        <v>211010501</v>
      </c>
      <c r="AQ15" s="10" t="s">
        <v>449</v>
      </c>
      <c r="AR15" s="11">
        <v>1250</v>
      </c>
      <c r="AU15" s="11">
        <f ca="1">IFERROR(OFFSET(ITEM_RES!$A$1,MATCH(AV15,ITEM_RES!$J:$J,0)-1,0),0)</f>
        <v>211020101</v>
      </c>
      <c r="AV15" s="10" t="s">
        <v>475</v>
      </c>
      <c r="AW15" s="11">
        <v>1250</v>
      </c>
      <c r="AZ15" s="11">
        <f ca="1">IFERROR(OFFSET(ITEM_RES!$A$1,MATCH(BA15,ITEM_RES!$J:$J,0)-1,0),0)</f>
        <v>0</v>
      </c>
      <c r="BE15" s="11">
        <f ca="1">IFERROR(OFFSET(ITEM_RES!$A$1,MATCH(BF15,ITEM_RES!$J:$J,0)-1,0),0)</f>
        <v>0</v>
      </c>
      <c r="BJ15" s="11">
        <f ca="1">IFERROR(OFFSET(ITEM_RES!$A$1,MATCH(BK15,ITEM_RES!$J:$J,0)-1,0),0)</f>
        <v>0</v>
      </c>
      <c r="BL15" s="11">
        <f t="shared" si="4"/>
        <v>0</v>
      </c>
    </row>
    <row r="16" spans="1:65" x14ac:dyDescent="0.3">
      <c r="A16" s="14">
        <f t="shared" si="0"/>
        <v>111010012</v>
      </c>
      <c r="B16" s="13">
        <v>11</v>
      </c>
      <c r="C16" s="12">
        <f t="shared" si="1"/>
        <v>1</v>
      </c>
      <c r="D16" s="13">
        <v>1</v>
      </c>
      <c r="E16" s="13">
        <v>0</v>
      </c>
      <c r="F16" s="12">
        <f t="shared" si="2"/>
        <v>12</v>
      </c>
      <c r="H16" s="9">
        <v>1</v>
      </c>
      <c r="I16" s="9">
        <v>12</v>
      </c>
      <c r="K16" s="9" t="s">
        <v>601</v>
      </c>
      <c r="L16" s="9">
        <v>1</v>
      </c>
      <c r="M16" s="9">
        <v>15</v>
      </c>
      <c r="R16" s="9" t="s">
        <v>767</v>
      </c>
      <c r="U16" s="9">
        <f ca="1">IFERROR(OFFSET(ITEM_RES!$A$5,MATCH(BUILDING!T16,ITEM_RES!$J$5:$J$229,0)-1,0),0)</f>
        <v>0</v>
      </c>
      <c r="W16" s="86" t="s">
        <v>572</v>
      </c>
      <c r="X16" s="9">
        <f ca="1">IFERROR(OFFSET(ITEM_RES!$A$5,MATCH(BUILDING!W16,ITEM_RES!$J$5:$J$229,0)-1,0),0)</f>
        <v>211010101</v>
      </c>
      <c r="Z16" s="9" t="s">
        <v>542</v>
      </c>
      <c r="AA16" s="9">
        <v>12</v>
      </c>
      <c r="AC16" s="9">
        <v>12000</v>
      </c>
      <c r="AE16" s="56">
        <f t="shared" si="5"/>
        <v>6300</v>
      </c>
      <c r="AF16" s="10">
        <f t="shared" si="8"/>
        <v>11550</v>
      </c>
      <c r="AH16" s="11">
        <f t="shared" si="3"/>
        <v>60</v>
      </c>
      <c r="AI16" s="10">
        <v>60</v>
      </c>
      <c r="AJ16" s="11">
        <f t="shared" si="6"/>
        <v>300</v>
      </c>
      <c r="AK16" s="10">
        <v>300</v>
      </c>
      <c r="AL16" s="11">
        <f t="shared" si="6"/>
        <v>300</v>
      </c>
      <c r="AM16" s="10">
        <v>300</v>
      </c>
      <c r="AN16" s="56">
        <f t="shared" si="7"/>
        <v>2</v>
      </c>
      <c r="AP16" s="11">
        <f ca="1">IFERROR(OFFSET(ITEM_RES!$A$1,MATCH(AQ16,ITEM_RES!$J:$J,0)-1,0),0)</f>
        <v>211010501</v>
      </c>
      <c r="AQ16" s="10" t="s">
        <v>449</v>
      </c>
      <c r="AR16" s="11">
        <v>1500</v>
      </c>
      <c r="AU16" s="11">
        <f ca="1">IFERROR(OFFSET(ITEM_RES!$A$1,MATCH(AV16,ITEM_RES!$J:$J,0)-1,0),0)</f>
        <v>211020101</v>
      </c>
      <c r="AV16" s="10" t="s">
        <v>475</v>
      </c>
      <c r="AW16" s="11">
        <v>1500</v>
      </c>
      <c r="AZ16" s="11">
        <f ca="1">IFERROR(OFFSET(ITEM_RES!$A$1,MATCH(BA16,ITEM_RES!$J:$J,0)-1,0),0)</f>
        <v>0</v>
      </c>
      <c r="BE16" s="11">
        <f ca="1">IFERROR(OFFSET(ITEM_RES!$A$1,MATCH(BF16,ITEM_RES!$J:$J,0)-1,0),0)</f>
        <v>0</v>
      </c>
      <c r="BJ16" s="11">
        <f ca="1">IFERROR(OFFSET(ITEM_RES!$A$1,MATCH(BK16,ITEM_RES!$J:$J,0)-1,0),0)</f>
        <v>0</v>
      </c>
      <c r="BL16" s="11">
        <f t="shared" si="4"/>
        <v>0</v>
      </c>
    </row>
    <row r="17" spans="1:65" x14ac:dyDescent="0.3">
      <c r="A17" s="14">
        <f t="shared" si="0"/>
        <v>111010013</v>
      </c>
      <c r="B17" s="13">
        <v>11</v>
      </c>
      <c r="C17" s="12">
        <f t="shared" si="1"/>
        <v>1</v>
      </c>
      <c r="D17" s="13">
        <v>1</v>
      </c>
      <c r="E17" s="13">
        <v>0</v>
      </c>
      <c r="F17" s="12">
        <f t="shared" si="2"/>
        <v>13</v>
      </c>
      <c r="H17" s="9">
        <v>1</v>
      </c>
      <c r="I17" s="9">
        <v>13</v>
      </c>
      <c r="K17" s="9" t="s">
        <v>601</v>
      </c>
      <c r="L17" s="9">
        <v>1</v>
      </c>
      <c r="M17" s="9">
        <v>15</v>
      </c>
      <c r="R17" s="9" t="s">
        <v>767</v>
      </c>
      <c r="U17" s="9">
        <f ca="1">IFERROR(OFFSET(ITEM_RES!$A$5,MATCH(BUILDING!T17,ITEM_RES!$J$5:$J$229,0)-1,0),0)</f>
        <v>0</v>
      </c>
      <c r="W17" s="86" t="s">
        <v>572</v>
      </c>
      <c r="X17" s="9">
        <f ca="1">IFERROR(OFFSET(ITEM_RES!$A$5,MATCH(BUILDING!W17,ITEM_RES!$J$5:$J$229,0)-1,0),0)</f>
        <v>211010101</v>
      </c>
      <c r="Z17" s="9" t="s">
        <v>542</v>
      </c>
      <c r="AA17" s="9">
        <v>13</v>
      </c>
      <c r="AC17" s="9">
        <v>14000</v>
      </c>
      <c r="AE17" s="56">
        <f t="shared" si="5"/>
        <v>7350</v>
      </c>
      <c r="AF17" s="10">
        <f t="shared" si="8"/>
        <v>13650</v>
      </c>
      <c r="AH17" s="11">
        <f t="shared" si="3"/>
        <v>65</v>
      </c>
      <c r="AI17" s="10">
        <v>65</v>
      </c>
      <c r="AJ17" s="11">
        <f t="shared" si="6"/>
        <v>350</v>
      </c>
      <c r="AK17" s="10">
        <v>350</v>
      </c>
      <c r="AL17" s="11">
        <f t="shared" si="6"/>
        <v>350</v>
      </c>
      <c r="AM17" s="10">
        <v>350</v>
      </c>
      <c r="AN17" s="56">
        <f t="shared" si="7"/>
        <v>2</v>
      </c>
      <c r="AP17" s="11">
        <f ca="1">IFERROR(OFFSET(ITEM_RES!$A$1,MATCH(AQ17,ITEM_RES!$J:$J,0)-1,0),0)</f>
        <v>211010501</v>
      </c>
      <c r="AQ17" s="10" t="s">
        <v>449</v>
      </c>
      <c r="AR17" s="11">
        <v>1750</v>
      </c>
      <c r="AU17" s="11">
        <f ca="1">IFERROR(OFFSET(ITEM_RES!$A$1,MATCH(AV17,ITEM_RES!$J:$J,0)-1,0),0)</f>
        <v>211020101</v>
      </c>
      <c r="AV17" s="10" t="s">
        <v>475</v>
      </c>
      <c r="AW17" s="11">
        <v>1750</v>
      </c>
      <c r="AZ17" s="11">
        <f ca="1">IFERROR(OFFSET(ITEM_RES!$A$1,MATCH(BA17,ITEM_RES!$J:$J,0)-1,0),0)</f>
        <v>0</v>
      </c>
      <c r="BE17" s="11">
        <f ca="1">IFERROR(OFFSET(ITEM_RES!$A$1,MATCH(BF17,ITEM_RES!$J:$J,0)-1,0),0)</f>
        <v>0</v>
      </c>
      <c r="BJ17" s="11">
        <f ca="1">IFERROR(OFFSET(ITEM_RES!$A$1,MATCH(BK17,ITEM_RES!$J:$J,0)-1,0),0)</f>
        <v>0</v>
      </c>
      <c r="BL17" s="11">
        <f t="shared" si="4"/>
        <v>0</v>
      </c>
    </row>
    <row r="18" spans="1:65" x14ac:dyDescent="0.3">
      <c r="A18" s="14">
        <f t="shared" si="0"/>
        <v>111010014</v>
      </c>
      <c r="B18" s="13">
        <v>11</v>
      </c>
      <c r="C18" s="12">
        <f t="shared" si="1"/>
        <v>1</v>
      </c>
      <c r="D18" s="13">
        <v>1</v>
      </c>
      <c r="E18" s="13">
        <v>0</v>
      </c>
      <c r="F18" s="12">
        <f t="shared" si="2"/>
        <v>14</v>
      </c>
      <c r="H18" s="9">
        <v>1</v>
      </c>
      <c r="I18" s="9">
        <v>14</v>
      </c>
      <c r="K18" s="9" t="s">
        <v>601</v>
      </c>
      <c r="L18" s="9">
        <v>1</v>
      </c>
      <c r="M18" s="9">
        <v>15</v>
      </c>
      <c r="R18" s="9" t="s">
        <v>767</v>
      </c>
      <c r="U18" s="9">
        <f ca="1">IFERROR(OFFSET(ITEM_RES!$A$5,MATCH(BUILDING!T18,ITEM_RES!$J$5:$J$229,0)-1,0),0)</f>
        <v>0</v>
      </c>
      <c r="W18" s="86" t="s">
        <v>572</v>
      </c>
      <c r="X18" s="9">
        <f ca="1">IFERROR(OFFSET(ITEM_RES!$A$5,MATCH(BUILDING!W18,ITEM_RES!$J$5:$J$229,0)-1,0),0)</f>
        <v>211010101</v>
      </c>
      <c r="Z18" s="9" t="s">
        <v>542</v>
      </c>
      <c r="AA18" s="9">
        <v>14</v>
      </c>
      <c r="AC18" s="9">
        <v>18000</v>
      </c>
      <c r="AE18" s="56">
        <f t="shared" si="5"/>
        <v>9450</v>
      </c>
      <c r="AF18" s="10">
        <f t="shared" si="8"/>
        <v>16800</v>
      </c>
      <c r="AH18" s="11">
        <f t="shared" si="3"/>
        <v>70</v>
      </c>
      <c r="AI18" s="10">
        <v>70</v>
      </c>
      <c r="AJ18" s="11">
        <f t="shared" si="6"/>
        <v>450</v>
      </c>
      <c r="AK18" s="10">
        <v>450</v>
      </c>
      <c r="AL18" s="11">
        <f t="shared" si="6"/>
        <v>450</v>
      </c>
      <c r="AM18" s="10">
        <v>450</v>
      </c>
      <c r="AN18" s="56">
        <f t="shared" si="7"/>
        <v>2</v>
      </c>
      <c r="AP18" s="11">
        <f ca="1">IFERROR(OFFSET(ITEM_RES!$A$1,MATCH(AQ18,ITEM_RES!$J:$J,0)-1,0),0)</f>
        <v>211010501</v>
      </c>
      <c r="AQ18" s="10" t="s">
        <v>449</v>
      </c>
      <c r="AR18" s="11">
        <v>2250</v>
      </c>
      <c r="AU18" s="11">
        <f ca="1">IFERROR(OFFSET(ITEM_RES!$A$1,MATCH(AV18,ITEM_RES!$J:$J,0)-1,0),0)</f>
        <v>211020101</v>
      </c>
      <c r="AV18" s="10" t="s">
        <v>475</v>
      </c>
      <c r="AW18" s="11">
        <v>2250</v>
      </c>
      <c r="AZ18" s="11">
        <f ca="1">IFERROR(OFFSET(ITEM_RES!$A$1,MATCH(BA18,ITEM_RES!$J:$J,0)-1,0),0)</f>
        <v>0</v>
      </c>
      <c r="BE18" s="11">
        <f ca="1">IFERROR(OFFSET(ITEM_RES!$A$1,MATCH(BF18,ITEM_RES!$J:$J,0)-1,0),0)</f>
        <v>0</v>
      </c>
      <c r="BJ18" s="11">
        <f ca="1">IFERROR(OFFSET(ITEM_RES!$A$1,MATCH(BK18,ITEM_RES!$J:$J,0)-1,0),0)</f>
        <v>0</v>
      </c>
      <c r="BL18" s="11">
        <f t="shared" si="4"/>
        <v>0</v>
      </c>
    </row>
    <row r="19" spans="1:65" x14ac:dyDescent="0.3">
      <c r="A19" s="14">
        <f t="shared" si="0"/>
        <v>111010015</v>
      </c>
      <c r="B19" s="13">
        <v>11</v>
      </c>
      <c r="C19" s="12">
        <f t="shared" si="1"/>
        <v>1</v>
      </c>
      <c r="D19" s="13">
        <v>1</v>
      </c>
      <c r="E19" s="13">
        <v>0</v>
      </c>
      <c r="F19" s="12">
        <f t="shared" si="2"/>
        <v>15</v>
      </c>
      <c r="H19" s="9">
        <v>1</v>
      </c>
      <c r="I19" s="9">
        <v>15</v>
      </c>
      <c r="K19" s="9" t="s">
        <v>601</v>
      </c>
      <c r="L19" s="9">
        <v>1</v>
      </c>
      <c r="M19" s="9">
        <v>15</v>
      </c>
      <c r="R19" s="9" t="s">
        <v>767</v>
      </c>
      <c r="U19" s="9">
        <f ca="1">IFERROR(OFFSET(ITEM_RES!$A$5,MATCH(BUILDING!T19,ITEM_RES!$J$5:$J$229,0)-1,0),0)</f>
        <v>0</v>
      </c>
      <c r="W19" s="86" t="s">
        <v>572</v>
      </c>
      <c r="X19" s="9">
        <f ca="1">IFERROR(OFFSET(ITEM_RES!$A$5,MATCH(BUILDING!W19,ITEM_RES!$J$5:$J$229,0)-1,0),0)</f>
        <v>211010101</v>
      </c>
      <c r="Z19" s="9" t="s">
        <v>542</v>
      </c>
      <c r="AA19" s="9">
        <v>15</v>
      </c>
      <c r="AC19" s="9">
        <v>22000</v>
      </c>
      <c r="AE19" s="56">
        <f t="shared" si="5"/>
        <v>11550</v>
      </c>
      <c r="AF19" s="10">
        <f t="shared" si="8"/>
        <v>21000</v>
      </c>
      <c r="AH19" s="11">
        <f t="shared" si="3"/>
        <v>75</v>
      </c>
      <c r="AI19" s="10">
        <v>75</v>
      </c>
      <c r="AJ19" s="11">
        <f t="shared" si="6"/>
        <v>550</v>
      </c>
      <c r="AK19" s="10">
        <v>550</v>
      </c>
      <c r="AL19" s="11">
        <f t="shared" si="6"/>
        <v>550</v>
      </c>
      <c r="AM19" s="10">
        <v>550</v>
      </c>
      <c r="AN19" s="56">
        <f t="shared" si="7"/>
        <v>2</v>
      </c>
      <c r="AP19" s="11">
        <f ca="1">IFERROR(OFFSET(ITEM_RES!$A$1,MATCH(AQ19,ITEM_RES!$J:$J,0)-1,0),0)</f>
        <v>211010501</v>
      </c>
      <c r="AQ19" s="10" t="s">
        <v>449</v>
      </c>
      <c r="AR19" s="11">
        <v>2750</v>
      </c>
      <c r="AU19" s="11">
        <f ca="1">IFERROR(OFFSET(ITEM_RES!$A$1,MATCH(AV19,ITEM_RES!$J:$J,0)-1,0),0)</f>
        <v>211020101</v>
      </c>
      <c r="AV19" s="10" t="s">
        <v>475</v>
      </c>
      <c r="AW19" s="11">
        <v>2750</v>
      </c>
      <c r="AZ19" s="11">
        <f ca="1">IFERROR(OFFSET(ITEM_RES!$A$1,MATCH(BA19,ITEM_RES!$J:$J,0)-1,0),0)</f>
        <v>0</v>
      </c>
      <c r="BE19" s="11">
        <f ca="1">IFERROR(OFFSET(ITEM_RES!$A$1,MATCH(BF19,ITEM_RES!$J:$J,0)-1,0),0)</f>
        <v>0</v>
      </c>
      <c r="BJ19" s="11">
        <f ca="1">IFERROR(OFFSET(ITEM_RES!$A$1,MATCH(BK19,ITEM_RES!$J:$J,0)-1,0),0)</f>
        <v>0</v>
      </c>
      <c r="BL19" s="11">
        <f t="shared" si="4"/>
        <v>0</v>
      </c>
    </row>
    <row r="20" spans="1:65" x14ac:dyDescent="0.3">
      <c r="A20" s="14">
        <f t="shared" si="0"/>
        <v>111010016</v>
      </c>
      <c r="B20" s="13">
        <v>11</v>
      </c>
      <c r="C20" s="12">
        <f t="shared" si="1"/>
        <v>1</v>
      </c>
      <c r="D20" s="13">
        <v>1</v>
      </c>
      <c r="E20" s="13">
        <v>0</v>
      </c>
      <c r="F20" s="12">
        <f t="shared" si="2"/>
        <v>16</v>
      </c>
      <c r="H20" s="9">
        <v>1</v>
      </c>
      <c r="I20" s="9">
        <v>16</v>
      </c>
      <c r="K20" s="9" t="s">
        <v>601</v>
      </c>
      <c r="L20" s="9">
        <v>0</v>
      </c>
      <c r="M20" s="9">
        <v>15</v>
      </c>
      <c r="R20" s="9" t="s">
        <v>768</v>
      </c>
      <c r="U20" s="9">
        <f ca="1">IFERROR(OFFSET(ITEM_RES!$A$5,MATCH(BUILDING!T20,ITEM_RES!$J$5:$J$229,0)-1,0),0)</f>
        <v>0</v>
      </c>
      <c r="W20" s="86" t="s">
        <v>572</v>
      </c>
      <c r="X20" s="9">
        <f ca="1">IFERROR(OFFSET(ITEM_RES!$A$5,MATCH(BUILDING!W20,ITEM_RES!$J$5:$J$229,0)-1,0),0)</f>
        <v>211010101</v>
      </c>
      <c r="Z20" s="9" t="s">
        <v>542</v>
      </c>
      <c r="AA20" s="9">
        <v>16</v>
      </c>
      <c r="AC20" s="9">
        <v>28000</v>
      </c>
      <c r="AE20" s="56">
        <f t="shared" si="5"/>
        <v>14700</v>
      </c>
      <c r="AF20" s="10">
        <f t="shared" si="8"/>
        <v>26250</v>
      </c>
      <c r="AH20" s="11">
        <f t="shared" si="3"/>
        <v>80</v>
      </c>
      <c r="AI20" s="10">
        <v>80</v>
      </c>
      <c r="AJ20" s="11">
        <f t="shared" si="6"/>
        <v>700</v>
      </c>
      <c r="AK20" s="10">
        <v>700</v>
      </c>
      <c r="AL20" s="11">
        <f t="shared" si="6"/>
        <v>700</v>
      </c>
      <c r="AM20" s="10">
        <v>700</v>
      </c>
      <c r="AN20" s="56">
        <f t="shared" si="7"/>
        <v>2</v>
      </c>
      <c r="AP20" s="11">
        <f ca="1">IFERROR(OFFSET(ITEM_RES!$A$1,MATCH(AQ20,ITEM_RES!$J:$J,0)-1,0),0)</f>
        <v>211010601</v>
      </c>
      <c r="AQ20" s="10" t="s">
        <v>466</v>
      </c>
      <c r="AR20" s="11">
        <v>3500</v>
      </c>
      <c r="AU20" s="11">
        <f ca="1">IFERROR(OFFSET(ITEM_RES!$A$1,MATCH(AV20,ITEM_RES!$J:$J,0)-1,0),0)</f>
        <v>211020101</v>
      </c>
      <c r="AV20" s="10" t="s">
        <v>475</v>
      </c>
      <c r="AW20" s="11">
        <v>3500</v>
      </c>
      <c r="AZ20" s="11">
        <f ca="1">IFERROR(OFFSET(ITEM_RES!$A$1,MATCH(BA20,ITEM_RES!$J:$J,0)-1,0),0)</f>
        <v>0</v>
      </c>
      <c r="BE20" s="11">
        <f ca="1">IFERROR(OFFSET(ITEM_RES!$A$1,MATCH(BF20,ITEM_RES!$J:$J,0)-1,0),0)</f>
        <v>0</v>
      </c>
      <c r="BJ20" s="11">
        <f ca="1">IFERROR(OFFSET(ITEM_RES!$A$1,MATCH(BK20,ITEM_RES!$J:$J,0)-1,0),0)</f>
        <v>0</v>
      </c>
      <c r="BL20" s="11">
        <f t="shared" si="4"/>
        <v>0</v>
      </c>
    </row>
    <row r="21" spans="1:65" x14ac:dyDescent="0.3">
      <c r="A21" s="14">
        <f t="shared" si="0"/>
        <v>111010017</v>
      </c>
      <c r="B21" s="13">
        <v>11</v>
      </c>
      <c r="C21" s="12">
        <f t="shared" si="1"/>
        <v>1</v>
      </c>
      <c r="D21" s="13">
        <v>1</v>
      </c>
      <c r="E21" s="13">
        <v>0</v>
      </c>
      <c r="F21" s="12">
        <f t="shared" si="2"/>
        <v>17</v>
      </c>
      <c r="H21" s="9">
        <v>1</v>
      </c>
      <c r="I21" s="9">
        <v>17</v>
      </c>
      <c r="K21" s="9" t="s">
        <v>601</v>
      </c>
      <c r="L21" s="9">
        <v>0</v>
      </c>
      <c r="M21" s="9">
        <v>15</v>
      </c>
      <c r="R21" s="9" t="s">
        <v>768</v>
      </c>
      <c r="U21" s="9">
        <f ca="1">IFERROR(OFFSET(ITEM_RES!$A$5,MATCH(BUILDING!T21,ITEM_RES!$J$5:$J$229,0)-1,0),0)</f>
        <v>0</v>
      </c>
      <c r="W21" s="86" t="s">
        <v>572</v>
      </c>
      <c r="X21" s="9">
        <f ca="1">IFERROR(OFFSET(ITEM_RES!$A$5,MATCH(BUILDING!W21,ITEM_RES!$J$5:$J$229,0)-1,0),0)</f>
        <v>211010101</v>
      </c>
      <c r="Z21" s="9" t="s">
        <v>542</v>
      </c>
      <c r="AA21" s="9">
        <v>17</v>
      </c>
      <c r="AC21" s="9">
        <v>34000</v>
      </c>
      <c r="AE21" s="56">
        <f t="shared" si="5"/>
        <v>17850</v>
      </c>
      <c r="AF21" s="10">
        <f t="shared" si="8"/>
        <v>32550</v>
      </c>
      <c r="AH21" s="11">
        <f t="shared" si="3"/>
        <v>85</v>
      </c>
      <c r="AI21" s="10">
        <v>85</v>
      </c>
      <c r="AJ21" s="11">
        <f t="shared" si="6"/>
        <v>850</v>
      </c>
      <c r="AK21" s="10">
        <v>850</v>
      </c>
      <c r="AL21" s="11">
        <f t="shared" si="6"/>
        <v>850</v>
      </c>
      <c r="AM21" s="10">
        <v>850</v>
      </c>
      <c r="AN21" s="56">
        <f t="shared" si="7"/>
        <v>2</v>
      </c>
      <c r="AP21" s="11">
        <f ca="1">IFERROR(OFFSET(ITEM_RES!$A$1,MATCH(AQ21,ITEM_RES!$J:$J,0)-1,0),0)</f>
        <v>211010601</v>
      </c>
      <c r="AQ21" s="10" t="s">
        <v>466</v>
      </c>
      <c r="AR21" s="11">
        <v>4250</v>
      </c>
      <c r="AU21" s="11">
        <f ca="1">IFERROR(OFFSET(ITEM_RES!$A$1,MATCH(AV21,ITEM_RES!$J:$J,0)-1,0),0)</f>
        <v>211020101</v>
      </c>
      <c r="AV21" s="10" t="s">
        <v>475</v>
      </c>
      <c r="AW21" s="11">
        <v>4250</v>
      </c>
      <c r="AZ21" s="11">
        <f ca="1">IFERROR(OFFSET(ITEM_RES!$A$1,MATCH(BA21,ITEM_RES!$J:$J,0)-1,0),0)</f>
        <v>0</v>
      </c>
      <c r="BE21" s="11">
        <f ca="1">IFERROR(OFFSET(ITEM_RES!$A$1,MATCH(BF21,ITEM_RES!$J:$J,0)-1,0),0)</f>
        <v>0</v>
      </c>
      <c r="BJ21" s="11">
        <f ca="1">IFERROR(OFFSET(ITEM_RES!$A$1,MATCH(BK21,ITEM_RES!$J:$J,0)-1,0),0)</f>
        <v>0</v>
      </c>
      <c r="BL21" s="11">
        <f t="shared" si="4"/>
        <v>0</v>
      </c>
    </row>
    <row r="22" spans="1:65" x14ac:dyDescent="0.3">
      <c r="A22" s="14">
        <f t="shared" si="0"/>
        <v>111010018</v>
      </c>
      <c r="B22" s="13">
        <v>11</v>
      </c>
      <c r="C22" s="12">
        <f t="shared" si="1"/>
        <v>1</v>
      </c>
      <c r="D22" s="13">
        <v>1</v>
      </c>
      <c r="E22" s="13">
        <v>0</v>
      </c>
      <c r="F22" s="12">
        <f t="shared" si="2"/>
        <v>18</v>
      </c>
      <c r="H22" s="9">
        <v>1</v>
      </c>
      <c r="I22" s="9">
        <v>18</v>
      </c>
      <c r="K22" s="9" t="s">
        <v>601</v>
      </c>
      <c r="L22" s="9">
        <v>0</v>
      </c>
      <c r="M22" s="9">
        <v>15</v>
      </c>
      <c r="R22" s="9" t="s">
        <v>768</v>
      </c>
      <c r="U22" s="9">
        <f ca="1">IFERROR(OFFSET(ITEM_RES!$A$5,MATCH(BUILDING!T22,ITEM_RES!$J$5:$J$229,0)-1,0),0)</f>
        <v>0</v>
      </c>
      <c r="W22" s="86" t="s">
        <v>572</v>
      </c>
      <c r="X22" s="9">
        <f ca="1">IFERROR(OFFSET(ITEM_RES!$A$5,MATCH(BUILDING!W22,ITEM_RES!$J$5:$J$229,0)-1,0),0)</f>
        <v>211010101</v>
      </c>
      <c r="Z22" s="9" t="s">
        <v>542</v>
      </c>
      <c r="AA22" s="9">
        <v>18</v>
      </c>
      <c r="AC22" s="9">
        <v>42000</v>
      </c>
      <c r="AE22" s="56">
        <f t="shared" si="5"/>
        <v>22050</v>
      </c>
      <c r="AF22" s="10">
        <f t="shared" si="8"/>
        <v>39900</v>
      </c>
      <c r="AH22" s="11">
        <f t="shared" si="3"/>
        <v>90</v>
      </c>
      <c r="AI22" s="10">
        <v>90</v>
      </c>
      <c r="AJ22" s="11">
        <f t="shared" si="6"/>
        <v>1050</v>
      </c>
      <c r="AK22" s="10">
        <v>1050</v>
      </c>
      <c r="AL22" s="11">
        <f t="shared" si="6"/>
        <v>1050</v>
      </c>
      <c r="AM22" s="10">
        <v>1050</v>
      </c>
      <c r="AN22" s="56">
        <f t="shared" si="7"/>
        <v>2</v>
      </c>
      <c r="AP22" s="11">
        <f ca="1">IFERROR(OFFSET(ITEM_RES!$A$1,MATCH(AQ22,ITEM_RES!$J:$J,0)-1,0),0)</f>
        <v>211010601</v>
      </c>
      <c r="AQ22" s="10" t="s">
        <v>466</v>
      </c>
      <c r="AR22" s="11">
        <v>5250</v>
      </c>
      <c r="AU22" s="11">
        <f ca="1">IFERROR(OFFSET(ITEM_RES!$A$1,MATCH(AV22,ITEM_RES!$J:$J,0)-1,0),0)</f>
        <v>211020101</v>
      </c>
      <c r="AV22" s="10" t="s">
        <v>475</v>
      </c>
      <c r="AW22" s="11">
        <v>5250</v>
      </c>
      <c r="AZ22" s="11">
        <f ca="1">IFERROR(OFFSET(ITEM_RES!$A$1,MATCH(BA22,ITEM_RES!$J:$J,0)-1,0),0)</f>
        <v>0</v>
      </c>
      <c r="BE22" s="11">
        <f ca="1">IFERROR(OFFSET(ITEM_RES!$A$1,MATCH(BF22,ITEM_RES!$J:$J,0)-1,0),0)</f>
        <v>0</v>
      </c>
      <c r="BJ22" s="11">
        <f ca="1">IFERROR(OFFSET(ITEM_RES!$A$1,MATCH(BK22,ITEM_RES!$J:$J,0)-1,0),0)</f>
        <v>0</v>
      </c>
      <c r="BL22" s="11">
        <f t="shared" si="4"/>
        <v>0</v>
      </c>
    </row>
    <row r="23" spans="1:65" x14ac:dyDescent="0.3">
      <c r="A23" s="14">
        <f t="shared" si="0"/>
        <v>111010019</v>
      </c>
      <c r="B23" s="13">
        <v>11</v>
      </c>
      <c r="C23" s="12">
        <f t="shared" si="1"/>
        <v>1</v>
      </c>
      <c r="D23" s="13">
        <v>1</v>
      </c>
      <c r="E23" s="13">
        <v>0</v>
      </c>
      <c r="F23" s="12">
        <f t="shared" si="2"/>
        <v>19</v>
      </c>
      <c r="H23" s="9">
        <v>1</v>
      </c>
      <c r="I23" s="9">
        <v>19</v>
      </c>
      <c r="K23" s="9" t="s">
        <v>601</v>
      </c>
      <c r="L23" s="9">
        <v>0</v>
      </c>
      <c r="M23" s="9">
        <v>15</v>
      </c>
      <c r="R23" s="9" t="s">
        <v>768</v>
      </c>
      <c r="U23" s="9">
        <f ca="1">IFERROR(OFFSET(ITEM_RES!$A$5,MATCH(BUILDING!T23,ITEM_RES!$J$5:$J$229,0)-1,0),0)</f>
        <v>0</v>
      </c>
      <c r="W23" s="86" t="s">
        <v>572</v>
      </c>
      <c r="X23" s="9">
        <f ca="1">IFERROR(OFFSET(ITEM_RES!$A$5,MATCH(BUILDING!W23,ITEM_RES!$J$5:$J$229,0)-1,0),0)</f>
        <v>211010101</v>
      </c>
      <c r="Z23" s="9" t="s">
        <v>542</v>
      </c>
      <c r="AA23" s="9">
        <v>19</v>
      </c>
      <c r="AC23" s="9">
        <v>50000</v>
      </c>
      <c r="AE23" s="56">
        <f t="shared" si="5"/>
        <v>26250</v>
      </c>
      <c r="AF23" s="10">
        <f t="shared" si="8"/>
        <v>48300</v>
      </c>
      <c r="AH23" s="11">
        <f t="shared" si="3"/>
        <v>95</v>
      </c>
      <c r="AI23" s="10">
        <v>95</v>
      </c>
      <c r="AJ23" s="11">
        <f t="shared" si="6"/>
        <v>1250</v>
      </c>
      <c r="AK23" s="10">
        <v>1250</v>
      </c>
      <c r="AL23" s="11">
        <f t="shared" si="6"/>
        <v>1250</v>
      </c>
      <c r="AM23" s="10">
        <v>1250</v>
      </c>
      <c r="AN23" s="56">
        <f t="shared" si="7"/>
        <v>2</v>
      </c>
      <c r="AP23" s="11">
        <f ca="1">IFERROR(OFFSET(ITEM_RES!$A$1,MATCH(AQ23,ITEM_RES!$J:$J,0)-1,0),0)</f>
        <v>211010601</v>
      </c>
      <c r="AQ23" s="10" t="s">
        <v>466</v>
      </c>
      <c r="AR23" s="11">
        <v>6250</v>
      </c>
      <c r="AU23" s="11">
        <f ca="1">IFERROR(OFFSET(ITEM_RES!$A$1,MATCH(AV23,ITEM_RES!$J:$J,0)-1,0),0)</f>
        <v>211020101</v>
      </c>
      <c r="AV23" s="10" t="s">
        <v>475</v>
      </c>
      <c r="AW23" s="11">
        <v>6250</v>
      </c>
      <c r="AZ23" s="11">
        <f ca="1">IFERROR(OFFSET(ITEM_RES!$A$1,MATCH(BA23,ITEM_RES!$J:$J,0)-1,0),0)</f>
        <v>0</v>
      </c>
      <c r="BE23" s="11">
        <f ca="1">IFERROR(OFFSET(ITEM_RES!$A$1,MATCH(BF23,ITEM_RES!$J:$J,0)-1,0),0)</f>
        <v>0</v>
      </c>
      <c r="BJ23" s="11">
        <f ca="1">IFERROR(OFFSET(ITEM_RES!$A$1,MATCH(BK23,ITEM_RES!$J:$J,0)-1,0),0)</f>
        <v>0</v>
      </c>
      <c r="BL23" s="11">
        <f t="shared" si="4"/>
        <v>0</v>
      </c>
    </row>
    <row r="24" spans="1:65" ht="17.25" thickBot="1" x14ac:dyDescent="0.35">
      <c r="A24" s="14">
        <f t="shared" si="0"/>
        <v>111010020</v>
      </c>
      <c r="B24" s="13">
        <v>11</v>
      </c>
      <c r="C24" s="12">
        <f t="shared" si="1"/>
        <v>1</v>
      </c>
      <c r="D24" s="13">
        <v>1</v>
      </c>
      <c r="E24" s="13">
        <v>0</v>
      </c>
      <c r="F24" s="12">
        <f t="shared" si="2"/>
        <v>20</v>
      </c>
      <c r="H24" s="9">
        <v>1</v>
      </c>
      <c r="I24" s="9">
        <v>20</v>
      </c>
      <c r="K24" s="9" t="s">
        <v>601</v>
      </c>
      <c r="L24" s="9">
        <v>0</v>
      </c>
      <c r="M24" s="9">
        <v>15</v>
      </c>
      <c r="R24" s="9" t="s">
        <v>769</v>
      </c>
      <c r="U24" s="9">
        <f ca="1">IFERROR(OFFSET(ITEM_RES!$A$5,MATCH(BUILDING!T24,ITEM_RES!$J$5:$J$229,0)-1,0),0)</f>
        <v>0</v>
      </c>
      <c r="W24" s="86" t="s">
        <v>572</v>
      </c>
      <c r="X24" s="9">
        <f ca="1">IFERROR(OFFSET(ITEM_RES!$A$5,MATCH(BUILDING!W24,ITEM_RES!$J$5:$J$229,0)-1,0),0)</f>
        <v>211010101</v>
      </c>
      <c r="Z24" s="9" t="s">
        <v>542</v>
      </c>
      <c r="AA24" s="9">
        <v>20</v>
      </c>
      <c r="AC24" s="9">
        <v>60000</v>
      </c>
      <c r="AE24" s="56">
        <f t="shared" si="5"/>
        <v>31500</v>
      </c>
      <c r="AF24" s="10">
        <f t="shared" si="8"/>
        <v>57750</v>
      </c>
      <c r="AH24" s="11">
        <f t="shared" si="3"/>
        <v>100</v>
      </c>
      <c r="AI24" s="10">
        <v>100</v>
      </c>
      <c r="AJ24" s="11">
        <f t="shared" si="6"/>
        <v>1500</v>
      </c>
      <c r="AK24" s="10">
        <v>1500</v>
      </c>
      <c r="AL24" s="11">
        <f t="shared" si="6"/>
        <v>1500</v>
      </c>
      <c r="AM24" s="10">
        <v>1500</v>
      </c>
      <c r="AN24" s="56">
        <f t="shared" si="7"/>
        <v>2</v>
      </c>
      <c r="AP24" s="11">
        <f ca="1">IFERROR(OFFSET(ITEM_RES!$A$1,MATCH(AQ24,ITEM_RES!$J:$J,0)-1,0),0)</f>
        <v>211010601</v>
      </c>
      <c r="AQ24" s="10" t="s">
        <v>466</v>
      </c>
      <c r="AR24" s="11">
        <v>7500</v>
      </c>
      <c r="AU24" s="11">
        <f ca="1">IFERROR(OFFSET(ITEM_RES!$A$1,MATCH(AV24,ITEM_RES!$J:$J,0)-1,0),0)</f>
        <v>211020101</v>
      </c>
      <c r="AV24" s="10" t="s">
        <v>475</v>
      </c>
      <c r="AW24" s="11">
        <v>7500</v>
      </c>
      <c r="AZ24" s="11">
        <f ca="1">IFERROR(OFFSET(ITEM_RES!$A$1,MATCH(BA24,ITEM_RES!$J:$J,0)-1,0),0)</f>
        <v>0</v>
      </c>
      <c r="BE24" s="11">
        <f ca="1">IFERROR(OFFSET(ITEM_RES!$A$1,MATCH(BF24,ITEM_RES!$J:$J,0)-1,0),0)</f>
        <v>0</v>
      </c>
      <c r="BJ24" s="11">
        <f ca="1">IFERROR(OFFSET(ITEM_RES!$A$1,MATCH(BK24,ITEM_RES!$J:$J,0)-1,0),0)</f>
        <v>0</v>
      </c>
      <c r="BL24" s="11">
        <f t="shared" si="4"/>
        <v>0</v>
      </c>
    </row>
    <row r="25" spans="1:65" s="15" customFormat="1" x14ac:dyDescent="0.3">
      <c r="A25" s="21">
        <f t="shared" si="0"/>
        <v>111020001</v>
      </c>
      <c r="B25" s="20">
        <v>11</v>
      </c>
      <c r="C25" s="19">
        <f t="shared" si="1"/>
        <v>1</v>
      </c>
      <c r="D25" s="20">
        <v>2</v>
      </c>
      <c r="E25" s="20">
        <v>0</v>
      </c>
      <c r="F25" s="19">
        <f t="shared" si="2"/>
        <v>1</v>
      </c>
      <c r="G25" s="80"/>
      <c r="H25" s="16">
        <v>1</v>
      </c>
      <c r="I25" s="16">
        <v>1</v>
      </c>
      <c r="J25" s="80"/>
      <c r="K25" s="16" t="s">
        <v>602</v>
      </c>
      <c r="L25" s="16">
        <v>1</v>
      </c>
      <c r="M25" s="16">
        <v>15</v>
      </c>
      <c r="N25" s="16"/>
      <c r="O25" s="17"/>
      <c r="P25" s="17"/>
      <c r="Q25" s="18"/>
      <c r="R25" s="16" t="s">
        <v>771</v>
      </c>
      <c r="S25" s="80"/>
      <c r="T25" s="88"/>
      <c r="U25" s="16">
        <f ca="1">IFERROR(OFFSET(ITEM_RES!$A$5,MATCH(BUILDING!T25,ITEM_RES!$J$5:$J$229,0)-1,0),0)</f>
        <v>0</v>
      </c>
      <c r="V25" s="18"/>
      <c r="W25" s="88" t="s">
        <v>573</v>
      </c>
      <c r="X25" s="16">
        <f ca="1">IFERROR(OFFSET(ITEM_RES!$A$5,MATCH(BUILDING!W25,ITEM_RES!$J$5:$J$229,0)-1,0),0)</f>
        <v>211010201</v>
      </c>
      <c r="Y25" s="80"/>
      <c r="Z25" s="16" t="s">
        <v>543</v>
      </c>
      <c r="AA25" s="16">
        <v>1</v>
      </c>
      <c r="AB25" s="80"/>
      <c r="AC25" s="16">
        <v>0</v>
      </c>
      <c r="AD25" s="80"/>
      <c r="AE25" s="57">
        <f t="shared" si="5"/>
        <v>605</v>
      </c>
      <c r="AF25" s="17">
        <f>AE25</f>
        <v>605</v>
      </c>
      <c r="AG25" s="80"/>
      <c r="AH25" s="18">
        <f t="shared" si="3"/>
        <v>5</v>
      </c>
      <c r="AI25" s="17">
        <v>5</v>
      </c>
      <c r="AJ25" s="18">
        <f t="shared" si="6"/>
        <v>5</v>
      </c>
      <c r="AK25" s="17">
        <v>5</v>
      </c>
      <c r="AL25" s="18">
        <f t="shared" si="6"/>
        <v>5</v>
      </c>
      <c r="AM25" s="17">
        <v>5</v>
      </c>
      <c r="AN25" s="57">
        <f t="shared" si="7"/>
        <v>3</v>
      </c>
      <c r="AO25" s="18"/>
      <c r="AP25" s="18">
        <f ca="1">IFERROR(OFFSET(ITEM_RES!$A$1,MATCH(AQ25,ITEM_RES!$J:$J,0)-1,0),0)</f>
        <v>211010501</v>
      </c>
      <c r="AQ25" s="17" t="s">
        <v>450</v>
      </c>
      <c r="AR25" s="18">
        <v>25</v>
      </c>
      <c r="AS25" s="17"/>
      <c r="AT25" s="18"/>
      <c r="AU25" s="18">
        <f ca="1">IFERROR(OFFSET(ITEM_RES!$A$1,MATCH(AV25,ITEM_RES!$J:$J,0)-1,0),0)</f>
        <v>211020101</v>
      </c>
      <c r="AV25" s="17" t="s">
        <v>475</v>
      </c>
      <c r="AW25" s="18">
        <v>25</v>
      </c>
      <c r="AX25" s="17"/>
      <c r="AY25" s="18"/>
      <c r="AZ25" s="18">
        <f ca="1">IFERROR(OFFSET(ITEM_RES!$A$1,MATCH(BA25,ITEM_RES!$J:$J,0)-1,0),0)</f>
        <v>213010101</v>
      </c>
      <c r="BA25" s="17" t="s">
        <v>481</v>
      </c>
      <c r="BB25" s="18">
        <v>1</v>
      </c>
      <c r="BC25" s="17"/>
      <c r="BD25" s="18"/>
      <c r="BE25" s="18">
        <f ca="1">IFERROR(OFFSET(ITEM_RES!$A$1,MATCH(BF25,ITEM_RES!$J:$J,0)-1,0),0)</f>
        <v>0</v>
      </c>
      <c r="BF25" s="17"/>
      <c r="BG25" s="18"/>
      <c r="BH25" s="17"/>
      <c r="BI25" s="18"/>
      <c r="BJ25" s="18">
        <f ca="1">IFERROR(OFFSET(ITEM_RES!$A$1,MATCH(BK25,ITEM_RES!$J:$J,0)-1,0),0)</f>
        <v>0</v>
      </c>
      <c r="BK25" s="17"/>
      <c r="BL25" s="18">
        <f t="shared" si="4"/>
        <v>0</v>
      </c>
      <c r="BM25" s="17"/>
    </row>
    <row r="26" spans="1:65" x14ac:dyDescent="0.3">
      <c r="A26" s="14">
        <f t="shared" si="0"/>
        <v>111020002</v>
      </c>
      <c r="B26" s="13">
        <v>11</v>
      </c>
      <c r="C26" s="12">
        <f t="shared" si="1"/>
        <v>1</v>
      </c>
      <c r="D26" s="13">
        <v>2</v>
      </c>
      <c r="E26" s="13">
        <v>0</v>
      </c>
      <c r="F26" s="12">
        <f t="shared" si="2"/>
        <v>2</v>
      </c>
      <c r="H26" s="9">
        <v>1</v>
      </c>
      <c r="I26" s="9">
        <v>2</v>
      </c>
      <c r="K26" s="9" t="s">
        <v>357</v>
      </c>
      <c r="L26" s="9">
        <v>1</v>
      </c>
      <c r="M26" s="9">
        <v>15</v>
      </c>
      <c r="R26" s="9" t="s">
        <v>771</v>
      </c>
      <c r="U26" s="9">
        <f ca="1">IFERROR(OFFSET(ITEM_RES!$A$5,MATCH(BUILDING!T26,ITEM_RES!$J$5:$J$229,0)-1,0),0)</f>
        <v>0</v>
      </c>
      <c r="W26" s="86" t="s">
        <v>573</v>
      </c>
      <c r="X26" s="9">
        <f ca="1">IFERROR(OFFSET(ITEM_RES!$A$5,MATCH(BUILDING!W26,ITEM_RES!$J$5:$J$229,0)-1,0),0)</f>
        <v>211010201</v>
      </c>
      <c r="Z26" s="9" t="s">
        <v>543</v>
      </c>
      <c r="AA26" s="9">
        <v>2</v>
      </c>
      <c r="AC26" s="9">
        <v>200</v>
      </c>
      <c r="AE26" s="56">
        <f t="shared" si="5"/>
        <v>210</v>
      </c>
      <c r="AF26" s="10">
        <f>AE25+AE26</f>
        <v>815</v>
      </c>
      <c r="AH26" s="11">
        <f t="shared" si="3"/>
        <v>10</v>
      </c>
      <c r="AI26" s="10">
        <v>10</v>
      </c>
      <c r="AJ26" s="11">
        <f t="shared" si="6"/>
        <v>10</v>
      </c>
      <c r="AK26" s="10">
        <v>10</v>
      </c>
      <c r="AL26" s="11">
        <f t="shared" si="6"/>
        <v>10</v>
      </c>
      <c r="AM26" s="10">
        <v>10</v>
      </c>
      <c r="AN26" s="56">
        <f t="shared" si="7"/>
        <v>2</v>
      </c>
      <c r="AP26" s="11">
        <f ca="1">IFERROR(OFFSET(ITEM_RES!$A$1,MATCH(AQ26,ITEM_RES!$J:$J,0)-1,0),0)</f>
        <v>211010501</v>
      </c>
      <c r="AQ26" s="10" t="s">
        <v>450</v>
      </c>
      <c r="AR26" s="11">
        <v>50</v>
      </c>
      <c r="AU26" s="11">
        <f ca="1">IFERROR(OFFSET(ITEM_RES!$A$1,MATCH(AV26,ITEM_RES!$J:$J,0)-1,0),0)</f>
        <v>211020101</v>
      </c>
      <c r="AV26" s="10" t="s">
        <v>475</v>
      </c>
      <c r="AW26" s="11">
        <v>50</v>
      </c>
      <c r="AZ26" s="11">
        <f ca="1">IFERROR(OFFSET(ITEM_RES!$A$1,MATCH(BA26,ITEM_RES!$J:$J,0)-1,0),0)</f>
        <v>0</v>
      </c>
      <c r="BE26" s="11">
        <f ca="1">IFERROR(OFFSET(ITEM_RES!$A$1,MATCH(BF26,ITEM_RES!$J:$J,0)-1,0),0)</f>
        <v>0</v>
      </c>
      <c r="BJ26" s="11">
        <f ca="1">IFERROR(OFFSET(ITEM_RES!$A$1,MATCH(BK26,ITEM_RES!$J:$J,0)-1,0),0)</f>
        <v>0</v>
      </c>
      <c r="BL26" s="11">
        <f t="shared" si="4"/>
        <v>0</v>
      </c>
    </row>
    <row r="27" spans="1:65" x14ac:dyDescent="0.3">
      <c r="A27" s="14">
        <f t="shared" si="0"/>
        <v>111020003</v>
      </c>
      <c r="B27" s="13">
        <v>11</v>
      </c>
      <c r="C27" s="12">
        <f t="shared" si="1"/>
        <v>1</v>
      </c>
      <c r="D27" s="13">
        <v>2</v>
      </c>
      <c r="E27" s="13">
        <v>0</v>
      </c>
      <c r="F27" s="12">
        <f t="shared" si="2"/>
        <v>3</v>
      </c>
      <c r="H27" s="9">
        <v>1</v>
      </c>
      <c r="I27" s="9">
        <v>3</v>
      </c>
      <c r="K27" s="9" t="s">
        <v>357</v>
      </c>
      <c r="L27" s="9">
        <v>1</v>
      </c>
      <c r="M27" s="9">
        <v>15</v>
      </c>
      <c r="R27" s="9" t="s">
        <v>771</v>
      </c>
      <c r="U27" s="9">
        <f ca="1">IFERROR(OFFSET(ITEM_RES!$A$5,MATCH(BUILDING!T27,ITEM_RES!$J$5:$J$229,0)-1,0),0)</f>
        <v>0</v>
      </c>
      <c r="W27" s="86" t="s">
        <v>573</v>
      </c>
      <c r="X27" s="9">
        <f ca="1">IFERROR(OFFSET(ITEM_RES!$A$5,MATCH(BUILDING!W27,ITEM_RES!$J$5:$J$229,0)-1,0),0)</f>
        <v>211010201</v>
      </c>
      <c r="Z27" s="9" t="s">
        <v>543</v>
      </c>
      <c r="AA27" s="9">
        <v>3</v>
      </c>
      <c r="AC27" s="9">
        <v>600</v>
      </c>
      <c r="AE27" s="56">
        <f t="shared" si="5"/>
        <v>315</v>
      </c>
      <c r="AF27" s="10">
        <f t="shared" ref="AF27:AF44" si="9">AE26+AE27</f>
        <v>525</v>
      </c>
      <c r="AH27" s="11">
        <f t="shared" si="3"/>
        <v>15</v>
      </c>
      <c r="AI27" s="10">
        <v>15</v>
      </c>
      <c r="AJ27" s="11">
        <f t="shared" si="6"/>
        <v>15</v>
      </c>
      <c r="AK27" s="10">
        <v>15</v>
      </c>
      <c r="AL27" s="11">
        <f t="shared" si="6"/>
        <v>15</v>
      </c>
      <c r="AM27" s="10">
        <v>15</v>
      </c>
      <c r="AN27" s="56">
        <f t="shared" si="7"/>
        <v>2</v>
      </c>
      <c r="AP27" s="11">
        <f ca="1">IFERROR(OFFSET(ITEM_RES!$A$1,MATCH(AQ27,ITEM_RES!$J:$J,0)-1,0),0)</f>
        <v>211010501</v>
      </c>
      <c r="AQ27" s="10" t="s">
        <v>450</v>
      </c>
      <c r="AR27" s="11">
        <v>75</v>
      </c>
      <c r="AU27" s="11">
        <f ca="1">IFERROR(OFFSET(ITEM_RES!$A$1,MATCH(AV27,ITEM_RES!$J:$J,0)-1,0),0)</f>
        <v>211020101</v>
      </c>
      <c r="AV27" s="10" t="s">
        <v>475</v>
      </c>
      <c r="AW27" s="11">
        <v>75</v>
      </c>
      <c r="AZ27" s="11">
        <f ca="1">IFERROR(OFFSET(ITEM_RES!$A$1,MATCH(BA27,ITEM_RES!$J:$J,0)-1,0),0)</f>
        <v>0</v>
      </c>
      <c r="BE27" s="11">
        <f ca="1">IFERROR(OFFSET(ITEM_RES!$A$1,MATCH(BF27,ITEM_RES!$J:$J,0)-1,0),0)</f>
        <v>0</v>
      </c>
      <c r="BJ27" s="11">
        <f ca="1">IFERROR(OFFSET(ITEM_RES!$A$1,MATCH(BK27,ITEM_RES!$J:$J,0)-1,0),0)</f>
        <v>0</v>
      </c>
      <c r="BL27" s="11">
        <f t="shared" si="4"/>
        <v>0</v>
      </c>
    </row>
    <row r="28" spans="1:65" x14ac:dyDescent="0.3">
      <c r="A28" s="14">
        <f t="shared" si="0"/>
        <v>111020004</v>
      </c>
      <c r="B28" s="13">
        <v>11</v>
      </c>
      <c r="C28" s="12">
        <f t="shared" si="1"/>
        <v>1</v>
      </c>
      <c r="D28" s="13">
        <v>2</v>
      </c>
      <c r="E28" s="13">
        <v>0</v>
      </c>
      <c r="F28" s="12">
        <f t="shared" si="2"/>
        <v>4</v>
      </c>
      <c r="H28" s="9">
        <v>1</v>
      </c>
      <c r="I28" s="9">
        <v>4</v>
      </c>
      <c r="K28" s="9" t="s">
        <v>357</v>
      </c>
      <c r="L28" s="9">
        <v>1</v>
      </c>
      <c r="M28" s="9">
        <v>15</v>
      </c>
      <c r="R28" s="9" t="s">
        <v>771</v>
      </c>
      <c r="U28" s="9">
        <f ca="1">IFERROR(OFFSET(ITEM_RES!$A$5,MATCH(BUILDING!T28,ITEM_RES!$J$5:$J$229,0)-1,0),0)</f>
        <v>0</v>
      </c>
      <c r="W28" s="86" t="s">
        <v>573</v>
      </c>
      <c r="X28" s="9">
        <f ca="1">IFERROR(OFFSET(ITEM_RES!$A$5,MATCH(BUILDING!W28,ITEM_RES!$J$5:$J$229,0)-1,0),0)</f>
        <v>211010201</v>
      </c>
      <c r="Z28" s="9" t="s">
        <v>543</v>
      </c>
      <c r="AA28" s="9">
        <v>4</v>
      </c>
      <c r="AC28" s="9">
        <v>1000</v>
      </c>
      <c r="AE28" s="56">
        <f t="shared" si="5"/>
        <v>525</v>
      </c>
      <c r="AF28" s="10">
        <f t="shared" si="9"/>
        <v>840</v>
      </c>
      <c r="AH28" s="11">
        <f t="shared" si="3"/>
        <v>20</v>
      </c>
      <c r="AI28" s="10">
        <v>20</v>
      </c>
      <c r="AJ28" s="11">
        <f t="shared" si="6"/>
        <v>25</v>
      </c>
      <c r="AK28" s="10">
        <v>25</v>
      </c>
      <c r="AL28" s="11">
        <f t="shared" si="6"/>
        <v>25</v>
      </c>
      <c r="AM28" s="10">
        <v>25</v>
      </c>
      <c r="AN28" s="56">
        <f t="shared" si="7"/>
        <v>2</v>
      </c>
      <c r="AP28" s="11">
        <f ca="1">IFERROR(OFFSET(ITEM_RES!$A$1,MATCH(AQ28,ITEM_RES!$J:$J,0)-1,0),0)</f>
        <v>211010501</v>
      </c>
      <c r="AQ28" s="10" t="s">
        <v>450</v>
      </c>
      <c r="AR28" s="11">
        <v>125</v>
      </c>
      <c r="AU28" s="11">
        <f ca="1">IFERROR(OFFSET(ITEM_RES!$A$1,MATCH(AV28,ITEM_RES!$J:$J,0)-1,0),0)</f>
        <v>211020101</v>
      </c>
      <c r="AV28" s="10" t="s">
        <v>475</v>
      </c>
      <c r="AW28" s="11">
        <v>125</v>
      </c>
      <c r="AZ28" s="11">
        <f ca="1">IFERROR(OFFSET(ITEM_RES!$A$1,MATCH(BA28,ITEM_RES!$J:$J,0)-1,0),0)</f>
        <v>0</v>
      </c>
      <c r="BE28" s="11">
        <f ca="1">IFERROR(OFFSET(ITEM_RES!$A$1,MATCH(BF28,ITEM_RES!$J:$J,0)-1,0),0)</f>
        <v>0</v>
      </c>
      <c r="BJ28" s="11">
        <f ca="1">IFERROR(OFFSET(ITEM_RES!$A$1,MATCH(BK28,ITEM_RES!$J:$J,0)-1,0),0)</f>
        <v>0</v>
      </c>
      <c r="BL28" s="11">
        <f t="shared" si="4"/>
        <v>0</v>
      </c>
    </row>
    <row r="29" spans="1:65" x14ac:dyDescent="0.3">
      <c r="A29" s="14">
        <f t="shared" si="0"/>
        <v>111020005</v>
      </c>
      <c r="B29" s="13">
        <v>11</v>
      </c>
      <c r="C29" s="12">
        <f t="shared" si="1"/>
        <v>1</v>
      </c>
      <c r="D29" s="13">
        <v>2</v>
      </c>
      <c r="E29" s="13">
        <v>0</v>
      </c>
      <c r="F29" s="12">
        <f t="shared" si="2"/>
        <v>5</v>
      </c>
      <c r="H29" s="9">
        <v>1</v>
      </c>
      <c r="I29" s="9">
        <v>5</v>
      </c>
      <c r="K29" s="9" t="s">
        <v>357</v>
      </c>
      <c r="L29" s="9">
        <v>1</v>
      </c>
      <c r="M29" s="9">
        <v>15</v>
      </c>
      <c r="R29" s="9" t="s">
        <v>771</v>
      </c>
      <c r="U29" s="9">
        <f ca="1">IFERROR(OFFSET(ITEM_RES!$A$5,MATCH(BUILDING!T29,ITEM_RES!$J$5:$J$229,0)-1,0),0)</f>
        <v>0</v>
      </c>
      <c r="W29" s="86" t="s">
        <v>573</v>
      </c>
      <c r="X29" s="9">
        <f ca="1">IFERROR(OFFSET(ITEM_RES!$A$5,MATCH(BUILDING!W29,ITEM_RES!$J$5:$J$229,0)-1,0),0)</f>
        <v>211010201</v>
      </c>
      <c r="Z29" s="9" t="s">
        <v>543</v>
      </c>
      <c r="AA29" s="9">
        <v>5</v>
      </c>
      <c r="AC29" s="9">
        <v>1600</v>
      </c>
      <c r="AE29" s="56">
        <f t="shared" si="5"/>
        <v>840</v>
      </c>
      <c r="AF29" s="10">
        <f t="shared" si="9"/>
        <v>1365</v>
      </c>
      <c r="AH29" s="11">
        <f t="shared" si="3"/>
        <v>25</v>
      </c>
      <c r="AI29" s="10">
        <v>25</v>
      </c>
      <c r="AJ29" s="11">
        <f t="shared" si="6"/>
        <v>40</v>
      </c>
      <c r="AK29" s="10">
        <v>40</v>
      </c>
      <c r="AL29" s="11">
        <f t="shared" si="6"/>
        <v>40</v>
      </c>
      <c r="AM29" s="10">
        <v>40</v>
      </c>
      <c r="AN29" s="56">
        <f t="shared" si="7"/>
        <v>2</v>
      </c>
      <c r="AP29" s="11">
        <f ca="1">IFERROR(OFFSET(ITEM_RES!$A$1,MATCH(AQ29,ITEM_RES!$J:$J,0)-1,0),0)</f>
        <v>211010501</v>
      </c>
      <c r="AQ29" s="10" t="s">
        <v>450</v>
      </c>
      <c r="AR29" s="11">
        <v>200</v>
      </c>
      <c r="AU29" s="11">
        <f ca="1">IFERROR(OFFSET(ITEM_RES!$A$1,MATCH(AV29,ITEM_RES!$J:$J,0)-1,0),0)</f>
        <v>211020101</v>
      </c>
      <c r="AV29" s="10" t="s">
        <v>475</v>
      </c>
      <c r="AW29" s="11">
        <v>200</v>
      </c>
      <c r="AZ29" s="11">
        <f ca="1">IFERROR(OFFSET(ITEM_RES!$A$1,MATCH(BA29,ITEM_RES!$J:$J,0)-1,0),0)</f>
        <v>0</v>
      </c>
      <c r="BE29" s="11">
        <f ca="1">IFERROR(OFFSET(ITEM_RES!$A$1,MATCH(BF29,ITEM_RES!$J:$J,0)-1,0),0)</f>
        <v>0</v>
      </c>
      <c r="BJ29" s="11">
        <f ca="1">IFERROR(OFFSET(ITEM_RES!$A$1,MATCH(BK29,ITEM_RES!$J:$J,0)-1,0),0)</f>
        <v>0</v>
      </c>
      <c r="BL29" s="11">
        <f t="shared" si="4"/>
        <v>0</v>
      </c>
    </row>
    <row r="30" spans="1:65" x14ac:dyDescent="0.3">
      <c r="A30" s="14">
        <f t="shared" si="0"/>
        <v>111020006</v>
      </c>
      <c r="B30" s="13">
        <v>11</v>
      </c>
      <c r="C30" s="12">
        <f t="shared" si="1"/>
        <v>1</v>
      </c>
      <c r="D30" s="13">
        <v>2</v>
      </c>
      <c r="E30" s="13">
        <v>0</v>
      </c>
      <c r="F30" s="12">
        <f t="shared" si="2"/>
        <v>6</v>
      </c>
      <c r="H30" s="9">
        <v>1</v>
      </c>
      <c r="I30" s="9">
        <v>6</v>
      </c>
      <c r="K30" s="9" t="s">
        <v>357</v>
      </c>
      <c r="L30" s="9">
        <v>1</v>
      </c>
      <c r="M30" s="9">
        <v>15</v>
      </c>
      <c r="R30" s="9" t="s">
        <v>771</v>
      </c>
      <c r="U30" s="9">
        <f ca="1">IFERROR(OFFSET(ITEM_RES!$A$5,MATCH(BUILDING!T30,ITEM_RES!$J$5:$J$229,0)-1,0),0)</f>
        <v>0</v>
      </c>
      <c r="W30" s="86" t="s">
        <v>573</v>
      </c>
      <c r="X30" s="9">
        <f ca="1">IFERROR(OFFSET(ITEM_RES!$A$5,MATCH(BUILDING!W30,ITEM_RES!$J$5:$J$229,0)-1,0),0)</f>
        <v>211010201</v>
      </c>
      <c r="Z30" s="9" t="s">
        <v>543</v>
      </c>
      <c r="AA30" s="9">
        <v>6</v>
      </c>
      <c r="AC30" s="9">
        <v>2000</v>
      </c>
      <c r="AE30" s="56">
        <f t="shared" si="5"/>
        <v>1050</v>
      </c>
      <c r="AF30" s="10">
        <f t="shared" si="9"/>
        <v>1890</v>
      </c>
      <c r="AH30" s="11">
        <f t="shared" si="3"/>
        <v>30</v>
      </c>
      <c r="AI30" s="10">
        <v>30</v>
      </c>
      <c r="AJ30" s="11">
        <f t="shared" si="6"/>
        <v>50</v>
      </c>
      <c r="AK30" s="10">
        <v>50</v>
      </c>
      <c r="AL30" s="11">
        <f t="shared" si="6"/>
        <v>50</v>
      </c>
      <c r="AM30" s="10">
        <v>50</v>
      </c>
      <c r="AN30" s="56">
        <f t="shared" si="7"/>
        <v>2</v>
      </c>
      <c r="AP30" s="11">
        <f ca="1">IFERROR(OFFSET(ITEM_RES!$A$1,MATCH(AQ30,ITEM_RES!$J:$J,0)-1,0),0)</f>
        <v>211010501</v>
      </c>
      <c r="AQ30" s="10" t="s">
        <v>450</v>
      </c>
      <c r="AR30" s="11">
        <v>250</v>
      </c>
      <c r="AU30" s="11">
        <f ca="1">IFERROR(OFFSET(ITEM_RES!$A$1,MATCH(AV30,ITEM_RES!$J:$J,0)-1,0),0)</f>
        <v>211020101</v>
      </c>
      <c r="AV30" s="10" t="s">
        <v>475</v>
      </c>
      <c r="AW30" s="11">
        <v>250</v>
      </c>
      <c r="AZ30" s="11">
        <f ca="1">IFERROR(OFFSET(ITEM_RES!$A$1,MATCH(BA30,ITEM_RES!$J:$J,0)-1,0),0)</f>
        <v>0</v>
      </c>
      <c r="BE30" s="11">
        <f ca="1">IFERROR(OFFSET(ITEM_RES!$A$1,MATCH(BF30,ITEM_RES!$J:$J,0)-1,0),0)</f>
        <v>0</v>
      </c>
      <c r="BJ30" s="11">
        <f ca="1">IFERROR(OFFSET(ITEM_RES!$A$1,MATCH(BK30,ITEM_RES!$J:$J,0)-1,0),0)</f>
        <v>0</v>
      </c>
      <c r="BL30" s="11">
        <f t="shared" si="4"/>
        <v>0</v>
      </c>
    </row>
    <row r="31" spans="1:65" x14ac:dyDescent="0.3">
      <c r="A31" s="14">
        <f t="shared" si="0"/>
        <v>111020007</v>
      </c>
      <c r="B31" s="13">
        <v>11</v>
      </c>
      <c r="C31" s="12">
        <f t="shared" si="1"/>
        <v>1</v>
      </c>
      <c r="D31" s="13">
        <v>2</v>
      </c>
      <c r="E31" s="13">
        <v>0</v>
      </c>
      <c r="F31" s="12">
        <f t="shared" si="2"/>
        <v>7</v>
      </c>
      <c r="H31" s="9">
        <v>1</v>
      </c>
      <c r="I31" s="9">
        <v>7</v>
      </c>
      <c r="K31" s="9" t="s">
        <v>357</v>
      </c>
      <c r="L31" s="9">
        <v>1</v>
      </c>
      <c r="M31" s="9">
        <v>15</v>
      </c>
      <c r="R31" s="9" t="s">
        <v>771</v>
      </c>
      <c r="U31" s="9">
        <f ca="1">IFERROR(OFFSET(ITEM_RES!$A$5,MATCH(BUILDING!T31,ITEM_RES!$J$5:$J$229,0)-1,0),0)</f>
        <v>0</v>
      </c>
      <c r="W31" s="86" t="s">
        <v>573</v>
      </c>
      <c r="X31" s="9">
        <f ca="1">IFERROR(OFFSET(ITEM_RES!$A$5,MATCH(BUILDING!W31,ITEM_RES!$J$5:$J$229,0)-1,0),0)</f>
        <v>211010201</v>
      </c>
      <c r="Z31" s="9" t="s">
        <v>543</v>
      </c>
      <c r="AA31" s="9">
        <v>7</v>
      </c>
      <c r="AC31" s="9">
        <v>4000</v>
      </c>
      <c r="AE31" s="56">
        <f t="shared" si="5"/>
        <v>2100</v>
      </c>
      <c r="AF31" s="10">
        <f t="shared" si="9"/>
        <v>3150</v>
      </c>
      <c r="AH31" s="11">
        <f t="shared" si="3"/>
        <v>35</v>
      </c>
      <c r="AI31" s="10">
        <v>35</v>
      </c>
      <c r="AJ31" s="11">
        <f t="shared" si="6"/>
        <v>100</v>
      </c>
      <c r="AK31" s="10">
        <v>100</v>
      </c>
      <c r="AL31" s="11">
        <f t="shared" si="6"/>
        <v>100</v>
      </c>
      <c r="AM31" s="10">
        <v>100</v>
      </c>
      <c r="AN31" s="56">
        <f t="shared" si="7"/>
        <v>2</v>
      </c>
      <c r="AP31" s="11">
        <f ca="1">IFERROR(OFFSET(ITEM_RES!$A$1,MATCH(AQ31,ITEM_RES!$J:$J,0)-1,0),0)</f>
        <v>211010501</v>
      </c>
      <c r="AQ31" s="10" t="s">
        <v>450</v>
      </c>
      <c r="AR31" s="11">
        <v>500</v>
      </c>
      <c r="AU31" s="11">
        <f ca="1">IFERROR(OFFSET(ITEM_RES!$A$1,MATCH(AV31,ITEM_RES!$J:$J,0)-1,0),0)</f>
        <v>211020101</v>
      </c>
      <c r="AV31" s="10" t="s">
        <v>475</v>
      </c>
      <c r="AW31" s="11">
        <v>500</v>
      </c>
      <c r="AZ31" s="11">
        <f ca="1">IFERROR(OFFSET(ITEM_RES!$A$1,MATCH(BA31,ITEM_RES!$J:$J,0)-1,0),0)</f>
        <v>0</v>
      </c>
      <c r="BE31" s="11">
        <f ca="1">IFERROR(OFFSET(ITEM_RES!$A$1,MATCH(BF31,ITEM_RES!$J:$J,0)-1,0),0)</f>
        <v>0</v>
      </c>
      <c r="BJ31" s="11">
        <f ca="1">IFERROR(OFFSET(ITEM_RES!$A$1,MATCH(BK31,ITEM_RES!$J:$J,0)-1,0),0)</f>
        <v>0</v>
      </c>
      <c r="BL31" s="11">
        <f t="shared" si="4"/>
        <v>0</v>
      </c>
    </row>
    <row r="32" spans="1:65" x14ac:dyDescent="0.3">
      <c r="A32" s="14">
        <f t="shared" si="0"/>
        <v>111020008</v>
      </c>
      <c r="B32" s="13">
        <v>11</v>
      </c>
      <c r="C32" s="12">
        <f t="shared" si="1"/>
        <v>1</v>
      </c>
      <c r="D32" s="13">
        <v>2</v>
      </c>
      <c r="E32" s="13">
        <v>0</v>
      </c>
      <c r="F32" s="12">
        <f t="shared" si="2"/>
        <v>8</v>
      </c>
      <c r="H32" s="9">
        <v>1</v>
      </c>
      <c r="I32" s="9">
        <v>8</v>
      </c>
      <c r="K32" s="9" t="s">
        <v>357</v>
      </c>
      <c r="L32" s="9">
        <v>1</v>
      </c>
      <c r="M32" s="9">
        <v>15</v>
      </c>
      <c r="R32" s="9" t="s">
        <v>771</v>
      </c>
      <c r="U32" s="9">
        <f ca="1">IFERROR(OFFSET(ITEM_RES!$A$5,MATCH(BUILDING!T32,ITEM_RES!$J$5:$J$229,0)-1,0),0)</f>
        <v>0</v>
      </c>
      <c r="W32" s="86" t="s">
        <v>573</v>
      </c>
      <c r="X32" s="9">
        <f ca="1">IFERROR(OFFSET(ITEM_RES!$A$5,MATCH(BUILDING!W32,ITEM_RES!$J$5:$J$229,0)-1,0),0)</f>
        <v>211010201</v>
      </c>
      <c r="Z32" s="9" t="s">
        <v>543</v>
      </c>
      <c r="AA32" s="9">
        <v>8</v>
      </c>
      <c r="AC32" s="9">
        <v>4000</v>
      </c>
      <c r="AE32" s="56">
        <f t="shared" si="5"/>
        <v>2100</v>
      </c>
      <c r="AF32" s="10">
        <f t="shared" si="9"/>
        <v>4200</v>
      </c>
      <c r="AH32" s="11">
        <f t="shared" si="3"/>
        <v>40</v>
      </c>
      <c r="AI32" s="10">
        <v>40</v>
      </c>
      <c r="AJ32" s="11">
        <f t="shared" si="6"/>
        <v>100</v>
      </c>
      <c r="AK32" s="10">
        <v>100</v>
      </c>
      <c r="AL32" s="11">
        <f t="shared" si="6"/>
        <v>100</v>
      </c>
      <c r="AM32" s="10">
        <v>100</v>
      </c>
      <c r="AN32" s="56">
        <f t="shared" si="7"/>
        <v>2</v>
      </c>
      <c r="AP32" s="11">
        <f ca="1">IFERROR(OFFSET(ITEM_RES!$A$1,MATCH(AQ32,ITEM_RES!$J:$J,0)-1,0),0)</f>
        <v>211010501</v>
      </c>
      <c r="AQ32" s="10" t="s">
        <v>450</v>
      </c>
      <c r="AR32" s="11">
        <v>500</v>
      </c>
      <c r="AU32" s="11">
        <f ca="1">IFERROR(OFFSET(ITEM_RES!$A$1,MATCH(AV32,ITEM_RES!$J:$J,0)-1,0),0)</f>
        <v>211020101</v>
      </c>
      <c r="AV32" s="10" t="s">
        <v>475</v>
      </c>
      <c r="AW32" s="11">
        <v>500</v>
      </c>
      <c r="AZ32" s="11">
        <f ca="1">IFERROR(OFFSET(ITEM_RES!$A$1,MATCH(BA32,ITEM_RES!$J:$J,0)-1,0),0)</f>
        <v>0</v>
      </c>
      <c r="BE32" s="11">
        <f ca="1">IFERROR(OFFSET(ITEM_RES!$A$1,MATCH(BF32,ITEM_RES!$J:$J,0)-1,0),0)</f>
        <v>0</v>
      </c>
      <c r="BJ32" s="11">
        <f ca="1">IFERROR(OFFSET(ITEM_RES!$A$1,MATCH(BK32,ITEM_RES!$J:$J,0)-1,0),0)</f>
        <v>0</v>
      </c>
      <c r="BL32" s="11">
        <f t="shared" si="4"/>
        <v>0</v>
      </c>
    </row>
    <row r="33" spans="1:65" x14ac:dyDescent="0.3">
      <c r="A33" s="14">
        <f t="shared" si="0"/>
        <v>111020009</v>
      </c>
      <c r="B33" s="13">
        <v>11</v>
      </c>
      <c r="C33" s="12">
        <f t="shared" si="1"/>
        <v>1</v>
      </c>
      <c r="D33" s="13">
        <v>2</v>
      </c>
      <c r="E33" s="13">
        <v>0</v>
      </c>
      <c r="F33" s="12">
        <f t="shared" si="2"/>
        <v>9</v>
      </c>
      <c r="H33" s="9">
        <v>1</v>
      </c>
      <c r="I33" s="9">
        <v>9</v>
      </c>
      <c r="K33" s="9" t="s">
        <v>357</v>
      </c>
      <c r="L33" s="9">
        <v>1</v>
      </c>
      <c r="M33" s="9">
        <v>15</v>
      </c>
      <c r="R33" s="9" t="s">
        <v>771</v>
      </c>
      <c r="U33" s="9">
        <f ca="1">IFERROR(OFFSET(ITEM_RES!$A$5,MATCH(BUILDING!T33,ITEM_RES!$J$5:$J$229,0)-1,0),0)</f>
        <v>0</v>
      </c>
      <c r="W33" s="86" t="s">
        <v>573</v>
      </c>
      <c r="X33" s="9">
        <f ca="1">IFERROR(OFFSET(ITEM_RES!$A$5,MATCH(BUILDING!W33,ITEM_RES!$J$5:$J$229,0)-1,0),0)</f>
        <v>211010201</v>
      </c>
      <c r="Z33" s="9" t="s">
        <v>543</v>
      </c>
      <c r="AA33" s="9">
        <v>9</v>
      </c>
      <c r="AC33" s="9">
        <v>6000</v>
      </c>
      <c r="AE33" s="56">
        <f t="shared" si="5"/>
        <v>3150</v>
      </c>
      <c r="AF33" s="10">
        <f t="shared" si="9"/>
        <v>5250</v>
      </c>
      <c r="AH33" s="11">
        <f t="shared" si="3"/>
        <v>45</v>
      </c>
      <c r="AI33" s="10">
        <v>45</v>
      </c>
      <c r="AJ33" s="11">
        <f t="shared" si="6"/>
        <v>150</v>
      </c>
      <c r="AK33" s="10">
        <v>150</v>
      </c>
      <c r="AL33" s="11">
        <f t="shared" si="6"/>
        <v>150</v>
      </c>
      <c r="AM33" s="10">
        <v>150</v>
      </c>
      <c r="AN33" s="56">
        <f t="shared" si="7"/>
        <v>2</v>
      </c>
      <c r="AP33" s="11">
        <f ca="1">IFERROR(OFFSET(ITEM_RES!$A$1,MATCH(AQ33,ITEM_RES!$J:$J,0)-1,0),0)</f>
        <v>211010501</v>
      </c>
      <c r="AQ33" s="10" t="s">
        <v>450</v>
      </c>
      <c r="AR33" s="11">
        <v>750</v>
      </c>
      <c r="AU33" s="11">
        <f ca="1">IFERROR(OFFSET(ITEM_RES!$A$1,MATCH(AV33,ITEM_RES!$J:$J,0)-1,0),0)</f>
        <v>211020101</v>
      </c>
      <c r="AV33" s="10" t="s">
        <v>475</v>
      </c>
      <c r="AW33" s="11">
        <v>750</v>
      </c>
      <c r="AZ33" s="11">
        <f ca="1">IFERROR(OFFSET(ITEM_RES!$A$1,MATCH(BA33,ITEM_RES!$J:$J,0)-1,0),0)</f>
        <v>0</v>
      </c>
      <c r="BE33" s="11">
        <f ca="1">IFERROR(OFFSET(ITEM_RES!$A$1,MATCH(BF33,ITEM_RES!$J:$J,0)-1,0),0)</f>
        <v>0</v>
      </c>
      <c r="BJ33" s="11">
        <f ca="1">IFERROR(OFFSET(ITEM_RES!$A$1,MATCH(BK33,ITEM_RES!$J:$J,0)-1,0),0)</f>
        <v>0</v>
      </c>
      <c r="BL33" s="11">
        <f t="shared" si="4"/>
        <v>0</v>
      </c>
    </row>
    <row r="34" spans="1:65" x14ac:dyDescent="0.3">
      <c r="A34" s="14">
        <f t="shared" si="0"/>
        <v>111020010</v>
      </c>
      <c r="B34" s="13">
        <v>11</v>
      </c>
      <c r="C34" s="12">
        <f t="shared" si="1"/>
        <v>1</v>
      </c>
      <c r="D34" s="13">
        <v>2</v>
      </c>
      <c r="E34" s="13">
        <v>0</v>
      </c>
      <c r="F34" s="12">
        <f t="shared" si="2"/>
        <v>10</v>
      </c>
      <c r="H34" s="9">
        <v>1</v>
      </c>
      <c r="I34" s="9">
        <v>10</v>
      </c>
      <c r="K34" s="9" t="s">
        <v>357</v>
      </c>
      <c r="L34" s="9">
        <v>1</v>
      </c>
      <c r="M34" s="9">
        <v>15</v>
      </c>
      <c r="R34" s="9" t="s">
        <v>771</v>
      </c>
      <c r="U34" s="9">
        <f ca="1">IFERROR(OFFSET(ITEM_RES!$A$5,MATCH(BUILDING!T34,ITEM_RES!$J$5:$J$229,0)-1,0),0)</f>
        <v>0</v>
      </c>
      <c r="W34" s="86" t="s">
        <v>573</v>
      </c>
      <c r="X34" s="9">
        <f ca="1">IFERROR(OFFSET(ITEM_RES!$A$5,MATCH(BUILDING!W34,ITEM_RES!$J$5:$J$229,0)-1,0),0)</f>
        <v>211010201</v>
      </c>
      <c r="Z34" s="9" t="s">
        <v>543</v>
      </c>
      <c r="AA34" s="9">
        <v>10</v>
      </c>
      <c r="AC34" s="9">
        <v>8000</v>
      </c>
      <c r="AE34" s="56">
        <f t="shared" si="5"/>
        <v>4200</v>
      </c>
      <c r="AF34" s="10">
        <f t="shared" si="9"/>
        <v>7350</v>
      </c>
      <c r="AH34" s="11">
        <f t="shared" si="3"/>
        <v>50</v>
      </c>
      <c r="AI34" s="10">
        <v>50</v>
      </c>
      <c r="AJ34" s="11">
        <f t="shared" si="6"/>
        <v>200</v>
      </c>
      <c r="AK34" s="10">
        <v>200</v>
      </c>
      <c r="AL34" s="11">
        <f t="shared" si="6"/>
        <v>200</v>
      </c>
      <c r="AM34" s="10">
        <v>200</v>
      </c>
      <c r="AN34" s="56">
        <f t="shared" si="7"/>
        <v>2</v>
      </c>
      <c r="AP34" s="11">
        <f ca="1">IFERROR(OFFSET(ITEM_RES!$A$1,MATCH(AQ34,ITEM_RES!$J:$J,0)-1,0),0)</f>
        <v>211010501</v>
      </c>
      <c r="AQ34" s="10" t="s">
        <v>450</v>
      </c>
      <c r="AR34" s="11">
        <v>1000</v>
      </c>
      <c r="AU34" s="11">
        <f ca="1">IFERROR(OFFSET(ITEM_RES!$A$1,MATCH(AV34,ITEM_RES!$J:$J,0)-1,0),0)</f>
        <v>211020101</v>
      </c>
      <c r="AV34" s="10" t="s">
        <v>475</v>
      </c>
      <c r="AW34" s="11">
        <v>1000</v>
      </c>
      <c r="AZ34" s="11">
        <f ca="1">IFERROR(OFFSET(ITEM_RES!$A$1,MATCH(BA34,ITEM_RES!$J:$J,0)-1,0),0)</f>
        <v>0</v>
      </c>
      <c r="BE34" s="11">
        <f ca="1">IFERROR(OFFSET(ITEM_RES!$A$1,MATCH(BF34,ITEM_RES!$J:$J,0)-1,0),0)</f>
        <v>0</v>
      </c>
      <c r="BJ34" s="11">
        <f ca="1">IFERROR(OFFSET(ITEM_RES!$A$1,MATCH(BK34,ITEM_RES!$J:$J,0)-1,0),0)</f>
        <v>0</v>
      </c>
      <c r="BL34" s="11">
        <f t="shared" si="4"/>
        <v>0</v>
      </c>
    </row>
    <row r="35" spans="1:65" x14ac:dyDescent="0.3">
      <c r="A35" s="14">
        <f t="shared" si="0"/>
        <v>111020011</v>
      </c>
      <c r="B35" s="13">
        <v>11</v>
      </c>
      <c r="C35" s="12">
        <f t="shared" si="1"/>
        <v>1</v>
      </c>
      <c r="D35" s="13">
        <v>2</v>
      </c>
      <c r="E35" s="13">
        <v>0</v>
      </c>
      <c r="F35" s="12">
        <f t="shared" si="2"/>
        <v>11</v>
      </c>
      <c r="H35" s="9">
        <v>1</v>
      </c>
      <c r="I35" s="9">
        <v>11</v>
      </c>
      <c r="K35" s="9" t="s">
        <v>382</v>
      </c>
      <c r="L35" s="9">
        <v>1</v>
      </c>
      <c r="M35" s="9">
        <v>15</v>
      </c>
      <c r="R35" s="9" t="s">
        <v>771</v>
      </c>
      <c r="U35" s="9">
        <f ca="1">IFERROR(OFFSET(ITEM_RES!$A$5,MATCH(BUILDING!T35,ITEM_RES!$J$5:$J$229,0)-1,0),0)</f>
        <v>0</v>
      </c>
      <c r="W35" s="86" t="s">
        <v>573</v>
      </c>
      <c r="X35" s="9">
        <f ca="1">IFERROR(OFFSET(ITEM_RES!$A$5,MATCH(BUILDING!W35,ITEM_RES!$J$5:$J$229,0)-1,0),0)</f>
        <v>211010201</v>
      </c>
      <c r="Z35" s="9" t="s">
        <v>543</v>
      </c>
      <c r="AA35" s="9">
        <v>11</v>
      </c>
      <c r="AC35" s="9">
        <v>10000</v>
      </c>
      <c r="AE35" s="56">
        <f t="shared" si="5"/>
        <v>5250</v>
      </c>
      <c r="AF35" s="10">
        <f t="shared" si="9"/>
        <v>9450</v>
      </c>
      <c r="AH35" s="11">
        <f t="shared" si="3"/>
        <v>55</v>
      </c>
      <c r="AI35" s="10">
        <v>55</v>
      </c>
      <c r="AJ35" s="11">
        <f t="shared" si="6"/>
        <v>250</v>
      </c>
      <c r="AK35" s="10">
        <v>250</v>
      </c>
      <c r="AL35" s="11">
        <f t="shared" si="6"/>
        <v>250</v>
      </c>
      <c r="AM35" s="10">
        <v>250</v>
      </c>
      <c r="AN35" s="56">
        <f t="shared" si="7"/>
        <v>2</v>
      </c>
      <c r="AP35" s="11">
        <f ca="1">IFERROR(OFFSET(ITEM_RES!$A$1,MATCH(AQ35,ITEM_RES!$J:$J,0)-1,0),0)</f>
        <v>211010501</v>
      </c>
      <c r="AQ35" s="10" t="s">
        <v>450</v>
      </c>
      <c r="AR35" s="11">
        <v>1250</v>
      </c>
      <c r="AU35" s="11">
        <f ca="1">IFERROR(OFFSET(ITEM_RES!$A$1,MATCH(AV35,ITEM_RES!$J:$J,0)-1,0),0)</f>
        <v>211020101</v>
      </c>
      <c r="AV35" s="10" t="s">
        <v>475</v>
      </c>
      <c r="AW35" s="11">
        <v>1250</v>
      </c>
      <c r="AZ35" s="11">
        <f ca="1">IFERROR(OFFSET(ITEM_RES!$A$1,MATCH(BA35,ITEM_RES!$J:$J,0)-1,0),0)</f>
        <v>0</v>
      </c>
      <c r="BE35" s="11">
        <f ca="1">IFERROR(OFFSET(ITEM_RES!$A$1,MATCH(BF35,ITEM_RES!$J:$J,0)-1,0),0)</f>
        <v>0</v>
      </c>
      <c r="BJ35" s="11">
        <f ca="1">IFERROR(OFFSET(ITEM_RES!$A$1,MATCH(BK35,ITEM_RES!$J:$J,0)-1,0),0)</f>
        <v>0</v>
      </c>
      <c r="BL35" s="11">
        <f t="shared" si="4"/>
        <v>0</v>
      </c>
    </row>
    <row r="36" spans="1:65" x14ac:dyDescent="0.3">
      <c r="A36" s="14">
        <f t="shared" si="0"/>
        <v>111020012</v>
      </c>
      <c r="B36" s="13">
        <v>11</v>
      </c>
      <c r="C36" s="12">
        <f t="shared" si="1"/>
        <v>1</v>
      </c>
      <c r="D36" s="13">
        <v>2</v>
      </c>
      <c r="E36" s="13">
        <v>0</v>
      </c>
      <c r="F36" s="12">
        <f t="shared" si="2"/>
        <v>12</v>
      </c>
      <c r="H36" s="9">
        <v>1</v>
      </c>
      <c r="I36" s="9">
        <v>12</v>
      </c>
      <c r="K36" s="9" t="s">
        <v>357</v>
      </c>
      <c r="L36" s="9">
        <v>1</v>
      </c>
      <c r="M36" s="9">
        <v>15</v>
      </c>
      <c r="R36" s="9" t="s">
        <v>771</v>
      </c>
      <c r="U36" s="9">
        <f ca="1">IFERROR(OFFSET(ITEM_RES!$A$5,MATCH(BUILDING!T36,ITEM_RES!$J$5:$J$229,0)-1,0),0)</f>
        <v>0</v>
      </c>
      <c r="W36" s="86" t="s">
        <v>573</v>
      </c>
      <c r="X36" s="9">
        <f ca="1">IFERROR(OFFSET(ITEM_RES!$A$5,MATCH(BUILDING!W36,ITEM_RES!$J$5:$J$229,0)-1,0),0)</f>
        <v>211010201</v>
      </c>
      <c r="Z36" s="9" t="s">
        <v>543</v>
      </c>
      <c r="AA36" s="9">
        <v>12</v>
      </c>
      <c r="AC36" s="9">
        <v>12000</v>
      </c>
      <c r="AE36" s="56">
        <f t="shared" si="5"/>
        <v>6300</v>
      </c>
      <c r="AF36" s="10">
        <f t="shared" si="9"/>
        <v>11550</v>
      </c>
      <c r="AH36" s="11">
        <f t="shared" si="3"/>
        <v>60</v>
      </c>
      <c r="AI36" s="10">
        <v>60</v>
      </c>
      <c r="AJ36" s="11">
        <f t="shared" si="6"/>
        <v>300</v>
      </c>
      <c r="AK36" s="10">
        <v>300</v>
      </c>
      <c r="AL36" s="11">
        <f t="shared" si="6"/>
        <v>300</v>
      </c>
      <c r="AM36" s="10">
        <v>300</v>
      </c>
      <c r="AN36" s="56">
        <f t="shared" si="7"/>
        <v>2</v>
      </c>
      <c r="AP36" s="11">
        <f ca="1">IFERROR(OFFSET(ITEM_RES!$A$1,MATCH(AQ36,ITEM_RES!$J:$J,0)-1,0),0)</f>
        <v>211010501</v>
      </c>
      <c r="AQ36" s="10" t="s">
        <v>450</v>
      </c>
      <c r="AR36" s="11">
        <v>1500</v>
      </c>
      <c r="AU36" s="11">
        <f ca="1">IFERROR(OFFSET(ITEM_RES!$A$1,MATCH(AV36,ITEM_RES!$J:$J,0)-1,0),0)</f>
        <v>211020101</v>
      </c>
      <c r="AV36" s="10" t="s">
        <v>475</v>
      </c>
      <c r="AW36" s="11">
        <v>1500</v>
      </c>
      <c r="AZ36" s="11">
        <f ca="1">IFERROR(OFFSET(ITEM_RES!$A$1,MATCH(BA36,ITEM_RES!$J:$J,0)-1,0),0)</f>
        <v>0</v>
      </c>
      <c r="BE36" s="11">
        <f ca="1">IFERROR(OFFSET(ITEM_RES!$A$1,MATCH(BF36,ITEM_RES!$J:$J,0)-1,0),0)</f>
        <v>0</v>
      </c>
      <c r="BJ36" s="11">
        <f ca="1">IFERROR(OFFSET(ITEM_RES!$A$1,MATCH(BK36,ITEM_RES!$J:$J,0)-1,0),0)</f>
        <v>0</v>
      </c>
      <c r="BL36" s="11">
        <f t="shared" si="4"/>
        <v>0</v>
      </c>
    </row>
    <row r="37" spans="1:65" x14ac:dyDescent="0.3">
      <c r="A37" s="14">
        <f t="shared" si="0"/>
        <v>111020013</v>
      </c>
      <c r="B37" s="13">
        <v>11</v>
      </c>
      <c r="C37" s="12">
        <f t="shared" si="1"/>
        <v>1</v>
      </c>
      <c r="D37" s="13">
        <v>2</v>
      </c>
      <c r="E37" s="13">
        <v>0</v>
      </c>
      <c r="F37" s="12">
        <f t="shared" si="2"/>
        <v>13</v>
      </c>
      <c r="H37" s="9">
        <v>1</v>
      </c>
      <c r="I37" s="9">
        <v>13</v>
      </c>
      <c r="K37" s="9" t="s">
        <v>357</v>
      </c>
      <c r="L37" s="9">
        <v>1</v>
      </c>
      <c r="M37" s="9">
        <v>15</v>
      </c>
      <c r="R37" s="9" t="s">
        <v>771</v>
      </c>
      <c r="U37" s="9">
        <f ca="1">IFERROR(OFFSET(ITEM_RES!$A$5,MATCH(BUILDING!T37,ITEM_RES!$J$5:$J$229,0)-1,0),0)</f>
        <v>0</v>
      </c>
      <c r="W37" s="86" t="s">
        <v>573</v>
      </c>
      <c r="X37" s="9">
        <f ca="1">IFERROR(OFFSET(ITEM_RES!$A$5,MATCH(BUILDING!W37,ITEM_RES!$J$5:$J$229,0)-1,0),0)</f>
        <v>211010201</v>
      </c>
      <c r="Z37" s="9" t="s">
        <v>543</v>
      </c>
      <c r="AA37" s="9">
        <v>13</v>
      </c>
      <c r="AC37" s="9">
        <v>14000</v>
      </c>
      <c r="AE37" s="56">
        <f t="shared" si="5"/>
        <v>7350</v>
      </c>
      <c r="AF37" s="10">
        <f t="shared" si="9"/>
        <v>13650</v>
      </c>
      <c r="AH37" s="11">
        <f t="shared" si="3"/>
        <v>65</v>
      </c>
      <c r="AI37" s="10">
        <v>65</v>
      </c>
      <c r="AJ37" s="11">
        <f t="shared" si="6"/>
        <v>350</v>
      </c>
      <c r="AK37" s="10">
        <v>350</v>
      </c>
      <c r="AL37" s="11">
        <f t="shared" si="6"/>
        <v>350</v>
      </c>
      <c r="AM37" s="10">
        <v>350</v>
      </c>
      <c r="AN37" s="56">
        <f t="shared" si="7"/>
        <v>2</v>
      </c>
      <c r="AP37" s="11">
        <f ca="1">IFERROR(OFFSET(ITEM_RES!$A$1,MATCH(AQ37,ITEM_RES!$J:$J,0)-1,0),0)</f>
        <v>211010501</v>
      </c>
      <c r="AQ37" s="10" t="s">
        <v>450</v>
      </c>
      <c r="AR37" s="11">
        <v>1750</v>
      </c>
      <c r="AU37" s="11">
        <f ca="1">IFERROR(OFFSET(ITEM_RES!$A$1,MATCH(AV37,ITEM_RES!$J:$J,0)-1,0),0)</f>
        <v>211020101</v>
      </c>
      <c r="AV37" s="10" t="s">
        <v>475</v>
      </c>
      <c r="AW37" s="11">
        <v>1750</v>
      </c>
      <c r="AZ37" s="11">
        <f ca="1">IFERROR(OFFSET(ITEM_RES!$A$1,MATCH(BA37,ITEM_RES!$J:$J,0)-1,0),0)</f>
        <v>0</v>
      </c>
      <c r="BE37" s="11">
        <f ca="1">IFERROR(OFFSET(ITEM_RES!$A$1,MATCH(BF37,ITEM_RES!$J:$J,0)-1,0),0)</f>
        <v>0</v>
      </c>
      <c r="BJ37" s="11">
        <f ca="1">IFERROR(OFFSET(ITEM_RES!$A$1,MATCH(BK37,ITEM_RES!$J:$J,0)-1,0),0)</f>
        <v>0</v>
      </c>
      <c r="BL37" s="11">
        <f t="shared" si="4"/>
        <v>0</v>
      </c>
    </row>
    <row r="38" spans="1:65" x14ac:dyDescent="0.3">
      <c r="A38" s="14">
        <f t="shared" si="0"/>
        <v>111020014</v>
      </c>
      <c r="B38" s="13">
        <v>11</v>
      </c>
      <c r="C38" s="12">
        <f t="shared" si="1"/>
        <v>1</v>
      </c>
      <c r="D38" s="13">
        <v>2</v>
      </c>
      <c r="E38" s="13">
        <v>0</v>
      </c>
      <c r="F38" s="12">
        <f t="shared" si="2"/>
        <v>14</v>
      </c>
      <c r="H38" s="9">
        <v>1</v>
      </c>
      <c r="I38" s="9">
        <v>14</v>
      </c>
      <c r="K38" s="9" t="s">
        <v>357</v>
      </c>
      <c r="L38" s="9">
        <v>1</v>
      </c>
      <c r="M38" s="9">
        <v>15</v>
      </c>
      <c r="R38" s="9" t="s">
        <v>771</v>
      </c>
      <c r="U38" s="9">
        <f ca="1">IFERROR(OFFSET(ITEM_RES!$A$5,MATCH(BUILDING!T38,ITEM_RES!$J$5:$J$229,0)-1,0),0)</f>
        <v>0</v>
      </c>
      <c r="W38" s="86" t="s">
        <v>573</v>
      </c>
      <c r="X38" s="9">
        <f ca="1">IFERROR(OFFSET(ITEM_RES!$A$5,MATCH(BUILDING!W38,ITEM_RES!$J$5:$J$229,0)-1,0),0)</f>
        <v>211010201</v>
      </c>
      <c r="Z38" s="9" t="s">
        <v>543</v>
      </c>
      <c r="AA38" s="9">
        <v>14</v>
      </c>
      <c r="AC38" s="9">
        <v>18000</v>
      </c>
      <c r="AE38" s="56">
        <f t="shared" si="5"/>
        <v>9450</v>
      </c>
      <c r="AF38" s="10">
        <f t="shared" si="9"/>
        <v>16800</v>
      </c>
      <c r="AH38" s="11">
        <f t="shared" si="3"/>
        <v>70</v>
      </c>
      <c r="AI38" s="10">
        <v>70</v>
      </c>
      <c r="AJ38" s="11">
        <f t="shared" si="6"/>
        <v>450</v>
      </c>
      <c r="AK38" s="10">
        <v>450</v>
      </c>
      <c r="AL38" s="11">
        <f t="shared" si="6"/>
        <v>450</v>
      </c>
      <c r="AM38" s="10">
        <v>450</v>
      </c>
      <c r="AN38" s="56">
        <f t="shared" si="7"/>
        <v>2</v>
      </c>
      <c r="AP38" s="11">
        <f ca="1">IFERROR(OFFSET(ITEM_RES!$A$1,MATCH(AQ38,ITEM_RES!$J:$J,0)-1,0),0)</f>
        <v>211010501</v>
      </c>
      <c r="AQ38" s="10" t="s">
        <v>450</v>
      </c>
      <c r="AR38" s="11">
        <v>2250</v>
      </c>
      <c r="AU38" s="11">
        <f ca="1">IFERROR(OFFSET(ITEM_RES!$A$1,MATCH(AV38,ITEM_RES!$J:$J,0)-1,0),0)</f>
        <v>211020101</v>
      </c>
      <c r="AV38" s="10" t="s">
        <v>475</v>
      </c>
      <c r="AW38" s="11">
        <v>2250</v>
      </c>
      <c r="AZ38" s="11">
        <f ca="1">IFERROR(OFFSET(ITEM_RES!$A$1,MATCH(BA38,ITEM_RES!$J:$J,0)-1,0),0)</f>
        <v>0</v>
      </c>
      <c r="BE38" s="11">
        <f ca="1">IFERROR(OFFSET(ITEM_RES!$A$1,MATCH(BF38,ITEM_RES!$J:$J,0)-1,0),0)</f>
        <v>0</v>
      </c>
      <c r="BJ38" s="11">
        <f ca="1">IFERROR(OFFSET(ITEM_RES!$A$1,MATCH(BK38,ITEM_RES!$J:$J,0)-1,0),0)</f>
        <v>0</v>
      </c>
      <c r="BL38" s="11">
        <f t="shared" si="4"/>
        <v>0</v>
      </c>
    </row>
    <row r="39" spans="1:65" x14ac:dyDescent="0.3">
      <c r="A39" s="14">
        <f t="shared" si="0"/>
        <v>111020015</v>
      </c>
      <c r="B39" s="13">
        <v>11</v>
      </c>
      <c r="C39" s="12">
        <f t="shared" si="1"/>
        <v>1</v>
      </c>
      <c r="D39" s="13">
        <v>2</v>
      </c>
      <c r="E39" s="13">
        <v>0</v>
      </c>
      <c r="F39" s="12">
        <f t="shared" si="2"/>
        <v>15</v>
      </c>
      <c r="H39" s="9">
        <v>1</v>
      </c>
      <c r="I39" s="9">
        <v>15</v>
      </c>
      <c r="K39" s="9" t="s">
        <v>357</v>
      </c>
      <c r="L39" s="9">
        <v>1</v>
      </c>
      <c r="M39" s="9">
        <v>15</v>
      </c>
      <c r="R39" s="9" t="s">
        <v>771</v>
      </c>
      <c r="U39" s="9">
        <f ca="1">IFERROR(OFFSET(ITEM_RES!$A$5,MATCH(BUILDING!T39,ITEM_RES!$J$5:$J$229,0)-1,0),0)</f>
        <v>0</v>
      </c>
      <c r="W39" s="86" t="s">
        <v>573</v>
      </c>
      <c r="X39" s="9">
        <f ca="1">IFERROR(OFFSET(ITEM_RES!$A$5,MATCH(BUILDING!W39,ITEM_RES!$J$5:$J$229,0)-1,0),0)</f>
        <v>211010201</v>
      </c>
      <c r="Z39" s="9" t="s">
        <v>543</v>
      </c>
      <c r="AA39" s="9">
        <v>15</v>
      </c>
      <c r="AC39" s="9">
        <v>22000</v>
      </c>
      <c r="AE39" s="56">
        <f t="shared" si="5"/>
        <v>11550</v>
      </c>
      <c r="AF39" s="10">
        <f t="shared" si="9"/>
        <v>21000</v>
      </c>
      <c r="AH39" s="11">
        <f t="shared" si="3"/>
        <v>75</v>
      </c>
      <c r="AI39" s="10">
        <v>75</v>
      </c>
      <c r="AJ39" s="11">
        <f t="shared" si="6"/>
        <v>550</v>
      </c>
      <c r="AK39" s="10">
        <v>550</v>
      </c>
      <c r="AL39" s="11">
        <f t="shared" si="6"/>
        <v>550</v>
      </c>
      <c r="AM39" s="10">
        <v>550</v>
      </c>
      <c r="AN39" s="56">
        <f t="shared" si="7"/>
        <v>2</v>
      </c>
      <c r="AP39" s="11">
        <f ca="1">IFERROR(OFFSET(ITEM_RES!$A$1,MATCH(AQ39,ITEM_RES!$J:$J,0)-1,0),0)</f>
        <v>211010601</v>
      </c>
      <c r="AQ39" s="10" t="s">
        <v>466</v>
      </c>
      <c r="AR39" s="11">
        <v>2750</v>
      </c>
      <c r="AU39" s="11">
        <f ca="1">IFERROR(OFFSET(ITEM_RES!$A$1,MATCH(AV39,ITEM_RES!$J:$J,0)-1,0),0)</f>
        <v>211020101</v>
      </c>
      <c r="AV39" s="10" t="s">
        <v>475</v>
      </c>
      <c r="AW39" s="11">
        <v>2750</v>
      </c>
      <c r="AZ39" s="11">
        <f ca="1">IFERROR(OFFSET(ITEM_RES!$A$1,MATCH(BA39,ITEM_RES!$J:$J,0)-1,0),0)</f>
        <v>0</v>
      </c>
      <c r="BE39" s="11">
        <f ca="1">IFERROR(OFFSET(ITEM_RES!$A$1,MATCH(BF39,ITEM_RES!$J:$J,0)-1,0),0)</f>
        <v>0</v>
      </c>
      <c r="BJ39" s="11">
        <f ca="1">IFERROR(OFFSET(ITEM_RES!$A$1,MATCH(BK39,ITEM_RES!$J:$J,0)-1,0),0)</f>
        <v>0</v>
      </c>
      <c r="BL39" s="11">
        <f t="shared" si="4"/>
        <v>0</v>
      </c>
    </row>
    <row r="40" spans="1:65" x14ac:dyDescent="0.3">
      <c r="A40" s="14">
        <f t="shared" si="0"/>
        <v>111020016</v>
      </c>
      <c r="B40" s="13">
        <v>11</v>
      </c>
      <c r="C40" s="12">
        <f t="shared" si="1"/>
        <v>1</v>
      </c>
      <c r="D40" s="13">
        <v>2</v>
      </c>
      <c r="E40" s="13">
        <v>0</v>
      </c>
      <c r="F40" s="12">
        <f t="shared" si="2"/>
        <v>16</v>
      </c>
      <c r="H40" s="9">
        <v>1</v>
      </c>
      <c r="I40" s="9">
        <v>16</v>
      </c>
      <c r="K40" s="9" t="s">
        <v>357</v>
      </c>
      <c r="L40" s="9">
        <v>0</v>
      </c>
      <c r="M40" s="9">
        <v>15</v>
      </c>
      <c r="R40" s="9" t="s">
        <v>771</v>
      </c>
      <c r="U40" s="9">
        <f ca="1">IFERROR(OFFSET(ITEM_RES!$A$5,MATCH(BUILDING!T40,ITEM_RES!$J$5:$J$229,0)-1,0),0)</f>
        <v>0</v>
      </c>
      <c r="W40" s="86" t="s">
        <v>573</v>
      </c>
      <c r="X40" s="9">
        <f ca="1">IFERROR(OFFSET(ITEM_RES!$A$5,MATCH(BUILDING!W40,ITEM_RES!$J$5:$J$229,0)-1,0),0)</f>
        <v>211010201</v>
      </c>
      <c r="Z40" s="9" t="s">
        <v>543</v>
      </c>
      <c r="AA40" s="9">
        <v>16</v>
      </c>
      <c r="AC40" s="9">
        <v>28000</v>
      </c>
      <c r="AE40" s="56">
        <f t="shared" si="5"/>
        <v>14700</v>
      </c>
      <c r="AF40" s="10">
        <f t="shared" si="9"/>
        <v>26250</v>
      </c>
      <c r="AH40" s="11">
        <f t="shared" si="3"/>
        <v>80</v>
      </c>
      <c r="AI40" s="10">
        <v>80</v>
      </c>
      <c r="AJ40" s="11">
        <f t="shared" si="6"/>
        <v>700</v>
      </c>
      <c r="AK40" s="10">
        <v>700</v>
      </c>
      <c r="AL40" s="11">
        <f t="shared" si="6"/>
        <v>700</v>
      </c>
      <c r="AM40" s="10">
        <v>700</v>
      </c>
      <c r="AN40" s="56">
        <f t="shared" si="7"/>
        <v>2</v>
      </c>
      <c r="AP40" s="11">
        <f ca="1">IFERROR(OFFSET(ITEM_RES!$A$1,MATCH(AQ40,ITEM_RES!$J:$J,0)-1,0),0)</f>
        <v>211010601</v>
      </c>
      <c r="AQ40" s="10" t="s">
        <v>466</v>
      </c>
      <c r="AR40" s="11">
        <v>3500</v>
      </c>
      <c r="AU40" s="11">
        <f ca="1">IFERROR(OFFSET(ITEM_RES!$A$1,MATCH(AV40,ITEM_RES!$J:$J,0)-1,0),0)</f>
        <v>211020101</v>
      </c>
      <c r="AV40" s="10" t="s">
        <v>475</v>
      </c>
      <c r="AW40" s="11">
        <v>3500</v>
      </c>
      <c r="AZ40" s="11">
        <f ca="1">IFERROR(OFFSET(ITEM_RES!$A$1,MATCH(BA40,ITEM_RES!$J:$J,0)-1,0),0)</f>
        <v>0</v>
      </c>
      <c r="BE40" s="11">
        <f ca="1">IFERROR(OFFSET(ITEM_RES!$A$1,MATCH(BF40,ITEM_RES!$J:$J,0)-1,0),0)</f>
        <v>0</v>
      </c>
      <c r="BJ40" s="11">
        <f ca="1">IFERROR(OFFSET(ITEM_RES!$A$1,MATCH(BK40,ITEM_RES!$J:$J,0)-1,0),0)</f>
        <v>0</v>
      </c>
      <c r="BL40" s="11">
        <f t="shared" si="4"/>
        <v>0</v>
      </c>
    </row>
    <row r="41" spans="1:65" x14ac:dyDescent="0.3">
      <c r="A41" s="14">
        <f t="shared" si="0"/>
        <v>111020017</v>
      </c>
      <c r="B41" s="13">
        <v>11</v>
      </c>
      <c r="C41" s="12">
        <f t="shared" si="1"/>
        <v>1</v>
      </c>
      <c r="D41" s="13">
        <v>2</v>
      </c>
      <c r="E41" s="13">
        <v>0</v>
      </c>
      <c r="F41" s="12">
        <f t="shared" si="2"/>
        <v>17</v>
      </c>
      <c r="H41" s="9">
        <v>1</v>
      </c>
      <c r="I41" s="9">
        <v>17</v>
      </c>
      <c r="K41" s="9" t="s">
        <v>357</v>
      </c>
      <c r="L41" s="9">
        <v>0</v>
      </c>
      <c r="M41" s="9">
        <v>15</v>
      </c>
      <c r="R41" s="9" t="s">
        <v>771</v>
      </c>
      <c r="U41" s="9">
        <f ca="1">IFERROR(OFFSET(ITEM_RES!$A$5,MATCH(BUILDING!T41,ITEM_RES!$J$5:$J$229,0)-1,0),0)</f>
        <v>0</v>
      </c>
      <c r="W41" s="86" t="s">
        <v>573</v>
      </c>
      <c r="X41" s="9">
        <f ca="1">IFERROR(OFFSET(ITEM_RES!$A$5,MATCH(BUILDING!W41,ITEM_RES!$J$5:$J$229,0)-1,0),0)</f>
        <v>211010201</v>
      </c>
      <c r="Z41" s="9" t="s">
        <v>543</v>
      </c>
      <c r="AA41" s="9">
        <v>17</v>
      </c>
      <c r="AC41" s="9">
        <v>34000</v>
      </c>
      <c r="AE41" s="56">
        <f t="shared" si="5"/>
        <v>17850</v>
      </c>
      <c r="AF41" s="10">
        <f t="shared" si="9"/>
        <v>32550</v>
      </c>
      <c r="AH41" s="11">
        <f t="shared" si="3"/>
        <v>85</v>
      </c>
      <c r="AI41" s="10">
        <v>85</v>
      </c>
      <c r="AJ41" s="11">
        <f t="shared" si="6"/>
        <v>850</v>
      </c>
      <c r="AK41" s="10">
        <v>850</v>
      </c>
      <c r="AL41" s="11">
        <f t="shared" si="6"/>
        <v>850</v>
      </c>
      <c r="AM41" s="10">
        <v>850</v>
      </c>
      <c r="AN41" s="56">
        <f t="shared" si="7"/>
        <v>2</v>
      </c>
      <c r="AP41" s="11">
        <f ca="1">IFERROR(OFFSET(ITEM_RES!$A$1,MATCH(AQ41,ITEM_RES!$J:$J,0)-1,0),0)</f>
        <v>211010601</v>
      </c>
      <c r="AQ41" s="10" t="s">
        <v>466</v>
      </c>
      <c r="AR41" s="11">
        <v>4250</v>
      </c>
      <c r="AU41" s="11">
        <f ca="1">IFERROR(OFFSET(ITEM_RES!$A$1,MATCH(AV41,ITEM_RES!$J:$J,0)-1,0),0)</f>
        <v>211020101</v>
      </c>
      <c r="AV41" s="10" t="s">
        <v>475</v>
      </c>
      <c r="AW41" s="11">
        <v>4250</v>
      </c>
      <c r="AZ41" s="11">
        <f ca="1">IFERROR(OFFSET(ITEM_RES!$A$1,MATCH(BA41,ITEM_RES!$J:$J,0)-1,0),0)</f>
        <v>0</v>
      </c>
      <c r="BE41" s="11">
        <f ca="1">IFERROR(OFFSET(ITEM_RES!$A$1,MATCH(BF41,ITEM_RES!$J:$J,0)-1,0),0)</f>
        <v>0</v>
      </c>
      <c r="BJ41" s="11">
        <f ca="1">IFERROR(OFFSET(ITEM_RES!$A$1,MATCH(BK41,ITEM_RES!$J:$J,0)-1,0),0)</f>
        <v>0</v>
      </c>
      <c r="BL41" s="11">
        <f t="shared" si="4"/>
        <v>0</v>
      </c>
    </row>
    <row r="42" spans="1:65" x14ac:dyDescent="0.3">
      <c r="A42" s="14">
        <f t="shared" si="0"/>
        <v>111020018</v>
      </c>
      <c r="B42" s="13">
        <v>11</v>
      </c>
      <c r="C42" s="12">
        <f t="shared" si="1"/>
        <v>1</v>
      </c>
      <c r="D42" s="13">
        <v>2</v>
      </c>
      <c r="E42" s="13">
        <v>0</v>
      </c>
      <c r="F42" s="12">
        <f t="shared" si="2"/>
        <v>18</v>
      </c>
      <c r="H42" s="9">
        <v>1</v>
      </c>
      <c r="I42" s="9">
        <v>18</v>
      </c>
      <c r="K42" s="9" t="s">
        <v>357</v>
      </c>
      <c r="L42" s="9">
        <v>0</v>
      </c>
      <c r="M42" s="9">
        <v>15</v>
      </c>
      <c r="R42" s="9" t="s">
        <v>771</v>
      </c>
      <c r="U42" s="9">
        <f ca="1">IFERROR(OFFSET(ITEM_RES!$A$5,MATCH(BUILDING!T42,ITEM_RES!$J$5:$J$229,0)-1,0),0)</f>
        <v>0</v>
      </c>
      <c r="W42" s="86" t="s">
        <v>573</v>
      </c>
      <c r="X42" s="9">
        <f ca="1">IFERROR(OFFSET(ITEM_RES!$A$5,MATCH(BUILDING!W42,ITEM_RES!$J$5:$J$229,0)-1,0),0)</f>
        <v>211010201</v>
      </c>
      <c r="Z42" s="9" t="s">
        <v>543</v>
      </c>
      <c r="AA42" s="9">
        <v>18</v>
      </c>
      <c r="AC42" s="9">
        <v>42000</v>
      </c>
      <c r="AE42" s="56">
        <f t="shared" si="5"/>
        <v>22050</v>
      </c>
      <c r="AF42" s="10">
        <f t="shared" si="9"/>
        <v>39900</v>
      </c>
      <c r="AH42" s="11">
        <f t="shared" si="3"/>
        <v>90</v>
      </c>
      <c r="AI42" s="10">
        <v>90</v>
      </c>
      <c r="AJ42" s="11">
        <f t="shared" si="6"/>
        <v>1050</v>
      </c>
      <c r="AK42" s="10">
        <v>1050</v>
      </c>
      <c r="AL42" s="11">
        <f t="shared" si="6"/>
        <v>1050</v>
      </c>
      <c r="AM42" s="10">
        <v>1050</v>
      </c>
      <c r="AN42" s="56">
        <f t="shared" si="7"/>
        <v>2</v>
      </c>
      <c r="AP42" s="11">
        <f ca="1">IFERROR(OFFSET(ITEM_RES!$A$1,MATCH(AQ42,ITEM_RES!$J:$J,0)-1,0),0)</f>
        <v>211010601</v>
      </c>
      <c r="AQ42" s="10" t="s">
        <v>466</v>
      </c>
      <c r="AR42" s="11">
        <v>5250</v>
      </c>
      <c r="AU42" s="11">
        <f ca="1">IFERROR(OFFSET(ITEM_RES!$A$1,MATCH(AV42,ITEM_RES!$J:$J,0)-1,0),0)</f>
        <v>211020101</v>
      </c>
      <c r="AV42" s="10" t="s">
        <v>475</v>
      </c>
      <c r="AW42" s="11">
        <v>5250</v>
      </c>
      <c r="AZ42" s="11">
        <f ca="1">IFERROR(OFFSET(ITEM_RES!$A$1,MATCH(BA42,ITEM_RES!$J:$J,0)-1,0),0)</f>
        <v>0</v>
      </c>
      <c r="BE42" s="11">
        <f ca="1">IFERROR(OFFSET(ITEM_RES!$A$1,MATCH(BF42,ITEM_RES!$J:$J,0)-1,0),0)</f>
        <v>0</v>
      </c>
      <c r="BJ42" s="11">
        <f ca="1">IFERROR(OFFSET(ITEM_RES!$A$1,MATCH(BK42,ITEM_RES!$J:$J,0)-1,0),0)</f>
        <v>0</v>
      </c>
      <c r="BL42" s="11">
        <f t="shared" si="4"/>
        <v>0</v>
      </c>
    </row>
    <row r="43" spans="1:65" x14ac:dyDescent="0.3">
      <c r="A43" s="14">
        <f t="shared" si="0"/>
        <v>111020019</v>
      </c>
      <c r="B43" s="13">
        <v>11</v>
      </c>
      <c r="C43" s="12">
        <f t="shared" si="1"/>
        <v>1</v>
      </c>
      <c r="D43" s="13">
        <v>2</v>
      </c>
      <c r="E43" s="13">
        <v>0</v>
      </c>
      <c r="F43" s="12">
        <f t="shared" si="2"/>
        <v>19</v>
      </c>
      <c r="H43" s="9">
        <v>1</v>
      </c>
      <c r="I43" s="9">
        <v>19</v>
      </c>
      <c r="K43" s="9" t="s">
        <v>357</v>
      </c>
      <c r="L43" s="9">
        <v>0</v>
      </c>
      <c r="M43" s="9">
        <v>15</v>
      </c>
      <c r="R43" s="9" t="s">
        <v>771</v>
      </c>
      <c r="U43" s="9">
        <f ca="1">IFERROR(OFFSET(ITEM_RES!$A$5,MATCH(BUILDING!T43,ITEM_RES!$J$5:$J$229,0)-1,0),0)</f>
        <v>0</v>
      </c>
      <c r="W43" s="86" t="s">
        <v>573</v>
      </c>
      <c r="X43" s="9">
        <f ca="1">IFERROR(OFFSET(ITEM_RES!$A$5,MATCH(BUILDING!W43,ITEM_RES!$J$5:$J$229,0)-1,0),0)</f>
        <v>211010201</v>
      </c>
      <c r="Z43" s="9" t="s">
        <v>543</v>
      </c>
      <c r="AA43" s="9">
        <v>19</v>
      </c>
      <c r="AC43" s="9">
        <v>50000</v>
      </c>
      <c r="AE43" s="56">
        <f t="shared" si="5"/>
        <v>26250</v>
      </c>
      <c r="AF43" s="10">
        <f t="shared" si="9"/>
        <v>48300</v>
      </c>
      <c r="AH43" s="11">
        <f t="shared" si="3"/>
        <v>95</v>
      </c>
      <c r="AI43" s="10">
        <v>95</v>
      </c>
      <c r="AJ43" s="11">
        <f t="shared" si="6"/>
        <v>1250</v>
      </c>
      <c r="AK43" s="10">
        <v>1250</v>
      </c>
      <c r="AL43" s="11">
        <f t="shared" si="6"/>
        <v>1250</v>
      </c>
      <c r="AM43" s="10">
        <v>1250</v>
      </c>
      <c r="AN43" s="56">
        <f t="shared" si="7"/>
        <v>2</v>
      </c>
      <c r="AP43" s="11">
        <f ca="1">IFERROR(OFFSET(ITEM_RES!$A$1,MATCH(AQ43,ITEM_RES!$J:$J,0)-1,0),0)</f>
        <v>211010601</v>
      </c>
      <c r="AQ43" s="10" t="s">
        <v>466</v>
      </c>
      <c r="AR43" s="11">
        <v>6250</v>
      </c>
      <c r="AU43" s="11">
        <f ca="1">IFERROR(OFFSET(ITEM_RES!$A$1,MATCH(AV43,ITEM_RES!$J:$J,0)-1,0),0)</f>
        <v>211020101</v>
      </c>
      <c r="AV43" s="10" t="s">
        <v>475</v>
      </c>
      <c r="AW43" s="11">
        <v>6250</v>
      </c>
      <c r="AZ43" s="11">
        <f ca="1">IFERROR(OFFSET(ITEM_RES!$A$1,MATCH(BA43,ITEM_RES!$J:$J,0)-1,0),0)</f>
        <v>0</v>
      </c>
      <c r="BE43" s="11">
        <f ca="1">IFERROR(OFFSET(ITEM_RES!$A$1,MATCH(BF43,ITEM_RES!$J:$J,0)-1,0),0)</f>
        <v>0</v>
      </c>
      <c r="BJ43" s="11">
        <f ca="1">IFERROR(OFFSET(ITEM_RES!$A$1,MATCH(BK43,ITEM_RES!$J:$J,0)-1,0),0)</f>
        <v>0</v>
      </c>
      <c r="BL43" s="11">
        <f t="shared" si="4"/>
        <v>0</v>
      </c>
    </row>
    <row r="44" spans="1:65" ht="17.25" thickBot="1" x14ac:dyDescent="0.35">
      <c r="A44" s="14">
        <f t="shared" si="0"/>
        <v>111020020</v>
      </c>
      <c r="B44" s="13">
        <v>11</v>
      </c>
      <c r="C44" s="12">
        <f t="shared" si="1"/>
        <v>1</v>
      </c>
      <c r="D44" s="13">
        <v>2</v>
      </c>
      <c r="E44" s="13">
        <v>0</v>
      </c>
      <c r="F44" s="12">
        <f t="shared" si="2"/>
        <v>20</v>
      </c>
      <c r="H44" s="9">
        <v>1</v>
      </c>
      <c r="I44" s="9">
        <v>20</v>
      </c>
      <c r="K44" s="9" t="s">
        <v>357</v>
      </c>
      <c r="L44" s="9">
        <v>0</v>
      </c>
      <c r="M44" s="9">
        <v>15</v>
      </c>
      <c r="R44" s="9" t="s">
        <v>771</v>
      </c>
      <c r="U44" s="9">
        <f ca="1">IFERROR(OFFSET(ITEM_RES!$A$5,MATCH(BUILDING!T44,ITEM_RES!$J$5:$J$229,0)-1,0),0)</f>
        <v>0</v>
      </c>
      <c r="W44" s="86" t="s">
        <v>573</v>
      </c>
      <c r="X44" s="9">
        <f ca="1">IFERROR(OFFSET(ITEM_RES!$A$5,MATCH(BUILDING!W44,ITEM_RES!$J$5:$J$229,0)-1,0),0)</f>
        <v>211010201</v>
      </c>
      <c r="Z44" s="9" t="s">
        <v>543</v>
      </c>
      <c r="AA44" s="9">
        <v>20</v>
      </c>
      <c r="AC44" s="9">
        <v>60000</v>
      </c>
      <c r="AE44" s="56">
        <f t="shared" si="5"/>
        <v>31500</v>
      </c>
      <c r="AF44" s="10">
        <f t="shared" si="9"/>
        <v>57750</v>
      </c>
      <c r="AH44" s="11">
        <f t="shared" si="3"/>
        <v>100</v>
      </c>
      <c r="AI44" s="10">
        <v>100</v>
      </c>
      <c r="AJ44" s="11">
        <f t="shared" si="6"/>
        <v>1500</v>
      </c>
      <c r="AK44" s="10">
        <v>1500</v>
      </c>
      <c r="AL44" s="11">
        <f t="shared" si="6"/>
        <v>1500</v>
      </c>
      <c r="AM44" s="10">
        <v>1500</v>
      </c>
      <c r="AN44" s="56">
        <f t="shared" si="7"/>
        <v>2</v>
      </c>
      <c r="AP44" s="11">
        <f ca="1">IFERROR(OFFSET(ITEM_RES!$A$1,MATCH(AQ44,ITEM_RES!$J:$J,0)-1,0),0)</f>
        <v>211010601</v>
      </c>
      <c r="AQ44" s="10" t="s">
        <v>466</v>
      </c>
      <c r="AR44" s="11">
        <v>7500</v>
      </c>
      <c r="AU44" s="11">
        <f ca="1">IFERROR(OFFSET(ITEM_RES!$A$1,MATCH(AV44,ITEM_RES!$J:$J,0)-1,0),0)</f>
        <v>211020101</v>
      </c>
      <c r="AV44" s="10" t="s">
        <v>475</v>
      </c>
      <c r="AW44" s="11">
        <v>7500</v>
      </c>
      <c r="AZ44" s="11">
        <f ca="1">IFERROR(OFFSET(ITEM_RES!$A$1,MATCH(BA44,ITEM_RES!$J:$J,0)-1,0),0)</f>
        <v>0</v>
      </c>
      <c r="BE44" s="11">
        <f ca="1">IFERROR(OFFSET(ITEM_RES!$A$1,MATCH(BF44,ITEM_RES!$J:$J,0)-1,0),0)</f>
        <v>0</v>
      </c>
      <c r="BJ44" s="11">
        <f ca="1">IFERROR(OFFSET(ITEM_RES!$A$1,MATCH(BK44,ITEM_RES!$J:$J,0)-1,0),0)</f>
        <v>0</v>
      </c>
      <c r="BL44" s="11">
        <f t="shared" si="4"/>
        <v>0</v>
      </c>
    </row>
    <row r="45" spans="1:65" s="15" customFormat="1" x14ac:dyDescent="0.3">
      <c r="A45" s="21">
        <f t="shared" si="0"/>
        <v>111030001</v>
      </c>
      <c r="B45" s="20">
        <v>11</v>
      </c>
      <c r="C45" s="19">
        <f t="shared" si="1"/>
        <v>1</v>
      </c>
      <c r="D45" s="20">
        <v>3</v>
      </c>
      <c r="E45" s="20">
        <v>0</v>
      </c>
      <c r="F45" s="19">
        <f t="shared" si="2"/>
        <v>1</v>
      </c>
      <c r="G45" s="80"/>
      <c r="H45" s="16">
        <v>1</v>
      </c>
      <c r="I45" s="16">
        <v>1</v>
      </c>
      <c r="J45" s="80"/>
      <c r="K45" s="16" t="s">
        <v>358</v>
      </c>
      <c r="L45" s="16">
        <v>1</v>
      </c>
      <c r="M45" s="16">
        <v>15</v>
      </c>
      <c r="N45" s="16"/>
      <c r="O45" s="17"/>
      <c r="P45" s="17"/>
      <c r="Q45" s="18"/>
      <c r="R45" s="16" t="s">
        <v>772</v>
      </c>
      <c r="S45" s="80"/>
      <c r="T45" s="88"/>
      <c r="U45" s="16">
        <f ca="1">IFERROR(OFFSET(ITEM_RES!$A$5,MATCH(BUILDING!T45,ITEM_RES!$J$5:$J$229,0)-1,0),0)</f>
        <v>0</v>
      </c>
      <c r="V45" s="18"/>
      <c r="W45" s="88" t="s">
        <v>574</v>
      </c>
      <c r="X45" s="16">
        <f ca="1">IFERROR(OFFSET(ITEM_RES!$A$5,MATCH(BUILDING!W45,ITEM_RES!$J$5:$J$229,0)-1,0),0)</f>
        <v>211010301</v>
      </c>
      <c r="Y45" s="80"/>
      <c r="Z45" s="16" t="s">
        <v>544</v>
      </c>
      <c r="AA45" s="16">
        <v>1</v>
      </c>
      <c r="AB45" s="80"/>
      <c r="AC45" s="16">
        <v>0</v>
      </c>
      <c r="AD45" s="80"/>
      <c r="AE45" s="57">
        <f t="shared" si="5"/>
        <v>605</v>
      </c>
      <c r="AF45" s="17">
        <f>AE45</f>
        <v>605</v>
      </c>
      <c r="AG45" s="80"/>
      <c r="AH45" s="18">
        <f t="shared" si="3"/>
        <v>5</v>
      </c>
      <c r="AI45" s="17">
        <v>5</v>
      </c>
      <c r="AJ45" s="18">
        <f t="shared" si="6"/>
        <v>5</v>
      </c>
      <c r="AK45" s="17">
        <v>5</v>
      </c>
      <c r="AL45" s="18">
        <f t="shared" si="6"/>
        <v>5</v>
      </c>
      <c r="AM45" s="17">
        <v>5</v>
      </c>
      <c r="AN45" s="57">
        <f t="shared" si="7"/>
        <v>3</v>
      </c>
      <c r="AO45" s="18"/>
      <c r="AP45" s="18">
        <f ca="1">IFERROR(OFFSET(ITEM_RES!$A$1,MATCH(AQ45,ITEM_RES!$J:$J,0)-1,0),0)</f>
        <v>211010501</v>
      </c>
      <c r="AQ45" s="17" t="s">
        <v>451</v>
      </c>
      <c r="AR45" s="18">
        <v>25</v>
      </c>
      <c r="AS45" s="17"/>
      <c r="AT45" s="18"/>
      <c r="AU45" s="18">
        <f ca="1">IFERROR(OFFSET(ITEM_RES!$A$1,MATCH(AV45,ITEM_RES!$J:$J,0)-1,0),0)</f>
        <v>211020101</v>
      </c>
      <c r="AV45" s="17" t="s">
        <v>475</v>
      </c>
      <c r="AW45" s="18">
        <v>25</v>
      </c>
      <c r="AX45" s="17"/>
      <c r="AY45" s="18"/>
      <c r="AZ45" s="18">
        <f ca="1">IFERROR(OFFSET(ITEM_RES!$A$1,MATCH(BA45,ITEM_RES!$J:$J,0)-1,0),0)</f>
        <v>213010101</v>
      </c>
      <c r="BA45" s="17" t="s">
        <v>481</v>
      </c>
      <c r="BB45" s="18">
        <v>1</v>
      </c>
      <c r="BC45" s="17"/>
      <c r="BD45" s="18"/>
      <c r="BE45" s="18">
        <f ca="1">IFERROR(OFFSET(ITEM_RES!$A$1,MATCH(BF45,ITEM_RES!$J:$J,0)-1,0),0)</f>
        <v>0</v>
      </c>
      <c r="BF45" s="17"/>
      <c r="BG45" s="18"/>
      <c r="BH45" s="17"/>
      <c r="BI45" s="18"/>
      <c r="BJ45" s="18">
        <f ca="1">IFERROR(OFFSET(ITEM_RES!$A$1,MATCH(BK45,ITEM_RES!$J:$J,0)-1,0),0)</f>
        <v>0</v>
      </c>
      <c r="BK45" s="17"/>
      <c r="BL45" s="18">
        <f t="shared" si="4"/>
        <v>0</v>
      </c>
      <c r="BM45" s="17"/>
    </row>
    <row r="46" spans="1:65" x14ac:dyDescent="0.3">
      <c r="A46" s="14">
        <f t="shared" si="0"/>
        <v>111030002</v>
      </c>
      <c r="B46" s="13">
        <v>11</v>
      </c>
      <c r="C46" s="12">
        <f t="shared" si="1"/>
        <v>1</v>
      </c>
      <c r="D46" s="13">
        <v>3</v>
      </c>
      <c r="E46" s="13">
        <v>0</v>
      </c>
      <c r="F46" s="12">
        <f t="shared" si="2"/>
        <v>2</v>
      </c>
      <c r="H46" s="9">
        <v>1</v>
      </c>
      <c r="I46" s="9">
        <v>2</v>
      </c>
      <c r="K46" s="9" t="s">
        <v>358</v>
      </c>
      <c r="L46" s="9">
        <v>1</v>
      </c>
      <c r="M46" s="9">
        <v>15</v>
      </c>
      <c r="R46" s="9" t="s">
        <v>772</v>
      </c>
      <c r="U46" s="9">
        <f ca="1">IFERROR(OFFSET(ITEM_RES!$A$5,MATCH(BUILDING!T46,ITEM_RES!$J$5:$J$229,0)-1,0),0)</f>
        <v>0</v>
      </c>
      <c r="W46" s="86" t="s">
        <v>574</v>
      </c>
      <c r="X46" s="9">
        <f ca="1">IFERROR(OFFSET(ITEM_RES!$A$5,MATCH(BUILDING!W46,ITEM_RES!$J$5:$J$229,0)-1,0),0)</f>
        <v>211010301</v>
      </c>
      <c r="Z46" s="9" t="s">
        <v>544</v>
      </c>
      <c r="AA46" s="9">
        <v>2</v>
      </c>
      <c r="AC46" s="9">
        <v>800</v>
      </c>
      <c r="AE46" s="56">
        <f t="shared" si="5"/>
        <v>210</v>
      </c>
      <c r="AF46" s="10">
        <f>AE45+AE46</f>
        <v>815</v>
      </c>
      <c r="AH46" s="11">
        <f t="shared" si="3"/>
        <v>10</v>
      </c>
      <c r="AI46" s="10">
        <v>10</v>
      </c>
      <c r="AJ46" s="11">
        <f t="shared" si="6"/>
        <v>10</v>
      </c>
      <c r="AK46" s="10">
        <v>10</v>
      </c>
      <c r="AL46" s="11">
        <f t="shared" si="6"/>
        <v>10</v>
      </c>
      <c r="AM46" s="10">
        <v>10</v>
      </c>
      <c r="AN46" s="56">
        <f t="shared" si="7"/>
        <v>2</v>
      </c>
      <c r="AP46" s="11">
        <f ca="1">IFERROR(OFFSET(ITEM_RES!$A$1,MATCH(AQ46,ITEM_RES!$J:$J,0)-1,0),0)</f>
        <v>211010501</v>
      </c>
      <c r="AQ46" s="10" t="s">
        <v>451</v>
      </c>
      <c r="AR46" s="11">
        <v>50</v>
      </c>
      <c r="AU46" s="11">
        <f ca="1">IFERROR(OFFSET(ITEM_RES!$A$1,MATCH(AV46,ITEM_RES!$J:$J,0)-1,0),0)</f>
        <v>211020101</v>
      </c>
      <c r="AV46" s="10" t="s">
        <v>475</v>
      </c>
      <c r="AW46" s="11">
        <v>50</v>
      </c>
      <c r="AZ46" s="11">
        <f ca="1">IFERROR(OFFSET(ITEM_RES!$A$1,MATCH(BA46,ITEM_RES!$J:$J,0)-1,0),0)</f>
        <v>0</v>
      </c>
      <c r="BE46" s="11">
        <f ca="1">IFERROR(OFFSET(ITEM_RES!$A$1,MATCH(BF46,ITEM_RES!$J:$J,0)-1,0),0)</f>
        <v>0</v>
      </c>
      <c r="BJ46" s="11">
        <f ca="1">IFERROR(OFFSET(ITEM_RES!$A$1,MATCH(BK46,ITEM_RES!$J:$J,0)-1,0),0)</f>
        <v>0</v>
      </c>
      <c r="BL46" s="11">
        <f t="shared" si="4"/>
        <v>0</v>
      </c>
    </row>
    <row r="47" spans="1:65" x14ac:dyDescent="0.3">
      <c r="A47" s="14">
        <f t="shared" si="0"/>
        <v>111030003</v>
      </c>
      <c r="B47" s="13">
        <v>11</v>
      </c>
      <c r="C47" s="12">
        <f t="shared" si="1"/>
        <v>1</v>
      </c>
      <c r="D47" s="13">
        <v>3</v>
      </c>
      <c r="E47" s="13">
        <v>0</v>
      </c>
      <c r="F47" s="12">
        <f t="shared" si="2"/>
        <v>3</v>
      </c>
      <c r="H47" s="9">
        <v>1</v>
      </c>
      <c r="I47" s="9">
        <v>3</v>
      </c>
      <c r="K47" s="9" t="s">
        <v>358</v>
      </c>
      <c r="L47" s="9">
        <v>1</v>
      </c>
      <c r="M47" s="9">
        <v>15</v>
      </c>
      <c r="R47" s="9" t="s">
        <v>772</v>
      </c>
      <c r="U47" s="9">
        <f ca="1">IFERROR(OFFSET(ITEM_RES!$A$5,MATCH(BUILDING!T47,ITEM_RES!$J$5:$J$229,0)-1,0),0)</f>
        <v>0</v>
      </c>
      <c r="W47" s="86" t="s">
        <v>574</v>
      </c>
      <c r="X47" s="9">
        <f ca="1">IFERROR(OFFSET(ITEM_RES!$A$5,MATCH(BUILDING!W47,ITEM_RES!$J$5:$J$229,0)-1,0),0)</f>
        <v>211010301</v>
      </c>
      <c r="Z47" s="9" t="s">
        <v>544</v>
      </c>
      <c r="AA47" s="9">
        <v>3</v>
      </c>
      <c r="AC47" s="9">
        <v>1200</v>
      </c>
      <c r="AE47" s="56">
        <f t="shared" si="5"/>
        <v>315</v>
      </c>
      <c r="AF47" s="10">
        <f t="shared" ref="AF47:AF64" si="10">AE46+AE47</f>
        <v>525</v>
      </c>
      <c r="AH47" s="11">
        <f t="shared" si="3"/>
        <v>15</v>
      </c>
      <c r="AI47" s="10">
        <v>15</v>
      </c>
      <c r="AJ47" s="11">
        <f t="shared" si="6"/>
        <v>15</v>
      </c>
      <c r="AK47" s="10">
        <v>15</v>
      </c>
      <c r="AL47" s="11">
        <f t="shared" si="6"/>
        <v>15</v>
      </c>
      <c r="AM47" s="10">
        <v>15</v>
      </c>
      <c r="AN47" s="56">
        <f t="shared" si="7"/>
        <v>2</v>
      </c>
      <c r="AP47" s="11">
        <f ca="1">IFERROR(OFFSET(ITEM_RES!$A$1,MATCH(AQ47,ITEM_RES!$J:$J,0)-1,0),0)</f>
        <v>211010501</v>
      </c>
      <c r="AQ47" s="10" t="s">
        <v>451</v>
      </c>
      <c r="AR47" s="11">
        <v>75</v>
      </c>
      <c r="AU47" s="11">
        <f ca="1">IFERROR(OFFSET(ITEM_RES!$A$1,MATCH(AV47,ITEM_RES!$J:$J,0)-1,0),0)</f>
        <v>211020101</v>
      </c>
      <c r="AV47" s="10" t="s">
        <v>475</v>
      </c>
      <c r="AW47" s="11">
        <v>75</v>
      </c>
      <c r="AZ47" s="11">
        <f ca="1">IFERROR(OFFSET(ITEM_RES!$A$1,MATCH(BA47,ITEM_RES!$J:$J,0)-1,0),0)</f>
        <v>0</v>
      </c>
      <c r="BE47" s="11">
        <f ca="1">IFERROR(OFFSET(ITEM_RES!$A$1,MATCH(BF47,ITEM_RES!$J:$J,0)-1,0),0)</f>
        <v>0</v>
      </c>
      <c r="BJ47" s="11">
        <f ca="1">IFERROR(OFFSET(ITEM_RES!$A$1,MATCH(BK47,ITEM_RES!$J:$J,0)-1,0),0)</f>
        <v>0</v>
      </c>
      <c r="BL47" s="11">
        <f t="shared" si="4"/>
        <v>0</v>
      </c>
    </row>
    <row r="48" spans="1:65" x14ac:dyDescent="0.3">
      <c r="A48" s="14">
        <f t="shared" si="0"/>
        <v>111030004</v>
      </c>
      <c r="B48" s="13">
        <v>11</v>
      </c>
      <c r="C48" s="12">
        <f t="shared" si="1"/>
        <v>1</v>
      </c>
      <c r="D48" s="13">
        <v>3</v>
      </c>
      <c r="E48" s="13">
        <v>0</v>
      </c>
      <c r="F48" s="12">
        <f t="shared" si="2"/>
        <v>4</v>
      </c>
      <c r="H48" s="9">
        <v>1</v>
      </c>
      <c r="I48" s="9">
        <v>4</v>
      </c>
      <c r="K48" s="9" t="s">
        <v>358</v>
      </c>
      <c r="L48" s="9">
        <v>1</v>
      </c>
      <c r="M48" s="9">
        <v>15</v>
      </c>
      <c r="R48" s="9" t="s">
        <v>772</v>
      </c>
      <c r="U48" s="9">
        <f ca="1">IFERROR(OFFSET(ITEM_RES!$A$5,MATCH(BUILDING!T48,ITEM_RES!$J$5:$J$229,0)-1,0),0)</f>
        <v>0</v>
      </c>
      <c r="W48" s="86" t="s">
        <v>574</v>
      </c>
      <c r="X48" s="9">
        <f ca="1">IFERROR(OFFSET(ITEM_RES!$A$5,MATCH(BUILDING!W48,ITEM_RES!$J$5:$J$229,0)-1,0),0)</f>
        <v>211010301</v>
      </c>
      <c r="Z48" s="9" t="s">
        <v>544</v>
      </c>
      <c r="AA48" s="9">
        <v>4</v>
      </c>
      <c r="AC48" s="9">
        <v>2000</v>
      </c>
      <c r="AE48" s="56">
        <f t="shared" si="5"/>
        <v>525</v>
      </c>
      <c r="AF48" s="10">
        <f t="shared" si="10"/>
        <v>840</v>
      </c>
      <c r="AH48" s="11">
        <f t="shared" si="3"/>
        <v>20</v>
      </c>
      <c r="AI48" s="10">
        <v>20</v>
      </c>
      <c r="AJ48" s="11">
        <f t="shared" si="6"/>
        <v>25</v>
      </c>
      <c r="AK48" s="10">
        <v>25</v>
      </c>
      <c r="AL48" s="11">
        <f t="shared" si="6"/>
        <v>25</v>
      </c>
      <c r="AM48" s="10">
        <v>25</v>
      </c>
      <c r="AN48" s="56">
        <f t="shared" si="7"/>
        <v>2</v>
      </c>
      <c r="AP48" s="11">
        <f ca="1">IFERROR(OFFSET(ITEM_RES!$A$1,MATCH(AQ48,ITEM_RES!$J:$J,0)-1,0),0)</f>
        <v>211010501</v>
      </c>
      <c r="AQ48" s="10" t="s">
        <v>451</v>
      </c>
      <c r="AR48" s="11">
        <v>125</v>
      </c>
      <c r="AU48" s="11">
        <f ca="1">IFERROR(OFFSET(ITEM_RES!$A$1,MATCH(AV48,ITEM_RES!$J:$J,0)-1,0),0)</f>
        <v>211020101</v>
      </c>
      <c r="AV48" s="10" t="s">
        <v>475</v>
      </c>
      <c r="AW48" s="11">
        <v>125</v>
      </c>
      <c r="AZ48" s="11">
        <f ca="1">IFERROR(OFFSET(ITEM_RES!$A$1,MATCH(BA48,ITEM_RES!$J:$J,0)-1,0),0)</f>
        <v>0</v>
      </c>
      <c r="BE48" s="11">
        <f ca="1">IFERROR(OFFSET(ITEM_RES!$A$1,MATCH(BF48,ITEM_RES!$J:$J,0)-1,0),0)</f>
        <v>0</v>
      </c>
      <c r="BJ48" s="11">
        <f ca="1">IFERROR(OFFSET(ITEM_RES!$A$1,MATCH(BK48,ITEM_RES!$J:$J,0)-1,0),0)</f>
        <v>0</v>
      </c>
      <c r="BL48" s="11">
        <f t="shared" si="4"/>
        <v>0</v>
      </c>
    </row>
    <row r="49" spans="1:64" x14ac:dyDescent="0.3">
      <c r="A49" s="14">
        <f t="shared" si="0"/>
        <v>111030005</v>
      </c>
      <c r="B49" s="13">
        <v>11</v>
      </c>
      <c r="C49" s="12">
        <f t="shared" si="1"/>
        <v>1</v>
      </c>
      <c r="D49" s="13">
        <v>3</v>
      </c>
      <c r="E49" s="13">
        <v>0</v>
      </c>
      <c r="F49" s="12">
        <f t="shared" si="2"/>
        <v>5</v>
      </c>
      <c r="H49" s="9">
        <v>1</v>
      </c>
      <c r="I49" s="9">
        <v>5</v>
      </c>
      <c r="K49" s="9" t="s">
        <v>358</v>
      </c>
      <c r="L49" s="9">
        <v>1</v>
      </c>
      <c r="M49" s="9">
        <v>15</v>
      </c>
      <c r="R49" s="9" t="s">
        <v>772</v>
      </c>
      <c r="U49" s="9">
        <f ca="1">IFERROR(OFFSET(ITEM_RES!$A$5,MATCH(BUILDING!T49,ITEM_RES!$J$5:$J$229,0)-1,0),0)</f>
        <v>0</v>
      </c>
      <c r="W49" s="86" t="s">
        <v>574</v>
      </c>
      <c r="X49" s="9">
        <f ca="1">IFERROR(OFFSET(ITEM_RES!$A$5,MATCH(BUILDING!W49,ITEM_RES!$J$5:$J$229,0)-1,0),0)</f>
        <v>211010301</v>
      </c>
      <c r="Z49" s="9" t="s">
        <v>544</v>
      </c>
      <c r="AA49" s="9">
        <v>5</v>
      </c>
      <c r="AC49" s="9">
        <v>3200</v>
      </c>
      <c r="AE49" s="56">
        <f t="shared" si="5"/>
        <v>840</v>
      </c>
      <c r="AF49" s="10">
        <f t="shared" si="10"/>
        <v>1365</v>
      </c>
      <c r="AH49" s="11">
        <f t="shared" si="3"/>
        <v>25</v>
      </c>
      <c r="AI49" s="10">
        <v>25</v>
      </c>
      <c r="AJ49" s="11">
        <f t="shared" si="6"/>
        <v>40</v>
      </c>
      <c r="AK49" s="10">
        <v>40</v>
      </c>
      <c r="AL49" s="11">
        <f t="shared" si="6"/>
        <v>40</v>
      </c>
      <c r="AM49" s="10">
        <v>40</v>
      </c>
      <c r="AN49" s="56">
        <f t="shared" si="7"/>
        <v>2</v>
      </c>
      <c r="AP49" s="11">
        <f ca="1">IFERROR(OFFSET(ITEM_RES!$A$1,MATCH(AQ49,ITEM_RES!$J:$J,0)-1,0),0)</f>
        <v>211010501</v>
      </c>
      <c r="AQ49" s="10" t="s">
        <v>451</v>
      </c>
      <c r="AR49" s="11">
        <v>200</v>
      </c>
      <c r="AU49" s="11">
        <f ca="1">IFERROR(OFFSET(ITEM_RES!$A$1,MATCH(AV49,ITEM_RES!$J:$J,0)-1,0),0)</f>
        <v>211020101</v>
      </c>
      <c r="AV49" s="10" t="s">
        <v>475</v>
      </c>
      <c r="AW49" s="11">
        <v>200</v>
      </c>
      <c r="AZ49" s="11">
        <f ca="1">IFERROR(OFFSET(ITEM_RES!$A$1,MATCH(BA49,ITEM_RES!$J:$J,0)-1,0),0)</f>
        <v>0</v>
      </c>
      <c r="BE49" s="11">
        <f ca="1">IFERROR(OFFSET(ITEM_RES!$A$1,MATCH(BF49,ITEM_RES!$J:$J,0)-1,0),0)</f>
        <v>0</v>
      </c>
      <c r="BJ49" s="11">
        <f ca="1">IFERROR(OFFSET(ITEM_RES!$A$1,MATCH(BK49,ITEM_RES!$J:$J,0)-1,0),0)</f>
        <v>0</v>
      </c>
      <c r="BL49" s="11">
        <f t="shared" si="4"/>
        <v>0</v>
      </c>
    </row>
    <row r="50" spans="1:64" x14ac:dyDescent="0.3">
      <c r="A50" s="14">
        <f t="shared" si="0"/>
        <v>111030006</v>
      </c>
      <c r="B50" s="13">
        <v>11</v>
      </c>
      <c r="C50" s="12">
        <f t="shared" si="1"/>
        <v>1</v>
      </c>
      <c r="D50" s="13">
        <v>3</v>
      </c>
      <c r="E50" s="13">
        <v>0</v>
      </c>
      <c r="F50" s="12">
        <f t="shared" si="2"/>
        <v>6</v>
      </c>
      <c r="H50" s="9">
        <v>1</v>
      </c>
      <c r="I50" s="9">
        <v>6</v>
      </c>
      <c r="K50" s="9" t="s">
        <v>358</v>
      </c>
      <c r="L50" s="9">
        <v>1</v>
      </c>
      <c r="M50" s="9">
        <v>15</v>
      </c>
      <c r="R50" s="9" t="s">
        <v>772</v>
      </c>
      <c r="U50" s="9">
        <f ca="1">IFERROR(OFFSET(ITEM_RES!$A$5,MATCH(BUILDING!T50,ITEM_RES!$J$5:$J$229,0)-1,0),0)</f>
        <v>0</v>
      </c>
      <c r="W50" s="86" t="s">
        <v>574</v>
      </c>
      <c r="X50" s="9">
        <f ca="1">IFERROR(OFFSET(ITEM_RES!$A$5,MATCH(BUILDING!W50,ITEM_RES!$J$5:$J$229,0)-1,0),0)</f>
        <v>211010301</v>
      </c>
      <c r="Z50" s="9" t="s">
        <v>544</v>
      </c>
      <c r="AA50" s="9">
        <v>6</v>
      </c>
      <c r="AC50" s="9">
        <v>4000</v>
      </c>
      <c r="AE50" s="56">
        <f t="shared" si="5"/>
        <v>1050</v>
      </c>
      <c r="AF50" s="10">
        <f t="shared" si="10"/>
        <v>1890</v>
      </c>
      <c r="AH50" s="11">
        <f t="shared" si="3"/>
        <v>30</v>
      </c>
      <c r="AI50" s="10">
        <v>30</v>
      </c>
      <c r="AJ50" s="11">
        <f t="shared" si="6"/>
        <v>50</v>
      </c>
      <c r="AK50" s="10">
        <v>50</v>
      </c>
      <c r="AL50" s="11">
        <f t="shared" si="6"/>
        <v>50</v>
      </c>
      <c r="AM50" s="10">
        <v>50</v>
      </c>
      <c r="AN50" s="56">
        <f t="shared" si="7"/>
        <v>2</v>
      </c>
      <c r="AP50" s="11">
        <f ca="1">IFERROR(OFFSET(ITEM_RES!$A$1,MATCH(AQ50,ITEM_RES!$J:$J,0)-1,0),0)</f>
        <v>211010501</v>
      </c>
      <c r="AQ50" s="10" t="s">
        <v>451</v>
      </c>
      <c r="AR50" s="11">
        <v>250</v>
      </c>
      <c r="AU50" s="11">
        <f ca="1">IFERROR(OFFSET(ITEM_RES!$A$1,MATCH(AV50,ITEM_RES!$J:$J,0)-1,0),0)</f>
        <v>211020101</v>
      </c>
      <c r="AV50" s="10" t="s">
        <v>475</v>
      </c>
      <c r="AW50" s="11">
        <v>250</v>
      </c>
      <c r="AZ50" s="11">
        <f ca="1">IFERROR(OFFSET(ITEM_RES!$A$1,MATCH(BA50,ITEM_RES!$J:$J,0)-1,0),0)</f>
        <v>0</v>
      </c>
      <c r="BE50" s="11">
        <f ca="1">IFERROR(OFFSET(ITEM_RES!$A$1,MATCH(BF50,ITEM_RES!$J:$J,0)-1,0),0)</f>
        <v>0</v>
      </c>
      <c r="BJ50" s="11">
        <f ca="1">IFERROR(OFFSET(ITEM_RES!$A$1,MATCH(BK50,ITEM_RES!$J:$J,0)-1,0),0)</f>
        <v>0</v>
      </c>
      <c r="BL50" s="11">
        <f t="shared" si="4"/>
        <v>0</v>
      </c>
    </row>
    <row r="51" spans="1:64" x14ac:dyDescent="0.3">
      <c r="A51" s="14">
        <f t="shared" si="0"/>
        <v>111030007</v>
      </c>
      <c r="B51" s="13">
        <v>11</v>
      </c>
      <c r="C51" s="12">
        <f t="shared" si="1"/>
        <v>1</v>
      </c>
      <c r="D51" s="13">
        <v>3</v>
      </c>
      <c r="E51" s="13">
        <v>0</v>
      </c>
      <c r="F51" s="12">
        <f t="shared" si="2"/>
        <v>7</v>
      </c>
      <c r="H51" s="9">
        <v>1</v>
      </c>
      <c r="I51" s="9">
        <v>7</v>
      </c>
      <c r="K51" s="9" t="s">
        <v>358</v>
      </c>
      <c r="L51" s="9">
        <v>1</v>
      </c>
      <c r="M51" s="9">
        <v>15</v>
      </c>
      <c r="R51" s="9" t="s">
        <v>772</v>
      </c>
      <c r="U51" s="9">
        <f ca="1">IFERROR(OFFSET(ITEM_RES!$A$5,MATCH(BUILDING!T51,ITEM_RES!$J$5:$J$229,0)-1,0),0)</f>
        <v>0</v>
      </c>
      <c r="W51" s="86" t="s">
        <v>574</v>
      </c>
      <c r="X51" s="9">
        <f ca="1">IFERROR(OFFSET(ITEM_RES!$A$5,MATCH(BUILDING!W51,ITEM_RES!$J$5:$J$229,0)-1,0),0)</f>
        <v>211010301</v>
      </c>
      <c r="Z51" s="9" t="s">
        <v>544</v>
      </c>
      <c r="AA51" s="9">
        <v>7</v>
      </c>
      <c r="AC51" s="9">
        <v>8000</v>
      </c>
      <c r="AE51" s="56">
        <f t="shared" si="5"/>
        <v>2100</v>
      </c>
      <c r="AF51" s="10">
        <f t="shared" si="10"/>
        <v>3150</v>
      </c>
      <c r="AH51" s="11">
        <f t="shared" si="3"/>
        <v>35</v>
      </c>
      <c r="AI51" s="10">
        <v>35</v>
      </c>
      <c r="AJ51" s="11">
        <f t="shared" si="6"/>
        <v>100</v>
      </c>
      <c r="AK51" s="10">
        <v>100</v>
      </c>
      <c r="AL51" s="11">
        <f t="shared" si="6"/>
        <v>100</v>
      </c>
      <c r="AM51" s="10">
        <v>100</v>
      </c>
      <c r="AN51" s="56">
        <f t="shared" si="7"/>
        <v>2</v>
      </c>
      <c r="AP51" s="11">
        <f ca="1">IFERROR(OFFSET(ITEM_RES!$A$1,MATCH(AQ51,ITEM_RES!$J:$J,0)-1,0),0)</f>
        <v>211010501</v>
      </c>
      <c r="AQ51" s="10" t="s">
        <v>451</v>
      </c>
      <c r="AR51" s="11">
        <v>500</v>
      </c>
      <c r="AU51" s="11">
        <f ca="1">IFERROR(OFFSET(ITEM_RES!$A$1,MATCH(AV51,ITEM_RES!$J:$J,0)-1,0),0)</f>
        <v>211020101</v>
      </c>
      <c r="AV51" s="10" t="s">
        <v>475</v>
      </c>
      <c r="AW51" s="11">
        <v>500</v>
      </c>
      <c r="AZ51" s="11">
        <f ca="1">IFERROR(OFFSET(ITEM_RES!$A$1,MATCH(BA51,ITEM_RES!$J:$J,0)-1,0),0)</f>
        <v>0</v>
      </c>
      <c r="BE51" s="11">
        <f ca="1">IFERROR(OFFSET(ITEM_RES!$A$1,MATCH(BF51,ITEM_RES!$J:$J,0)-1,0),0)</f>
        <v>0</v>
      </c>
      <c r="BJ51" s="11">
        <f ca="1">IFERROR(OFFSET(ITEM_RES!$A$1,MATCH(BK51,ITEM_RES!$J:$J,0)-1,0),0)</f>
        <v>0</v>
      </c>
      <c r="BL51" s="11">
        <f t="shared" si="4"/>
        <v>0</v>
      </c>
    </row>
    <row r="52" spans="1:64" x14ac:dyDescent="0.3">
      <c r="A52" s="14">
        <f t="shared" si="0"/>
        <v>111030008</v>
      </c>
      <c r="B52" s="13">
        <v>11</v>
      </c>
      <c r="C52" s="12">
        <f t="shared" si="1"/>
        <v>1</v>
      </c>
      <c r="D52" s="13">
        <v>3</v>
      </c>
      <c r="E52" s="13">
        <v>0</v>
      </c>
      <c r="F52" s="12">
        <f t="shared" si="2"/>
        <v>8</v>
      </c>
      <c r="H52" s="9">
        <v>1</v>
      </c>
      <c r="I52" s="9">
        <v>8</v>
      </c>
      <c r="K52" s="9" t="s">
        <v>358</v>
      </c>
      <c r="L52" s="9">
        <v>1</v>
      </c>
      <c r="M52" s="9">
        <v>15</v>
      </c>
      <c r="R52" s="9" t="s">
        <v>772</v>
      </c>
      <c r="U52" s="9">
        <f ca="1">IFERROR(OFFSET(ITEM_RES!$A$5,MATCH(BUILDING!T52,ITEM_RES!$J$5:$J$229,0)-1,0),0)</f>
        <v>0</v>
      </c>
      <c r="W52" s="86" t="s">
        <v>574</v>
      </c>
      <c r="X52" s="9">
        <f ca="1">IFERROR(OFFSET(ITEM_RES!$A$5,MATCH(BUILDING!W52,ITEM_RES!$J$5:$J$229,0)-1,0),0)</f>
        <v>211010301</v>
      </c>
      <c r="Z52" s="9" t="s">
        <v>544</v>
      </c>
      <c r="AA52" s="9">
        <v>8</v>
      </c>
      <c r="AC52" s="9">
        <v>8000</v>
      </c>
      <c r="AE52" s="56">
        <f t="shared" si="5"/>
        <v>2100</v>
      </c>
      <c r="AF52" s="10">
        <f t="shared" si="10"/>
        <v>4200</v>
      </c>
      <c r="AH52" s="11">
        <f t="shared" si="3"/>
        <v>40</v>
      </c>
      <c r="AI52" s="10">
        <v>40</v>
      </c>
      <c r="AJ52" s="11">
        <f t="shared" si="6"/>
        <v>100</v>
      </c>
      <c r="AK52" s="10">
        <v>100</v>
      </c>
      <c r="AL52" s="11">
        <f t="shared" si="6"/>
        <v>100</v>
      </c>
      <c r="AM52" s="10">
        <v>100</v>
      </c>
      <c r="AN52" s="56">
        <f t="shared" si="7"/>
        <v>2</v>
      </c>
      <c r="AP52" s="11">
        <f ca="1">IFERROR(OFFSET(ITEM_RES!$A$1,MATCH(AQ52,ITEM_RES!$J:$J,0)-1,0),0)</f>
        <v>211010501</v>
      </c>
      <c r="AQ52" s="10" t="s">
        <v>451</v>
      </c>
      <c r="AR52" s="11">
        <v>500</v>
      </c>
      <c r="AU52" s="11">
        <f ca="1">IFERROR(OFFSET(ITEM_RES!$A$1,MATCH(AV52,ITEM_RES!$J:$J,0)-1,0),0)</f>
        <v>211020101</v>
      </c>
      <c r="AV52" s="10" t="s">
        <v>475</v>
      </c>
      <c r="AW52" s="11">
        <v>500</v>
      </c>
      <c r="AZ52" s="11">
        <f ca="1">IFERROR(OFFSET(ITEM_RES!$A$1,MATCH(BA52,ITEM_RES!$J:$J,0)-1,0),0)</f>
        <v>0</v>
      </c>
      <c r="BE52" s="11">
        <f ca="1">IFERROR(OFFSET(ITEM_RES!$A$1,MATCH(BF52,ITEM_RES!$J:$J,0)-1,0),0)</f>
        <v>0</v>
      </c>
      <c r="BJ52" s="11">
        <f ca="1">IFERROR(OFFSET(ITEM_RES!$A$1,MATCH(BK52,ITEM_RES!$J:$J,0)-1,0),0)</f>
        <v>0</v>
      </c>
      <c r="BL52" s="11">
        <f t="shared" si="4"/>
        <v>0</v>
      </c>
    </row>
    <row r="53" spans="1:64" x14ac:dyDescent="0.3">
      <c r="A53" s="14">
        <f t="shared" si="0"/>
        <v>111030009</v>
      </c>
      <c r="B53" s="13">
        <v>11</v>
      </c>
      <c r="C53" s="12">
        <f t="shared" si="1"/>
        <v>1</v>
      </c>
      <c r="D53" s="13">
        <v>3</v>
      </c>
      <c r="E53" s="13">
        <v>0</v>
      </c>
      <c r="F53" s="12">
        <f t="shared" si="2"/>
        <v>9</v>
      </c>
      <c r="H53" s="9">
        <v>1</v>
      </c>
      <c r="I53" s="9">
        <v>9</v>
      </c>
      <c r="K53" s="9" t="s">
        <v>383</v>
      </c>
      <c r="L53" s="9">
        <v>1</v>
      </c>
      <c r="M53" s="9">
        <v>15</v>
      </c>
      <c r="R53" s="9" t="s">
        <v>772</v>
      </c>
      <c r="U53" s="9">
        <f ca="1">IFERROR(OFFSET(ITEM_RES!$A$5,MATCH(BUILDING!T53,ITEM_RES!$J$5:$J$229,0)-1,0),0)</f>
        <v>0</v>
      </c>
      <c r="W53" s="86" t="s">
        <v>574</v>
      </c>
      <c r="X53" s="9">
        <f ca="1">IFERROR(OFFSET(ITEM_RES!$A$5,MATCH(BUILDING!W53,ITEM_RES!$J$5:$J$229,0)-1,0),0)</f>
        <v>211010301</v>
      </c>
      <c r="Z53" s="9" t="s">
        <v>544</v>
      </c>
      <c r="AA53" s="9">
        <v>9</v>
      </c>
      <c r="AC53" s="9">
        <v>12000</v>
      </c>
      <c r="AE53" s="56">
        <f t="shared" si="5"/>
        <v>3150</v>
      </c>
      <c r="AF53" s="10">
        <f t="shared" si="10"/>
        <v>5250</v>
      </c>
      <c r="AH53" s="11">
        <f t="shared" si="3"/>
        <v>45</v>
      </c>
      <c r="AI53" s="10">
        <v>45</v>
      </c>
      <c r="AJ53" s="11">
        <f t="shared" si="6"/>
        <v>150</v>
      </c>
      <c r="AK53" s="10">
        <v>150</v>
      </c>
      <c r="AL53" s="11">
        <f t="shared" si="6"/>
        <v>150</v>
      </c>
      <c r="AM53" s="10">
        <v>150</v>
      </c>
      <c r="AN53" s="56">
        <f t="shared" si="7"/>
        <v>2</v>
      </c>
      <c r="AP53" s="11">
        <f ca="1">IFERROR(OFFSET(ITEM_RES!$A$1,MATCH(AQ53,ITEM_RES!$J:$J,0)-1,0),0)</f>
        <v>211010501</v>
      </c>
      <c r="AQ53" s="10" t="s">
        <v>451</v>
      </c>
      <c r="AR53" s="11">
        <v>750</v>
      </c>
      <c r="AU53" s="11">
        <f ca="1">IFERROR(OFFSET(ITEM_RES!$A$1,MATCH(AV53,ITEM_RES!$J:$J,0)-1,0),0)</f>
        <v>211020101</v>
      </c>
      <c r="AV53" s="10" t="s">
        <v>475</v>
      </c>
      <c r="AW53" s="11">
        <v>750</v>
      </c>
      <c r="AZ53" s="11">
        <f ca="1">IFERROR(OFFSET(ITEM_RES!$A$1,MATCH(BA53,ITEM_RES!$J:$J,0)-1,0),0)</f>
        <v>0</v>
      </c>
      <c r="BE53" s="11">
        <f ca="1">IFERROR(OFFSET(ITEM_RES!$A$1,MATCH(BF53,ITEM_RES!$J:$J,0)-1,0),0)</f>
        <v>0</v>
      </c>
      <c r="BJ53" s="11">
        <f ca="1">IFERROR(OFFSET(ITEM_RES!$A$1,MATCH(BK53,ITEM_RES!$J:$J,0)-1,0),0)</f>
        <v>0</v>
      </c>
      <c r="BL53" s="11">
        <f t="shared" si="4"/>
        <v>0</v>
      </c>
    </row>
    <row r="54" spans="1:64" x14ac:dyDescent="0.3">
      <c r="A54" s="14">
        <f t="shared" si="0"/>
        <v>111030010</v>
      </c>
      <c r="B54" s="13">
        <v>11</v>
      </c>
      <c r="C54" s="12">
        <f t="shared" si="1"/>
        <v>1</v>
      </c>
      <c r="D54" s="13">
        <v>3</v>
      </c>
      <c r="E54" s="13">
        <v>0</v>
      </c>
      <c r="F54" s="12">
        <f t="shared" si="2"/>
        <v>10</v>
      </c>
      <c r="H54" s="9">
        <v>1</v>
      </c>
      <c r="I54" s="9">
        <v>10</v>
      </c>
      <c r="K54" s="9" t="s">
        <v>358</v>
      </c>
      <c r="L54" s="9">
        <v>1</v>
      </c>
      <c r="M54" s="9">
        <v>15</v>
      </c>
      <c r="R54" s="9" t="s">
        <v>772</v>
      </c>
      <c r="U54" s="9">
        <f ca="1">IFERROR(OFFSET(ITEM_RES!$A$5,MATCH(BUILDING!T54,ITEM_RES!$J$5:$J$229,0)-1,0),0)</f>
        <v>0</v>
      </c>
      <c r="W54" s="86" t="s">
        <v>574</v>
      </c>
      <c r="X54" s="9">
        <f ca="1">IFERROR(OFFSET(ITEM_RES!$A$5,MATCH(BUILDING!W54,ITEM_RES!$J$5:$J$229,0)-1,0),0)</f>
        <v>211010301</v>
      </c>
      <c r="Z54" s="9" t="s">
        <v>544</v>
      </c>
      <c r="AA54" s="9">
        <v>10</v>
      </c>
      <c r="AC54" s="9">
        <v>16000</v>
      </c>
      <c r="AE54" s="56">
        <f t="shared" si="5"/>
        <v>4200</v>
      </c>
      <c r="AF54" s="10">
        <f t="shared" si="10"/>
        <v>7350</v>
      </c>
      <c r="AH54" s="11">
        <f t="shared" si="3"/>
        <v>50</v>
      </c>
      <c r="AI54" s="10">
        <v>50</v>
      </c>
      <c r="AJ54" s="11">
        <f t="shared" si="6"/>
        <v>200</v>
      </c>
      <c r="AK54" s="10">
        <v>200</v>
      </c>
      <c r="AL54" s="11">
        <f t="shared" si="6"/>
        <v>200</v>
      </c>
      <c r="AM54" s="10">
        <v>200</v>
      </c>
      <c r="AN54" s="56">
        <f t="shared" si="7"/>
        <v>2</v>
      </c>
      <c r="AP54" s="11">
        <f ca="1">IFERROR(OFFSET(ITEM_RES!$A$1,MATCH(AQ54,ITEM_RES!$J:$J,0)-1,0),0)</f>
        <v>211010501</v>
      </c>
      <c r="AQ54" s="10" t="s">
        <v>451</v>
      </c>
      <c r="AR54" s="11">
        <v>1000</v>
      </c>
      <c r="AU54" s="11">
        <f ca="1">IFERROR(OFFSET(ITEM_RES!$A$1,MATCH(AV54,ITEM_RES!$J:$J,0)-1,0),0)</f>
        <v>211020101</v>
      </c>
      <c r="AV54" s="10" t="s">
        <v>475</v>
      </c>
      <c r="AW54" s="11">
        <v>1000</v>
      </c>
      <c r="AZ54" s="11">
        <f ca="1">IFERROR(OFFSET(ITEM_RES!$A$1,MATCH(BA54,ITEM_RES!$J:$J,0)-1,0),0)</f>
        <v>0</v>
      </c>
      <c r="BE54" s="11">
        <f ca="1">IFERROR(OFFSET(ITEM_RES!$A$1,MATCH(BF54,ITEM_RES!$J:$J,0)-1,0),0)</f>
        <v>0</v>
      </c>
      <c r="BJ54" s="11">
        <f ca="1">IFERROR(OFFSET(ITEM_RES!$A$1,MATCH(BK54,ITEM_RES!$J:$J,0)-1,0),0)</f>
        <v>0</v>
      </c>
      <c r="BL54" s="11">
        <f t="shared" si="4"/>
        <v>0</v>
      </c>
    </row>
    <row r="55" spans="1:64" x14ac:dyDescent="0.3">
      <c r="A55" s="14">
        <f t="shared" si="0"/>
        <v>111030011</v>
      </c>
      <c r="B55" s="13">
        <v>11</v>
      </c>
      <c r="C55" s="12">
        <f t="shared" si="1"/>
        <v>1</v>
      </c>
      <c r="D55" s="13">
        <v>3</v>
      </c>
      <c r="E55" s="13">
        <v>0</v>
      </c>
      <c r="F55" s="12">
        <f t="shared" si="2"/>
        <v>11</v>
      </c>
      <c r="H55" s="9">
        <v>1</v>
      </c>
      <c r="I55" s="9">
        <v>11</v>
      </c>
      <c r="K55" s="9" t="s">
        <v>358</v>
      </c>
      <c r="L55" s="9">
        <v>1</v>
      </c>
      <c r="M55" s="9">
        <v>15</v>
      </c>
      <c r="R55" s="9" t="s">
        <v>772</v>
      </c>
      <c r="U55" s="9">
        <f ca="1">IFERROR(OFFSET(ITEM_RES!$A$5,MATCH(BUILDING!T55,ITEM_RES!$J$5:$J$229,0)-1,0),0)</f>
        <v>0</v>
      </c>
      <c r="W55" s="86" t="s">
        <v>574</v>
      </c>
      <c r="X55" s="9">
        <f ca="1">IFERROR(OFFSET(ITEM_RES!$A$5,MATCH(BUILDING!W55,ITEM_RES!$J$5:$J$229,0)-1,0),0)</f>
        <v>211010301</v>
      </c>
      <c r="Z55" s="9" t="s">
        <v>544</v>
      </c>
      <c r="AA55" s="9">
        <v>11</v>
      </c>
      <c r="AC55" s="9">
        <v>20000</v>
      </c>
      <c r="AE55" s="56">
        <f t="shared" si="5"/>
        <v>5250</v>
      </c>
      <c r="AF55" s="10">
        <f t="shared" si="10"/>
        <v>9450</v>
      </c>
      <c r="AH55" s="11">
        <f t="shared" si="3"/>
        <v>55</v>
      </c>
      <c r="AI55" s="10">
        <v>55</v>
      </c>
      <c r="AJ55" s="11">
        <f t="shared" si="6"/>
        <v>250</v>
      </c>
      <c r="AK55" s="10">
        <v>250</v>
      </c>
      <c r="AL55" s="11">
        <f t="shared" si="6"/>
        <v>250</v>
      </c>
      <c r="AM55" s="10">
        <v>250</v>
      </c>
      <c r="AN55" s="56">
        <f t="shared" si="7"/>
        <v>2</v>
      </c>
      <c r="AP55" s="11">
        <f ca="1">IFERROR(OFFSET(ITEM_RES!$A$1,MATCH(AQ55,ITEM_RES!$J:$J,0)-1,0),0)</f>
        <v>211010501</v>
      </c>
      <c r="AQ55" s="10" t="s">
        <v>451</v>
      </c>
      <c r="AR55" s="11">
        <v>1250</v>
      </c>
      <c r="AU55" s="11">
        <f ca="1">IFERROR(OFFSET(ITEM_RES!$A$1,MATCH(AV55,ITEM_RES!$J:$J,0)-1,0),0)</f>
        <v>211020101</v>
      </c>
      <c r="AV55" s="10" t="s">
        <v>475</v>
      </c>
      <c r="AW55" s="11">
        <v>1250</v>
      </c>
      <c r="AZ55" s="11">
        <f ca="1">IFERROR(OFFSET(ITEM_RES!$A$1,MATCH(BA55,ITEM_RES!$J:$J,0)-1,0),0)</f>
        <v>0</v>
      </c>
      <c r="BE55" s="11">
        <f ca="1">IFERROR(OFFSET(ITEM_RES!$A$1,MATCH(BF55,ITEM_RES!$J:$J,0)-1,0),0)</f>
        <v>0</v>
      </c>
      <c r="BJ55" s="11">
        <f ca="1">IFERROR(OFFSET(ITEM_RES!$A$1,MATCH(BK55,ITEM_RES!$J:$J,0)-1,0),0)</f>
        <v>0</v>
      </c>
      <c r="BL55" s="11">
        <f t="shared" si="4"/>
        <v>0</v>
      </c>
    </row>
    <row r="56" spans="1:64" x14ac:dyDescent="0.3">
      <c r="A56" s="14">
        <f t="shared" si="0"/>
        <v>111030012</v>
      </c>
      <c r="B56" s="13">
        <v>11</v>
      </c>
      <c r="C56" s="12">
        <f t="shared" si="1"/>
        <v>1</v>
      </c>
      <c r="D56" s="13">
        <v>3</v>
      </c>
      <c r="E56" s="13">
        <v>0</v>
      </c>
      <c r="F56" s="12">
        <f t="shared" si="2"/>
        <v>12</v>
      </c>
      <c r="H56" s="9">
        <v>1</v>
      </c>
      <c r="I56" s="9">
        <v>12</v>
      </c>
      <c r="K56" s="9" t="s">
        <v>358</v>
      </c>
      <c r="L56" s="9">
        <v>1</v>
      </c>
      <c r="M56" s="9">
        <v>15</v>
      </c>
      <c r="R56" s="9" t="s">
        <v>772</v>
      </c>
      <c r="U56" s="9">
        <f ca="1">IFERROR(OFFSET(ITEM_RES!$A$5,MATCH(BUILDING!T56,ITEM_RES!$J$5:$J$229,0)-1,0),0)</f>
        <v>0</v>
      </c>
      <c r="W56" s="86" t="s">
        <v>574</v>
      </c>
      <c r="X56" s="9">
        <f ca="1">IFERROR(OFFSET(ITEM_RES!$A$5,MATCH(BUILDING!W56,ITEM_RES!$J$5:$J$229,0)-1,0),0)</f>
        <v>211010301</v>
      </c>
      <c r="Z56" s="9" t="s">
        <v>544</v>
      </c>
      <c r="AA56" s="9">
        <v>12</v>
      </c>
      <c r="AC56" s="9">
        <v>24000</v>
      </c>
      <c r="AE56" s="56">
        <f t="shared" si="5"/>
        <v>6300</v>
      </c>
      <c r="AF56" s="10">
        <f t="shared" si="10"/>
        <v>11550</v>
      </c>
      <c r="AH56" s="11">
        <f t="shared" si="3"/>
        <v>60</v>
      </c>
      <c r="AI56" s="10">
        <v>60</v>
      </c>
      <c r="AJ56" s="11">
        <f t="shared" si="6"/>
        <v>300</v>
      </c>
      <c r="AK56" s="10">
        <v>300</v>
      </c>
      <c r="AL56" s="11">
        <f t="shared" si="6"/>
        <v>300</v>
      </c>
      <c r="AM56" s="10">
        <v>300</v>
      </c>
      <c r="AN56" s="56">
        <f t="shared" si="7"/>
        <v>2</v>
      </c>
      <c r="AP56" s="11">
        <f ca="1">IFERROR(OFFSET(ITEM_RES!$A$1,MATCH(AQ56,ITEM_RES!$J:$J,0)-1,0),0)</f>
        <v>211010501</v>
      </c>
      <c r="AQ56" s="10" t="s">
        <v>451</v>
      </c>
      <c r="AR56" s="11">
        <v>1500</v>
      </c>
      <c r="AU56" s="11">
        <f ca="1">IFERROR(OFFSET(ITEM_RES!$A$1,MATCH(AV56,ITEM_RES!$J:$J,0)-1,0),0)</f>
        <v>211020101</v>
      </c>
      <c r="AV56" s="10" t="s">
        <v>475</v>
      </c>
      <c r="AW56" s="11">
        <v>1500</v>
      </c>
      <c r="AZ56" s="11">
        <f ca="1">IFERROR(OFFSET(ITEM_RES!$A$1,MATCH(BA56,ITEM_RES!$J:$J,0)-1,0),0)</f>
        <v>0</v>
      </c>
      <c r="BE56" s="11">
        <f ca="1">IFERROR(OFFSET(ITEM_RES!$A$1,MATCH(BF56,ITEM_RES!$J:$J,0)-1,0),0)</f>
        <v>0</v>
      </c>
      <c r="BJ56" s="11">
        <f ca="1">IFERROR(OFFSET(ITEM_RES!$A$1,MATCH(BK56,ITEM_RES!$J:$J,0)-1,0),0)</f>
        <v>0</v>
      </c>
      <c r="BL56" s="11">
        <f t="shared" si="4"/>
        <v>0</v>
      </c>
    </row>
    <row r="57" spans="1:64" x14ac:dyDescent="0.3">
      <c r="A57" s="14">
        <f t="shared" si="0"/>
        <v>111030013</v>
      </c>
      <c r="B57" s="13">
        <v>11</v>
      </c>
      <c r="C57" s="12">
        <f t="shared" si="1"/>
        <v>1</v>
      </c>
      <c r="D57" s="13">
        <v>3</v>
      </c>
      <c r="E57" s="13">
        <v>0</v>
      </c>
      <c r="F57" s="12">
        <f t="shared" si="2"/>
        <v>13</v>
      </c>
      <c r="H57" s="9">
        <v>1</v>
      </c>
      <c r="I57" s="9">
        <v>13</v>
      </c>
      <c r="K57" s="9" t="s">
        <v>358</v>
      </c>
      <c r="L57" s="9">
        <v>1</v>
      </c>
      <c r="M57" s="9">
        <v>15</v>
      </c>
      <c r="R57" s="9" t="s">
        <v>772</v>
      </c>
      <c r="U57" s="9">
        <f ca="1">IFERROR(OFFSET(ITEM_RES!$A$5,MATCH(BUILDING!T57,ITEM_RES!$J$5:$J$229,0)-1,0),0)</f>
        <v>0</v>
      </c>
      <c r="W57" s="86" t="s">
        <v>574</v>
      </c>
      <c r="X57" s="9">
        <f ca="1">IFERROR(OFFSET(ITEM_RES!$A$5,MATCH(BUILDING!W57,ITEM_RES!$J$5:$J$229,0)-1,0),0)</f>
        <v>211010301</v>
      </c>
      <c r="Z57" s="9" t="s">
        <v>544</v>
      </c>
      <c r="AA57" s="9">
        <v>13</v>
      </c>
      <c r="AC57" s="9">
        <v>28000</v>
      </c>
      <c r="AE57" s="56">
        <f t="shared" si="5"/>
        <v>7350</v>
      </c>
      <c r="AF57" s="10">
        <f t="shared" si="10"/>
        <v>13650</v>
      </c>
      <c r="AH57" s="11">
        <f t="shared" si="3"/>
        <v>65</v>
      </c>
      <c r="AI57" s="10">
        <v>65</v>
      </c>
      <c r="AJ57" s="11">
        <f t="shared" si="6"/>
        <v>350</v>
      </c>
      <c r="AK57" s="10">
        <v>350</v>
      </c>
      <c r="AL57" s="11">
        <f t="shared" si="6"/>
        <v>350</v>
      </c>
      <c r="AM57" s="10">
        <v>350</v>
      </c>
      <c r="AN57" s="56">
        <f t="shared" si="7"/>
        <v>2</v>
      </c>
      <c r="AP57" s="11">
        <f ca="1">IFERROR(OFFSET(ITEM_RES!$A$1,MATCH(AQ57,ITEM_RES!$J:$J,0)-1,0),0)</f>
        <v>211010501</v>
      </c>
      <c r="AQ57" s="10" t="s">
        <v>451</v>
      </c>
      <c r="AR57" s="11">
        <v>1750</v>
      </c>
      <c r="AU57" s="11">
        <f ca="1">IFERROR(OFFSET(ITEM_RES!$A$1,MATCH(AV57,ITEM_RES!$J:$J,0)-1,0),0)</f>
        <v>211020101</v>
      </c>
      <c r="AV57" s="10" t="s">
        <v>475</v>
      </c>
      <c r="AW57" s="11">
        <v>1750</v>
      </c>
      <c r="AZ57" s="11">
        <f ca="1">IFERROR(OFFSET(ITEM_RES!$A$1,MATCH(BA57,ITEM_RES!$J:$J,0)-1,0),0)</f>
        <v>0</v>
      </c>
      <c r="BE57" s="11">
        <f ca="1">IFERROR(OFFSET(ITEM_RES!$A$1,MATCH(BF57,ITEM_RES!$J:$J,0)-1,0),0)</f>
        <v>0</v>
      </c>
      <c r="BJ57" s="11">
        <f ca="1">IFERROR(OFFSET(ITEM_RES!$A$1,MATCH(BK57,ITEM_RES!$J:$J,0)-1,0),0)</f>
        <v>0</v>
      </c>
      <c r="BL57" s="11">
        <f t="shared" si="4"/>
        <v>0</v>
      </c>
    </row>
    <row r="58" spans="1:64" x14ac:dyDescent="0.3">
      <c r="A58" s="14">
        <f t="shared" si="0"/>
        <v>111030014</v>
      </c>
      <c r="B58" s="13">
        <v>11</v>
      </c>
      <c r="C58" s="12">
        <f t="shared" si="1"/>
        <v>1</v>
      </c>
      <c r="D58" s="13">
        <v>3</v>
      </c>
      <c r="E58" s="13">
        <v>0</v>
      </c>
      <c r="F58" s="12">
        <f t="shared" si="2"/>
        <v>14</v>
      </c>
      <c r="H58" s="9">
        <v>1</v>
      </c>
      <c r="I58" s="9">
        <v>14</v>
      </c>
      <c r="K58" s="9" t="s">
        <v>358</v>
      </c>
      <c r="L58" s="9">
        <v>1</v>
      </c>
      <c r="M58" s="9">
        <v>15</v>
      </c>
      <c r="R58" s="9" t="s">
        <v>772</v>
      </c>
      <c r="U58" s="9">
        <f ca="1">IFERROR(OFFSET(ITEM_RES!$A$5,MATCH(BUILDING!T58,ITEM_RES!$J$5:$J$229,0)-1,0),0)</f>
        <v>0</v>
      </c>
      <c r="W58" s="86" t="s">
        <v>574</v>
      </c>
      <c r="X58" s="9">
        <f ca="1">IFERROR(OFFSET(ITEM_RES!$A$5,MATCH(BUILDING!W58,ITEM_RES!$J$5:$J$229,0)-1,0),0)</f>
        <v>211010301</v>
      </c>
      <c r="Z58" s="9" t="s">
        <v>544</v>
      </c>
      <c r="AA58" s="9">
        <v>14</v>
      </c>
      <c r="AC58" s="9">
        <v>36000</v>
      </c>
      <c r="AE58" s="56">
        <f t="shared" si="5"/>
        <v>9450</v>
      </c>
      <c r="AF58" s="10">
        <f t="shared" si="10"/>
        <v>16800</v>
      </c>
      <c r="AH58" s="11">
        <f t="shared" si="3"/>
        <v>70</v>
      </c>
      <c r="AI58" s="10">
        <v>70</v>
      </c>
      <c r="AJ58" s="11">
        <f t="shared" si="6"/>
        <v>450</v>
      </c>
      <c r="AK58" s="10">
        <v>450</v>
      </c>
      <c r="AL58" s="11">
        <f t="shared" si="6"/>
        <v>450</v>
      </c>
      <c r="AM58" s="10">
        <v>450</v>
      </c>
      <c r="AN58" s="56">
        <f t="shared" si="7"/>
        <v>2</v>
      </c>
      <c r="AP58" s="11">
        <f ca="1">IFERROR(OFFSET(ITEM_RES!$A$1,MATCH(AQ58,ITEM_RES!$J:$J,0)-1,0),0)</f>
        <v>211010601</v>
      </c>
      <c r="AQ58" s="10" t="s">
        <v>466</v>
      </c>
      <c r="AR58" s="11">
        <v>2250</v>
      </c>
      <c r="AU58" s="11">
        <f ca="1">IFERROR(OFFSET(ITEM_RES!$A$1,MATCH(AV58,ITEM_RES!$J:$J,0)-1,0),0)</f>
        <v>211020101</v>
      </c>
      <c r="AV58" s="10" t="s">
        <v>475</v>
      </c>
      <c r="AW58" s="11">
        <v>2250</v>
      </c>
      <c r="AZ58" s="11">
        <f ca="1">IFERROR(OFFSET(ITEM_RES!$A$1,MATCH(BA58,ITEM_RES!$J:$J,0)-1,0),0)</f>
        <v>0</v>
      </c>
      <c r="BE58" s="11">
        <f ca="1">IFERROR(OFFSET(ITEM_RES!$A$1,MATCH(BF58,ITEM_RES!$J:$J,0)-1,0),0)</f>
        <v>0</v>
      </c>
      <c r="BJ58" s="11">
        <f ca="1">IFERROR(OFFSET(ITEM_RES!$A$1,MATCH(BK58,ITEM_RES!$J:$J,0)-1,0),0)</f>
        <v>0</v>
      </c>
      <c r="BL58" s="11">
        <f t="shared" si="4"/>
        <v>0</v>
      </c>
    </row>
    <row r="59" spans="1:64" x14ac:dyDescent="0.3">
      <c r="A59" s="14">
        <f t="shared" si="0"/>
        <v>111030015</v>
      </c>
      <c r="B59" s="13">
        <v>11</v>
      </c>
      <c r="C59" s="12">
        <f t="shared" si="1"/>
        <v>1</v>
      </c>
      <c r="D59" s="13">
        <v>3</v>
      </c>
      <c r="E59" s="13">
        <v>0</v>
      </c>
      <c r="F59" s="12">
        <f t="shared" si="2"/>
        <v>15</v>
      </c>
      <c r="H59" s="9">
        <v>1</v>
      </c>
      <c r="I59" s="9">
        <v>15</v>
      </c>
      <c r="K59" s="9" t="s">
        <v>358</v>
      </c>
      <c r="L59" s="9">
        <v>1</v>
      </c>
      <c r="M59" s="9">
        <v>15</v>
      </c>
      <c r="R59" s="9" t="s">
        <v>772</v>
      </c>
      <c r="U59" s="9">
        <f ca="1">IFERROR(OFFSET(ITEM_RES!$A$5,MATCH(BUILDING!T59,ITEM_RES!$J$5:$J$229,0)-1,0),0)</f>
        <v>0</v>
      </c>
      <c r="W59" s="86" t="s">
        <v>574</v>
      </c>
      <c r="X59" s="9">
        <f ca="1">IFERROR(OFFSET(ITEM_RES!$A$5,MATCH(BUILDING!W59,ITEM_RES!$J$5:$J$229,0)-1,0),0)</f>
        <v>211010301</v>
      </c>
      <c r="Z59" s="9" t="s">
        <v>544</v>
      </c>
      <c r="AA59" s="9">
        <v>15</v>
      </c>
      <c r="AC59" s="9">
        <v>44000</v>
      </c>
      <c r="AE59" s="56">
        <f t="shared" si="5"/>
        <v>11550</v>
      </c>
      <c r="AF59" s="10">
        <f t="shared" si="10"/>
        <v>21000</v>
      </c>
      <c r="AH59" s="11">
        <f t="shared" si="3"/>
        <v>75</v>
      </c>
      <c r="AI59" s="10">
        <v>75</v>
      </c>
      <c r="AJ59" s="11">
        <f t="shared" si="6"/>
        <v>550</v>
      </c>
      <c r="AK59" s="10">
        <v>550</v>
      </c>
      <c r="AL59" s="11">
        <f t="shared" si="6"/>
        <v>550</v>
      </c>
      <c r="AM59" s="10">
        <v>550</v>
      </c>
      <c r="AN59" s="56">
        <f t="shared" si="7"/>
        <v>2</v>
      </c>
      <c r="AP59" s="11">
        <f ca="1">IFERROR(OFFSET(ITEM_RES!$A$1,MATCH(AQ59,ITEM_RES!$J:$J,0)-1,0),0)</f>
        <v>211010601</v>
      </c>
      <c r="AQ59" s="10" t="s">
        <v>466</v>
      </c>
      <c r="AR59" s="11">
        <v>2750</v>
      </c>
      <c r="AU59" s="11">
        <f ca="1">IFERROR(OFFSET(ITEM_RES!$A$1,MATCH(AV59,ITEM_RES!$J:$J,0)-1,0),0)</f>
        <v>211020101</v>
      </c>
      <c r="AV59" s="10" t="s">
        <v>475</v>
      </c>
      <c r="AW59" s="11">
        <v>2750</v>
      </c>
      <c r="AZ59" s="11">
        <f ca="1">IFERROR(OFFSET(ITEM_RES!$A$1,MATCH(BA59,ITEM_RES!$J:$J,0)-1,0),0)</f>
        <v>0</v>
      </c>
      <c r="BE59" s="11">
        <f ca="1">IFERROR(OFFSET(ITEM_RES!$A$1,MATCH(BF59,ITEM_RES!$J:$J,0)-1,0),0)</f>
        <v>0</v>
      </c>
      <c r="BJ59" s="11">
        <f ca="1">IFERROR(OFFSET(ITEM_RES!$A$1,MATCH(BK59,ITEM_RES!$J:$J,0)-1,0),0)</f>
        <v>0</v>
      </c>
      <c r="BL59" s="11">
        <f t="shared" si="4"/>
        <v>0</v>
      </c>
    </row>
    <row r="60" spans="1:64" x14ac:dyDescent="0.3">
      <c r="A60" s="14">
        <f t="shared" si="0"/>
        <v>111030016</v>
      </c>
      <c r="B60" s="13">
        <v>11</v>
      </c>
      <c r="C60" s="12">
        <f t="shared" si="1"/>
        <v>1</v>
      </c>
      <c r="D60" s="13">
        <v>3</v>
      </c>
      <c r="E60" s="13">
        <v>0</v>
      </c>
      <c r="F60" s="12">
        <f t="shared" si="2"/>
        <v>16</v>
      </c>
      <c r="H60" s="9">
        <v>1</v>
      </c>
      <c r="I60" s="9">
        <v>16</v>
      </c>
      <c r="K60" s="9" t="s">
        <v>358</v>
      </c>
      <c r="L60" s="9">
        <v>0</v>
      </c>
      <c r="M60" s="9">
        <v>15</v>
      </c>
      <c r="R60" s="9" t="s">
        <v>772</v>
      </c>
      <c r="U60" s="9">
        <f ca="1">IFERROR(OFFSET(ITEM_RES!$A$5,MATCH(BUILDING!T60,ITEM_RES!$J$5:$J$229,0)-1,0),0)</f>
        <v>0</v>
      </c>
      <c r="W60" s="86" t="s">
        <v>574</v>
      </c>
      <c r="X60" s="9">
        <f ca="1">IFERROR(OFFSET(ITEM_RES!$A$5,MATCH(BUILDING!W60,ITEM_RES!$J$5:$J$229,0)-1,0),0)</f>
        <v>211010301</v>
      </c>
      <c r="Z60" s="9" t="s">
        <v>544</v>
      </c>
      <c r="AA60" s="9">
        <v>16</v>
      </c>
      <c r="AC60" s="9">
        <v>56000</v>
      </c>
      <c r="AE60" s="56">
        <f t="shared" si="5"/>
        <v>14700</v>
      </c>
      <c r="AF60" s="10">
        <f t="shared" si="10"/>
        <v>26250</v>
      </c>
      <c r="AH60" s="11">
        <f t="shared" si="3"/>
        <v>80</v>
      </c>
      <c r="AI60" s="10">
        <v>80</v>
      </c>
      <c r="AJ60" s="11">
        <f t="shared" si="6"/>
        <v>700</v>
      </c>
      <c r="AK60" s="10">
        <v>700</v>
      </c>
      <c r="AL60" s="11">
        <f t="shared" si="6"/>
        <v>700</v>
      </c>
      <c r="AM60" s="10">
        <v>700</v>
      </c>
      <c r="AN60" s="56">
        <f t="shared" si="7"/>
        <v>2</v>
      </c>
      <c r="AP60" s="11">
        <f ca="1">IFERROR(OFFSET(ITEM_RES!$A$1,MATCH(AQ60,ITEM_RES!$J:$J,0)-1,0),0)</f>
        <v>211010601</v>
      </c>
      <c r="AQ60" s="10" t="s">
        <v>466</v>
      </c>
      <c r="AR60" s="11">
        <v>3500</v>
      </c>
      <c r="AU60" s="11">
        <f ca="1">IFERROR(OFFSET(ITEM_RES!$A$1,MATCH(AV60,ITEM_RES!$J:$J,0)-1,0),0)</f>
        <v>211020101</v>
      </c>
      <c r="AV60" s="10" t="s">
        <v>475</v>
      </c>
      <c r="AW60" s="11">
        <v>3500</v>
      </c>
      <c r="AZ60" s="11">
        <f ca="1">IFERROR(OFFSET(ITEM_RES!$A$1,MATCH(BA60,ITEM_RES!$J:$J,0)-1,0),0)</f>
        <v>0</v>
      </c>
      <c r="BE60" s="11">
        <f ca="1">IFERROR(OFFSET(ITEM_RES!$A$1,MATCH(BF60,ITEM_RES!$J:$J,0)-1,0),0)</f>
        <v>0</v>
      </c>
      <c r="BJ60" s="11">
        <f ca="1">IFERROR(OFFSET(ITEM_RES!$A$1,MATCH(BK60,ITEM_RES!$J:$J,0)-1,0),0)</f>
        <v>0</v>
      </c>
      <c r="BL60" s="11">
        <f t="shared" si="4"/>
        <v>0</v>
      </c>
    </row>
    <row r="61" spans="1:64" x14ac:dyDescent="0.3">
      <c r="A61" s="14">
        <f t="shared" si="0"/>
        <v>111030017</v>
      </c>
      <c r="B61" s="13">
        <v>11</v>
      </c>
      <c r="C61" s="12">
        <f t="shared" si="1"/>
        <v>1</v>
      </c>
      <c r="D61" s="13">
        <v>3</v>
      </c>
      <c r="E61" s="13">
        <v>0</v>
      </c>
      <c r="F61" s="12">
        <f t="shared" si="2"/>
        <v>17</v>
      </c>
      <c r="H61" s="9">
        <v>1</v>
      </c>
      <c r="I61" s="9">
        <v>17</v>
      </c>
      <c r="K61" s="9" t="s">
        <v>358</v>
      </c>
      <c r="L61" s="9">
        <v>0</v>
      </c>
      <c r="M61" s="9">
        <v>15</v>
      </c>
      <c r="R61" s="9" t="s">
        <v>772</v>
      </c>
      <c r="U61" s="9">
        <f ca="1">IFERROR(OFFSET(ITEM_RES!$A$5,MATCH(BUILDING!T61,ITEM_RES!$J$5:$J$229,0)-1,0),0)</f>
        <v>0</v>
      </c>
      <c r="W61" s="86" t="s">
        <v>574</v>
      </c>
      <c r="X61" s="9">
        <f ca="1">IFERROR(OFFSET(ITEM_RES!$A$5,MATCH(BUILDING!W61,ITEM_RES!$J$5:$J$229,0)-1,0),0)</f>
        <v>211010301</v>
      </c>
      <c r="Z61" s="9" t="s">
        <v>544</v>
      </c>
      <c r="AA61" s="9">
        <v>17</v>
      </c>
      <c r="AC61" s="9">
        <v>68000</v>
      </c>
      <c r="AE61" s="56">
        <f t="shared" si="5"/>
        <v>17850</v>
      </c>
      <c r="AF61" s="10">
        <f t="shared" si="10"/>
        <v>32550</v>
      </c>
      <c r="AH61" s="11">
        <f t="shared" si="3"/>
        <v>85</v>
      </c>
      <c r="AI61" s="10">
        <v>85</v>
      </c>
      <c r="AJ61" s="11">
        <f t="shared" si="6"/>
        <v>850</v>
      </c>
      <c r="AK61" s="10">
        <v>850</v>
      </c>
      <c r="AL61" s="11">
        <f t="shared" si="6"/>
        <v>850</v>
      </c>
      <c r="AM61" s="10">
        <v>850</v>
      </c>
      <c r="AN61" s="56">
        <f t="shared" si="7"/>
        <v>2</v>
      </c>
      <c r="AP61" s="11">
        <f ca="1">IFERROR(OFFSET(ITEM_RES!$A$1,MATCH(AQ61,ITEM_RES!$J:$J,0)-1,0),0)</f>
        <v>211010601</v>
      </c>
      <c r="AQ61" s="10" t="s">
        <v>466</v>
      </c>
      <c r="AR61" s="11">
        <v>4250</v>
      </c>
      <c r="AU61" s="11">
        <f ca="1">IFERROR(OFFSET(ITEM_RES!$A$1,MATCH(AV61,ITEM_RES!$J:$J,0)-1,0),0)</f>
        <v>211020101</v>
      </c>
      <c r="AV61" s="10" t="s">
        <v>475</v>
      </c>
      <c r="AW61" s="11">
        <v>4250</v>
      </c>
      <c r="AZ61" s="11">
        <f ca="1">IFERROR(OFFSET(ITEM_RES!$A$1,MATCH(BA61,ITEM_RES!$J:$J,0)-1,0),0)</f>
        <v>0</v>
      </c>
      <c r="BE61" s="11">
        <f ca="1">IFERROR(OFFSET(ITEM_RES!$A$1,MATCH(BF61,ITEM_RES!$J:$J,0)-1,0),0)</f>
        <v>0</v>
      </c>
      <c r="BJ61" s="11">
        <f ca="1">IFERROR(OFFSET(ITEM_RES!$A$1,MATCH(BK61,ITEM_RES!$J:$J,0)-1,0),0)</f>
        <v>0</v>
      </c>
      <c r="BL61" s="11">
        <f t="shared" si="4"/>
        <v>0</v>
      </c>
    </row>
    <row r="62" spans="1:64" x14ac:dyDescent="0.3">
      <c r="A62" s="14">
        <f t="shared" si="0"/>
        <v>111030018</v>
      </c>
      <c r="B62" s="13">
        <v>11</v>
      </c>
      <c r="C62" s="12">
        <f t="shared" si="1"/>
        <v>1</v>
      </c>
      <c r="D62" s="13">
        <v>3</v>
      </c>
      <c r="E62" s="13">
        <v>0</v>
      </c>
      <c r="F62" s="12">
        <f t="shared" si="2"/>
        <v>18</v>
      </c>
      <c r="H62" s="9">
        <v>1</v>
      </c>
      <c r="I62" s="9">
        <v>18</v>
      </c>
      <c r="K62" s="9" t="s">
        <v>358</v>
      </c>
      <c r="L62" s="9">
        <v>0</v>
      </c>
      <c r="M62" s="9">
        <v>15</v>
      </c>
      <c r="R62" s="9" t="s">
        <v>772</v>
      </c>
      <c r="U62" s="9">
        <f ca="1">IFERROR(OFFSET(ITEM_RES!$A$5,MATCH(BUILDING!T62,ITEM_RES!$J$5:$J$229,0)-1,0),0)</f>
        <v>0</v>
      </c>
      <c r="W62" s="86" t="s">
        <v>574</v>
      </c>
      <c r="X62" s="9">
        <f ca="1">IFERROR(OFFSET(ITEM_RES!$A$5,MATCH(BUILDING!W62,ITEM_RES!$J$5:$J$229,0)-1,0),0)</f>
        <v>211010301</v>
      </c>
      <c r="Z62" s="9" t="s">
        <v>544</v>
      </c>
      <c r="AA62" s="9">
        <v>18</v>
      </c>
      <c r="AC62" s="9">
        <v>84000</v>
      </c>
      <c r="AE62" s="56">
        <f t="shared" si="5"/>
        <v>22050</v>
      </c>
      <c r="AF62" s="10">
        <f t="shared" si="10"/>
        <v>39900</v>
      </c>
      <c r="AH62" s="11">
        <f t="shared" si="3"/>
        <v>90</v>
      </c>
      <c r="AI62" s="10">
        <v>90</v>
      </c>
      <c r="AJ62" s="11">
        <f t="shared" si="6"/>
        <v>1050</v>
      </c>
      <c r="AK62" s="10">
        <v>1050</v>
      </c>
      <c r="AL62" s="11">
        <f t="shared" si="6"/>
        <v>1050</v>
      </c>
      <c r="AM62" s="10">
        <v>1050</v>
      </c>
      <c r="AN62" s="56">
        <f t="shared" si="7"/>
        <v>2</v>
      </c>
      <c r="AP62" s="11">
        <f ca="1">IFERROR(OFFSET(ITEM_RES!$A$1,MATCH(AQ62,ITEM_RES!$J:$J,0)-1,0),0)</f>
        <v>211010601</v>
      </c>
      <c r="AQ62" s="10" t="s">
        <v>466</v>
      </c>
      <c r="AR62" s="11">
        <v>5250</v>
      </c>
      <c r="AU62" s="11">
        <f ca="1">IFERROR(OFFSET(ITEM_RES!$A$1,MATCH(AV62,ITEM_RES!$J:$J,0)-1,0),0)</f>
        <v>211020101</v>
      </c>
      <c r="AV62" s="10" t="s">
        <v>475</v>
      </c>
      <c r="AW62" s="11">
        <v>5250</v>
      </c>
      <c r="AZ62" s="11">
        <f ca="1">IFERROR(OFFSET(ITEM_RES!$A$1,MATCH(BA62,ITEM_RES!$J:$J,0)-1,0),0)</f>
        <v>0</v>
      </c>
      <c r="BE62" s="11">
        <f ca="1">IFERROR(OFFSET(ITEM_RES!$A$1,MATCH(BF62,ITEM_RES!$J:$J,0)-1,0),0)</f>
        <v>0</v>
      </c>
      <c r="BJ62" s="11">
        <f ca="1">IFERROR(OFFSET(ITEM_RES!$A$1,MATCH(BK62,ITEM_RES!$J:$J,0)-1,0),0)</f>
        <v>0</v>
      </c>
      <c r="BL62" s="11">
        <f t="shared" si="4"/>
        <v>0</v>
      </c>
    </row>
    <row r="63" spans="1:64" x14ac:dyDescent="0.3">
      <c r="A63" s="14">
        <f t="shared" si="0"/>
        <v>111030019</v>
      </c>
      <c r="B63" s="13">
        <v>11</v>
      </c>
      <c r="C63" s="12">
        <f t="shared" si="1"/>
        <v>1</v>
      </c>
      <c r="D63" s="13">
        <v>3</v>
      </c>
      <c r="E63" s="13">
        <v>0</v>
      </c>
      <c r="F63" s="12">
        <f t="shared" si="2"/>
        <v>19</v>
      </c>
      <c r="H63" s="9">
        <v>1</v>
      </c>
      <c r="I63" s="9">
        <v>19</v>
      </c>
      <c r="K63" s="9" t="s">
        <v>358</v>
      </c>
      <c r="L63" s="9">
        <v>0</v>
      </c>
      <c r="M63" s="9">
        <v>15</v>
      </c>
      <c r="R63" s="9" t="s">
        <v>772</v>
      </c>
      <c r="U63" s="9">
        <f ca="1">IFERROR(OFFSET(ITEM_RES!$A$5,MATCH(BUILDING!T63,ITEM_RES!$J$5:$J$229,0)-1,0),0)</f>
        <v>0</v>
      </c>
      <c r="W63" s="86" t="s">
        <v>574</v>
      </c>
      <c r="X63" s="9">
        <f ca="1">IFERROR(OFFSET(ITEM_RES!$A$5,MATCH(BUILDING!W63,ITEM_RES!$J$5:$J$229,0)-1,0),0)</f>
        <v>211010301</v>
      </c>
      <c r="Z63" s="9" t="s">
        <v>544</v>
      </c>
      <c r="AA63" s="9">
        <v>19</v>
      </c>
      <c r="AC63" s="9">
        <v>100000</v>
      </c>
      <c r="AE63" s="56">
        <f t="shared" si="5"/>
        <v>26250</v>
      </c>
      <c r="AF63" s="10">
        <f t="shared" si="10"/>
        <v>48300</v>
      </c>
      <c r="AH63" s="11">
        <f t="shared" si="3"/>
        <v>95</v>
      </c>
      <c r="AI63" s="10">
        <v>95</v>
      </c>
      <c r="AJ63" s="11">
        <f t="shared" si="6"/>
        <v>1250</v>
      </c>
      <c r="AK63" s="10">
        <v>1250</v>
      </c>
      <c r="AL63" s="11">
        <f t="shared" si="6"/>
        <v>1250</v>
      </c>
      <c r="AM63" s="10">
        <v>1250</v>
      </c>
      <c r="AN63" s="56">
        <f t="shared" si="7"/>
        <v>2</v>
      </c>
      <c r="AP63" s="11">
        <f ca="1">IFERROR(OFFSET(ITEM_RES!$A$1,MATCH(AQ63,ITEM_RES!$J:$J,0)-1,0),0)</f>
        <v>211010601</v>
      </c>
      <c r="AQ63" s="10" t="s">
        <v>466</v>
      </c>
      <c r="AR63" s="11">
        <v>6250</v>
      </c>
      <c r="AU63" s="11">
        <f ca="1">IFERROR(OFFSET(ITEM_RES!$A$1,MATCH(AV63,ITEM_RES!$J:$J,0)-1,0),0)</f>
        <v>211020101</v>
      </c>
      <c r="AV63" s="10" t="s">
        <v>475</v>
      </c>
      <c r="AW63" s="11">
        <v>6250</v>
      </c>
      <c r="AZ63" s="11">
        <f ca="1">IFERROR(OFFSET(ITEM_RES!$A$1,MATCH(BA63,ITEM_RES!$J:$J,0)-1,0),0)</f>
        <v>0</v>
      </c>
      <c r="BE63" s="11">
        <f ca="1">IFERROR(OFFSET(ITEM_RES!$A$1,MATCH(BF63,ITEM_RES!$J:$J,0)-1,0),0)</f>
        <v>0</v>
      </c>
      <c r="BJ63" s="11">
        <f ca="1">IFERROR(OFFSET(ITEM_RES!$A$1,MATCH(BK63,ITEM_RES!$J:$J,0)-1,0),0)</f>
        <v>0</v>
      </c>
      <c r="BL63" s="11">
        <f t="shared" si="4"/>
        <v>0</v>
      </c>
    </row>
    <row r="64" spans="1:64" ht="17.25" thickBot="1" x14ac:dyDescent="0.35">
      <c r="A64" s="14">
        <f t="shared" si="0"/>
        <v>111030020</v>
      </c>
      <c r="B64" s="13">
        <v>11</v>
      </c>
      <c r="C64" s="12">
        <f t="shared" si="1"/>
        <v>1</v>
      </c>
      <c r="D64" s="13">
        <v>3</v>
      </c>
      <c r="E64" s="13">
        <v>0</v>
      </c>
      <c r="F64" s="12">
        <f t="shared" si="2"/>
        <v>20</v>
      </c>
      <c r="H64" s="9">
        <v>1</v>
      </c>
      <c r="I64" s="9">
        <v>20</v>
      </c>
      <c r="K64" s="9" t="s">
        <v>358</v>
      </c>
      <c r="L64" s="9">
        <v>0</v>
      </c>
      <c r="M64" s="9">
        <v>15</v>
      </c>
      <c r="R64" s="9" t="s">
        <v>772</v>
      </c>
      <c r="U64" s="9">
        <f ca="1">IFERROR(OFFSET(ITEM_RES!$A$5,MATCH(BUILDING!T64,ITEM_RES!$J$5:$J$229,0)-1,0),0)</f>
        <v>0</v>
      </c>
      <c r="W64" s="86" t="s">
        <v>574</v>
      </c>
      <c r="X64" s="9">
        <f ca="1">IFERROR(OFFSET(ITEM_RES!$A$5,MATCH(BUILDING!W64,ITEM_RES!$J$5:$J$229,0)-1,0),0)</f>
        <v>211010301</v>
      </c>
      <c r="Z64" s="9" t="s">
        <v>544</v>
      </c>
      <c r="AA64" s="9">
        <v>20</v>
      </c>
      <c r="AC64" s="9">
        <v>120000</v>
      </c>
      <c r="AE64" s="56">
        <f t="shared" si="5"/>
        <v>31500</v>
      </c>
      <c r="AF64" s="10">
        <f t="shared" si="10"/>
        <v>57750</v>
      </c>
      <c r="AH64" s="11">
        <f t="shared" si="3"/>
        <v>100</v>
      </c>
      <c r="AI64" s="10">
        <v>100</v>
      </c>
      <c r="AJ64" s="11">
        <f t="shared" si="6"/>
        <v>1500</v>
      </c>
      <c r="AK64" s="10">
        <v>1500</v>
      </c>
      <c r="AL64" s="11">
        <f t="shared" si="6"/>
        <v>1500</v>
      </c>
      <c r="AM64" s="10">
        <v>1500</v>
      </c>
      <c r="AN64" s="56">
        <f t="shared" si="7"/>
        <v>2</v>
      </c>
      <c r="AP64" s="11">
        <f ca="1">IFERROR(OFFSET(ITEM_RES!$A$1,MATCH(AQ64,ITEM_RES!$J:$J,0)-1,0),0)</f>
        <v>211010601</v>
      </c>
      <c r="AQ64" s="10" t="s">
        <v>466</v>
      </c>
      <c r="AR64" s="11">
        <v>7500</v>
      </c>
      <c r="AU64" s="11">
        <f ca="1">IFERROR(OFFSET(ITEM_RES!$A$1,MATCH(AV64,ITEM_RES!$J:$J,0)-1,0),0)</f>
        <v>211020101</v>
      </c>
      <c r="AV64" s="10" t="s">
        <v>475</v>
      </c>
      <c r="AW64" s="11">
        <v>7500</v>
      </c>
      <c r="AZ64" s="11">
        <f ca="1">IFERROR(OFFSET(ITEM_RES!$A$1,MATCH(BA64,ITEM_RES!$J:$J,0)-1,0),0)</f>
        <v>0</v>
      </c>
      <c r="BE64" s="11">
        <f ca="1">IFERROR(OFFSET(ITEM_RES!$A$1,MATCH(BF64,ITEM_RES!$J:$J,0)-1,0),0)</f>
        <v>0</v>
      </c>
      <c r="BJ64" s="11">
        <f ca="1">IFERROR(OFFSET(ITEM_RES!$A$1,MATCH(BK64,ITEM_RES!$J:$J,0)-1,0),0)</f>
        <v>0</v>
      </c>
      <c r="BL64" s="11">
        <f t="shared" si="4"/>
        <v>0</v>
      </c>
    </row>
    <row r="65" spans="1:65" s="15" customFormat="1" x14ac:dyDescent="0.3">
      <c r="A65" s="21">
        <f t="shared" ref="A65:A84" si="11">B65*10000000+C65*1000000+D65*10000+E65*100+F65</f>
        <v>111040001</v>
      </c>
      <c r="B65" s="20">
        <v>11</v>
      </c>
      <c r="C65" s="19">
        <f t="shared" ref="C65:C84" si="12">H65</f>
        <v>1</v>
      </c>
      <c r="D65" s="20">
        <v>4</v>
      </c>
      <c r="E65" s="20">
        <v>0</v>
      </c>
      <c r="F65" s="19">
        <f t="shared" ref="F65:F84" si="13">I65</f>
        <v>1</v>
      </c>
      <c r="G65" s="80"/>
      <c r="H65" s="16">
        <v>1</v>
      </c>
      <c r="I65" s="16">
        <v>1</v>
      </c>
      <c r="J65" s="80"/>
      <c r="K65" s="16" t="s">
        <v>463</v>
      </c>
      <c r="L65" s="16">
        <v>1</v>
      </c>
      <c r="M65" s="16">
        <v>15</v>
      </c>
      <c r="N65" s="16"/>
      <c r="O65" s="17"/>
      <c r="P65" s="17"/>
      <c r="Q65" s="18"/>
      <c r="R65" s="16" t="s">
        <v>773</v>
      </c>
      <c r="S65" s="80"/>
      <c r="T65" s="88"/>
      <c r="U65" s="16">
        <f ca="1">IFERROR(OFFSET(ITEM_RES!$A$5,MATCH(BUILDING!T65,ITEM_RES!$J$5:$J$229,0)-1,0),0)</f>
        <v>0</v>
      </c>
      <c r="V65" s="18"/>
      <c r="W65" s="88" t="s">
        <v>575</v>
      </c>
      <c r="X65" s="16">
        <f ca="1">IFERROR(OFFSET(ITEM_RES!$A$5,MATCH(BUILDING!W65,ITEM_RES!$J$5:$J$229,0)-1,0),0)</f>
        <v>211020101</v>
      </c>
      <c r="Y65" s="80"/>
      <c r="Z65" s="16" t="s">
        <v>545</v>
      </c>
      <c r="AA65" s="16">
        <v>1</v>
      </c>
      <c r="AB65" s="80"/>
      <c r="AC65" s="16">
        <v>400</v>
      </c>
      <c r="AD65" s="80"/>
      <c r="AE65" s="57">
        <f t="shared" si="5"/>
        <v>605</v>
      </c>
      <c r="AF65" s="17">
        <f>AE65</f>
        <v>605</v>
      </c>
      <c r="AG65" s="80"/>
      <c r="AH65" s="18">
        <f t="shared" si="3"/>
        <v>5</v>
      </c>
      <c r="AI65" s="17">
        <v>5</v>
      </c>
      <c r="AJ65" s="18">
        <f t="shared" ref="AJ65" si="14">ROUND(AK65,0)</f>
        <v>5</v>
      </c>
      <c r="AK65" s="17">
        <v>5</v>
      </c>
      <c r="AL65" s="18">
        <f t="shared" ref="AL65" si="15">ROUND(AM65,0)</f>
        <v>5</v>
      </c>
      <c r="AM65" s="17">
        <v>5</v>
      </c>
      <c r="AN65" s="57">
        <f t="shared" si="7"/>
        <v>3</v>
      </c>
      <c r="AO65" s="18"/>
      <c r="AP65" s="18">
        <f ca="1">IFERROR(OFFSET(ITEM_RES!$A$1,MATCH(AQ65,ITEM_RES!$J:$J,0)-1,0),0)</f>
        <v>211010501</v>
      </c>
      <c r="AQ65" s="17" t="s">
        <v>449</v>
      </c>
      <c r="AR65" s="18">
        <v>25</v>
      </c>
      <c r="AS65" s="17"/>
      <c r="AT65" s="18"/>
      <c r="AU65" s="18">
        <f ca="1">IFERROR(OFFSET(ITEM_RES!$A$1,MATCH(AV65,ITEM_RES!$J:$J,0)-1,0),0)</f>
        <v>211020801</v>
      </c>
      <c r="AV65" s="17" t="s">
        <v>460</v>
      </c>
      <c r="AW65" s="18">
        <v>25</v>
      </c>
      <c r="AX65" s="17"/>
      <c r="AY65" s="18"/>
      <c r="AZ65" s="18">
        <f ca="1">IFERROR(OFFSET(ITEM_RES!$A$1,MATCH(BA65,ITEM_RES!$J:$J,0)-1,0),0)</f>
        <v>213010101</v>
      </c>
      <c r="BA65" s="17" t="s">
        <v>481</v>
      </c>
      <c r="BB65" s="18">
        <v>1</v>
      </c>
      <c r="BC65" s="17"/>
      <c r="BD65" s="18"/>
      <c r="BE65" s="18">
        <f ca="1">IFERROR(OFFSET(ITEM_RES!$A$1,MATCH(BF65,ITEM_RES!$J:$J,0)-1,0),0)</f>
        <v>0</v>
      </c>
      <c r="BF65" s="17"/>
      <c r="BG65" s="18"/>
      <c r="BH65" s="17"/>
      <c r="BI65" s="18"/>
      <c r="BJ65" s="18">
        <f ca="1">IFERROR(OFFSET(ITEM_RES!$A$1,MATCH(BK65,ITEM_RES!$J:$J,0)-1,0),0)</f>
        <v>0</v>
      </c>
      <c r="BK65" s="17"/>
      <c r="BL65" s="18">
        <f t="shared" si="4"/>
        <v>0</v>
      </c>
      <c r="BM65" s="17"/>
    </row>
    <row r="66" spans="1:65" x14ac:dyDescent="0.3">
      <c r="A66" s="14">
        <f t="shared" si="11"/>
        <v>111040002</v>
      </c>
      <c r="B66" s="13">
        <v>11</v>
      </c>
      <c r="C66" s="12">
        <f t="shared" si="12"/>
        <v>1</v>
      </c>
      <c r="D66" s="13">
        <v>4</v>
      </c>
      <c r="E66" s="13">
        <v>0</v>
      </c>
      <c r="F66" s="12">
        <f t="shared" si="13"/>
        <v>2</v>
      </c>
      <c r="H66" s="9">
        <v>1</v>
      </c>
      <c r="I66" s="9">
        <v>2</v>
      </c>
      <c r="K66" s="9" t="s">
        <v>463</v>
      </c>
      <c r="L66" s="9">
        <v>1</v>
      </c>
      <c r="M66" s="9">
        <v>15</v>
      </c>
      <c r="R66" s="9" t="s">
        <v>773</v>
      </c>
      <c r="U66" s="9">
        <f ca="1">IFERROR(OFFSET(ITEM_RES!$A$5,MATCH(BUILDING!T66,ITEM_RES!$J$5:$J$229,0)-1,0),0)</f>
        <v>0</v>
      </c>
      <c r="W66" s="86" t="s">
        <v>575</v>
      </c>
      <c r="X66" s="9">
        <f ca="1">IFERROR(OFFSET(ITEM_RES!$A$5,MATCH(BUILDING!W66,ITEM_RES!$J$5:$J$229,0)-1,0),0)</f>
        <v>211020101</v>
      </c>
      <c r="Z66" s="9" t="s">
        <v>545</v>
      </c>
      <c r="AA66" s="9">
        <v>2</v>
      </c>
      <c r="AC66" s="9">
        <v>800</v>
      </c>
      <c r="AE66" s="56">
        <f t="shared" si="5"/>
        <v>210</v>
      </c>
      <c r="AF66" s="10">
        <f>AE65+AE66</f>
        <v>815</v>
      </c>
      <c r="AH66" s="11">
        <f t="shared" si="3"/>
        <v>10</v>
      </c>
      <c r="AI66" s="10">
        <v>10</v>
      </c>
      <c r="AJ66" s="11">
        <f t="shared" ref="AJ66" si="16">ROUND(AK66,0)</f>
        <v>10</v>
      </c>
      <c r="AK66" s="10">
        <v>10</v>
      </c>
      <c r="AL66" s="11">
        <f t="shared" ref="AL66" si="17">ROUND(AM66,0)</f>
        <v>10</v>
      </c>
      <c r="AM66" s="10">
        <v>10</v>
      </c>
      <c r="AN66" s="56">
        <f t="shared" si="7"/>
        <v>2</v>
      </c>
      <c r="AP66" s="11">
        <f ca="1">IFERROR(OFFSET(ITEM_RES!$A$1,MATCH(AQ66,ITEM_RES!$J:$J,0)-1,0),0)</f>
        <v>211010501</v>
      </c>
      <c r="AQ66" s="10" t="s">
        <v>451</v>
      </c>
      <c r="AR66" s="11">
        <v>50</v>
      </c>
      <c r="AU66" s="11">
        <f ca="1">IFERROR(OFFSET(ITEM_RES!$A$1,MATCH(AV66,ITEM_RES!$J:$J,0)-1,0),0)</f>
        <v>211020801</v>
      </c>
      <c r="AV66" s="10" t="s">
        <v>460</v>
      </c>
      <c r="AW66" s="11">
        <v>50</v>
      </c>
      <c r="AZ66" s="11">
        <f ca="1">IFERROR(OFFSET(ITEM_RES!$A$1,MATCH(BA66,ITEM_RES!$J:$J,0)-1,0),0)</f>
        <v>0</v>
      </c>
      <c r="BE66" s="11">
        <f ca="1">IFERROR(OFFSET(ITEM_RES!$A$1,MATCH(BF66,ITEM_RES!$J:$J,0)-1,0),0)</f>
        <v>0</v>
      </c>
      <c r="BJ66" s="11">
        <f ca="1">IFERROR(OFFSET(ITEM_RES!$A$1,MATCH(BK66,ITEM_RES!$J:$J,0)-1,0),0)</f>
        <v>0</v>
      </c>
      <c r="BL66" s="11">
        <f t="shared" si="4"/>
        <v>0</v>
      </c>
    </row>
    <row r="67" spans="1:65" x14ac:dyDescent="0.3">
      <c r="A67" s="14">
        <f t="shared" si="11"/>
        <v>111040003</v>
      </c>
      <c r="B67" s="13">
        <v>11</v>
      </c>
      <c r="C67" s="12">
        <f t="shared" si="12"/>
        <v>1</v>
      </c>
      <c r="D67" s="13">
        <v>4</v>
      </c>
      <c r="E67" s="13">
        <v>0</v>
      </c>
      <c r="F67" s="12">
        <f t="shared" si="13"/>
        <v>3</v>
      </c>
      <c r="H67" s="9">
        <v>1</v>
      </c>
      <c r="I67" s="9">
        <v>3</v>
      </c>
      <c r="K67" s="9" t="s">
        <v>463</v>
      </c>
      <c r="L67" s="9">
        <v>1</v>
      </c>
      <c r="M67" s="9">
        <v>15</v>
      </c>
      <c r="R67" s="9" t="s">
        <v>773</v>
      </c>
      <c r="U67" s="9">
        <f ca="1">IFERROR(OFFSET(ITEM_RES!$A$5,MATCH(BUILDING!T67,ITEM_RES!$J$5:$J$229,0)-1,0),0)</f>
        <v>0</v>
      </c>
      <c r="W67" s="86" t="s">
        <v>575</v>
      </c>
      <c r="X67" s="9">
        <f ca="1">IFERROR(OFFSET(ITEM_RES!$A$5,MATCH(BUILDING!W67,ITEM_RES!$J$5:$J$229,0)-1,0),0)</f>
        <v>211020101</v>
      </c>
      <c r="Z67" s="9" t="s">
        <v>545</v>
      </c>
      <c r="AA67" s="9">
        <v>3</v>
      </c>
      <c r="AC67" s="9">
        <v>1200</v>
      </c>
      <c r="AE67" s="56">
        <f t="shared" si="5"/>
        <v>315</v>
      </c>
      <c r="AF67" s="10">
        <f t="shared" ref="AF67:AF84" si="18">AE66+AE67</f>
        <v>525</v>
      </c>
      <c r="AH67" s="11">
        <f t="shared" si="3"/>
        <v>15</v>
      </c>
      <c r="AI67" s="10">
        <v>15</v>
      </c>
      <c r="AJ67" s="11">
        <f t="shared" ref="AJ67" si="19">ROUND(AK67,0)</f>
        <v>15</v>
      </c>
      <c r="AK67" s="10">
        <v>15</v>
      </c>
      <c r="AL67" s="11">
        <f t="shared" ref="AL67" si="20">ROUND(AM67,0)</f>
        <v>15</v>
      </c>
      <c r="AM67" s="10">
        <v>15</v>
      </c>
      <c r="AN67" s="56">
        <f t="shared" si="7"/>
        <v>2</v>
      </c>
      <c r="AP67" s="11">
        <f ca="1">IFERROR(OFFSET(ITEM_RES!$A$1,MATCH(AQ67,ITEM_RES!$J:$J,0)-1,0),0)</f>
        <v>211010501</v>
      </c>
      <c r="AQ67" s="10" t="s">
        <v>451</v>
      </c>
      <c r="AR67" s="11">
        <v>75</v>
      </c>
      <c r="AU67" s="11">
        <f ca="1">IFERROR(OFFSET(ITEM_RES!$A$1,MATCH(AV67,ITEM_RES!$J:$J,0)-1,0),0)</f>
        <v>211020801</v>
      </c>
      <c r="AV67" s="10" t="s">
        <v>460</v>
      </c>
      <c r="AW67" s="11">
        <v>75</v>
      </c>
      <c r="AZ67" s="11">
        <f ca="1">IFERROR(OFFSET(ITEM_RES!$A$1,MATCH(BA67,ITEM_RES!$J:$J,0)-1,0),0)</f>
        <v>0</v>
      </c>
      <c r="BE67" s="11">
        <f ca="1">IFERROR(OFFSET(ITEM_RES!$A$1,MATCH(BF67,ITEM_RES!$J:$J,0)-1,0),0)</f>
        <v>0</v>
      </c>
      <c r="BJ67" s="11">
        <f ca="1">IFERROR(OFFSET(ITEM_RES!$A$1,MATCH(BK67,ITEM_RES!$J:$J,0)-1,0),0)</f>
        <v>0</v>
      </c>
      <c r="BL67" s="11">
        <f t="shared" si="4"/>
        <v>0</v>
      </c>
    </row>
    <row r="68" spans="1:65" x14ac:dyDescent="0.3">
      <c r="A68" s="14">
        <f t="shared" si="11"/>
        <v>111040004</v>
      </c>
      <c r="B68" s="13">
        <v>11</v>
      </c>
      <c r="C68" s="12">
        <f t="shared" si="12"/>
        <v>1</v>
      </c>
      <c r="D68" s="13">
        <v>4</v>
      </c>
      <c r="E68" s="13">
        <v>0</v>
      </c>
      <c r="F68" s="12">
        <f t="shared" si="13"/>
        <v>4</v>
      </c>
      <c r="H68" s="9">
        <v>1</v>
      </c>
      <c r="I68" s="9">
        <v>4</v>
      </c>
      <c r="K68" s="9" t="s">
        <v>463</v>
      </c>
      <c r="L68" s="9">
        <v>1</v>
      </c>
      <c r="M68" s="9">
        <v>15</v>
      </c>
      <c r="R68" s="9" t="s">
        <v>773</v>
      </c>
      <c r="U68" s="9">
        <f ca="1">IFERROR(OFFSET(ITEM_RES!$A$5,MATCH(BUILDING!T68,ITEM_RES!$J$5:$J$229,0)-1,0),0)</f>
        <v>0</v>
      </c>
      <c r="W68" s="86" t="s">
        <v>575</v>
      </c>
      <c r="X68" s="9">
        <f ca="1">IFERROR(OFFSET(ITEM_RES!$A$5,MATCH(BUILDING!W68,ITEM_RES!$J$5:$J$229,0)-1,0),0)</f>
        <v>211020101</v>
      </c>
      <c r="Z68" s="9" t="s">
        <v>545</v>
      </c>
      <c r="AA68" s="9">
        <v>4</v>
      </c>
      <c r="AC68" s="9">
        <v>2000</v>
      </c>
      <c r="AE68" s="56">
        <f t="shared" si="5"/>
        <v>525</v>
      </c>
      <c r="AF68" s="10">
        <f t="shared" si="18"/>
        <v>840</v>
      </c>
      <c r="AH68" s="11">
        <f t="shared" si="3"/>
        <v>20</v>
      </c>
      <c r="AI68" s="10">
        <v>20</v>
      </c>
      <c r="AJ68" s="11">
        <f t="shared" ref="AJ68" si="21">ROUND(AK68,0)</f>
        <v>25</v>
      </c>
      <c r="AK68" s="10">
        <v>25</v>
      </c>
      <c r="AL68" s="11">
        <f t="shared" ref="AL68" si="22">ROUND(AM68,0)</f>
        <v>25</v>
      </c>
      <c r="AM68" s="10">
        <v>25</v>
      </c>
      <c r="AN68" s="56">
        <f t="shared" si="7"/>
        <v>2</v>
      </c>
      <c r="AP68" s="11">
        <f ca="1">IFERROR(OFFSET(ITEM_RES!$A$1,MATCH(AQ68,ITEM_RES!$J:$J,0)-1,0),0)</f>
        <v>211010501</v>
      </c>
      <c r="AQ68" s="10" t="s">
        <v>451</v>
      </c>
      <c r="AR68" s="11">
        <v>125</v>
      </c>
      <c r="AU68" s="11">
        <f ca="1">IFERROR(OFFSET(ITEM_RES!$A$1,MATCH(AV68,ITEM_RES!$J:$J,0)-1,0),0)</f>
        <v>211020801</v>
      </c>
      <c r="AV68" s="10" t="s">
        <v>460</v>
      </c>
      <c r="AW68" s="11">
        <v>125</v>
      </c>
      <c r="AZ68" s="11">
        <f ca="1">IFERROR(OFFSET(ITEM_RES!$A$1,MATCH(BA68,ITEM_RES!$J:$J,0)-1,0),0)</f>
        <v>0</v>
      </c>
      <c r="BE68" s="11">
        <f ca="1">IFERROR(OFFSET(ITEM_RES!$A$1,MATCH(BF68,ITEM_RES!$J:$J,0)-1,0),0)</f>
        <v>0</v>
      </c>
      <c r="BJ68" s="11">
        <f ca="1">IFERROR(OFFSET(ITEM_RES!$A$1,MATCH(BK68,ITEM_RES!$J:$J,0)-1,0),0)</f>
        <v>0</v>
      </c>
      <c r="BL68" s="11">
        <f t="shared" si="4"/>
        <v>0</v>
      </c>
    </row>
    <row r="69" spans="1:65" x14ac:dyDescent="0.3">
      <c r="A69" s="14">
        <f t="shared" si="11"/>
        <v>111040005</v>
      </c>
      <c r="B69" s="13">
        <v>11</v>
      </c>
      <c r="C69" s="12">
        <f t="shared" si="12"/>
        <v>1</v>
      </c>
      <c r="D69" s="13">
        <v>4</v>
      </c>
      <c r="E69" s="13">
        <v>0</v>
      </c>
      <c r="F69" s="12">
        <f t="shared" si="13"/>
        <v>5</v>
      </c>
      <c r="H69" s="9">
        <v>1</v>
      </c>
      <c r="I69" s="9">
        <v>5</v>
      </c>
      <c r="K69" s="9" t="s">
        <v>463</v>
      </c>
      <c r="L69" s="9">
        <v>1</v>
      </c>
      <c r="M69" s="9">
        <v>15</v>
      </c>
      <c r="R69" s="9" t="s">
        <v>773</v>
      </c>
      <c r="U69" s="9">
        <f ca="1">IFERROR(OFFSET(ITEM_RES!$A$5,MATCH(BUILDING!T69,ITEM_RES!$J$5:$J$229,0)-1,0),0)</f>
        <v>0</v>
      </c>
      <c r="W69" s="86" t="s">
        <v>575</v>
      </c>
      <c r="X69" s="9">
        <f ca="1">IFERROR(OFFSET(ITEM_RES!$A$5,MATCH(BUILDING!W69,ITEM_RES!$J$5:$J$229,0)-1,0),0)</f>
        <v>211020101</v>
      </c>
      <c r="Z69" s="9" t="s">
        <v>545</v>
      </c>
      <c r="AA69" s="9">
        <v>5</v>
      </c>
      <c r="AC69" s="9">
        <v>3200</v>
      </c>
      <c r="AE69" s="56">
        <f t="shared" si="5"/>
        <v>840</v>
      </c>
      <c r="AF69" s="10">
        <f t="shared" si="18"/>
        <v>1365</v>
      </c>
      <c r="AH69" s="11">
        <f t="shared" ref="AH69:AH132" si="23">ROUND(AI69,0)</f>
        <v>25</v>
      </c>
      <c r="AI69" s="10">
        <v>25</v>
      </c>
      <c r="AJ69" s="11">
        <f t="shared" ref="AJ69" si="24">ROUND(AK69,0)</f>
        <v>40</v>
      </c>
      <c r="AK69" s="10">
        <v>40</v>
      </c>
      <c r="AL69" s="11">
        <f t="shared" ref="AL69" si="25">ROUND(AM69,0)</f>
        <v>40</v>
      </c>
      <c r="AM69" s="10">
        <v>40</v>
      </c>
      <c r="AN69" s="56">
        <f t="shared" si="7"/>
        <v>2</v>
      </c>
      <c r="AP69" s="11">
        <f ca="1">IFERROR(OFFSET(ITEM_RES!$A$1,MATCH(AQ69,ITEM_RES!$J:$J,0)-1,0),0)</f>
        <v>211010501</v>
      </c>
      <c r="AQ69" s="10" t="s">
        <v>451</v>
      </c>
      <c r="AR69" s="11">
        <v>200</v>
      </c>
      <c r="AU69" s="11">
        <f ca="1">IFERROR(OFFSET(ITEM_RES!$A$1,MATCH(AV69,ITEM_RES!$J:$J,0)-1,0),0)</f>
        <v>211020801</v>
      </c>
      <c r="AV69" s="10" t="s">
        <v>460</v>
      </c>
      <c r="AW69" s="11">
        <v>200</v>
      </c>
      <c r="AZ69" s="11">
        <f ca="1">IFERROR(OFFSET(ITEM_RES!$A$1,MATCH(BA69,ITEM_RES!$J:$J,0)-1,0),0)</f>
        <v>0</v>
      </c>
      <c r="BE69" s="11">
        <f ca="1">IFERROR(OFFSET(ITEM_RES!$A$1,MATCH(BF69,ITEM_RES!$J:$J,0)-1,0),0)</f>
        <v>0</v>
      </c>
      <c r="BJ69" s="11">
        <f ca="1">IFERROR(OFFSET(ITEM_RES!$A$1,MATCH(BK69,ITEM_RES!$J:$J,0)-1,0),0)</f>
        <v>0</v>
      </c>
      <c r="BL69" s="11">
        <f t="shared" si="4"/>
        <v>0</v>
      </c>
    </row>
    <row r="70" spans="1:65" x14ac:dyDescent="0.3">
      <c r="A70" s="14">
        <f t="shared" si="11"/>
        <v>111040006</v>
      </c>
      <c r="B70" s="13">
        <v>11</v>
      </c>
      <c r="C70" s="12">
        <f t="shared" si="12"/>
        <v>1</v>
      </c>
      <c r="D70" s="13">
        <v>4</v>
      </c>
      <c r="E70" s="13">
        <v>0</v>
      </c>
      <c r="F70" s="12">
        <f t="shared" si="13"/>
        <v>6</v>
      </c>
      <c r="H70" s="9">
        <v>1</v>
      </c>
      <c r="I70" s="9">
        <v>6</v>
      </c>
      <c r="K70" s="9" t="s">
        <v>463</v>
      </c>
      <c r="L70" s="9">
        <v>1</v>
      </c>
      <c r="M70" s="9">
        <v>15</v>
      </c>
      <c r="R70" s="9" t="s">
        <v>773</v>
      </c>
      <c r="U70" s="9">
        <f ca="1">IFERROR(OFFSET(ITEM_RES!$A$5,MATCH(BUILDING!T70,ITEM_RES!$J$5:$J$229,0)-1,0),0)</f>
        <v>0</v>
      </c>
      <c r="W70" s="86" t="s">
        <v>575</v>
      </c>
      <c r="X70" s="9">
        <f ca="1">IFERROR(OFFSET(ITEM_RES!$A$5,MATCH(BUILDING!W70,ITEM_RES!$J$5:$J$229,0)-1,0),0)</f>
        <v>211020101</v>
      </c>
      <c r="Z70" s="9" t="s">
        <v>545</v>
      </c>
      <c r="AA70" s="9">
        <v>6</v>
      </c>
      <c r="AC70" s="9">
        <v>4000</v>
      </c>
      <c r="AE70" s="56">
        <f t="shared" ref="AE70:AE133" si="26">AK70*10+AM70+AR70+AW70+500*BB70+500*BG70+500*BL70</f>
        <v>1050</v>
      </c>
      <c r="AF70" s="10">
        <f t="shared" si="18"/>
        <v>1890</v>
      </c>
      <c r="AH70" s="11">
        <f t="shared" si="23"/>
        <v>30</v>
      </c>
      <c r="AI70" s="10">
        <v>30</v>
      </c>
      <c r="AJ70" s="11">
        <f t="shared" ref="AJ70" si="27">ROUND(AK70,0)</f>
        <v>50</v>
      </c>
      <c r="AK70" s="10">
        <v>50</v>
      </c>
      <c r="AL70" s="11">
        <f t="shared" ref="AL70" si="28">ROUND(AM70,0)</f>
        <v>50</v>
      </c>
      <c r="AM70" s="10">
        <v>50</v>
      </c>
      <c r="AN70" s="56">
        <f t="shared" ref="AN70:AN133" si="29">(AR70&gt;0)*1+(AW70&gt;0)*1+(BB70&gt;0)*1+(BG70&gt;0)*1+(BL70&gt;0)*1</f>
        <v>2</v>
      </c>
      <c r="AP70" s="11">
        <f ca="1">IFERROR(OFFSET(ITEM_RES!$A$1,MATCH(AQ70,ITEM_RES!$J:$J,0)-1,0),0)</f>
        <v>211010501</v>
      </c>
      <c r="AQ70" s="10" t="s">
        <v>451</v>
      </c>
      <c r="AR70" s="11">
        <v>250</v>
      </c>
      <c r="AU70" s="11">
        <f ca="1">IFERROR(OFFSET(ITEM_RES!$A$1,MATCH(AV70,ITEM_RES!$J:$J,0)-1,0),0)</f>
        <v>211020801</v>
      </c>
      <c r="AV70" s="10" t="s">
        <v>460</v>
      </c>
      <c r="AW70" s="11">
        <v>250</v>
      </c>
      <c r="AZ70" s="11">
        <f ca="1">IFERROR(OFFSET(ITEM_RES!$A$1,MATCH(BA70,ITEM_RES!$J:$J,0)-1,0),0)</f>
        <v>0</v>
      </c>
      <c r="BE70" s="11">
        <f ca="1">IFERROR(OFFSET(ITEM_RES!$A$1,MATCH(BF70,ITEM_RES!$J:$J,0)-1,0),0)</f>
        <v>0</v>
      </c>
      <c r="BJ70" s="11">
        <f ca="1">IFERROR(OFFSET(ITEM_RES!$A$1,MATCH(BK70,ITEM_RES!$J:$J,0)-1,0),0)</f>
        <v>0</v>
      </c>
      <c r="BL70" s="11">
        <f t="shared" si="4"/>
        <v>0</v>
      </c>
    </row>
    <row r="71" spans="1:65" x14ac:dyDescent="0.3">
      <c r="A71" s="14">
        <f t="shared" si="11"/>
        <v>111040007</v>
      </c>
      <c r="B71" s="13">
        <v>11</v>
      </c>
      <c r="C71" s="12">
        <f t="shared" si="12"/>
        <v>1</v>
      </c>
      <c r="D71" s="13">
        <v>4</v>
      </c>
      <c r="E71" s="13">
        <v>0</v>
      </c>
      <c r="F71" s="12">
        <f t="shared" si="13"/>
        <v>7</v>
      </c>
      <c r="H71" s="9">
        <v>1</v>
      </c>
      <c r="I71" s="9">
        <v>7</v>
      </c>
      <c r="K71" s="9" t="s">
        <v>463</v>
      </c>
      <c r="L71" s="9">
        <v>1</v>
      </c>
      <c r="M71" s="9">
        <v>15</v>
      </c>
      <c r="R71" s="9" t="s">
        <v>773</v>
      </c>
      <c r="U71" s="9">
        <f ca="1">IFERROR(OFFSET(ITEM_RES!$A$5,MATCH(BUILDING!T71,ITEM_RES!$J$5:$J$229,0)-1,0),0)</f>
        <v>0</v>
      </c>
      <c r="W71" s="86" t="s">
        <v>575</v>
      </c>
      <c r="X71" s="9">
        <f ca="1">IFERROR(OFFSET(ITEM_RES!$A$5,MATCH(BUILDING!W71,ITEM_RES!$J$5:$J$229,0)-1,0),0)</f>
        <v>211020101</v>
      </c>
      <c r="Z71" s="9" t="s">
        <v>545</v>
      </c>
      <c r="AA71" s="9">
        <v>7</v>
      </c>
      <c r="AC71" s="9">
        <v>8000</v>
      </c>
      <c r="AE71" s="56">
        <f t="shared" si="26"/>
        <v>2100</v>
      </c>
      <c r="AF71" s="10">
        <f t="shared" si="18"/>
        <v>3150</v>
      </c>
      <c r="AH71" s="11">
        <f t="shared" si="23"/>
        <v>35</v>
      </c>
      <c r="AI71" s="10">
        <v>35</v>
      </c>
      <c r="AJ71" s="11">
        <f t="shared" ref="AJ71" si="30">ROUND(AK71,0)</f>
        <v>100</v>
      </c>
      <c r="AK71" s="10">
        <v>100</v>
      </c>
      <c r="AL71" s="11">
        <f t="shared" ref="AL71" si="31">ROUND(AM71,0)</f>
        <v>100</v>
      </c>
      <c r="AM71" s="10">
        <v>100</v>
      </c>
      <c r="AN71" s="56">
        <f t="shared" si="29"/>
        <v>2</v>
      </c>
      <c r="AP71" s="11">
        <f ca="1">IFERROR(OFFSET(ITEM_RES!$A$1,MATCH(AQ71,ITEM_RES!$J:$J,0)-1,0),0)</f>
        <v>211010501</v>
      </c>
      <c r="AQ71" s="10" t="s">
        <v>451</v>
      </c>
      <c r="AR71" s="11">
        <v>500</v>
      </c>
      <c r="AU71" s="11">
        <f ca="1">IFERROR(OFFSET(ITEM_RES!$A$1,MATCH(AV71,ITEM_RES!$J:$J,0)-1,0),0)</f>
        <v>211020801</v>
      </c>
      <c r="AV71" s="10" t="s">
        <v>460</v>
      </c>
      <c r="AW71" s="11">
        <v>500</v>
      </c>
      <c r="AZ71" s="11">
        <f ca="1">IFERROR(OFFSET(ITEM_RES!$A$1,MATCH(BA71,ITEM_RES!$J:$J,0)-1,0),0)</f>
        <v>0</v>
      </c>
      <c r="BE71" s="11">
        <f ca="1">IFERROR(OFFSET(ITEM_RES!$A$1,MATCH(BF71,ITEM_RES!$J:$J,0)-1,0),0)</f>
        <v>0</v>
      </c>
      <c r="BJ71" s="11">
        <f ca="1">IFERROR(OFFSET(ITEM_RES!$A$1,MATCH(BK71,ITEM_RES!$J:$J,0)-1,0),0)</f>
        <v>0</v>
      </c>
      <c r="BL71" s="11">
        <f t="shared" si="4"/>
        <v>0</v>
      </c>
    </row>
    <row r="72" spans="1:65" x14ac:dyDescent="0.3">
      <c r="A72" s="14">
        <f t="shared" si="11"/>
        <v>111040008</v>
      </c>
      <c r="B72" s="13">
        <v>11</v>
      </c>
      <c r="C72" s="12">
        <f t="shared" si="12"/>
        <v>1</v>
      </c>
      <c r="D72" s="13">
        <v>4</v>
      </c>
      <c r="E72" s="13">
        <v>0</v>
      </c>
      <c r="F72" s="12">
        <f t="shared" si="13"/>
        <v>8</v>
      </c>
      <c r="H72" s="9">
        <v>1</v>
      </c>
      <c r="I72" s="9">
        <v>8</v>
      </c>
      <c r="K72" s="9" t="s">
        <v>463</v>
      </c>
      <c r="L72" s="9">
        <v>1</v>
      </c>
      <c r="M72" s="9">
        <v>15</v>
      </c>
      <c r="R72" s="9" t="s">
        <v>773</v>
      </c>
      <c r="U72" s="9">
        <f ca="1">IFERROR(OFFSET(ITEM_RES!$A$5,MATCH(BUILDING!T72,ITEM_RES!$J$5:$J$229,0)-1,0),0)</f>
        <v>0</v>
      </c>
      <c r="W72" s="86" t="s">
        <v>575</v>
      </c>
      <c r="X72" s="9">
        <f ca="1">IFERROR(OFFSET(ITEM_RES!$A$5,MATCH(BUILDING!W72,ITEM_RES!$J$5:$J$229,0)-1,0),0)</f>
        <v>211020101</v>
      </c>
      <c r="Z72" s="9" t="s">
        <v>545</v>
      </c>
      <c r="AA72" s="9">
        <v>8</v>
      </c>
      <c r="AC72" s="9">
        <v>8000</v>
      </c>
      <c r="AE72" s="56">
        <f t="shared" si="26"/>
        <v>2100</v>
      </c>
      <c r="AF72" s="10">
        <f t="shared" si="18"/>
        <v>4200</v>
      </c>
      <c r="AH72" s="11">
        <f t="shared" si="23"/>
        <v>40</v>
      </c>
      <c r="AI72" s="10">
        <v>40</v>
      </c>
      <c r="AJ72" s="11">
        <f t="shared" ref="AJ72" si="32">ROUND(AK72,0)</f>
        <v>100</v>
      </c>
      <c r="AK72" s="10">
        <v>100</v>
      </c>
      <c r="AL72" s="11">
        <f t="shared" ref="AL72" si="33">ROUND(AM72,0)</f>
        <v>100</v>
      </c>
      <c r="AM72" s="10">
        <v>100</v>
      </c>
      <c r="AN72" s="56">
        <f t="shared" si="29"/>
        <v>2</v>
      </c>
      <c r="AP72" s="11">
        <f ca="1">IFERROR(OFFSET(ITEM_RES!$A$1,MATCH(AQ72,ITEM_RES!$J:$J,0)-1,0),0)</f>
        <v>211010501</v>
      </c>
      <c r="AQ72" s="10" t="s">
        <v>451</v>
      </c>
      <c r="AR72" s="11">
        <v>500</v>
      </c>
      <c r="AU72" s="11">
        <f ca="1">IFERROR(OFFSET(ITEM_RES!$A$1,MATCH(AV72,ITEM_RES!$J:$J,0)-1,0),0)</f>
        <v>211020801</v>
      </c>
      <c r="AV72" s="10" t="s">
        <v>460</v>
      </c>
      <c r="AW72" s="11">
        <v>500</v>
      </c>
      <c r="AZ72" s="11">
        <f ca="1">IFERROR(OFFSET(ITEM_RES!$A$1,MATCH(BA72,ITEM_RES!$J:$J,0)-1,0),0)</f>
        <v>0</v>
      </c>
      <c r="BE72" s="11">
        <f ca="1">IFERROR(OFFSET(ITEM_RES!$A$1,MATCH(BF72,ITEM_RES!$J:$J,0)-1,0),0)</f>
        <v>0</v>
      </c>
      <c r="BJ72" s="11">
        <f ca="1">IFERROR(OFFSET(ITEM_RES!$A$1,MATCH(BK72,ITEM_RES!$J:$J,0)-1,0),0)</f>
        <v>0</v>
      </c>
      <c r="BL72" s="11">
        <f t="shared" si="4"/>
        <v>0</v>
      </c>
    </row>
    <row r="73" spans="1:65" x14ac:dyDescent="0.3">
      <c r="A73" s="14">
        <f t="shared" si="11"/>
        <v>111040009</v>
      </c>
      <c r="B73" s="13">
        <v>11</v>
      </c>
      <c r="C73" s="12">
        <f t="shared" si="12"/>
        <v>1</v>
      </c>
      <c r="D73" s="13">
        <v>4</v>
      </c>
      <c r="E73" s="13">
        <v>0</v>
      </c>
      <c r="F73" s="12">
        <f t="shared" si="13"/>
        <v>9</v>
      </c>
      <c r="H73" s="9">
        <v>1</v>
      </c>
      <c r="I73" s="9">
        <v>9</v>
      </c>
      <c r="K73" s="9" t="s">
        <v>463</v>
      </c>
      <c r="L73" s="9">
        <v>1</v>
      </c>
      <c r="M73" s="9">
        <v>15</v>
      </c>
      <c r="R73" s="9" t="s">
        <v>773</v>
      </c>
      <c r="U73" s="9">
        <f ca="1">IFERROR(OFFSET(ITEM_RES!$A$5,MATCH(BUILDING!T73,ITEM_RES!$J$5:$J$229,0)-1,0),0)</f>
        <v>0</v>
      </c>
      <c r="W73" s="86" t="s">
        <v>575</v>
      </c>
      <c r="X73" s="9">
        <f ca="1">IFERROR(OFFSET(ITEM_RES!$A$5,MATCH(BUILDING!W73,ITEM_RES!$J$5:$J$229,0)-1,0),0)</f>
        <v>211020101</v>
      </c>
      <c r="Z73" s="9" t="s">
        <v>545</v>
      </c>
      <c r="AA73" s="9">
        <v>9</v>
      </c>
      <c r="AC73" s="9">
        <v>12000</v>
      </c>
      <c r="AE73" s="56">
        <f t="shared" si="26"/>
        <v>3150</v>
      </c>
      <c r="AF73" s="10">
        <f t="shared" si="18"/>
        <v>5250</v>
      </c>
      <c r="AH73" s="11">
        <f t="shared" si="23"/>
        <v>45</v>
      </c>
      <c r="AI73" s="10">
        <v>45</v>
      </c>
      <c r="AJ73" s="11">
        <f t="shared" ref="AJ73" si="34">ROUND(AK73,0)</f>
        <v>150</v>
      </c>
      <c r="AK73" s="10">
        <v>150</v>
      </c>
      <c r="AL73" s="11">
        <f t="shared" ref="AL73" si="35">ROUND(AM73,0)</f>
        <v>150</v>
      </c>
      <c r="AM73" s="10">
        <v>150</v>
      </c>
      <c r="AN73" s="56">
        <f t="shared" si="29"/>
        <v>2</v>
      </c>
      <c r="AP73" s="11">
        <f ca="1">IFERROR(OFFSET(ITEM_RES!$A$1,MATCH(AQ73,ITEM_RES!$J:$J,0)-1,0),0)</f>
        <v>211010501</v>
      </c>
      <c r="AQ73" s="10" t="s">
        <v>451</v>
      </c>
      <c r="AR73" s="11">
        <v>750</v>
      </c>
      <c r="AU73" s="11">
        <f ca="1">IFERROR(OFFSET(ITEM_RES!$A$1,MATCH(AV73,ITEM_RES!$J:$J,0)-1,0),0)</f>
        <v>211020801</v>
      </c>
      <c r="AV73" s="10" t="s">
        <v>460</v>
      </c>
      <c r="AW73" s="11">
        <v>750</v>
      </c>
      <c r="AZ73" s="11">
        <f ca="1">IFERROR(OFFSET(ITEM_RES!$A$1,MATCH(BA73,ITEM_RES!$J:$J,0)-1,0),0)</f>
        <v>0</v>
      </c>
      <c r="BE73" s="11">
        <f ca="1">IFERROR(OFFSET(ITEM_RES!$A$1,MATCH(BF73,ITEM_RES!$J:$J,0)-1,0),0)</f>
        <v>0</v>
      </c>
      <c r="BJ73" s="11">
        <f ca="1">IFERROR(OFFSET(ITEM_RES!$A$1,MATCH(BK73,ITEM_RES!$J:$J,0)-1,0),0)</f>
        <v>0</v>
      </c>
      <c r="BL73" s="11">
        <f t="shared" si="4"/>
        <v>0</v>
      </c>
    </row>
    <row r="74" spans="1:65" x14ac:dyDescent="0.3">
      <c r="A74" s="14">
        <f t="shared" si="11"/>
        <v>111040010</v>
      </c>
      <c r="B74" s="13">
        <v>11</v>
      </c>
      <c r="C74" s="12">
        <f t="shared" si="12"/>
        <v>1</v>
      </c>
      <c r="D74" s="13">
        <v>4</v>
      </c>
      <c r="E74" s="13">
        <v>0</v>
      </c>
      <c r="F74" s="12">
        <f t="shared" si="13"/>
        <v>10</v>
      </c>
      <c r="H74" s="9">
        <v>1</v>
      </c>
      <c r="I74" s="9">
        <v>10</v>
      </c>
      <c r="K74" s="9" t="s">
        <v>463</v>
      </c>
      <c r="L74" s="9">
        <v>1</v>
      </c>
      <c r="M74" s="9">
        <v>15</v>
      </c>
      <c r="R74" s="9" t="s">
        <v>773</v>
      </c>
      <c r="U74" s="9">
        <f ca="1">IFERROR(OFFSET(ITEM_RES!$A$5,MATCH(BUILDING!T74,ITEM_RES!$J$5:$J$229,0)-1,0),0)</f>
        <v>0</v>
      </c>
      <c r="W74" s="86" t="s">
        <v>575</v>
      </c>
      <c r="X74" s="9">
        <f ca="1">IFERROR(OFFSET(ITEM_RES!$A$5,MATCH(BUILDING!W74,ITEM_RES!$J$5:$J$229,0)-1,0),0)</f>
        <v>211020101</v>
      </c>
      <c r="Z74" s="9" t="s">
        <v>545</v>
      </c>
      <c r="AA74" s="9">
        <v>10</v>
      </c>
      <c r="AC74" s="9">
        <v>16000</v>
      </c>
      <c r="AE74" s="56">
        <f t="shared" si="26"/>
        <v>4200</v>
      </c>
      <c r="AF74" s="10">
        <f t="shared" si="18"/>
        <v>7350</v>
      </c>
      <c r="AH74" s="11">
        <f t="shared" si="23"/>
        <v>50</v>
      </c>
      <c r="AI74" s="10">
        <v>50</v>
      </c>
      <c r="AJ74" s="11">
        <f t="shared" ref="AJ74" si="36">ROUND(AK74,0)</f>
        <v>200</v>
      </c>
      <c r="AK74" s="10">
        <v>200</v>
      </c>
      <c r="AL74" s="11">
        <f t="shared" ref="AL74" si="37">ROUND(AM74,0)</f>
        <v>200</v>
      </c>
      <c r="AM74" s="10">
        <v>200</v>
      </c>
      <c r="AN74" s="56">
        <f t="shared" si="29"/>
        <v>2</v>
      </c>
      <c r="AP74" s="11">
        <f ca="1">IFERROR(OFFSET(ITEM_RES!$A$1,MATCH(AQ74,ITEM_RES!$J:$J,0)-1,0),0)</f>
        <v>211010501</v>
      </c>
      <c r="AQ74" s="10" t="s">
        <v>451</v>
      </c>
      <c r="AR74" s="11">
        <v>1000</v>
      </c>
      <c r="AU74" s="11">
        <f ca="1">IFERROR(OFFSET(ITEM_RES!$A$1,MATCH(AV74,ITEM_RES!$J:$J,0)-1,0),0)</f>
        <v>211020801</v>
      </c>
      <c r="AV74" s="10" t="s">
        <v>460</v>
      </c>
      <c r="AW74" s="11">
        <v>1000</v>
      </c>
      <c r="AZ74" s="11">
        <f ca="1">IFERROR(OFFSET(ITEM_RES!$A$1,MATCH(BA74,ITEM_RES!$J:$J,0)-1,0),0)</f>
        <v>0</v>
      </c>
      <c r="BE74" s="11">
        <f ca="1">IFERROR(OFFSET(ITEM_RES!$A$1,MATCH(BF74,ITEM_RES!$J:$J,0)-1,0),0)</f>
        <v>0</v>
      </c>
      <c r="BJ74" s="11">
        <f ca="1">IFERROR(OFFSET(ITEM_RES!$A$1,MATCH(BK74,ITEM_RES!$J:$J,0)-1,0),0)</f>
        <v>0</v>
      </c>
      <c r="BL74" s="11">
        <f t="shared" si="4"/>
        <v>0</v>
      </c>
    </row>
    <row r="75" spans="1:65" x14ac:dyDescent="0.3">
      <c r="A75" s="14">
        <f t="shared" si="11"/>
        <v>111040011</v>
      </c>
      <c r="B75" s="13">
        <v>11</v>
      </c>
      <c r="C75" s="12">
        <f t="shared" si="12"/>
        <v>1</v>
      </c>
      <c r="D75" s="13">
        <v>4</v>
      </c>
      <c r="E75" s="13">
        <v>0</v>
      </c>
      <c r="F75" s="12">
        <f t="shared" si="13"/>
        <v>11</v>
      </c>
      <c r="H75" s="9">
        <v>1</v>
      </c>
      <c r="I75" s="9">
        <v>11</v>
      </c>
      <c r="K75" s="9" t="s">
        <v>463</v>
      </c>
      <c r="L75" s="9">
        <v>1</v>
      </c>
      <c r="M75" s="9">
        <v>15</v>
      </c>
      <c r="R75" s="9" t="s">
        <v>773</v>
      </c>
      <c r="U75" s="9">
        <f ca="1">IFERROR(OFFSET(ITEM_RES!$A$5,MATCH(BUILDING!T75,ITEM_RES!$J$5:$J$229,0)-1,0),0)</f>
        <v>0</v>
      </c>
      <c r="W75" s="86" t="s">
        <v>575</v>
      </c>
      <c r="X75" s="9">
        <f ca="1">IFERROR(OFFSET(ITEM_RES!$A$5,MATCH(BUILDING!W75,ITEM_RES!$J$5:$J$229,0)-1,0),0)</f>
        <v>211020101</v>
      </c>
      <c r="Z75" s="9" t="s">
        <v>545</v>
      </c>
      <c r="AA75" s="9">
        <v>11</v>
      </c>
      <c r="AC75" s="9">
        <v>20000</v>
      </c>
      <c r="AE75" s="56">
        <f t="shared" si="26"/>
        <v>5750</v>
      </c>
      <c r="AF75" s="10">
        <f t="shared" si="18"/>
        <v>9950</v>
      </c>
      <c r="AH75" s="11">
        <f t="shared" si="23"/>
        <v>55</v>
      </c>
      <c r="AI75" s="10">
        <v>55</v>
      </c>
      <c r="AJ75" s="11">
        <f t="shared" ref="AJ75" si="38">ROUND(AK75,0)</f>
        <v>250</v>
      </c>
      <c r="AK75" s="10">
        <v>250</v>
      </c>
      <c r="AL75" s="11">
        <f t="shared" ref="AL75" si="39">ROUND(AM75,0)</f>
        <v>250</v>
      </c>
      <c r="AM75" s="10">
        <v>250</v>
      </c>
      <c r="AN75" s="56">
        <f t="shared" si="29"/>
        <v>3</v>
      </c>
      <c r="AP75" s="11">
        <f ca="1">IFERROR(OFFSET(ITEM_RES!$A$1,MATCH(AQ75,ITEM_RES!$J:$J,0)-1,0),0)</f>
        <v>211010501</v>
      </c>
      <c r="AQ75" s="10" t="s">
        <v>451</v>
      </c>
      <c r="AR75" s="11">
        <v>1250</v>
      </c>
      <c r="AU75" s="11">
        <f ca="1">IFERROR(OFFSET(ITEM_RES!$A$1,MATCH(AV75,ITEM_RES!$J:$J,0)-1,0),0)</f>
        <v>211020801</v>
      </c>
      <c r="AV75" s="10" t="s">
        <v>460</v>
      </c>
      <c r="AW75" s="11">
        <v>1250</v>
      </c>
      <c r="AZ75" s="11">
        <f ca="1">IFERROR(OFFSET(ITEM_RES!$A$1,MATCH(BA75,ITEM_RES!$J:$J,0)-1,0),0)</f>
        <v>0</v>
      </c>
      <c r="BE75" s="11">
        <f ca="1">IFERROR(OFFSET(ITEM_RES!$A$1,MATCH(BF75,ITEM_RES!$J:$J,0)-1,0),0)</f>
        <v>213010601</v>
      </c>
      <c r="BF75" s="10" t="s">
        <v>489</v>
      </c>
      <c r="BG75" s="11">
        <v>1</v>
      </c>
      <c r="BJ75" s="11">
        <f ca="1">IFERROR(OFFSET(ITEM_RES!$A$1,MATCH(BK75,ITEM_RES!$J:$J,0)-1,0),0)</f>
        <v>0</v>
      </c>
      <c r="BL75" s="11">
        <f t="shared" si="4"/>
        <v>0</v>
      </c>
    </row>
    <row r="76" spans="1:65" x14ac:dyDescent="0.3">
      <c r="A76" s="14">
        <f t="shared" si="11"/>
        <v>111040012</v>
      </c>
      <c r="B76" s="13">
        <v>11</v>
      </c>
      <c r="C76" s="12">
        <f t="shared" si="12"/>
        <v>1</v>
      </c>
      <c r="D76" s="13">
        <v>4</v>
      </c>
      <c r="E76" s="13">
        <v>0</v>
      </c>
      <c r="F76" s="12">
        <f t="shared" si="13"/>
        <v>12</v>
      </c>
      <c r="H76" s="9">
        <v>1</v>
      </c>
      <c r="I76" s="9">
        <v>12</v>
      </c>
      <c r="K76" s="9" t="s">
        <v>463</v>
      </c>
      <c r="L76" s="9">
        <v>1</v>
      </c>
      <c r="M76" s="9">
        <v>15</v>
      </c>
      <c r="R76" s="9" t="s">
        <v>773</v>
      </c>
      <c r="U76" s="9">
        <f ca="1">IFERROR(OFFSET(ITEM_RES!$A$5,MATCH(BUILDING!T76,ITEM_RES!$J$5:$J$229,0)-1,0),0)</f>
        <v>0</v>
      </c>
      <c r="W76" s="86" t="s">
        <v>575</v>
      </c>
      <c r="X76" s="9">
        <f ca="1">IFERROR(OFFSET(ITEM_RES!$A$5,MATCH(BUILDING!W76,ITEM_RES!$J$5:$J$229,0)-1,0),0)</f>
        <v>211020101</v>
      </c>
      <c r="Z76" s="9" t="s">
        <v>545</v>
      </c>
      <c r="AA76" s="9">
        <v>12</v>
      </c>
      <c r="AC76" s="9">
        <v>24000</v>
      </c>
      <c r="AE76" s="56">
        <f t="shared" si="26"/>
        <v>6300</v>
      </c>
      <c r="AF76" s="10">
        <f t="shared" si="18"/>
        <v>12050</v>
      </c>
      <c r="AH76" s="11">
        <f t="shared" si="23"/>
        <v>60</v>
      </c>
      <c r="AI76" s="10">
        <v>60</v>
      </c>
      <c r="AJ76" s="11">
        <f t="shared" ref="AJ76" si="40">ROUND(AK76,0)</f>
        <v>300</v>
      </c>
      <c r="AK76" s="10">
        <v>300</v>
      </c>
      <c r="AL76" s="11">
        <f t="shared" ref="AL76" si="41">ROUND(AM76,0)</f>
        <v>300</v>
      </c>
      <c r="AM76" s="10">
        <v>300</v>
      </c>
      <c r="AN76" s="56">
        <f t="shared" si="29"/>
        <v>2</v>
      </c>
      <c r="AP76" s="11">
        <f ca="1">IFERROR(OFFSET(ITEM_RES!$A$1,MATCH(AQ76,ITEM_RES!$J:$J,0)-1,0),0)</f>
        <v>211010501</v>
      </c>
      <c r="AQ76" s="10" t="s">
        <v>451</v>
      </c>
      <c r="AR76" s="11">
        <v>1500</v>
      </c>
      <c r="AU76" s="11">
        <f ca="1">IFERROR(OFFSET(ITEM_RES!$A$1,MATCH(AV76,ITEM_RES!$J:$J,0)-1,0),0)</f>
        <v>211020801</v>
      </c>
      <c r="AV76" s="10" t="s">
        <v>460</v>
      </c>
      <c r="AW76" s="11">
        <v>1500</v>
      </c>
      <c r="AZ76" s="11">
        <f ca="1">IFERROR(OFFSET(ITEM_RES!$A$1,MATCH(BA76,ITEM_RES!$J:$J,0)-1,0),0)</f>
        <v>0</v>
      </c>
      <c r="BE76" s="11">
        <f ca="1">IFERROR(OFFSET(ITEM_RES!$A$1,MATCH(BF76,ITEM_RES!$J:$J,0)-1,0),0)</f>
        <v>0</v>
      </c>
      <c r="BJ76" s="11">
        <f ca="1">IFERROR(OFFSET(ITEM_RES!$A$1,MATCH(BK76,ITEM_RES!$J:$J,0)-1,0),0)</f>
        <v>0</v>
      </c>
      <c r="BL76" s="11">
        <f t="shared" si="4"/>
        <v>0</v>
      </c>
    </row>
    <row r="77" spans="1:65" x14ac:dyDescent="0.3">
      <c r="A77" s="14">
        <f t="shared" si="11"/>
        <v>111040013</v>
      </c>
      <c r="B77" s="13">
        <v>11</v>
      </c>
      <c r="C77" s="12">
        <f t="shared" si="12"/>
        <v>1</v>
      </c>
      <c r="D77" s="13">
        <v>4</v>
      </c>
      <c r="E77" s="13">
        <v>0</v>
      </c>
      <c r="F77" s="12">
        <f t="shared" si="13"/>
        <v>13</v>
      </c>
      <c r="H77" s="9">
        <v>1</v>
      </c>
      <c r="I77" s="9">
        <v>13</v>
      </c>
      <c r="K77" s="9" t="s">
        <v>463</v>
      </c>
      <c r="L77" s="9">
        <v>1</v>
      </c>
      <c r="M77" s="9">
        <v>15</v>
      </c>
      <c r="R77" s="9" t="s">
        <v>773</v>
      </c>
      <c r="U77" s="9">
        <f ca="1">IFERROR(OFFSET(ITEM_RES!$A$5,MATCH(BUILDING!T77,ITEM_RES!$J$5:$J$229,0)-1,0),0)</f>
        <v>0</v>
      </c>
      <c r="W77" s="86" t="s">
        <v>575</v>
      </c>
      <c r="X77" s="9">
        <f ca="1">IFERROR(OFFSET(ITEM_RES!$A$5,MATCH(BUILDING!W77,ITEM_RES!$J$5:$J$229,0)-1,0),0)</f>
        <v>211020101</v>
      </c>
      <c r="Z77" s="9" t="s">
        <v>545</v>
      </c>
      <c r="AA77" s="9">
        <v>13</v>
      </c>
      <c r="AC77" s="9">
        <v>28000</v>
      </c>
      <c r="AE77" s="56">
        <f t="shared" si="26"/>
        <v>7350</v>
      </c>
      <c r="AF77" s="10">
        <f t="shared" si="18"/>
        <v>13650</v>
      </c>
      <c r="AH77" s="11">
        <f t="shared" si="23"/>
        <v>65</v>
      </c>
      <c r="AI77" s="10">
        <v>65</v>
      </c>
      <c r="AJ77" s="11">
        <f t="shared" ref="AJ77" si="42">ROUND(AK77,0)</f>
        <v>350</v>
      </c>
      <c r="AK77" s="10">
        <v>350</v>
      </c>
      <c r="AL77" s="11">
        <f t="shared" ref="AL77" si="43">ROUND(AM77,0)</f>
        <v>350</v>
      </c>
      <c r="AM77" s="10">
        <v>350</v>
      </c>
      <c r="AN77" s="56">
        <f t="shared" si="29"/>
        <v>2</v>
      </c>
      <c r="AP77" s="11">
        <f ca="1">IFERROR(OFFSET(ITEM_RES!$A$1,MATCH(AQ77,ITEM_RES!$J:$J,0)-1,0),0)</f>
        <v>211010501</v>
      </c>
      <c r="AQ77" s="10" t="s">
        <v>451</v>
      </c>
      <c r="AR77" s="11">
        <v>1750</v>
      </c>
      <c r="AU77" s="11">
        <f ca="1">IFERROR(OFFSET(ITEM_RES!$A$1,MATCH(AV77,ITEM_RES!$J:$J,0)-1,0),0)</f>
        <v>211020801</v>
      </c>
      <c r="AV77" s="10" t="s">
        <v>460</v>
      </c>
      <c r="AW77" s="11">
        <v>1750</v>
      </c>
      <c r="AZ77" s="11">
        <f ca="1">IFERROR(OFFSET(ITEM_RES!$A$1,MATCH(BA77,ITEM_RES!$J:$J,0)-1,0),0)</f>
        <v>0</v>
      </c>
      <c r="BE77" s="11">
        <f ca="1">IFERROR(OFFSET(ITEM_RES!$A$1,MATCH(BF77,ITEM_RES!$J:$J,0)-1,0),0)</f>
        <v>0</v>
      </c>
      <c r="BJ77" s="11">
        <f ca="1">IFERROR(OFFSET(ITEM_RES!$A$1,MATCH(BK77,ITEM_RES!$J:$J,0)-1,0),0)</f>
        <v>0</v>
      </c>
      <c r="BL77" s="11">
        <f t="shared" si="4"/>
        <v>0</v>
      </c>
    </row>
    <row r="78" spans="1:65" x14ac:dyDescent="0.3">
      <c r="A78" s="14">
        <f t="shared" si="11"/>
        <v>111040014</v>
      </c>
      <c r="B78" s="13">
        <v>11</v>
      </c>
      <c r="C78" s="12">
        <f t="shared" si="12"/>
        <v>1</v>
      </c>
      <c r="D78" s="13">
        <v>4</v>
      </c>
      <c r="E78" s="13">
        <v>0</v>
      </c>
      <c r="F78" s="12">
        <f t="shared" si="13"/>
        <v>14</v>
      </c>
      <c r="H78" s="9">
        <v>1</v>
      </c>
      <c r="I78" s="9">
        <v>14</v>
      </c>
      <c r="K78" s="9" t="s">
        <v>463</v>
      </c>
      <c r="L78" s="9">
        <v>1</v>
      </c>
      <c r="M78" s="9">
        <v>15</v>
      </c>
      <c r="R78" s="9" t="s">
        <v>773</v>
      </c>
      <c r="U78" s="9">
        <f ca="1">IFERROR(OFFSET(ITEM_RES!$A$5,MATCH(BUILDING!T78,ITEM_RES!$J$5:$J$229,0)-1,0),0)</f>
        <v>0</v>
      </c>
      <c r="W78" s="86" t="s">
        <v>575</v>
      </c>
      <c r="X78" s="9">
        <f ca="1">IFERROR(OFFSET(ITEM_RES!$A$5,MATCH(BUILDING!W78,ITEM_RES!$J$5:$J$229,0)-1,0),0)</f>
        <v>211020101</v>
      </c>
      <c r="Z78" s="9" t="s">
        <v>545</v>
      </c>
      <c r="AA78" s="9">
        <v>14</v>
      </c>
      <c r="AC78" s="9">
        <v>36000</v>
      </c>
      <c r="AE78" s="56">
        <f t="shared" si="26"/>
        <v>9450</v>
      </c>
      <c r="AF78" s="10">
        <f t="shared" si="18"/>
        <v>16800</v>
      </c>
      <c r="AH78" s="11">
        <f t="shared" si="23"/>
        <v>70</v>
      </c>
      <c r="AI78" s="10">
        <v>70</v>
      </c>
      <c r="AJ78" s="11">
        <f t="shared" ref="AJ78" si="44">ROUND(AK78,0)</f>
        <v>450</v>
      </c>
      <c r="AK78" s="10">
        <v>450</v>
      </c>
      <c r="AL78" s="11">
        <f t="shared" ref="AL78" si="45">ROUND(AM78,0)</f>
        <v>450</v>
      </c>
      <c r="AM78" s="10">
        <v>450</v>
      </c>
      <c r="AN78" s="56">
        <f t="shared" si="29"/>
        <v>2</v>
      </c>
      <c r="AP78" s="11">
        <f ca="1">IFERROR(OFFSET(ITEM_RES!$A$1,MATCH(AQ78,ITEM_RES!$J:$J,0)-1,0),0)</f>
        <v>211010501</v>
      </c>
      <c r="AQ78" s="10" t="s">
        <v>451</v>
      </c>
      <c r="AR78" s="11">
        <v>2250</v>
      </c>
      <c r="AU78" s="11">
        <f ca="1">IFERROR(OFFSET(ITEM_RES!$A$1,MATCH(AV78,ITEM_RES!$J:$J,0)-1,0),0)</f>
        <v>211020901</v>
      </c>
      <c r="AV78" s="10" t="s">
        <v>471</v>
      </c>
      <c r="AW78" s="11">
        <v>2250</v>
      </c>
      <c r="AZ78" s="11">
        <f ca="1">IFERROR(OFFSET(ITEM_RES!$A$1,MATCH(BA78,ITEM_RES!$J:$J,0)-1,0),0)</f>
        <v>0</v>
      </c>
      <c r="BE78" s="11">
        <f ca="1">IFERROR(OFFSET(ITEM_RES!$A$1,MATCH(BF78,ITEM_RES!$J:$J,0)-1,0),0)</f>
        <v>0</v>
      </c>
      <c r="BJ78" s="11">
        <f ca="1">IFERROR(OFFSET(ITEM_RES!$A$1,MATCH(BK78,ITEM_RES!$J:$J,0)-1,0),0)</f>
        <v>0</v>
      </c>
      <c r="BL78" s="11">
        <f t="shared" si="4"/>
        <v>0</v>
      </c>
    </row>
    <row r="79" spans="1:65" x14ac:dyDescent="0.3">
      <c r="A79" s="14">
        <f t="shared" si="11"/>
        <v>111040015</v>
      </c>
      <c r="B79" s="13">
        <v>11</v>
      </c>
      <c r="C79" s="12">
        <f t="shared" si="12"/>
        <v>1</v>
      </c>
      <c r="D79" s="13">
        <v>4</v>
      </c>
      <c r="E79" s="13">
        <v>0</v>
      </c>
      <c r="F79" s="12">
        <f t="shared" si="13"/>
        <v>15</v>
      </c>
      <c r="H79" s="9">
        <v>1</v>
      </c>
      <c r="I79" s="9">
        <v>15</v>
      </c>
      <c r="K79" s="9" t="s">
        <v>463</v>
      </c>
      <c r="L79" s="9">
        <v>1</v>
      </c>
      <c r="M79" s="9">
        <v>15</v>
      </c>
      <c r="R79" s="9" t="s">
        <v>773</v>
      </c>
      <c r="U79" s="9">
        <f ca="1">IFERROR(OFFSET(ITEM_RES!$A$5,MATCH(BUILDING!T79,ITEM_RES!$J$5:$J$229,0)-1,0),0)</f>
        <v>0</v>
      </c>
      <c r="W79" s="86" t="s">
        <v>575</v>
      </c>
      <c r="X79" s="9">
        <f ca="1">IFERROR(OFFSET(ITEM_RES!$A$5,MATCH(BUILDING!W79,ITEM_RES!$J$5:$J$229,0)-1,0),0)</f>
        <v>211020101</v>
      </c>
      <c r="Z79" s="9" t="s">
        <v>545</v>
      </c>
      <c r="AA79" s="9">
        <v>15</v>
      </c>
      <c r="AC79" s="9">
        <v>44000</v>
      </c>
      <c r="AE79" s="56">
        <f t="shared" si="26"/>
        <v>11550</v>
      </c>
      <c r="AF79" s="10">
        <f t="shared" si="18"/>
        <v>21000</v>
      </c>
      <c r="AH79" s="11">
        <f t="shared" si="23"/>
        <v>75</v>
      </c>
      <c r="AI79" s="10">
        <v>75</v>
      </c>
      <c r="AJ79" s="11">
        <f t="shared" ref="AJ79" si="46">ROUND(AK79,0)</f>
        <v>550</v>
      </c>
      <c r="AK79" s="10">
        <v>550</v>
      </c>
      <c r="AL79" s="11">
        <f t="shared" ref="AL79" si="47">ROUND(AM79,0)</f>
        <v>550</v>
      </c>
      <c r="AM79" s="10">
        <v>550</v>
      </c>
      <c r="AN79" s="56">
        <f t="shared" si="29"/>
        <v>2</v>
      </c>
      <c r="AP79" s="11">
        <f ca="1">IFERROR(OFFSET(ITEM_RES!$A$1,MATCH(AQ79,ITEM_RES!$J:$J,0)-1,0),0)</f>
        <v>211010501</v>
      </c>
      <c r="AQ79" s="10" t="s">
        <v>451</v>
      </c>
      <c r="AR79" s="11">
        <v>2750</v>
      </c>
      <c r="AU79" s="11">
        <f ca="1">IFERROR(OFFSET(ITEM_RES!$A$1,MATCH(AV79,ITEM_RES!$J:$J,0)-1,0),0)</f>
        <v>211020901</v>
      </c>
      <c r="AV79" s="10" t="s">
        <v>471</v>
      </c>
      <c r="AW79" s="11">
        <v>2750</v>
      </c>
      <c r="AZ79" s="11">
        <f ca="1">IFERROR(OFFSET(ITEM_RES!$A$1,MATCH(BA79,ITEM_RES!$J:$J,0)-1,0),0)</f>
        <v>0</v>
      </c>
      <c r="BE79" s="11">
        <f ca="1">IFERROR(OFFSET(ITEM_RES!$A$1,MATCH(BF79,ITEM_RES!$J:$J,0)-1,0),0)</f>
        <v>0</v>
      </c>
      <c r="BJ79" s="11">
        <f ca="1">IFERROR(OFFSET(ITEM_RES!$A$1,MATCH(BK79,ITEM_RES!$J:$J,0)-1,0),0)</f>
        <v>0</v>
      </c>
      <c r="BL79" s="11">
        <f t="shared" si="4"/>
        <v>0</v>
      </c>
    </row>
    <row r="80" spans="1:65" x14ac:dyDescent="0.3">
      <c r="A80" s="14">
        <f t="shared" si="11"/>
        <v>111040016</v>
      </c>
      <c r="B80" s="13">
        <v>11</v>
      </c>
      <c r="C80" s="12">
        <f t="shared" si="12"/>
        <v>1</v>
      </c>
      <c r="D80" s="13">
        <v>4</v>
      </c>
      <c r="E80" s="13">
        <v>0</v>
      </c>
      <c r="F80" s="12">
        <f t="shared" si="13"/>
        <v>16</v>
      </c>
      <c r="H80" s="9">
        <v>1</v>
      </c>
      <c r="I80" s="9">
        <v>16</v>
      </c>
      <c r="K80" s="9" t="s">
        <v>463</v>
      </c>
      <c r="L80" s="9">
        <v>0</v>
      </c>
      <c r="M80" s="9">
        <v>15</v>
      </c>
      <c r="R80" s="9" t="s">
        <v>773</v>
      </c>
      <c r="U80" s="9">
        <f ca="1">IFERROR(OFFSET(ITEM_RES!$A$5,MATCH(BUILDING!T80,ITEM_RES!$J$5:$J$229,0)-1,0),0)</f>
        <v>0</v>
      </c>
      <c r="W80" s="86" t="s">
        <v>575</v>
      </c>
      <c r="X80" s="9">
        <f ca="1">IFERROR(OFFSET(ITEM_RES!$A$5,MATCH(BUILDING!W80,ITEM_RES!$J$5:$J$229,0)-1,0),0)</f>
        <v>211020101</v>
      </c>
      <c r="Z80" s="9" t="s">
        <v>545</v>
      </c>
      <c r="AA80" s="9">
        <v>16</v>
      </c>
      <c r="AC80" s="9">
        <v>56000</v>
      </c>
      <c r="AE80" s="56">
        <f t="shared" si="26"/>
        <v>14700</v>
      </c>
      <c r="AF80" s="10">
        <f t="shared" si="18"/>
        <v>26250</v>
      </c>
      <c r="AH80" s="11">
        <f t="shared" si="23"/>
        <v>80</v>
      </c>
      <c r="AI80" s="10">
        <v>80</v>
      </c>
      <c r="AJ80" s="11">
        <f t="shared" ref="AJ80" si="48">ROUND(AK80,0)</f>
        <v>700</v>
      </c>
      <c r="AK80" s="10">
        <v>700</v>
      </c>
      <c r="AL80" s="11">
        <f t="shared" ref="AL80" si="49">ROUND(AM80,0)</f>
        <v>700</v>
      </c>
      <c r="AM80" s="10">
        <v>700</v>
      </c>
      <c r="AN80" s="56">
        <f t="shared" si="29"/>
        <v>2</v>
      </c>
      <c r="AP80" s="11">
        <f ca="1">IFERROR(OFFSET(ITEM_RES!$A$1,MATCH(AQ80,ITEM_RES!$J:$J,0)-1,0),0)</f>
        <v>211010501</v>
      </c>
      <c r="AQ80" s="10" t="s">
        <v>451</v>
      </c>
      <c r="AR80" s="11">
        <v>3500</v>
      </c>
      <c r="AU80" s="11">
        <f ca="1">IFERROR(OFFSET(ITEM_RES!$A$1,MATCH(AV80,ITEM_RES!$J:$J,0)-1,0),0)</f>
        <v>211020901</v>
      </c>
      <c r="AV80" s="10" t="s">
        <v>471</v>
      </c>
      <c r="AW80" s="11">
        <v>3500</v>
      </c>
      <c r="AZ80" s="11">
        <f ca="1">IFERROR(OFFSET(ITEM_RES!$A$1,MATCH(BA80,ITEM_RES!$J:$J,0)-1,0),0)</f>
        <v>0</v>
      </c>
      <c r="BE80" s="11">
        <f ca="1">IFERROR(OFFSET(ITEM_RES!$A$1,MATCH(BF80,ITEM_RES!$J:$J,0)-1,0),0)</f>
        <v>0</v>
      </c>
      <c r="BJ80" s="11">
        <f ca="1">IFERROR(OFFSET(ITEM_RES!$A$1,MATCH(BK80,ITEM_RES!$J:$J,0)-1,0),0)</f>
        <v>0</v>
      </c>
      <c r="BL80" s="11">
        <f t="shared" si="4"/>
        <v>0</v>
      </c>
    </row>
    <row r="81" spans="1:65" x14ac:dyDescent="0.3">
      <c r="A81" s="14">
        <f t="shared" si="11"/>
        <v>111040017</v>
      </c>
      <c r="B81" s="13">
        <v>11</v>
      </c>
      <c r="C81" s="12">
        <f t="shared" si="12"/>
        <v>1</v>
      </c>
      <c r="D81" s="13">
        <v>4</v>
      </c>
      <c r="E81" s="13">
        <v>0</v>
      </c>
      <c r="F81" s="12">
        <f t="shared" si="13"/>
        <v>17</v>
      </c>
      <c r="H81" s="9">
        <v>1</v>
      </c>
      <c r="I81" s="9">
        <v>17</v>
      </c>
      <c r="K81" s="9" t="s">
        <v>463</v>
      </c>
      <c r="L81" s="9">
        <v>0</v>
      </c>
      <c r="M81" s="9">
        <v>15</v>
      </c>
      <c r="R81" s="9" t="s">
        <v>773</v>
      </c>
      <c r="U81" s="9">
        <f ca="1">IFERROR(OFFSET(ITEM_RES!$A$5,MATCH(BUILDING!T81,ITEM_RES!$J$5:$J$229,0)-1,0),0)</f>
        <v>0</v>
      </c>
      <c r="W81" s="86" t="s">
        <v>575</v>
      </c>
      <c r="X81" s="9">
        <f ca="1">IFERROR(OFFSET(ITEM_RES!$A$5,MATCH(BUILDING!W81,ITEM_RES!$J$5:$J$229,0)-1,0),0)</f>
        <v>211020101</v>
      </c>
      <c r="Z81" s="9" t="s">
        <v>545</v>
      </c>
      <c r="AA81" s="9">
        <v>17</v>
      </c>
      <c r="AC81" s="9">
        <v>68000</v>
      </c>
      <c r="AE81" s="56">
        <f t="shared" si="26"/>
        <v>17850</v>
      </c>
      <c r="AF81" s="10">
        <f t="shared" si="18"/>
        <v>32550</v>
      </c>
      <c r="AH81" s="11">
        <f t="shared" si="23"/>
        <v>85</v>
      </c>
      <c r="AI81" s="10">
        <v>85</v>
      </c>
      <c r="AJ81" s="11">
        <f t="shared" ref="AJ81" si="50">ROUND(AK81,0)</f>
        <v>850</v>
      </c>
      <c r="AK81" s="10">
        <v>850</v>
      </c>
      <c r="AL81" s="11">
        <f t="shared" ref="AL81" si="51">ROUND(AM81,0)</f>
        <v>850</v>
      </c>
      <c r="AM81" s="10">
        <v>850</v>
      </c>
      <c r="AN81" s="56">
        <f t="shared" si="29"/>
        <v>2</v>
      </c>
      <c r="AP81" s="11">
        <f ca="1">IFERROR(OFFSET(ITEM_RES!$A$1,MATCH(AQ81,ITEM_RES!$J:$J,0)-1,0),0)</f>
        <v>211010501</v>
      </c>
      <c r="AQ81" s="10" t="s">
        <v>451</v>
      </c>
      <c r="AR81" s="11">
        <v>4250</v>
      </c>
      <c r="AU81" s="11">
        <f ca="1">IFERROR(OFFSET(ITEM_RES!$A$1,MATCH(AV81,ITEM_RES!$J:$J,0)-1,0),0)</f>
        <v>211020901</v>
      </c>
      <c r="AV81" s="10" t="s">
        <v>471</v>
      </c>
      <c r="AW81" s="11">
        <v>4250</v>
      </c>
      <c r="AZ81" s="11">
        <f ca="1">IFERROR(OFFSET(ITEM_RES!$A$1,MATCH(BA81,ITEM_RES!$J:$J,0)-1,0),0)</f>
        <v>0</v>
      </c>
      <c r="BE81" s="11">
        <f ca="1">IFERROR(OFFSET(ITEM_RES!$A$1,MATCH(BF81,ITEM_RES!$J:$J,0)-1,0),0)</f>
        <v>0</v>
      </c>
      <c r="BJ81" s="11">
        <f ca="1">IFERROR(OFFSET(ITEM_RES!$A$1,MATCH(BK81,ITEM_RES!$J:$J,0)-1,0),0)</f>
        <v>0</v>
      </c>
      <c r="BL81" s="11">
        <f t="shared" si="4"/>
        <v>0</v>
      </c>
    </row>
    <row r="82" spans="1:65" x14ac:dyDescent="0.3">
      <c r="A82" s="14">
        <f t="shared" si="11"/>
        <v>111040018</v>
      </c>
      <c r="B82" s="13">
        <v>11</v>
      </c>
      <c r="C82" s="12">
        <f t="shared" si="12"/>
        <v>1</v>
      </c>
      <c r="D82" s="13">
        <v>4</v>
      </c>
      <c r="E82" s="13">
        <v>0</v>
      </c>
      <c r="F82" s="12">
        <f t="shared" si="13"/>
        <v>18</v>
      </c>
      <c r="H82" s="9">
        <v>1</v>
      </c>
      <c r="I82" s="9">
        <v>18</v>
      </c>
      <c r="K82" s="9" t="s">
        <v>463</v>
      </c>
      <c r="L82" s="9">
        <v>0</v>
      </c>
      <c r="M82" s="9">
        <v>15</v>
      </c>
      <c r="R82" s="9" t="s">
        <v>773</v>
      </c>
      <c r="U82" s="9">
        <f ca="1">IFERROR(OFFSET(ITEM_RES!$A$5,MATCH(BUILDING!T82,ITEM_RES!$J$5:$J$229,0)-1,0),0)</f>
        <v>0</v>
      </c>
      <c r="W82" s="86" t="s">
        <v>575</v>
      </c>
      <c r="X82" s="9">
        <f ca="1">IFERROR(OFFSET(ITEM_RES!$A$5,MATCH(BUILDING!W82,ITEM_RES!$J$5:$J$229,0)-1,0),0)</f>
        <v>211020101</v>
      </c>
      <c r="Z82" s="9" t="s">
        <v>545</v>
      </c>
      <c r="AA82" s="9">
        <v>18</v>
      </c>
      <c r="AC82" s="9">
        <v>84000</v>
      </c>
      <c r="AE82" s="56">
        <f t="shared" si="26"/>
        <v>22050</v>
      </c>
      <c r="AF82" s="10">
        <f t="shared" si="18"/>
        <v>39900</v>
      </c>
      <c r="AH82" s="11">
        <f t="shared" si="23"/>
        <v>90</v>
      </c>
      <c r="AI82" s="10">
        <v>90</v>
      </c>
      <c r="AJ82" s="11">
        <f t="shared" ref="AJ82" si="52">ROUND(AK82,0)</f>
        <v>1050</v>
      </c>
      <c r="AK82" s="10">
        <v>1050</v>
      </c>
      <c r="AL82" s="11">
        <f t="shared" ref="AL82" si="53">ROUND(AM82,0)</f>
        <v>1050</v>
      </c>
      <c r="AM82" s="10">
        <v>1050</v>
      </c>
      <c r="AN82" s="56">
        <f t="shared" si="29"/>
        <v>2</v>
      </c>
      <c r="AP82" s="11">
        <f ca="1">IFERROR(OFFSET(ITEM_RES!$A$1,MATCH(AQ82,ITEM_RES!$J:$J,0)-1,0),0)</f>
        <v>211010501</v>
      </c>
      <c r="AQ82" s="10" t="s">
        <v>451</v>
      </c>
      <c r="AR82" s="11">
        <v>5250</v>
      </c>
      <c r="AU82" s="11">
        <f ca="1">IFERROR(OFFSET(ITEM_RES!$A$1,MATCH(AV82,ITEM_RES!$J:$J,0)-1,0),0)</f>
        <v>211020901</v>
      </c>
      <c r="AV82" s="10" t="s">
        <v>471</v>
      </c>
      <c r="AW82" s="11">
        <v>5250</v>
      </c>
      <c r="AZ82" s="11">
        <f ca="1">IFERROR(OFFSET(ITEM_RES!$A$1,MATCH(BA82,ITEM_RES!$J:$J,0)-1,0),0)</f>
        <v>0</v>
      </c>
      <c r="BE82" s="11">
        <f ca="1">IFERROR(OFFSET(ITEM_RES!$A$1,MATCH(BF82,ITEM_RES!$J:$J,0)-1,0),0)</f>
        <v>0</v>
      </c>
      <c r="BJ82" s="11">
        <f ca="1">IFERROR(OFFSET(ITEM_RES!$A$1,MATCH(BK82,ITEM_RES!$J:$J,0)-1,0),0)</f>
        <v>0</v>
      </c>
      <c r="BL82" s="11">
        <f t="shared" si="4"/>
        <v>0</v>
      </c>
    </row>
    <row r="83" spans="1:65" x14ac:dyDescent="0.3">
      <c r="A83" s="14">
        <f t="shared" si="11"/>
        <v>111040019</v>
      </c>
      <c r="B83" s="13">
        <v>11</v>
      </c>
      <c r="C83" s="12">
        <f t="shared" si="12"/>
        <v>1</v>
      </c>
      <c r="D83" s="13">
        <v>4</v>
      </c>
      <c r="E83" s="13">
        <v>0</v>
      </c>
      <c r="F83" s="12">
        <f t="shared" si="13"/>
        <v>19</v>
      </c>
      <c r="H83" s="9">
        <v>1</v>
      </c>
      <c r="I83" s="9">
        <v>19</v>
      </c>
      <c r="K83" s="9" t="s">
        <v>463</v>
      </c>
      <c r="L83" s="9">
        <v>0</v>
      </c>
      <c r="M83" s="9">
        <v>15</v>
      </c>
      <c r="R83" s="9" t="s">
        <v>773</v>
      </c>
      <c r="U83" s="9">
        <f ca="1">IFERROR(OFFSET(ITEM_RES!$A$5,MATCH(BUILDING!T83,ITEM_RES!$J$5:$J$229,0)-1,0),0)</f>
        <v>0</v>
      </c>
      <c r="W83" s="86" t="s">
        <v>575</v>
      </c>
      <c r="X83" s="9">
        <f ca="1">IFERROR(OFFSET(ITEM_RES!$A$5,MATCH(BUILDING!W83,ITEM_RES!$J$5:$J$229,0)-1,0),0)</f>
        <v>211020101</v>
      </c>
      <c r="Z83" s="9" t="s">
        <v>545</v>
      </c>
      <c r="AA83" s="9">
        <v>19</v>
      </c>
      <c r="AC83" s="9">
        <v>100000</v>
      </c>
      <c r="AE83" s="56">
        <f t="shared" si="26"/>
        <v>26250</v>
      </c>
      <c r="AF83" s="10">
        <f t="shared" si="18"/>
        <v>48300</v>
      </c>
      <c r="AH83" s="11">
        <f t="shared" si="23"/>
        <v>95</v>
      </c>
      <c r="AI83" s="10">
        <v>95</v>
      </c>
      <c r="AJ83" s="11">
        <f t="shared" ref="AJ83" si="54">ROUND(AK83,0)</f>
        <v>1250</v>
      </c>
      <c r="AK83" s="10">
        <v>1250</v>
      </c>
      <c r="AL83" s="11">
        <f t="shared" ref="AL83" si="55">ROUND(AM83,0)</f>
        <v>1250</v>
      </c>
      <c r="AM83" s="10">
        <v>1250</v>
      </c>
      <c r="AN83" s="56">
        <f t="shared" si="29"/>
        <v>2</v>
      </c>
      <c r="AP83" s="11">
        <f ca="1">IFERROR(OFFSET(ITEM_RES!$A$1,MATCH(AQ83,ITEM_RES!$J:$J,0)-1,0),0)</f>
        <v>211010501</v>
      </c>
      <c r="AQ83" s="10" t="s">
        <v>451</v>
      </c>
      <c r="AR83" s="11">
        <v>6250</v>
      </c>
      <c r="AU83" s="11">
        <f ca="1">IFERROR(OFFSET(ITEM_RES!$A$1,MATCH(AV83,ITEM_RES!$J:$J,0)-1,0),0)</f>
        <v>211020901</v>
      </c>
      <c r="AV83" s="10" t="s">
        <v>471</v>
      </c>
      <c r="AW83" s="11">
        <v>6250</v>
      </c>
      <c r="AZ83" s="11">
        <f ca="1">IFERROR(OFFSET(ITEM_RES!$A$1,MATCH(BA83,ITEM_RES!$J:$J,0)-1,0),0)</f>
        <v>0</v>
      </c>
      <c r="BE83" s="11">
        <f ca="1">IFERROR(OFFSET(ITEM_RES!$A$1,MATCH(BF83,ITEM_RES!$J:$J,0)-1,0),0)</f>
        <v>0</v>
      </c>
      <c r="BJ83" s="11">
        <f ca="1">IFERROR(OFFSET(ITEM_RES!$A$1,MATCH(BK83,ITEM_RES!$J:$J,0)-1,0),0)</f>
        <v>0</v>
      </c>
      <c r="BL83" s="11">
        <f t="shared" si="4"/>
        <v>0</v>
      </c>
    </row>
    <row r="84" spans="1:65" ht="17.25" thickBot="1" x14ac:dyDescent="0.35">
      <c r="A84" s="14">
        <f t="shared" si="11"/>
        <v>111040020</v>
      </c>
      <c r="B84" s="13">
        <v>11</v>
      </c>
      <c r="C84" s="12">
        <f t="shared" si="12"/>
        <v>1</v>
      </c>
      <c r="D84" s="13">
        <v>4</v>
      </c>
      <c r="E84" s="13">
        <v>0</v>
      </c>
      <c r="F84" s="12">
        <f t="shared" si="13"/>
        <v>20</v>
      </c>
      <c r="H84" s="9">
        <v>1</v>
      </c>
      <c r="I84" s="9">
        <v>20</v>
      </c>
      <c r="K84" s="9" t="s">
        <v>463</v>
      </c>
      <c r="L84" s="9">
        <v>0</v>
      </c>
      <c r="M84" s="9">
        <v>15</v>
      </c>
      <c r="R84" s="9" t="s">
        <v>773</v>
      </c>
      <c r="U84" s="9">
        <f ca="1">IFERROR(OFFSET(ITEM_RES!$A$5,MATCH(BUILDING!T84,ITEM_RES!$J$5:$J$229,0)-1,0),0)</f>
        <v>0</v>
      </c>
      <c r="W84" s="86" t="s">
        <v>575</v>
      </c>
      <c r="X84" s="9">
        <f ca="1">IFERROR(OFFSET(ITEM_RES!$A$5,MATCH(BUILDING!W84,ITEM_RES!$J$5:$J$229,0)-1,0),0)</f>
        <v>211020101</v>
      </c>
      <c r="Z84" s="9" t="s">
        <v>545</v>
      </c>
      <c r="AA84" s="9">
        <v>20</v>
      </c>
      <c r="AC84" s="9">
        <v>120000</v>
      </c>
      <c r="AE84" s="56">
        <f t="shared" si="26"/>
        <v>31500</v>
      </c>
      <c r="AF84" s="10">
        <f t="shared" si="18"/>
        <v>57750</v>
      </c>
      <c r="AH84" s="11">
        <f t="shared" si="23"/>
        <v>100</v>
      </c>
      <c r="AI84" s="10">
        <v>100</v>
      </c>
      <c r="AJ84" s="11">
        <f t="shared" ref="AJ84" si="56">ROUND(AK84,0)</f>
        <v>1500</v>
      </c>
      <c r="AK84" s="10">
        <v>1500</v>
      </c>
      <c r="AL84" s="11">
        <f t="shared" ref="AL84" si="57">ROUND(AM84,0)</f>
        <v>1500</v>
      </c>
      <c r="AM84" s="10">
        <v>1500</v>
      </c>
      <c r="AN84" s="56">
        <f t="shared" si="29"/>
        <v>2</v>
      </c>
      <c r="AP84" s="11">
        <f ca="1">IFERROR(OFFSET(ITEM_RES!$A$1,MATCH(AQ84,ITEM_RES!$J:$J,0)-1,0),0)</f>
        <v>211010501</v>
      </c>
      <c r="AQ84" s="10" t="s">
        <v>449</v>
      </c>
      <c r="AR84" s="11">
        <v>7500</v>
      </c>
      <c r="AU84" s="11">
        <f ca="1">IFERROR(OFFSET(ITEM_RES!$A$1,MATCH(AV84,ITEM_RES!$J:$J,0)-1,0),0)</f>
        <v>211020901</v>
      </c>
      <c r="AV84" s="10" t="s">
        <v>471</v>
      </c>
      <c r="AW84" s="11">
        <v>7500</v>
      </c>
      <c r="AZ84" s="11">
        <f ca="1">IFERROR(OFFSET(ITEM_RES!$A$1,MATCH(BA84,ITEM_RES!$J:$J,0)-1,0),0)</f>
        <v>0</v>
      </c>
      <c r="BE84" s="11">
        <f ca="1">IFERROR(OFFSET(ITEM_RES!$A$1,MATCH(BF84,ITEM_RES!$J:$J,0)-1,0),0)</f>
        <v>0</v>
      </c>
      <c r="BJ84" s="11">
        <f ca="1">IFERROR(OFFSET(ITEM_RES!$A$1,MATCH(BK84,ITEM_RES!$J:$J,0)-1,0),0)</f>
        <v>0</v>
      </c>
      <c r="BL84" s="11">
        <f t="shared" si="4"/>
        <v>0</v>
      </c>
    </row>
    <row r="85" spans="1:65" s="15" customFormat="1" x14ac:dyDescent="0.3">
      <c r="A85" s="21">
        <f t="shared" si="0"/>
        <v>112010001</v>
      </c>
      <c r="B85" s="20">
        <v>11</v>
      </c>
      <c r="C85" s="19">
        <f t="shared" si="1"/>
        <v>2</v>
      </c>
      <c r="D85" s="20">
        <v>1</v>
      </c>
      <c r="E85" s="20">
        <v>0</v>
      </c>
      <c r="F85" s="19">
        <f t="shared" si="2"/>
        <v>1</v>
      </c>
      <c r="G85" s="80"/>
      <c r="H85" s="16">
        <v>2</v>
      </c>
      <c r="I85" s="16">
        <v>1</v>
      </c>
      <c r="J85" s="80"/>
      <c r="K85" s="67" t="s">
        <v>378</v>
      </c>
      <c r="L85" s="16">
        <v>1</v>
      </c>
      <c r="M85" s="16">
        <v>15</v>
      </c>
      <c r="N85" s="16"/>
      <c r="O85" s="17"/>
      <c r="P85" s="17"/>
      <c r="Q85" s="18"/>
      <c r="R85" s="16" t="s">
        <v>795</v>
      </c>
      <c r="S85" s="80"/>
      <c r="T85" s="88" t="s">
        <v>577</v>
      </c>
      <c r="U85" s="16">
        <f ca="1">IFERROR(OFFSET(ITEM_RES!$A$5,MATCH(BUILDING!T85,ITEM_RES!$J$5:$J$229,0)-1,0),0)</f>
        <v>211021101</v>
      </c>
      <c r="V85" s="18">
        <v>100</v>
      </c>
      <c r="W85" s="88" t="s">
        <v>576</v>
      </c>
      <c r="X85" s="16">
        <f ca="1">IFERROR(OFFSET(ITEM_RES!$A$5,MATCH(BUILDING!W85,ITEM_RES!$J$5:$J$229,0)-1,0),0)</f>
        <v>211010401</v>
      </c>
      <c r="Y85" s="80"/>
      <c r="Z85" s="16" t="s">
        <v>546</v>
      </c>
      <c r="AA85" s="16">
        <v>1</v>
      </c>
      <c r="AB85" s="80"/>
      <c r="AC85" s="16">
        <v>0</v>
      </c>
      <c r="AD85" s="80"/>
      <c r="AE85" s="57">
        <f t="shared" si="26"/>
        <v>605</v>
      </c>
      <c r="AF85" s="17">
        <f>AE85</f>
        <v>605</v>
      </c>
      <c r="AG85" s="80"/>
      <c r="AH85" s="18">
        <f t="shared" si="23"/>
        <v>5</v>
      </c>
      <c r="AI85" s="17">
        <v>5</v>
      </c>
      <c r="AJ85" s="18">
        <f t="shared" si="6"/>
        <v>5</v>
      </c>
      <c r="AK85" s="17">
        <v>5</v>
      </c>
      <c r="AL85" s="18">
        <f t="shared" si="6"/>
        <v>5</v>
      </c>
      <c r="AM85" s="17">
        <v>5</v>
      </c>
      <c r="AN85" s="57">
        <f t="shared" si="29"/>
        <v>3</v>
      </c>
      <c r="AO85" s="18"/>
      <c r="AP85" s="18">
        <f ca="1">IFERROR(OFFSET(ITEM_RES!$A$1,MATCH(AQ85,ITEM_RES!$J:$J,0)-1,0),0)</f>
        <v>211020201</v>
      </c>
      <c r="AQ85" s="17" t="s">
        <v>453</v>
      </c>
      <c r="AR85" s="18">
        <v>25</v>
      </c>
      <c r="AS85" s="17"/>
      <c r="AT85" s="18"/>
      <c r="AU85" s="18">
        <f ca="1">IFERROR(OFFSET(ITEM_RES!$A$1,MATCH(AV85,ITEM_RES!$J:$J,0)-1,0),0)</f>
        <v>211020401</v>
      </c>
      <c r="AV85" s="17" t="s">
        <v>459</v>
      </c>
      <c r="AW85" s="18">
        <v>25</v>
      </c>
      <c r="AX85" s="17"/>
      <c r="AY85" s="18"/>
      <c r="AZ85" s="18">
        <f ca="1">IFERROR(OFFSET(ITEM_RES!$A$1,MATCH(BA85,ITEM_RES!$J:$J,0)-1,0),0)</f>
        <v>213010101</v>
      </c>
      <c r="BA85" s="17" t="s">
        <v>481</v>
      </c>
      <c r="BB85" s="18">
        <v>1</v>
      </c>
      <c r="BC85" s="17"/>
      <c r="BD85" s="18"/>
      <c r="BE85" s="18">
        <f ca="1">IFERROR(OFFSET(ITEM_RES!$A$1,MATCH(BF85,ITEM_RES!$J:$J,0)-1,0),0)</f>
        <v>0</v>
      </c>
      <c r="BF85" s="17"/>
      <c r="BG85" s="18"/>
      <c r="BH85" s="17"/>
      <c r="BI85" s="18"/>
      <c r="BJ85" s="18">
        <f ca="1">IFERROR(OFFSET(ITEM_RES!$A$1,MATCH(BK85,ITEM_RES!$J:$J,0)-1,0),0)</f>
        <v>0</v>
      </c>
      <c r="BK85" s="17"/>
      <c r="BL85" s="18">
        <f t="shared" si="4"/>
        <v>0</v>
      </c>
      <c r="BM85" s="17"/>
    </row>
    <row r="86" spans="1:65" x14ac:dyDescent="0.3">
      <c r="A86" s="14">
        <f t="shared" si="0"/>
        <v>112010002</v>
      </c>
      <c r="B86" s="13">
        <v>11</v>
      </c>
      <c r="C86" s="12">
        <f t="shared" si="1"/>
        <v>2</v>
      </c>
      <c r="D86" s="13">
        <v>1</v>
      </c>
      <c r="E86" s="13">
        <v>0</v>
      </c>
      <c r="F86" s="12">
        <f t="shared" si="2"/>
        <v>2</v>
      </c>
      <c r="H86" s="9">
        <v>2</v>
      </c>
      <c r="I86" s="9">
        <v>2</v>
      </c>
      <c r="K86" s="9" t="s">
        <v>378</v>
      </c>
      <c r="L86" s="9">
        <v>1</v>
      </c>
      <c r="M86" s="9">
        <v>15</v>
      </c>
      <c r="R86" s="9" t="s">
        <v>795</v>
      </c>
      <c r="T86" s="86" t="s">
        <v>577</v>
      </c>
      <c r="U86" s="9">
        <f ca="1">IFERROR(OFFSET(ITEM_RES!$A$5,MATCH(BUILDING!T86,ITEM_RES!$J$5:$J$229,0)-1,0),0)</f>
        <v>211021101</v>
      </c>
      <c r="V86" s="11">
        <v>100</v>
      </c>
      <c r="W86" s="86" t="s">
        <v>576</v>
      </c>
      <c r="X86" s="9">
        <f ca="1">IFERROR(OFFSET(ITEM_RES!$A$5,MATCH(BUILDING!W86,ITEM_RES!$J$5:$J$229,0)-1,0),0)</f>
        <v>211010401</v>
      </c>
      <c r="Z86" s="9" t="s">
        <v>546</v>
      </c>
      <c r="AA86" s="9">
        <v>2</v>
      </c>
      <c r="AC86" s="9">
        <v>800</v>
      </c>
      <c r="AE86" s="56">
        <f t="shared" si="26"/>
        <v>210</v>
      </c>
      <c r="AF86" s="10">
        <f>AE85+AE86</f>
        <v>815</v>
      </c>
      <c r="AH86" s="11">
        <f t="shared" si="23"/>
        <v>10</v>
      </c>
      <c r="AI86" s="10">
        <v>10</v>
      </c>
      <c r="AJ86" s="11">
        <f t="shared" si="6"/>
        <v>10</v>
      </c>
      <c r="AK86" s="10">
        <v>10</v>
      </c>
      <c r="AL86" s="11">
        <f t="shared" si="6"/>
        <v>10</v>
      </c>
      <c r="AM86" s="10">
        <v>10</v>
      </c>
      <c r="AN86" s="56">
        <f t="shared" si="29"/>
        <v>2</v>
      </c>
      <c r="AP86" s="11">
        <f ca="1">IFERROR(OFFSET(ITEM_RES!$A$1,MATCH(AQ86,ITEM_RES!$J:$J,0)-1,0),0)</f>
        <v>211020201</v>
      </c>
      <c r="AQ86" s="10" t="s">
        <v>454</v>
      </c>
      <c r="AR86" s="11">
        <v>50</v>
      </c>
      <c r="AU86" s="11">
        <f ca="1">IFERROR(OFFSET(ITEM_RES!$A$1,MATCH(AV86,ITEM_RES!$J:$J,0)-1,0),0)</f>
        <v>211020401</v>
      </c>
      <c r="AV86" s="10" t="s">
        <v>459</v>
      </c>
      <c r="AW86" s="11">
        <v>50</v>
      </c>
      <c r="AZ86" s="11">
        <f ca="1">IFERROR(OFFSET(ITEM_RES!$A$1,MATCH(BA86,ITEM_RES!$J:$J,0)-1,0),0)</f>
        <v>0</v>
      </c>
      <c r="BE86" s="11">
        <f ca="1">IFERROR(OFFSET(ITEM_RES!$A$1,MATCH(BF86,ITEM_RES!$J:$J,0)-1,0),0)</f>
        <v>0</v>
      </c>
      <c r="BJ86" s="11">
        <f ca="1">IFERROR(OFFSET(ITEM_RES!$A$1,MATCH(BK86,ITEM_RES!$J:$J,0)-1,0),0)</f>
        <v>0</v>
      </c>
      <c r="BL86" s="11">
        <f t="shared" si="4"/>
        <v>0</v>
      </c>
    </row>
    <row r="87" spans="1:65" x14ac:dyDescent="0.3">
      <c r="A87" s="14">
        <f t="shared" si="0"/>
        <v>112010003</v>
      </c>
      <c r="B87" s="13">
        <v>11</v>
      </c>
      <c r="C87" s="12">
        <f t="shared" si="1"/>
        <v>2</v>
      </c>
      <c r="D87" s="13">
        <v>1</v>
      </c>
      <c r="E87" s="13">
        <v>0</v>
      </c>
      <c r="F87" s="12">
        <f t="shared" si="2"/>
        <v>3</v>
      </c>
      <c r="H87" s="9">
        <v>2</v>
      </c>
      <c r="I87" s="9">
        <v>3</v>
      </c>
      <c r="K87" s="9" t="s">
        <v>378</v>
      </c>
      <c r="L87" s="9">
        <v>1</v>
      </c>
      <c r="M87" s="9">
        <v>15</v>
      </c>
      <c r="R87" s="9" t="s">
        <v>795</v>
      </c>
      <c r="T87" s="86" t="s">
        <v>577</v>
      </c>
      <c r="U87" s="9">
        <f ca="1">IFERROR(OFFSET(ITEM_RES!$A$5,MATCH(BUILDING!T87,ITEM_RES!$J$5:$J$229,0)-1,0),0)</f>
        <v>211021101</v>
      </c>
      <c r="V87" s="11">
        <v>100</v>
      </c>
      <c r="W87" s="86" t="s">
        <v>576</v>
      </c>
      <c r="X87" s="9">
        <f ca="1">IFERROR(OFFSET(ITEM_RES!$A$5,MATCH(BUILDING!W87,ITEM_RES!$J$5:$J$229,0)-1,0),0)</f>
        <v>211010401</v>
      </c>
      <c r="Z87" s="9" t="s">
        <v>546</v>
      </c>
      <c r="AA87" s="9">
        <v>3</v>
      </c>
      <c r="AC87" s="9">
        <v>1200</v>
      </c>
      <c r="AE87" s="56">
        <f t="shared" si="26"/>
        <v>315</v>
      </c>
      <c r="AF87" s="10">
        <f t="shared" ref="AF87:AF104" si="58">AE86+AE87</f>
        <v>525</v>
      </c>
      <c r="AH87" s="11">
        <f t="shared" si="23"/>
        <v>15</v>
      </c>
      <c r="AI87" s="10">
        <v>15</v>
      </c>
      <c r="AJ87" s="11">
        <f t="shared" si="6"/>
        <v>15</v>
      </c>
      <c r="AK87" s="10">
        <v>15</v>
      </c>
      <c r="AL87" s="11">
        <f t="shared" si="6"/>
        <v>15</v>
      </c>
      <c r="AM87" s="10">
        <v>15</v>
      </c>
      <c r="AN87" s="56">
        <f t="shared" si="29"/>
        <v>2</v>
      </c>
      <c r="AP87" s="11">
        <f ca="1">IFERROR(OFFSET(ITEM_RES!$A$1,MATCH(AQ87,ITEM_RES!$J:$J,0)-1,0),0)</f>
        <v>211020201</v>
      </c>
      <c r="AQ87" s="10" t="s">
        <v>453</v>
      </c>
      <c r="AR87" s="11">
        <v>75</v>
      </c>
      <c r="AU87" s="11">
        <f ca="1">IFERROR(OFFSET(ITEM_RES!$A$1,MATCH(AV87,ITEM_RES!$J:$J,0)-1,0),0)</f>
        <v>211020401</v>
      </c>
      <c r="AV87" s="10" t="s">
        <v>459</v>
      </c>
      <c r="AW87" s="11">
        <v>75</v>
      </c>
      <c r="AZ87" s="11">
        <f ca="1">IFERROR(OFFSET(ITEM_RES!$A$1,MATCH(BA87,ITEM_RES!$J:$J,0)-1,0),0)</f>
        <v>0</v>
      </c>
      <c r="BE87" s="11">
        <f ca="1">IFERROR(OFFSET(ITEM_RES!$A$1,MATCH(BF87,ITEM_RES!$J:$J,0)-1,0),0)</f>
        <v>0</v>
      </c>
      <c r="BJ87" s="11">
        <f ca="1">IFERROR(OFFSET(ITEM_RES!$A$1,MATCH(BK87,ITEM_RES!$J:$J,0)-1,0),0)</f>
        <v>0</v>
      </c>
      <c r="BL87" s="11">
        <f t="shared" si="4"/>
        <v>0</v>
      </c>
    </row>
    <row r="88" spans="1:65" x14ac:dyDescent="0.3">
      <c r="A88" s="14">
        <f t="shared" si="0"/>
        <v>112010004</v>
      </c>
      <c r="B88" s="13">
        <v>11</v>
      </c>
      <c r="C88" s="12">
        <f t="shared" si="1"/>
        <v>2</v>
      </c>
      <c r="D88" s="13">
        <v>1</v>
      </c>
      <c r="E88" s="13">
        <v>0</v>
      </c>
      <c r="F88" s="12">
        <f t="shared" si="2"/>
        <v>4</v>
      </c>
      <c r="H88" s="9">
        <v>2</v>
      </c>
      <c r="I88" s="9">
        <v>4</v>
      </c>
      <c r="K88" s="9" t="s">
        <v>378</v>
      </c>
      <c r="L88" s="9">
        <v>1</v>
      </c>
      <c r="M88" s="9">
        <v>15</v>
      </c>
      <c r="R88" s="9" t="s">
        <v>795</v>
      </c>
      <c r="T88" s="86" t="s">
        <v>577</v>
      </c>
      <c r="U88" s="9">
        <f ca="1">IFERROR(OFFSET(ITEM_RES!$A$5,MATCH(BUILDING!T88,ITEM_RES!$J$5:$J$229,0)-1,0),0)</f>
        <v>211021101</v>
      </c>
      <c r="V88" s="11">
        <v>100</v>
      </c>
      <c r="W88" s="86" t="s">
        <v>576</v>
      </c>
      <c r="X88" s="9">
        <f ca="1">IFERROR(OFFSET(ITEM_RES!$A$5,MATCH(BUILDING!W88,ITEM_RES!$J$5:$J$229,0)-1,0),0)</f>
        <v>211010401</v>
      </c>
      <c r="Z88" s="9" t="s">
        <v>546</v>
      </c>
      <c r="AA88" s="9">
        <v>4</v>
      </c>
      <c r="AC88" s="9">
        <v>2000</v>
      </c>
      <c r="AE88" s="56">
        <f t="shared" si="26"/>
        <v>525</v>
      </c>
      <c r="AF88" s="10">
        <f t="shared" si="58"/>
        <v>840</v>
      </c>
      <c r="AH88" s="11">
        <f t="shared" si="23"/>
        <v>20</v>
      </c>
      <c r="AI88" s="10">
        <v>20</v>
      </c>
      <c r="AJ88" s="11">
        <f t="shared" si="6"/>
        <v>25</v>
      </c>
      <c r="AK88" s="10">
        <v>25</v>
      </c>
      <c r="AL88" s="11">
        <f t="shared" si="6"/>
        <v>25</v>
      </c>
      <c r="AM88" s="10">
        <v>25</v>
      </c>
      <c r="AN88" s="56">
        <f t="shared" si="29"/>
        <v>2</v>
      </c>
      <c r="AP88" s="11">
        <f ca="1">IFERROR(OFFSET(ITEM_RES!$A$1,MATCH(AQ88,ITEM_RES!$J:$J,0)-1,0),0)</f>
        <v>211020201</v>
      </c>
      <c r="AQ88" s="10" t="s">
        <v>454</v>
      </c>
      <c r="AR88" s="11">
        <v>125</v>
      </c>
      <c r="AU88" s="11">
        <f ca="1">IFERROR(OFFSET(ITEM_RES!$A$1,MATCH(AV88,ITEM_RES!$J:$J,0)-1,0),0)</f>
        <v>211020401</v>
      </c>
      <c r="AV88" s="10" t="s">
        <v>459</v>
      </c>
      <c r="AW88" s="11">
        <v>125</v>
      </c>
      <c r="AZ88" s="11">
        <f ca="1">IFERROR(OFFSET(ITEM_RES!$A$1,MATCH(BA88,ITEM_RES!$J:$J,0)-1,0),0)</f>
        <v>0</v>
      </c>
      <c r="BE88" s="11">
        <f ca="1">IFERROR(OFFSET(ITEM_RES!$A$1,MATCH(BF88,ITEM_RES!$J:$J,0)-1,0),0)</f>
        <v>0</v>
      </c>
      <c r="BJ88" s="11">
        <f ca="1">IFERROR(OFFSET(ITEM_RES!$A$1,MATCH(BK88,ITEM_RES!$J:$J,0)-1,0),0)</f>
        <v>0</v>
      </c>
      <c r="BL88" s="11">
        <f t="shared" si="4"/>
        <v>0</v>
      </c>
    </row>
    <row r="89" spans="1:65" x14ac:dyDescent="0.3">
      <c r="A89" s="14">
        <f t="shared" ref="A89:A152" si="59">B89*10000000+C89*1000000+D89*10000+E89*100+F89</f>
        <v>112010005</v>
      </c>
      <c r="B89" s="13">
        <v>11</v>
      </c>
      <c r="C89" s="12">
        <f t="shared" ref="C89:C152" si="60">H89</f>
        <v>2</v>
      </c>
      <c r="D89" s="13">
        <v>1</v>
      </c>
      <c r="E89" s="13">
        <v>0</v>
      </c>
      <c r="F89" s="12">
        <f t="shared" ref="F89:F152" si="61">I89</f>
        <v>5</v>
      </c>
      <c r="H89" s="9">
        <v>2</v>
      </c>
      <c r="I89" s="9">
        <v>5</v>
      </c>
      <c r="K89" s="9" t="s">
        <v>378</v>
      </c>
      <c r="L89" s="9">
        <v>1</v>
      </c>
      <c r="M89" s="9">
        <v>15</v>
      </c>
      <c r="R89" s="9" t="s">
        <v>795</v>
      </c>
      <c r="T89" s="86" t="s">
        <v>577</v>
      </c>
      <c r="U89" s="9">
        <f ca="1">IFERROR(OFFSET(ITEM_RES!$A$5,MATCH(BUILDING!T89,ITEM_RES!$J$5:$J$229,0)-1,0),0)</f>
        <v>211021101</v>
      </c>
      <c r="V89" s="11">
        <v>100</v>
      </c>
      <c r="W89" s="86" t="s">
        <v>576</v>
      </c>
      <c r="X89" s="9">
        <f ca="1">IFERROR(OFFSET(ITEM_RES!$A$5,MATCH(BUILDING!W89,ITEM_RES!$J$5:$J$229,0)-1,0),0)</f>
        <v>211010401</v>
      </c>
      <c r="Z89" s="9" t="s">
        <v>546</v>
      </c>
      <c r="AA89" s="9">
        <v>5</v>
      </c>
      <c r="AC89" s="9">
        <v>3200</v>
      </c>
      <c r="AE89" s="56">
        <f t="shared" si="26"/>
        <v>840</v>
      </c>
      <c r="AF89" s="10">
        <f t="shared" si="58"/>
        <v>1365</v>
      </c>
      <c r="AH89" s="11">
        <f t="shared" si="23"/>
        <v>25</v>
      </c>
      <c r="AI89" s="10">
        <v>25</v>
      </c>
      <c r="AJ89" s="11">
        <f t="shared" si="6"/>
        <v>40</v>
      </c>
      <c r="AK89" s="10">
        <v>40</v>
      </c>
      <c r="AL89" s="11">
        <f t="shared" si="6"/>
        <v>40</v>
      </c>
      <c r="AM89" s="10">
        <v>40</v>
      </c>
      <c r="AN89" s="56">
        <f t="shared" si="29"/>
        <v>2</v>
      </c>
      <c r="AP89" s="11">
        <f ca="1">IFERROR(OFFSET(ITEM_RES!$A$1,MATCH(AQ89,ITEM_RES!$J:$J,0)-1,0),0)</f>
        <v>211020201</v>
      </c>
      <c r="AQ89" s="10" t="s">
        <v>453</v>
      </c>
      <c r="AR89" s="11">
        <v>200</v>
      </c>
      <c r="AU89" s="11">
        <f ca="1">IFERROR(OFFSET(ITEM_RES!$A$1,MATCH(AV89,ITEM_RES!$J:$J,0)-1,0),0)</f>
        <v>211020401</v>
      </c>
      <c r="AV89" s="10" t="s">
        <v>459</v>
      </c>
      <c r="AW89" s="11">
        <v>200</v>
      </c>
      <c r="AZ89" s="11">
        <f ca="1">IFERROR(OFFSET(ITEM_RES!$A$1,MATCH(BA89,ITEM_RES!$J:$J,0)-1,0),0)</f>
        <v>0</v>
      </c>
      <c r="BE89" s="11">
        <f ca="1">IFERROR(OFFSET(ITEM_RES!$A$1,MATCH(BF89,ITEM_RES!$J:$J,0)-1,0),0)</f>
        <v>0</v>
      </c>
      <c r="BJ89" s="11">
        <f ca="1">IFERROR(OFFSET(ITEM_RES!$A$1,MATCH(BK89,ITEM_RES!$J:$J,0)-1,0),0)</f>
        <v>0</v>
      </c>
      <c r="BL89" s="11">
        <f t="shared" ref="BL89:BL152" si="62">IF(BM89&lt;100,ROUND(BM89,1-LEN(ROUND(BM89,0))),ROUND(BM89,2-LEN(ROUND(BM89,0))))</f>
        <v>0</v>
      </c>
    </row>
    <row r="90" spans="1:65" x14ac:dyDescent="0.3">
      <c r="A90" s="14">
        <f t="shared" si="59"/>
        <v>112010006</v>
      </c>
      <c r="B90" s="13">
        <v>11</v>
      </c>
      <c r="C90" s="12">
        <f t="shared" si="60"/>
        <v>2</v>
      </c>
      <c r="D90" s="13">
        <v>1</v>
      </c>
      <c r="E90" s="13">
        <v>0</v>
      </c>
      <c r="F90" s="12">
        <f t="shared" si="61"/>
        <v>6</v>
      </c>
      <c r="H90" s="9">
        <v>2</v>
      </c>
      <c r="I90" s="9">
        <v>6</v>
      </c>
      <c r="K90" s="9" t="s">
        <v>378</v>
      </c>
      <c r="L90" s="9">
        <v>1</v>
      </c>
      <c r="M90" s="9">
        <v>15</v>
      </c>
      <c r="R90" s="9" t="s">
        <v>795</v>
      </c>
      <c r="T90" s="86" t="s">
        <v>577</v>
      </c>
      <c r="U90" s="9">
        <f ca="1">IFERROR(OFFSET(ITEM_RES!$A$5,MATCH(BUILDING!T90,ITEM_RES!$J$5:$J$229,0)-1,0),0)</f>
        <v>211021101</v>
      </c>
      <c r="V90" s="11">
        <v>100</v>
      </c>
      <c r="W90" s="86" t="s">
        <v>576</v>
      </c>
      <c r="X90" s="9">
        <f ca="1">IFERROR(OFFSET(ITEM_RES!$A$5,MATCH(BUILDING!W90,ITEM_RES!$J$5:$J$229,0)-1,0),0)</f>
        <v>211010401</v>
      </c>
      <c r="Z90" s="9" t="s">
        <v>546</v>
      </c>
      <c r="AA90" s="9">
        <v>6</v>
      </c>
      <c r="AC90" s="9">
        <v>4000</v>
      </c>
      <c r="AE90" s="56">
        <f t="shared" si="26"/>
        <v>1050</v>
      </c>
      <c r="AF90" s="10">
        <f t="shared" si="58"/>
        <v>1890</v>
      </c>
      <c r="AH90" s="11">
        <f t="shared" si="23"/>
        <v>30</v>
      </c>
      <c r="AI90" s="10">
        <v>30</v>
      </c>
      <c r="AJ90" s="11">
        <f t="shared" ref="AJ90:AL153" si="63">ROUND(AK90,0)</f>
        <v>50</v>
      </c>
      <c r="AK90" s="10">
        <v>50</v>
      </c>
      <c r="AL90" s="11">
        <f t="shared" si="63"/>
        <v>50</v>
      </c>
      <c r="AM90" s="10">
        <v>50</v>
      </c>
      <c r="AN90" s="56">
        <f t="shared" si="29"/>
        <v>2</v>
      </c>
      <c r="AP90" s="11">
        <f ca="1">IFERROR(OFFSET(ITEM_RES!$A$1,MATCH(AQ90,ITEM_RES!$J:$J,0)-1,0),0)</f>
        <v>211020201</v>
      </c>
      <c r="AQ90" s="10" t="s">
        <v>454</v>
      </c>
      <c r="AR90" s="11">
        <v>250</v>
      </c>
      <c r="AU90" s="11">
        <f ca="1">IFERROR(OFFSET(ITEM_RES!$A$1,MATCH(AV90,ITEM_RES!$J:$J,0)-1,0),0)</f>
        <v>211020401</v>
      </c>
      <c r="AV90" s="10" t="s">
        <v>459</v>
      </c>
      <c r="AW90" s="11">
        <v>250</v>
      </c>
      <c r="AZ90" s="11">
        <f ca="1">IFERROR(OFFSET(ITEM_RES!$A$1,MATCH(BA90,ITEM_RES!$J:$J,0)-1,0),0)</f>
        <v>0</v>
      </c>
      <c r="BE90" s="11">
        <f ca="1">IFERROR(OFFSET(ITEM_RES!$A$1,MATCH(BF90,ITEM_RES!$J:$J,0)-1,0),0)</f>
        <v>0</v>
      </c>
      <c r="BJ90" s="11">
        <f ca="1">IFERROR(OFFSET(ITEM_RES!$A$1,MATCH(BK90,ITEM_RES!$J:$J,0)-1,0),0)</f>
        <v>0</v>
      </c>
      <c r="BL90" s="11">
        <f t="shared" si="62"/>
        <v>0</v>
      </c>
    </row>
    <row r="91" spans="1:65" x14ac:dyDescent="0.3">
      <c r="A91" s="14">
        <f t="shared" si="59"/>
        <v>112010007</v>
      </c>
      <c r="B91" s="13">
        <v>11</v>
      </c>
      <c r="C91" s="12">
        <f t="shared" si="60"/>
        <v>2</v>
      </c>
      <c r="D91" s="13">
        <v>1</v>
      </c>
      <c r="E91" s="13">
        <v>0</v>
      </c>
      <c r="F91" s="12">
        <f t="shared" si="61"/>
        <v>7</v>
      </c>
      <c r="H91" s="9">
        <v>2</v>
      </c>
      <c r="I91" s="9">
        <v>7</v>
      </c>
      <c r="K91" s="9" t="s">
        <v>378</v>
      </c>
      <c r="L91" s="9">
        <v>1</v>
      </c>
      <c r="M91" s="9">
        <v>15</v>
      </c>
      <c r="R91" s="9" t="s">
        <v>795</v>
      </c>
      <c r="T91" s="86" t="s">
        <v>577</v>
      </c>
      <c r="U91" s="9">
        <f ca="1">IFERROR(OFFSET(ITEM_RES!$A$5,MATCH(BUILDING!T91,ITEM_RES!$J$5:$J$229,0)-1,0),0)</f>
        <v>211021101</v>
      </c>
      <c r="V91" s="11">
        <v>100</v>
      </c>
      <c r="W91" s="86" t="s">
        <v>576</v>
      </c>
      <c r="X91" s="9">
        <f ca="1">IFERROR(OFFSET(ITEM_RES!$A$5,MATCH(BUILDING!W91,ITEM_RES!$J$5:$J$229,0)-1,0),0)</f>
        <v>211010401</v>
      </c>
      <c r="Z91" s="9" t="s">
        <v>546</v>
      </c>
      <c r="AA91" s="9">
        <v>7</v>
      </c>
      <c r="AC91" s="9">
        <v>8000</v>
      </c>
      <c r="AE91" s="56">
        <f t="shared" si="26"/>
        <v>2100</v>
      </c>
      <c r="AF91" s="10">
        <f t="shared" si="58"/>
        <v>3150</v>
      </c>
      <c r="AH91" s="11">
        <f t="shared" si="23"/>
        <v>35</v>
      </c>
      <c r="AI91" s="10">
        <v>35</v>
      </c>
      <c r="AJ91" s="11">
        <f t="shared" si="63"/>
        <v>100</v>
      </c>
      <c r="AK91" s="10">
        <v>100</v>
      </c>
      <c r="AL91" s="11">
        <f t="shared" si="63"/>
        <v>100</v>
      </c>
      <c r="AM91" s="10">
        <v>100</v>
      </c>
      <c r="AN91" s="56">
        <f t="shared" si="29"/>
        <v>2</v>
      </c>
      <c r="AP91" s="11">
        <f ca="1">IFERROR(OFFSET(ITEM_RES!$A$1,MATCH(AQ91,ITEM_RES!$J:$J,0)-1,0),0)</f>
        <v>211020201</v>
      </c>
      <c r="AQ91" s="10" t="s">
        <v>454</v>
      </c>
      <c r="AR91" s="11">
        <v>500</v>
      </c>
      <c r="AU91" s="11">
        <f ca="1">IFERROR(OFFSET(ITEM_RES!$A$1,MATCH(AV91,ITEM_RES!$J:$J,0)-1,0),0)</f>
        <v>211020401</v>
      </c>
      <c r="AV91" s="10" t="s">
        <v>459</v>
      </c>
      <c r="AW91" s="11">
        <v>500</v>
      </c>
      <c r="AZ91" s="11">
        <f ca="1">IFERROR(OFFSET(ITEM_RES!$A$1,MATCH(BA91,ITEM_RES!$J:$J,0)-1,0),0)</f>
        <v>0</v>
      </c>
      <c r="BE91" s="11">
        <f ca="1">IFERROR(OFFSET(ITEM_RES!$A$1,MATCH(BF91,ITEM_RES!$J:$J,0)-1,0),0)</f>
        <v>0</v>
      </c>
      <c r="BJ91" s="11">
        <f ca="1">IFERROR(OFFSET(ITEM_RES!$A$1,MATCH(BK91,ITEM_RES!$J:$J,0)-1,0),0)</f>
        <v>0</v>
      </c>
      <c r="BL91" s="11">
        <f t="shared" si="62"/>
        <v>0</v>
      </c>
    </row>
    <row r="92" spans="1:65" x14ac:dyDescent="0.3">
      <c r="A92" s="14">
        <f t="shared" si="59"/>
        <v>112010008</v>
      </c>
      <c r="B92" s="13">
        <v>11</v>
      </c>
      <c r="C92" s="12">
        <f t="shared" si="60"/>
        <v>2</v>
      </c>
      <c r="D92" s="13">
        <v>1</v>
      </c>
      <c r="E92" s="13">
        <v>0</v>
      </c>
      <c r="F92" s="12">
        <f t="shared" si="61"/>
        <v>8</v>
      </c>
      <c r="H92" s="9">
        <v>2</v>
      </c>
      <c r="I92" s="9">
        <v>8</v>
      </c>
      <c r="K92" s="9" t="s">
        <v>378</v>
      </c>
      <c r="L92" s="9">
        <v>1</v>
      </c>
      <c r="M92" s="9">
        <v>15</v>
      </c>
      <c r="R92" s="9" t="s">
        <v>795</v>
      </c>
      <c r="T92" s="86" t="s">
        <v>577</v>
      </c>
      <c r="U92" s="9">
        <f ca="1">IFERROR(OFFSET(ITEM_RES!$A$5,MATCH(BUILDING!T92,ITEM_RES!$J$5:$J$229,0)-1,0),0)</f>
        <v>211021101</v>
      </c>
      <c r="V92" s="11">
        <v>100</v>
      </c>
      <c r="W92" s="86" t="s">
        <v>576</v>
      </c>
      <c r="X92" s="9">
        <f ca="1">IFERROR(OFFSET(ITEM_RES!$A$5,MATCH(BUILDING!W92,ITEM_RES!$J$5:$J$229,0)-1,0),0)</f>
        <v>211010401</v>
      </c>
      <c r="Z92" s="9" t="s">
        <v>546</v>
      </c>
      <c r="AA92" s="9">
        <v>8</v>
      </c>
      <c r="AC92" s="9">
        <v>8000</v>
      </c>
      <c r="AE92" s="56">
        <f t="shared" si="26"/>
        <v>2100</v>
      </c>
      <c r="AF92" s="10">
        <f t="shared" si="58"/>
        <v>4200</v>
      </c>
      <c r="AH92" s="11">
        <f t="shared" si="23"/>
        <v>40</v>
      </c>
      <c r="AI92" s="10">
        <v>40</v>
      </c>
      <c r="AJ92" s="11">
        <f t="shared" si="63"/>
        <v>100</v>
      </c>
      <c r="AK92" s="10">
        <v>100</v>
      </c>
      <c r="AL92" s="11">
        <f t="shared" si="63"/>
        <v>100</v>
      </c>
      <c r="AM92" s="10">
        <v>100</v>
      </c>
      <c r="AN92" s="56">
        <f t="shared" si="29"/>
        <v>2</v>
      </c>
      <c r="AP92" s="11">
        <f ca="1">IFERROR(OFFSET(ITEM_RES!$A$1,MATCH(AQ92,ITEM_RES!$J:$J,0)-1,0),0)</f>
        <v>211020301</v>
      </c>
      <c r="AQ92" s="10" t="s">
        <v>479</v>
      </c>
      <c r="AR92" s="11">
        <v>500</v>
      </c>
      <c r="AU92" s="11">
        <f ca="1">IFERROR(OFFSET(ITEM_RES!$A$1,MATCH(AV92,ITEM_RES!$J:$J,0)-1,0),0)</f>
        <v>211020401</v>
      </c>
      <c r="AV92" s="10" t="s">
        <v>459</v>
      </c>
      <c r="AW92" s="11">
        <v>500</v>
      </c>
      <c r="AZ92" s="11">
        <f ca="1">IFERROR(OFFSET(ITEM_RES!$A$1,MATCH(BA92,ITEM_RES!$J:$J,0)-1,0),0)</f>
        <v>0</v>
      </c>
      <c r="BE92" s="11">
        <f ca="1">IFERROR(OFFSET(ITEM_RES!$A$1,MATCH(BF92,ITEM_RES!$J:$J,0)-1,0),0)</f>
        <v>0</v>
      </c>
      <c r="BJ92" s="11">
        <f ca="1">IFERROR(OFFSET(ITEM_RES!$A$1,MATCH(BK92,ITEM_RES!$J:$J,0)-1,0),0)</f>
        <v>0</v>
      </c>
      <c r="BL92" s="11">
        <f t="shared" si="62"/>
        <v>0</v>
      </c>
    </row>
    <row r="93" spans="1:65" x14ac:dyDescent="0.3">
      <c r="A93" s="14">
        <f t="shared" si="59"/>
        <v>112010009</v>
      </c>
      <c r="B93" s="13">
        <v>11</v>
      </c>
      <c r="C93" s="12">
        <f t="shared" si="60"/>
        <v>2</v>
      </c>
      <c r="D93" s="13">
        <v>1</v>
      </c>
      <c r="E93" s="13">
        <v>0</v>
      </c>
      <c r="F93" s="12">
        <f t="shared" si="61"/>
        <v>9</v>
      </c>
      <c r="H93" s="9">
        <v>2</v>
      </c>
      <c r="I93" s="9">
        <v>9</v>
      </c>
      <c r="K93" s="9" t="s">
        <v>378</v>
      </c>
      <c r="L93" s="9">
        <v>1</v>
      </c>
      <c r="M93" s="9">
        <v>15</v>
      </c>
      <c r="R93" s="9" t="s">
        <v>795</v>
      </c>
      <c r="T93" s="86" t="s">
        <v>577</v>
      </c>
      <c r="U93" s="9">
        <f ca="1">IFERROR(OFFSET(ITEM_RES!$A$5,MATCH(BUILDING!T93,ITEM_RES!$J$5:$J$229,0)-1,0),0)</f>
        <v>211021101</v>
      </c>
      <c r="V93" s="11">
        <v>100</v>
      </c>
      <c r="W93" s="86" t="s">
        <v>576</v>
      </c>
      <c r="X93" s="9">
        <f ca="1">IFERROR(OFFSET(ITEM_RES!$A$5,MATCH(BUILDING!W93,ITEM_RES!$J$5:$J$229,0)-1,0),0)</f>
        <v>211010401</v>
      </c>
      <c r="Z93" s="9" t="s">
        <v>546</v>
      </c>
      <c r="AA93" s="9">
        <v>9</v>
      </c>
      <c r="AC93" s="9">
        <v>12000</v>
      </c>
      <c r="AE93" s="56">
        <f t="shared" si="26"/>
        <v>3150</v>
      </c>
      <c r="AF93" s="10">
        <f t="shared" si="58"/>
        <v>5250</v>
      </c>
      <c r="AH93" s="11">
        <f t="shared" si="23"/>
        <v>45</v>
      </c>
      <c r="AI93" s="10">
        <v>45</v>
      </c>
      <c r="AJ93" s="11">
        <f t="shared" si="63"/>
        <v>150</v>
      </c>
      <c r="AK93" s="10">
        <v>150</v>
      </c>
      <c r="AL93" s="11">
        <f t="shared" si="63"/>
        <v>150</v>
      </c>
      <c r="AM93" s="10">
        <v>150</v>
      </c>
      <c r="AN93" s="56">
        <f t="shared" si="29"/>
        <v>2</v>
      </c>
      <c r="AP93" s="11">
        <f ca="1">IFERROR(OFFSET(ITEM_RES!$A$1,MATCH(AQ93,ITEM_RES!$J:$J,0)-1,0),0)</f>
        <v>211020301</v>
      </c>
      <c r="AQ93" s="10" t="s">
        <v>479</v>
      </c>
      <c r="AR93" s="11">
        <v>750</v>
      </c>
      <c r="AU93" s="11">
        <f ca="1">IFERROR(OFFSET(ITEM_RES!$A$1,MATCH(AV93,ITEM_RES!$J:$J,0)-1,0),0)</f>
        <v>211020401</v>
      </c>
      <c r="AV93" s="10" t="s">
        <v>459</v>
      </c>
      <c r="AW93" s="11">
        <v>750</v>
      </c>
      <c r="AZ93" s="11">
        <f ca="1">IFERROR(OFFSET(ITEM_RES!$A$1,MATCH(BA93,ITEM_RES!$J:$J,0)-1,0),0)</f>
        <v>0</v>
      </c>
      <c r="BE93" s="11">
        <f ca="1">IFERROR(OFFSET(ITEM_RES!$A$1,MATCH(BF93,ITEM_RES!$J:$J,0)-1,0),0)</f>
        <v>0</v>
      </c>
      <c r="BJ93" s="11">
        <f ca="1">IFERROR(OFFSET(ITEM_RES!$A$1,MATCH(BK93,ITEM_RES!$J:$J,0)-1,0),0)</f>
        <v>0</v>
      </c>
      <c r="BL93" s="11">
        <f t="shared" si="62"/>
        <v>0</v>
      </c>
    </row>
    <row r="94" spans="1:65" x14ac:dyDescent="0.3">
      <c r="A94" s="14">
        <f t="shared" si="59"/>
        <v>112010010</v>
      </c>
      <c r="B94" s="13">
        <v>11</v>
      </c>
      <c r="C94" s="12">
        <f t="shared" si="60"/>
        <v>2</v>
      </c>
      <c r="D94" s="13">
        <v>1</v>
      </c>
      <c r="E94" s="13">
        <v>0</v>
      </c>
      <c r="F94" s="12">
        <f t="shared" si="61"/>
        <v>10</v>
      </c>
      <c r="H94" s="9">
        <v>2</v>
      </c>
      <c r="I94" s="9">
        <v>10</v>
      </c>
      <c r="K94" s="9" t="s">
        <v>378</v>
      </c>
      <c r="L94" s="9">
        <v>1</v>
      </c>
      <c r="M94" s="9">
        <v>15</v>
      </c>
      <c r="R94" s="9" t="s">
        <v>795</v>
      </c>
      <c r="T94" s="86" t="s">
        <v>577</v>
      </c>
      <c r="U94" s="9">
        <f ca="1">IFERROR(OFFSET(ITEM_RES!$A$5,MATCH(BUILDING!T94,ITEM_RES!$J$5:$J$229,0)-1,0),0)</f>
        <v>211021101</v>
      </c>
      <c r="V94" s="11">
        <v>100</v>
      </c>
      <c r="W94" s="86" t="s">
        <v>576</v>
      </c>
      <c r="X94" s="9">
        <f ca="1">IFERROR(OFFSET(ITEM_RES!$A$5,MATCH(BUILDING!W94,ITEM_RES!$J$5:$J$229,0)-1,0),0)</f>
        <v>211010401</v>
      </c>
      <c r="Z94" s="9" t="s">
        <v>546</v>
      </c>
      <c r="AA94" s="9">
        <v>10</v>
      </c>
      <c r="AC94" s="9">
        <v>16000</v>
      </c>
      <c r="AE94" s="56">
        <f t="shared" si="26"/>
        <v>4200</v>
      </c>
      <c r="AF94" s="10">
        <f t="shared" si="58"/>
        <v>7350</v>
      </c>
      <c r="AH94" s="11">
        <f t="shared" si="23"/>
        <v>50</v>
      </c>
      <c r="AI94" s="10">
        <v>50</v>
      </c>
      <c r="AJ94" s="11">
        <f t="shared" si="63"/>
        <v>200</v>
      </c>
      <c r="AK94" s="10">
        <v>200</v>
      </c>
      <c r="AL94" s="11">
        <f t="shared" si="63"/>
        <v>200</v>
      </c>
      <c r="AM94" s="10">
        <v>200</v>
      </c>
      <c r="AN94" s="56">
        <f t="shared" si="29"/>
        <v>2</v>
      </c>
      <c r="AP94" s="11">
        <f ca="1">IFERROR(OFFSET(ITEM_RES!$A$1,MATCH(AQ94,ITEM_RES!$J:$J,0)-1,0),0)</f>
        <v>211020301</v>
      </c>
      <c r="AQ94" s="10" t="s">
        <v>479</v>
      </c>
      <c r="AR94" s="11">
        <v>1000</v>
      </c>
      <c r="AU94" s="11">
        <f ca="1">IFERROR(OFFSET(ITEM_RES!$A$1,MATCH(AV94,ITEM_RES!$J:$J,0)-1,0),0)</f>
        <v>211020401</v>
      </c>
      <c r="AV94" s="10" t="s">
        <v>459</v>
      </c>
      <c r="AW94" s="11">
        <v>1000</v>
      </c>
      <c r="AZ94" s="11">
        <f ca="1">IFERROR(OFFSET(ITEM_RES!$A$1,MATCH(BA94,ITEM_RES!$J:$J,0)-1,0),0)</f>
        <v>0</v>
      </c>
      <c r="BE94" s="11">
        <f ca="1">IFERROR(OFFSET(ITEM_RES!$A$1,MATCH(BF94,ITEM_RES!$J:$J,0)-1,0),0)</f>
        <v>0</v>
      </c>
      <c r="BJ94" s="11">
        <f ca="1">IFERROR(OFFSET(ITEM_RES!$A$1,MATCH(BK94,ITEM_RES!$J:$J,0)-1,0),0)</f>
        <v>0</v>
      </c>
      <c r="BL94" s="11">
        <f t="shared" si="62"/>
        <v>0</v>
      </c>
    </row>
    <row r="95" spans="1:65" x14ac:dyDescent="0.3">
      <c r="A95" s="14">
        <f t="shared" si="59"/>
        <v>112010011</v>
      </c>
      <c r="B95" s="13">
        <v>11</v>
      </c>
      <c r="C95" s="12">
        <f t="shared" si="60"/>
        <v>2</v>
      </c>
      <c r="D95" s="13">
        <v>1</v>
      </c>
      <c r="E95" s="13">
        <v>0</v>
      </c>
      <c r="F95" s="12">
        <f t="shared" si="61"/>
        <v>11</v>
      </c>
      <c r="H95" s="9">
        <v>2</v>
      </c>
      <c r="I95" s="9">
        <v>11</v>
      </c>
      <c r="K95" s="9" t="s">
        <v>378</v>
      </c>
      <c r="L95" s="9">
        <v>1</v>
      </c>
      <c r="M95" s="9">
        <v>15</v>
      </c>
      <c r="R95" s="9" t="s">
        <v>795</v>
      </c>
      <c r="T95" s="86" t="s">
        <v>577</v>
      </c>
      <c r="U95" s="9">
        <f ca="1">IFERROR(OFFSET(ITEM_RES!$A$5,MATCH(BUILDING!T95,ITEM_RES!$J$5:$J$229,0)-1,0),0)</f>
        <v>211021101</v>
      </c>
      <c r="V95" s="11">
        <v>100</v>
      </c>
      <c r="W95" s="86" t="s">
        <v>576</v>
      </c>
      <c r="X95" s="9">
        <f ca="1">IFERROR(OFFSET(ITEM_RES!$A$5,MATCH(BUILDING!W95,ITEM_RES!$J$5:$J$229,0)-1,0),0)</f>
        <v>211010401</v>
      </c>
      <c r="Z95" s="9" t="s">
        <v>546</v>
      </c>
      <c r="AA95" s="9">
        <v>11</v>
      </c>
      <c r="AC95" s="9">
        <v>20000</v>
      </c>
      <c r="AE95" s="56">
        <f t="shared" si="26"/>
        <v>5250</v>
      </c>
      <c r="AF95" s="10">
        <f t="shared" si="58"/>
        <v>9450</v>
      </c>
      <c r="AH95" s="11">
        <f t="shared" si="23"/>
        <v>55</v>
      </c>
      <c r="AI95" s="10">
        <v>55</v>
      </c>
      <c r="AJ95" s="11">
        <f t="shared" si="63"/>
        <v>250</v>
      </c>
      <c r="AK95" s="10">
        <v>250</v>
      </c>
      <c r="AL95" s="11">
        <f t="shared" si="63"/>
        <v>250</v>
      </c>
      <c r="AM95" s="10">
        <v>250</v>
      </c>
      <c r="AN95" s="56">
        <f t="shared" si="29"/>
        <v>2</v>
      </c>
      <c r="AP95" s="11">
        <f ca="1">IFERROR(OFFSET(ITEM_RES!$A$1,MATCH(AQ95,ITEM_RES!$J:$J,0)-1,0),0)</f>
        <v>0</v>
      </c>
      <c r="AQ95" s="10" t="s">
        <v>468</v>
      </c>
      <c r="AR95" s="11">
        <v>1250</v>
      </c>
      <c r="AU95" s="11">
        <f ca="1">IFERROR(OFFSET(ITEM_RES!$A$1,MATCH(AV95,ITEM_RES!$J:$J,0)-1,0),0)</f>
        <v>211020401</v>
      </c>
      <c r="AV95" s="10" t="s">
        <v>459</v>
      </c>
      <c r="AW95" s="11">
        <v>1250</v>
      </c>
      <c r="AZ95" s="11">
        <f ca="1">IFERROR(OFFSET(ITEM_RES!$A$1,MATCH(BA95,ITEM_RES!$J:$J,0)-1,0),0)</f>
        <v>0</v>
      </c>
      <c r="BE95" s="11">
        <f ca="1">IFERROR(OFFSET(ITEM_RES!$A$1,MATCH(BF95,ITEM_RES!$J:$J,0)-1,0),0)</f>
        <v>0</v>
      </c>
      <c r="BJ95" s="11">
        <f ca="1">IFERROR(OFFSET(ITEM_RES!$A$1,MATCH(BK95,ITEM_RES!$J:$J,0)-1,0),0)</f>
        <v>0</v>
      </c>
      <c r="BL95" s="11">
        <f t="shared" si="62"/>
        <v>0</v>
      </c>
    </row>
    <row r="96" spans="1:65" x14ac:dyDescent="0.3">
      <c r="A96" s="14">
        <f t="shared" si="59"/>
        <v>112010012</v>
      </c>
      <c r="B96" s="13">
        <v>11</v>
      </c>
      <c r="C96" s="12">
        <f t="shared" si="60"/>
        <v>2</v>
      </c>
      <c r="D96" s="13">
        <v>1</v>
      </c>
      <c r="E96" s="13">
        <v>0</v>
      </c>
      <c r="F96" s="12">
        <f t="shared" si="61"/>
        <v>12</v>
      </c>
      <c r="H96" s="9">
        <v>2</v>
      </c>
      <c r="I96" s="9">
        <v>12</v>
      </c>
      <c r="K96" s="9" t="s">
        <v>378</v>
      </c>
      <c r="L96" s="9">
        <v>1</v>
      </c>
      <c r="M96" s="9">
        <v>15</v>
      </c>
      <c r="R96" s="9" t="s">
        <v>795</v>
      </c>
      <c r="T96" s="86" t="s">
        <v>577</v>
      </c>
      <c r="U96" s="9">
        <f ca="1">IFERROR(OFFSET(ITEM_RES!$A$5,MATCH(BUILDING!T96,ITEM_RES!$J$5:$J$229,0)-1,0),0)</f>
        <v>211021101</v>
      </c>
      <c r="V96" s="11">
        <v>100</v>
      </c>
      <c r="W96" s="86" t="s">
        <v>576</v>
      </c>
      <c r="X96" s="9">
        <f ca="1">IFERROR(OFFSET(ITEM_RES!$A$5,MATCH(BUILDING!W96,ITEM_RES!$J$5:$J$229,0)-1,0),0)</f>
        <v>211010401</v>
      </c>
      <c r="Z96" s="9" t="s">
        <v>546</v>
      </c>
      <c r="AA96" s="9">
        <v>12</v>
      </c>
      <c r="AC96" s="9">
        <v>24000</v>
      </c>
      <c r="AE96" s="56">
        <f t="shared" si="26"/>
        <v>6800</v>
      </c>
      <c r="AF96" s="10">
        <f t="shared" si="58"/>
        <v>12050</v>
      </c>
      <c r="AH96" s="11">
        <f t="shared" si="23"/>
        <v>60</v>
      </c>
      <c r="AI96" s="10">
        <v>60</v>
      </c>
      <c r="AJ96" s="11">
        <f t="shared" si="63"/>
        <v>300</v>
      </c>
      <c r="AK96" s="10">
        <v>300</v>
      </c>
      <c r="AL96" s="11">
        <f t="shared" si="63"/>
        <v>300</v>
      </c>
      <c r="AM96" s="10">
        <v>300</v>
      </c>
      <c r="AN96" s="56">
        <f t="shared" si="29"/>
        <v>3</v>
      </c>
      <c r="AP96" s="11">
        <f ca="1">IFERROR(OFFSET(ITEM_RES!$A$1,MATCH(AQ96,ITEM_RES!$J:$J,0)-1,0),0)</f>
        <v>0</v>
      </c>
      <c r="AQ96" s="10" t="s">
        <v>468</v>
      </c>
      <c r="AR96" s="11">
        <v>1500</v>
      </c>
      <c r="AU96" s="11">
        <f ca="1">IFERROR(OFFSET(ITEM_RES!$A$1,MATCH(AV96,ITEM_RES!$J:$J,0)-1,0),0)</f>
        <v>211020401</v>
      </c>
      <c r="AV96" s="10" t="s">
        <v>459</v>
      </c>
      <c r="AW96" s="11">
        <v>1500</v>
      </c>
      <c r="AZ96" s="11">
        <f ca="1">IFERROR(OFFSET(ITEM_RES!$A$1,MATCH(BA96,ITEM_RES!$J:$J,0)-1,0),0)</f>
        <v>0</v>
      </c>
      <c r="BE96" s="11">
        <f ca="1">IFERROR(OFFSET(ITEM_RES!$A$1,MATCH(BF96,ITEM_RES!$J:$J,0)-1,0),0)</f>
        <v>213010701</v>
      </c>
      <c r="BF96" s="10" t="s">
        <v>490</v>
      </c>
      <c r="BG96" s="11">
        <v>1</v>
      </c>
      <c r="BJ96" s="11">
        <f ca="1">IFERROR(OFFSET(ITEM_RES!$A$1,MATCH(BK96,ITEM_RES!$J:$J,0)-1,0),0)</f>
        <v>0</v>
      </c>
      <c r="BL96" s="11">
        <f t="shared" si="62"/>
        <v>0</v>
      </c>
    </row>
    <row r="97" spans="1:65" x14ac:dyDescent="0.3">
      <c r="A97" s="14">
        <f t="shared" si="59"/>
        <v>112010013</v>
      </c>
      <c r="B97" s="13">
        <v>11</v>
      </c>
      <c r="C97" s="12">
        <f t="shared" si="60"/>
        <v>2</v>
      </c>
      <c r="D97" s="13">
        <v>1</v>
      </c>
      <c r="E97" s="13">
        <v>0</v>
      </c>
      <c r="F97" s="12">
        <f t="shared" si="61"/>
        <v>13</v>
      </c>
      <c r="H97" s="9">
        <v>2</v>
      </c>
      <c r="I97" s="9">
        <v>13</v>
      </c>
      <c r="K97" s="9" t="s">
        <v>378</v>
      </c>
      <c r="L97" s="9">
        <v>1</v>
      </c>
      <c r="M97" s="9">
        <v>15</v>
      </c>
      <c r="R97" s="9" t="s">
        <v>795</v>
      </c>
      <c r="T97" s="86" t="s">
        <v>577</v>
      </c>
      <c r="U97" s="9">
        <f ca="1">IFERROR(OFFSET(ITEM_RES!$A$5,MATCH(BUILDING!T97,ITEM_RES!$J$5:$J$229,0)-1,0),0)</f>
        <v>211021101</v>
      </c>
      <c r="V97" s="11">
        <v>100</v>
      </c>
      <c r="W97" s="86" t="s">
        <v>576</v>
      </c>
      <c r="X97" s="9">
        <f ca="1">IFERROR(OFFSET(ITEM_RES!$A$5,MATCH(BUILDING!W97,ITEM_RES!$J$5:$J$229,0)-1,0),0)</f>
        <v>211010401</v>
      </c>
      <c r="Z97" s="9" t="s">
        <v>546</v>
      </c>
      <c r="AA97" s="9">
        <v>13</v>
      </c>
      <c r="AC97" s="9">
        <v>28000</v>
      </c>
      <c r="AE97" s="56">
        <f t="shared" si="26"/>
        <v>7350</v>
      </c>
      <c r="AF97" s="10">
        <f t="shared" si="58"/>
        <v>14150</v>
      </c>
      <c r="AH97" s="11">
        <f t="shared" si="23"/>
        <v>65</v>
      </c>
      <c r="AI97" s="10">
        <v>65</v>
      </c>
      <c r="AJ97" s="11">
        <f t="shared" si="63"/>
        <v>350</v>
      </c>
      <c r="AK97" s="10">
        <v>350</v>
      </c>
      <c r="AL97" s="11">
        <f t="shared" si="63"/>
        <v>350</v>
      </c>
      <c r="AM97" s="10">
        <v>350</v>
      </c>
      <c r="AN97" s="56">
        <f t="shared" si="29"/>
        <v>2</v>
      </c>
      <c r="AP97" s="11">
        <f ca="1">IFERROR(OFFSET(ITEM_RES!$A$1,MATCH(AQ97,ITEM_RES!$J:$J,0)-1,0),0)</f>
        <v>0</v>
      </c>
      <c r="AQ97" s="10" t="s">
        <v>468</v>
      </c>
      <c r="AR97" s="11">
        <v>1750</v>
      </c>
      <c r="AU97" s="11">
        <f ca="1">IFERROR(OFFSET(ITEM_RES!$A$1,MATCH(AV97,ITEM_RES!$J:$J,0)-1,0),0)</f>
        <v>211020401</v>
      </c>
      <c r="AV97" s="10" t="s">
        <v>459</v>
      </c>
      <c r="AW97" s="11">
        <v>1750</v>
      </c>
      <c r="AZ97" s="11">
        <f ca="1">IFERROR(OFFSET(ITEM_RES!$A$1,MATCH(BA97,ITEM_RES!$J:$J,0)-1,0),0)</f>
        <v>0</v>
      </c>
      <c r="BE97" s="11">
        <f ca="1">IFERROR(OFFSET(ITEM_RES!$A$1,MATCH(BF97,ITEM_RES!$J:$J,0)-1,0),0)</f>
        <v>0</v>
      </c>
      <c r="BJ97" s="11">
        <f ca="1">IFERROR(OFFSET(ITEM_RES!$A$1,MATCH(BK97,ITEM_RES!$J:$J,0)-1,0),0)</f>
        <v>0</v>
      </c>
      <c r="BL97" s="11">
        <f t="shared" si="62"/>
        <v>0</v>
      </c>
    </row>
    <row r="98" spans="1:65" x14ac:dyDescent="0.3">
      <c r="A98" s="14">
        <f t="shared" si="59"/>
        <v>112010014</v>
      </c>
      <c r="B98" s="13">
        <v>11</v>
      </c>
      <c r="C98" s="12">
        <f t="shared" si="60"/>
        <v>2</v>
      </c>
      <c r="D98" s="13">
        <v>1</v>
      </c>
      <c r="E98" s="13">
        <v>0</v>
      </c>
      <c r="F98" s="12">
        <f t="shared" si="61"/>
        <v>14</v>
      </c>
      <c r="H98" s="9">
        <v>2</v>
      </c>
      <c r="I98" s="9">
        <v>14</v>
      </c>
      <c r="K98" s="9" t="s">
        <v>378</v>
      </c>
      <c r="L98" s="9">
        <v>1</v>
      </c>
      <c r="M98" s="9">
        <v>15</v>
      </c>
      <c r="R98" s="9" t="s">
        <v>795</v>
      </c>
      <c r="T98" s="86" t="s">
        <v>577</v>
      </c>
      <c r="U98" s="9">
        <f ca="1">IFERROR(OFFSET(ITEM_RES!$A$5,MATCH(BUILDING!T98,ITEM_RES!$J$5:$J$229,0)-1,0),0)</f>
        <v>211021101</v>
      </c>
      <c r="V98" s="11">
        <v>100</v>
      </c>
      <c r="W98" s="86" t="s">
        <v>576</v>
      </c>
      <c r="X98" s="9">
        <f ca="1">IFERROR(OFFSET(ITEM_RES!$A$5,MATCH(BUILDING!W98,ITEM_RES!$J$5:$J$229,0)-1,0),0)</f>
        <v>211010401</v>
      </c>
      <c r="Z98" s="9" t="s">
        <v>546</v>
      </c>
      <c r="AA98" s="9">
        <v>14</v>
      </c>
      <c r="AC98" s="9">
        <v>36000</v>
      </c>
      <c r="AE98" s="56">
        <f t="shared" si="26"/>
        <v>9450</v>
      </c>
      <c r="AF98" s="10">
        <f t="shared" si="58"/>
        <v>16800</v>
      </c>
      <c r="AH98" s="11">
        <f t="shared" si="23"/>
        <v>70</v>
      </c>
      <c r="AI98" s="10">
        <v>70</v>
      </c>
      <c r="AJ98" s="11">
        <f t="shared" si="63"/>
        <v>450</v>
      </c>
      <c r="AK98" s="10">
        <v>450</v>
      </c>
      <c r="AL98" s="11">
        <f t="shared" si="63"/>
        <v>450</v>
      </c>
      <c r="AM98" s="10">
        <v>450</v>
      </c>
      <c r="AN98" s="56">
        <f t="shared" si="29"/>
        <v>2</v>
      </c>
      <c r="AP98" s="11">
        <f ca="1">IFERROR(OFFSET(ITEM_RES!$A$1,MATCH(AQ98,ITEM_RES!$J:$J,0)-1,0),0)</f>
        <v>0</v>
      </c>
      <c r="AQ98" s="10" t="s">
        <v>468</v>
      </c>
      <c r="AR98" s="11">
        <v>2250</v>
      </c>
      <c r="AU98" s="11">
        <f ca="1">IFERROR(OFFSET(ITEM_RES!$A$1,MATCH(AV98,ITEM_RES!$J:$J,0)-1,0),0)</f>
        <v>211020401</v>
      </c>
      <c r="AV98" s="10" t="s">
        <v>459</v>
      </c>
      <c r="AW98" s="11">
        <v>2250</v>
      </c>
      <c r="AZ98" s="11">
        <f ca="1">IFERROR(OFFSET(ITEM_RES!$A$1,MATCH(BA98,ITEM_RES!$J:$J,0)-1,0),0)</f>
        <v>0</v>
      </c>
      <c r="BE98" s="11">
        <f ca="1">IFERROR(OFFSET(ITEM_RES!$A$1,MATCH(BF98,ITEM_RES!$J:$J,0)-1,0),0)</f>
        <v>0</v>
      </c>
      <c r="BJ98" s="11">
        <f ca="1">IFERROR(OFFSET(ITEM_RES!$A$1,MATCH(BK98,ITEM_RES!$J:$J,0)-1,0),0)</f>
        <v>0</v>
      </c>
      <c r="BL98" s="11">
        <f t="shared" si="62"/>
        <v>0</v>
      </c>
    </row>
    <row r="99" spans="1:65" x14ac:dyDescent="0.3">
      <c r="A99" s="14">
        <f t="shared" si="59"/>
        <v>112010015</v>
      </c>
      <c r="B99" s="13">
        <v>11</v>
      </c>
      <c r="C99" s="12">
        <f t="shared" si="60"/>
        <v>2</v>
      </c>
      <c r="D99" s="13">
        <v>1</v>
      </c>
      <c r="E99" s="13">
        <v>0</v>
      </c>
      <c r="F99" s="12">
        <f t="shared" si="61"/>
        <v>15</v>
      </c>
      <c r="H99" s="9">
        <v>2</v>
      </c>
      <c r="I99" s="9">
        <v>15</v>
      </c>
      <c r="K99" s="9" t="s">
        <v>378</v>
      </c>
      <c r="L99" s="9">
        <v>1</v>
      </c>
      <c r="M99" s="9">
        <v>15</v>
      </c>
      <c r="R99" s="9" t="s">
        <v>795</v>
      </c>
      <c r="T99" s="86" t="s">
        <v>577</v>
      </c>
      <c r="U99" s="9">
        <f ca="1">IFERROR(OFFSET(ITEM_RES!$A$5,MATCH(BUILDING!T99,ITEM_RES!$J$5:$J$229,0)-1,0),0)</f>
        <v>211021101</v>
      </c>
      <c r="V99" s="11">
        <v>100</v>
      </c>
      <c r="W99" s="86" t="s">
        <v>576</v>
      </c>
      <c r="X99" s="9">
        <f ca="1">IFERROR(OFFSET(ITEM_RES!$A$5,MATCH(BUILDING!W99,ITEM_RES!$J$5:$J$229,0)-1,0),0)</f>
        <v>211010401</v>
      </c>
      <c r="Z99" s="9" t="s">
        <v>546</v>
      </c>
      <c r="AA99" s="9">
        <v>15</v>
      </c>
      <c r="AC99" s="9">
        <v>44000</v>
      </c>
      <c r="AE99" s="56">
        <f t="shared" si="26"/>
        <v>11550</v>
      </c>
      <c r="AF99" s="10">
        <f t="shared" si="58"/>
        <v>21000</v>
      </c>
      <c r="AH99" s="11">
        <f t="shared" si="23"/>
        <v>75</v>
      </c>
      <c r="AI99" s="10">
        <v>75</v>
      </c>
      <c r="AJ99" s="11">
        <f t="shared" si="63"/>
        <v>550</v>
      </c>
      <c r="AK99" s="10">
        <v>550</v>
      </c>
      <c r="AL99" s="11">
        <f t="shared" si="63"/>
        <v>550</v>
      </c>
      <c r="AM99" s="10">
        <v>550</v>
      </c>
      <c r="AN99" s="56">
        <f t="shared" si="29"/>
        <v>2</v>
      </c>
      <c r="AP99" s="11">
        <f ca="1">IFERROR(OFFSET(ITEM_RES!$A$1,MATCH(AQ99,ITEM_RES!$J:$J,0)-1,0),0)</f>
        <v>0</v>
      </c>
      <c r="AQ99" s="10" t="s">
        <v>468</v>
      </c>
      <c r="AR99" s="11">
        <v>2750</v>
      </c>
      <c r="AU99" s="11">
        <f ca="1">IFERROR(OFFSET(ITEM_RES!$A$1,MATCH(AV99,ITEM_RES!$J:$J,0)-1,0),0)</f>
        <v>211020501</v>
      </c>
      <c r="AV99" s="10" t="s">
        <v>455</v>
      </c>
      <c r="AW99" s="11">
        <v>2750</v>
      </c>
      <c r="AZ99" s="11">
        <f ca="1">IFERROR(OFFSET(ITEM_RES!$A$1,MATCH(BA99,ITEM_RES!$J:$J,0)-1,0),0)</f>
        <v>0</v>
      </c>
      <c r="BE99" s="11">
        <f ca="1">IFERROR(OFFSET(ITEM_RES!$A$1,MATCH(BF99,ITEM_RES!$J:$J,0)-1,0),0)</f>
        <v>0</v>
      </c>
      <c r="BJ99" s="11">
        <f ca="1">IFERROR(OFFSET(ITEM_RES!$A$1,MATCH(BK99,ITEM_RES!$J:$J,0)-1,0),0)</f>
        <v>0</v>
      </c>
      <c r="BL99" s="11">
        <f t="shared" si="62"/>
        <v>0</v>
      </c>
    </row>
    <row r="100" spans="1:65" x14ac:dyDescent="0.3">
      <c r="A100" s="14">
        <f t="shared" si="59"/>
        <v>112010016</v>
      </c>
      <c r="B100" s="13">
        <v>11</v>
      </c>
      <c r="C100" s="12">
        <f t="shared" si="60"/>
        <v>2</v>
      </c>
      <c r="D100" s="13">
        <v>1</v>
      </c>
      <c r="E100" s="13">
        <v>0</v>
      </c>
      <c r="F100" s="12">
        <f t="shared" si="61"/>
        <v>16</v>
      </c>
      <c r="H100" s="9">
        <v>2</v>
      </c>
      <c r="I100" s="9">
        <v>16</v>
      </c>
      <c r="K100" s="9" t="s">
        <v>378</v>
      </c>
      <c r="L100" s="9">
        <v>0</v>
      </c>
      <c r="M100" s="9">
        <v>15</v>
      </c>
      <c r="R100" s="9" t="s">
        <v>795</v>
      </c>
      <c r="T100" s="86" t="s">
        <v>577</v>
      </c>
      <c r="U100" s="9">
        <f ca="1">IFERROR(OFFSET(ITEM_RES!$A$5,MATCH(BUILDING!T100,ITEM_RES!$J$5:$J$229,0)-1,0),0)</f>
        <v>211021101</v>
      </c>
      <c r="V100" s="11">
        <v>100</v>
      </c>
      <c r="W100" s="86" t="s">
        <v>576</v>
      </c>
      <c r="X100" s="9">
        <f ca="1">IFERROR(OFFSET(ITEM_RES!$A$5,MATCH(BUILDING!W100,ITEM_RES!$J$5:$J$229,0)-1,0),0)</f>
        <v>211010401</v>
      </c>
      <c r="Z100" s="9" t="s">
        <v>546</v>
      </c>
      <c r="AA100" s="9">
        <v>16</v>
      </c>
      <c r="AC100" s="9">
        <v>56000</v>
      </c>
      <c r="AE100" s="56">
        <f t="shared" si="26"/>
        <v>14700</v>
      </c>
      <c r="AF100" s="10">
        <f t="shared" si="58"/>
        <v>26250</v>
      </c>
      <c r="AH100" s="11">
        <f t="shared" si="23"/>
        <v>80</v>
      </c>
      <c r="AI100" s="10">
        <v>80</v>
      </c>
      <c r="AJ100" s="11">
        <f t="shared" si="63"/>
        <v>700</v>
      </c>
      <c r="AK100" s="10">
        <v>700</v>
      </c>
      <c r="AL100" s="11">
        <f t="shared" si="63"/>
        <v>700</v>
      </c>
      <c r="AM100" s="10">
        <v>700</v>
      </c>
      <c r="AN100" s="56">
        <f t="shared" si="29"/>
        <v>2</v>
      </c>
      <c r="AP100" s="11">
        <f ca="1">IFERROR(OFFSET(ITEM_RES!$A$1,MATCH(AQ100,ITEM_RES!$J:$J,0)-1,0),0)</f>
        <v>0</v>
      </c>
      <c r="AQ100" s="10" t="s">
        <v>468</v>
      </c>
      <c r="AR100" s="11">
        <v>3500</v>
      </c>
      <c r="AU100" s="11">
        <f ca="1">IFERROR(OFFSET(ITEM_RES!$A$1,MATCH(AV100,ITEM_RES!$J:$J,0)-1,0),0)</f>
        <v>211020501</v>
      </c>
      <c r="AV100" s="10" t="s">
        <v>455</v>
      </c>
      <c r="AW100" s="11">
        <v>3500</v>
      </c>
      <c r="AZ100" s="11">
        <f ca="1">IFERROR(OFFSET(ITEM_RES!$A$1,MATCH(BA100,ITEM_RES!$J:$J,0)-1,0),0)</f>
        <v>0</v>
      </c>
      <c r="BE100" s="11">
        <f ca="1">IFERROR(OFFSET(ITEM_RES!$A$1,MATCH(BF100,ITEM_RES!$J:$J,0)-1,0),0)</f>
        <v>0</v>
      </c>
      <c r="BJ100" s="11">
        <f ca="1">IFERROR(OFFSET(ITEM_RES!$A$1,MATCH(BK100,ITEM_RES!$J:$J,0)-1,0),0)</f>
        <v>0</v>
      </c>
      <c r="BL100" s="11">
        <f t="shared" si="62"/>
        <v>0</v>
      </c>
    </row>
    <row r="101" spans="1:65" x14ac:dyDescent="0.3">
      <c r="A101" s="14">
        <f t="shared" si="59"/>
        <v>112010017</v>
      </c>
      <c r="B101" s="13">
        <v>11</v>
      </c>
      <c r="C101" s="12">
        <f t="shared" si="60"/>
        <v>2</v>
      </c>
      <c r="D101" s="13">
        <v>1</v>
      </c>
      <c r="E101" s="13">
        <v>0</v>
      </c>
      <c r="F101" s="12">
        <f t="shared" si="61"/>
        <v>17</v>
      </c>
      <c r="H101" s="9">
        <v>2</v>
      </c>
      <c r="I101" s="9">
        <v>17</v>
      </c>
      <c r="K101" s="9" t="s">
        <v>378</v>
      </c>
      <c r="L101" s="9">
        <v>0</v>
      </c>
      <c r="M101" s="9">
        <v>15</v>
      </c>
      <c r="R101" s="9" t="s">
        <v>795</v>
      </c>
      <c r="T101" s="86" t="s">
        <v>577</v>
      </c>
      <c r="U101" s="9">
        <f ca="1">IFERROR(OFFSET(ITEM_RES!$A$5,MATCH(BUILDING!T101,ITEM_RES!$J$5:$J$229,0)-1,0),0)</f>
        <v>211021101</v>
      </c>
      <c r="V101" s="11">
        <v>100</v>
      </c>
      <c r="W101" s="86" t="s">
        <v>576</v>
      </c>
      <c r="X101" s="9">
        <f ca="1">IFERROR(OFFSET(ITEM_RES!$A$5,MATCH(BUILDING!W101,ITEM_RES!$J$5:$J$229,0)-1,0),0)</f>
        <v>211010401</v>
      </c>
      <c r="Z101" s="9" t="s">
        <v>546</v>
      </c>
      <c r="AA101" s="9">
        <v>17</v>
      </c>
      <c r="AC101" s="9">
        <v>68000</v>
      </c>
      <c r="AE101" s="56">
        <f t="shared" si="26"/>
        <v>17850</v>
      </c>
      <c r="AF101" s="10">
        <f t="shared" si="58"/>
        <v>32550</v>
      </c>
      <c r="AH101" s="11">
        <f t="shared" si="23"/>
        <v>85</v>
      </c>
      <c r="AI101" s="10">
        <v>85</v>
      </c>
      <c r="AJ101" s="11">
        <f t="shared" si="63"/>
        <v>850</v>
      </c>
      <c r="AK101" s="10">
        <v>850</v>
      </c>
      <c r="AL101" s="11">
        <f t="shared" si="63"/>
        <v>850</v>
      </c>
      <c r="AM101" s="10">
        <v>850</v>
      </c>
      <c r="AN101" s="56">
        <f t="shared" si="29"/>
        <v>2</v>
      </c>
      <c r="AP101" s="11">
        <f ca="1">IFERROR(OFFSET(ITEM_RES!$A$1,MATCH(AQ101,ITEM_RES!$J:$J,0)-1,0),0)</f>
        <v>0</v>
      </c>
      <c r="AQ101" s="10" t="s">
        <v>468</v>
      </c>
      <c r="AR101" s="11">
        <v>4250</v>
      </c>
      <c r="AU101" s="11">
        <f ca="1">IFERROR(OFFSET(ITEM_RES!$A$1,MATCH(AV101,ITEM_RES!$J:$J,0)-1,0),0)</f>
        <v>211020501</v>
      </c>
      <c r="AV101" s="10" t="s">
        <v>455</v>
      </c>
      <c r="AW101" s="11">
        <v>4250</v>
      </c>
      <c r="AZ101" s="11">
        <f ca="1">IFERROR(OFFSET(ITEM_RES!$A$1,MATCH(BA101,ITEM_RES!$J:$J,0)-1,0),0)</f>
        <v>0</v>
      </c>
      <c r="BE101" s="11">
        <f ca="1">IFERROR(OFFSET(ITEM_RES!$A$1,MATCH(BF101,ITEM_RES!$J:$J,0)-1,0),0)</f>
        <v>0</v>
      </c>
      <c r="BJ101" s="11">
        <f ca="1">IFERROR(OFFSET(ITEM_RES!$A$1,MATCH(BK101,ITEM_RES!$J:$J,0)-1,0),0)</f>
        <v>0</v>
      </c>
      <c r="BL101" s="11">
        <f t="shared" si="62"/>
        <v>0</v>
      </c>
    </row>
    <row r="102" spans="1:65" x14ac:dyDescent="0.3">
      <c r="A102" s="14">
        <f t="shared" si="59"/>
        <v>112010018</v>
      </c>
      <c r="B102" s="13">
        <v>11</v>
      </c>
      <c r="C102" s="12">
        <f t="shared" si="60"/>
        <v>2</v>
      </c>
      <c r="D102" s="13">
        <v>1</v>
      </c>
      <c r="E102" s="13">
        <v>0</v>
      </c>
      <c r="F102" s="12">
        <f t="shared" si="61"/>
        <v>18</v>
      </c>
      <c r="H102" s="9">
        <v>2</v>
      </c>
      <c r="I102" s="9">
        <v>18</v>
      </c>
      <c r="K102" s="9" t="s">
        <v>378</v>
      </c>
      <c r="L102" s="9">
        <v>0</v>
      </c>
      <c r="M102" s="9">
        <v>15</v>
      </c>
      <c r="R102" s="9" t="s">
        <v>795</v>
      </c>
      <c r="T102" s="86" t="s">
        <v>577</v>
      </c>
      <c r="U102" s="9">
        <f ca="1">IFERROR(OFFSET(ITEM_RES!$A$5,MATCH(BUILDING!T102,ITEM_RES!$J$5:$J$229,0)-1,0),0)</f>
        <v>211021101</v>
      </c>
      <c r="V102" s="11">
        <v>100</v>
      </c>
      <c r="W102" s="86" t="s">
        <v>576</v>
      </c>
      <c r="X102" s="9">
        <f ca="1">IFERROR(OFFSET(ITEM_RES!$A$5,MATCH(BUILDING!W102,ITEM_RES!$J$5:$J$229,0)-1,0),0)</f>
        <v>211010401</v>
      </c>
      <c r="Z102" s="9" t="s">
        <v>546</v>
      </c>
      <c r="AA102" s="9">
        <v>18</v>
      </c>
      <c r="AC102" s="9">
        <v>84000</v>
      </c>
      <c r="AE102" s="56">
        <f t="shared" si="26"/>
        <v>22050</v>
      </c>
      <c r="AF102" s="10">
        <f t="shared" si="58"/>
        <v>39900</v>
      </c>
      <c r="AH102" s="11">
        <f t="shared" si="23"/>
        <v>90</v>
      </c>
      <c r="AI102" s="10">
        <v>90</v>
      </c>
      <c r="AJ102" s="11">
        <f t="shared" si="63"/>
        <v>1050</v>
      </c>
      <c r="AK102" s="10">
        <v>1050</v>
      </c>
      <c r="AL102" s="11">
        <f t="shared" si="63"/>
        <v>1050</v>
      </c>
      <c r="AM102" s="10">
        <v>1050</v>
      </c>
      <c r="AN102" s="56">
        <f t="shared" si="29"/>
        <v>2</v>
      </c>
      <c r="AP102" s="11">
        <f ca="1">IFERROR(OFFSET(ITEM_RES!$A$1,MATCH(AQ102,ITEM_RES!$J:$J,0)-1,0),0)</f>
        <v>0</v>
      </c>
      <c r="AQ102" s="10" t="s">
        <v>480</v>
      </c>
      <c r="AR102" s="11">
        <v>5250</v>
      </c>
      <c r="AU102" s="11">
        <f ca="1">IFERROR(OFFSET(ITEM_RES!$A$1,MATCH(AV102,ITEM_RES!$J:$J,0)-1,0),0)</f>
        <v>211020501</v>
      </c>
      <c r="AV102" s="10" t="s">
        <v>455</v>
      </c>
      <c r="AW102" s="11">
        <v>5250</v>
      </c>
      <c r="AZ102" s="11">
        <f ca="1">IFERROR(OFFSET(ITEM_RES!$A$1,MATCH(BA102,ITEM_RES!$J:$J,0)-1,0),0)</f>
        <v>0</v>
      </c>
      <c r="BE102" s="11">
        <f ca="1">IFERROR(OFFSET(ITEM_RES!$A$1,MATCH(BF102,ITEM_RES!$J:$J,0)-1,0),0)</f>
        <v>0</v>
      </c>
      <c r="BJ102" s="11">
        <f ca="1">IFERROR(OFFSET(ITEM_RES!$A$1,MATCH(BK102,ITEM_RES!$J:$J,0)-1,0),0)</f>
        <v>0</v>
      </c>
      <c r="BL102" s="11">
        <f t="shared" si="62"/>
        <v>0</v>
      </c>
    </row>
    <row r="103" spans="1:65" x14ac:dyDescent="0.3">
      <c r="A103" s="14">
        <f t="shared" si="59"/>
        <v>112010019</v>
      </c>
      <c r="B103" s="13">
        <v>11</v>
      </c>
      <c r="C103" s="12">
        <f t="shared" si="60"/>
        <v>2</v>
      </c>
      <c r="D103" s="13">
        <v>1</v>
      </c>
      <c r="E103" s="13">
        <v>0</v>
      </c>
      <c r="F103" s="12">
        <f t="shared" si="61"/>
        <v>19</v>
      </c>
      <c r="H103" s="9">
        <v>2</v>
      </c>
      <c r="I103" s="9">
        <v>19</v>
      </c>
      <c r="K103" s="9" t="s">
        <v>378</v>
      </c>
      <c r="L103" s="9">
        <v>0</v>
      </c>
      <c r="M103" s="9">
        <v>15</v>
      </c>
      <c r="R103" s="9" t="s">
        <v>795</v>
      </c>
      <c r="T103" s="86" t="s">
        <v>577</v>
      </c>
      <c r="U103" s="9">
        <f ca="1">IFERROR(OFFSET(ITEM_RES!$A$5,MATCH(BUILDING!T103,ITEM_RES!$J$5:$J$229,0)-1,0),0)</f>
        <v>211021101</v>
      </c>
      <c r="V103" s="11">
        <v>100</v>
      </c>
      <c r="W103" s="86" t="s">
        <v>576</v>
      </c>
      <c r="X103" s="9">
        <f ca="1">IFERROR(OFFSET(ITEM_RES!$A$5,MATCH(BUILDING!W103,ITEM_RES!$J$5:$J$229,0)-1,0),0)</f>
        <v>211010401</v>
      </c>
      <c r="Z103" s="9" t="s">
        <v>546</v>
      </c>
      <c r="AA103" s="9">
        <v>19</v>
      </c>
      <c r="AC103" s="9">
        <v>100000</v>
      </c>
      <c r="AE103" s="56">
        <f t="shared" si="26"/>
        <v>26250</v>
      </c>
      <c r="AF103" s="10">
        <f t="shared" si="58"/>
        <v>48300</v>
      </c>
      <c r="AH103" s="11">
        <f t="shared" si="23"/>
        <v>95</v>
      </c>
      <c r="AI103" s="10">
        <v>95</v>
      </c>
      <c r="AJ103" s="11">
        <f t="shared" si="63"/>
        <v>1250</v>
      </c>
      <c r="AK103" s="10">
        <v>1250</v>
      </c>
      <c r="AL103" s="11">
        <f t="shared" si="63"/>
        <v>1250</v>
      </c>
      <c r="AM103" s="10">
        <v>1250</v>
      </c>
      <c r="AN103" s="56">
        <f t="shared" si="29"/>
        <v>2</v>
      </c>
      <c r="AP103" s="11">
        <f ca="1">IFERROR(OFFSET(ITEM_RES!$A$1,MATCH(AQ103,ITEM_RES!$J:$J,0)-1,0),0)</f>
        <v>0</v>
      </c>
      <c r="AQ103" s="10" t="s">
        <v>480</v>
      </c>
      <c r="AR103" s="11">
        <v>6250</v>
      </c>
      <c r="AU103" s="11">
        <f ca="1">IFERROR(OFFSET(ITEM_RES!$A$1,MATCH(AV103,ITEM_RES!$J:$J,0)-1,0),0)</f>
        <v>211020501</v>
      </c>
      <c r="AV103" s="10" t="s">
        <v>455</v>
      </c>
      <c r="AW103" s="11">
        <v>6250</v>
      </c>
      <c r="AZ103" s="11">
        <f ca="1">IFERROR(OFFSET(ITEM_RES!$A$1,MATCH(BA103,ITEM_RES!$J:$J,0)-1,0),0)</f>
        <v>0</v>
      </c>
      <c r="BE103" s="11">
        <f ca="1">IFERROR(OFFSET(ITEM_RES!$A$1,MATCH(BF103,ITEM_RES!$J:$J,0)-1,0),0)</f>
        <v>0</v>
      </c>
      <c r="BJ103" s="11">
        <f ca="1">IFERROR(OFFSET(ITEM_RES!$A$1,MATCH(BK103,ITEM_RES!$J:$J,0)-1,0),0)</f>
        <v>0</v>
      </c>
      <c r="BL103" s="11">
        <f t="shared" si="62"/>
        <v>0</v>
      </c>
    </row>
    <row r="104" spans="1:65" ht="17.25" thickBot="1" x14ac:dyDescent="0.35">
      <c r="A104" s="14">
        <f t="shared" si="59"/>
        <v>112010020</v>
      </c>
      <c r="B104" s="13">
        <v>11</v>
      </c>
      <c r="C104" s="12">
        <f t="shared" si="60"/>
        <v>2</v>
      </c>
      <c r="D104" s="13">
        <v>1</v>
      </c>
      <c r="E104" s="13">
        <v>0</v>
      </c>
      <c r="F104" s="12">
        <f t="shared" si="61"/>
        <v>20</v>
      </c>
      <c r="H104" s="9">
        <v>2</v>
      </c>
      <c r="I104" s="9">
        <v>20</v>
      </c>
      <c r="K104" s="9" t="s">
        <v>378</v>
      </c>
      <c r="L104" s="9">
        <v>0</v>
      </c>
      <c r="M104" s="9">
        <v>15</v>
      </c>
      <c r="R104" s="9" t="s">
        <v>795</v>
      </c>
      <c r="T104" s="86" t="s">
        <v>577</v>
      </c>
      <c r="U104" s="9">
        <f ca="1">IFERROR(OFFSET(ITEM_RES!$A$5,MATCH(BUILDING!T104,ITEM_RES!$J$5:$J$229,0)-1,0),0)</f>
        <v>211021101</v>
      </c>
      <c r="V104" s="11">
        <v>100</v>
      </c>
      <c r="W104" s="86" t="s">
        <v>576</v>
      </c>
      <c r="X104" s="9">
        <f ca="1">IFERROR(OFFSET(ITEM_RES!$A$5,MATCH(BUILDING!W104,ITEM_RES!$J$5:$J$229,0)-1,0),0)</f>
        <v>211010401</v>
      </c>
      <c r="Z104" s="9" t="s">
        <v>546</v>
      </c>
      <c r="AA104" s="9">
        <v>20</v>
      </c>
      <c r="AC104" s="9">
        <v>120000</v>
      </c>
      <c r="AE104" s="56">
        <f t="shared" si="26"/>
        <v>31500</v>
      </c>
      <c r="AF104" s="10">
        <f t="shared" si="58"/>
        <v>57750</v>
      </c>
      <c r="AH104" s="11">
        <f t="shared" si="23"/>
        <v>100</v>
      </c>
      <c r="AI104" s="10">
        <v>100</v>
      </c>
      <c r="AJ104" s="11">
        <f t="shared" si="63"/>
        <v>1500</v>
      </c>
      <c r="AK104" s="10">
        <v>1500</v>
      </c>
      <c r="AL104" s="11">
        <f t="shared" si="63"/>
        <v>1500</v>
      </c>
      <c r="AM104" s="10">
        <v>1500</v>
      </c>
      <c r="AN104" s="56">
        <f t="shared" si="29"/>
        <v>2</v>
      </c>
      <c r="AP104" s="11">
        <f ca="1">IFERROR(OFFSET(ITEM_RES!$A$1,MATCH(AQ104,ITEM_RES!$J:$J,0)-1,0),0)</f>
        <v>0</v>
      </c>
      <c r="AQ104" s="10" t="s">
        <v>480</v>
      </c>
      <c r="AR104" s="11">
        <v>7500</v>
      </c>
      <c r="AU104" s="11">
        <f ca="1">IFERROR(OFFSET(ITEM_RES!$A$1,MATCH(AV104,ITEM_RES!$J:$J,0)-1,0),0)</f>
        <v>211020501</v>
      </c>
      <c r="AV104" s="10" t="s">
        <v>455</v>
      </c>
      <c r="AW104" s="11">
        <v>7500</v>
      </c>
      <c r="AZ104" s="11">
        <f ca="1">IFERROR(OFFSET(ITEM_RES!$A$1,MATCH(BA104,ITEM_RES!$J:$J,0)-1,0),0)</f>
        <v>0</v>
      </c>
      <c r="BE104" s="11">
        <f ca="1">IFERROR(OFFSET(ITEM_RES!$A$1,MATCH(BF104,ITEM_RES!$J:$J,0)-1,0),0)</f>
        <v>0</v>
      </c>
      <c r="BJ104" s="11">
        <f ca="1">IFERROR(OFFSET(ITEM_RES!$A$1,MATCH(BK104,ITEM_RES!$J:$J,0)-1,0),0)</f>
        <v>0</v>
      </c>
      <c r="BL104" s="11">
        <f t="shared" si="62"/>
        <v>0</v>
      </c>
    </row>
    <row r="105" spans="1:65" s="15" customFormat="1" x14ac:dyDescent="0.3">
      <c r="A105" s="21">
        <f t="shared" si="59"/>
        <v>112020001</v>
      </c>
      <c r="B105" s="20">
        <v>11</v>
      </c>
      <c r="C105" s="19">
        <f t="shared" si="60"/>
        <v>2</v>
      </c>
      <c r="D105" s="20">
        <v>2</v>
      </c>
      <c r="E105" s="20">
        <v>0</v>
      </c>
      <c r="F105" s="19">
        <f t="shared" si="61"/>
        <v>1</v>
      </c>
      <c r="G105" s="80"/>
      <c r="H105" s="16">
        <v>2</v>
      </c>
      <c r="I105" s="16">
        <v>1</v>
      </c>
      <c r="J105" s="80"/>
      <c r="K105" s="67" t="s">
        <v>377</v>
      </c>
      <c r="L105" s="16">
        <v>1</v>
      </c>
      <c r="M105" s="16">
        <v>15</v>
      </c>
      <c r="N105" s="16"/>
      <c r="O105" s="17"/>
      <c r="P105" s="17"/>
      <c r="Q105" s="18"/>
      <c r="R105" s="16" t="s">
        <v>796</v>
      </c>
      <c r="S105" s="80"/>
      <c r="T105" s="88" t="s">
        <v>584</v>
      </c>
      <c r="U105" s="16">
        <f ca="1">IFERROR(OFFSET(ITEM_RES!$A$5,MATCH(BUILDING!T105,ITEM_RES!$J$5:$J$229,0)-1,0),0)</f>
        <v>211021001</v>
      </c>
      <c r="V105" s="18">
        <v>10</v>
      </c>
      <c r="W105" s="88" t="s">
        <v>577</v>
      </c>
      <c r="X105" s="16">
        <f ca="1">IFERROR(OFFSET(ITEM_RES!$A$5,MATCH(BUILDING!W105,ITEM_RES!$J$5:$J$229,0)-1,0),0)</f>
        <v>211021101</v>
      </c>
      <c r="Y105" s="80"/>
      <c r="Z105" s="16" t="s">
        <v>547</v>
      </c>
      <c r="AA105" s="16">
        <v>1</v>
      </c>
      <c r="AB105" s="80"/>
      <c r="AC105" s="16">
        <v>0</v>
      </c>
      <c r="AD105" s="80"/>
      <c r="AE105" s="57">
        <f t="shared" si="26"/>
        <v>605</v>
      </c>
      <c r="AF105" s="17">
        <f>AE105</f>
        <v>605</v>
      </c>
      <c r="AG105" s="80"/>
      <c r="AH105" s="18">
        <f t="shared" si="23"/>
        <v>5</v>
      </c>
      <c r="AI105" s="17">
        <v>5</v>
      </c>
      <c r="AJ105" s="18">
        <f t="shared" si="63"/>
        <v>5</v>
      </c>
      <c r="AK105" s="17">
        <v>5</v>
      </c>
      <c r="AL105" s="18">
        <f t="shared" si="63"/>
        <v>5</v>
      </c>
      <c r="AM105" s="17">
        <v>5</v>
      </c>
      <c r="AN105" s="57">
        <f t="shared" si="29"/>
        <v>3</v>
      </c>
      <c r="AO105" s="18"/>
      <c r="AP105" s="18">
        <f ca="1">IFERROR(OFFSET(ITEM_RES!$A$1,MATCH(AQ105,ITEM_RES!$J:$J,0)-1,0),0)</f>
        <v>211020201</v>
      </c>
      <c r="AQ105" s="17" t="s">
        <v>453</v>
      </c>
      <c r="AR105" s="18">
        <v>25</v>
      </c>
      <c r="AS105" s="17"/>
      <c r="AT105" s="18"/>
      <c r="AU105" s="18">
        <f ca="1">IFERROR(OFFSET(ITEM_RES!$A$1,MATCH(AV105,ITEM_RES!$J:$J,0)-1,0),0)</f>
        <v>211020401</v>
      </c>
      <c r="AV105" s="17" t="s">
        <v>444</v>
      </c>
      <c r="AW105" s="18">
        <v>25</v>
      </c>
      <c r="AX105" s="17"/>
      <c r="AY105" s="18"/>
      <c r="AZ105" s="18">
        <f ca="1">IFERROR(OFFSET(ITEM_RES!$A$1,MATCH(BA105,ITEM_RES!$J:$J,0)-1,0),0)</f>
        <v>213010101</v>
      </c>
      <c r="BA105" s="17" t="s">
        <v>481</v>
      </c>
      <c r="BB105" s="18">
        <v>1</v>
      </c>
      <c r="BC105" s="17"/>
      <c r="BD105" s="18"/>
      <c r="BE105" s="18">
        <f ca="1">IFERROR(OFFSET(ITEM_RES!$A$1,MATCH(BF105,ITEM_RES!$J:$J,0)-1,0),0)</f>
        <v>0</v>
      </c>
      <c r="BF105" s="17"/>
      <c r="BG105" s="18"/>
      <c r="BH105" s="17"/>
      <c r="BI105" s="18"/>
      <c r="BJ105" s="18">
        <f ca="1">IFERROR(OFFSET(ITEM_RES!$A$1,MATCH(BK105,ITEM_RES!$J:$J,0)-1,0),0)</f>
        <v>0</v>
      </c>
      <c r="BK105" s="17"/>
      <c r="BL105" s="18">
        <f t="shared" si="62"/>
        <v>0</v>
      </c>
      <c r="BM105" s="17"/>
    </row>
    <row r="106" spans="1:65" x14ac:dyDescent="0.3">
      <c r="A106" s="14">
        <f t="shared" si="59"/>
        <v>112020002</v>
      </c>
      <c r="B106" s="13">
        <v>11</v>
      </c>
      <c r="C106" s="12">
        <f t="shared" si="60"/>
        <v>2</v>
      </c>
      <c r="D106" s="13">
        <v>2</v>
      </c>
      <c r="E106" s="13">
        <v>0</v>
      </c>
      <c r="F106" s="12">
        <f t="shared" si="61"/>
        <v>2</v>
      </c>
      <c r="H106" s="9">
        <v>2</v>
      </c>
      <c r="I106" s="9">
        <v>2</v>
      </c>
      <c r="K106" s="9" t="s">
        <v>377</v>
      </c>
      <c r="L106" s="9">
        <v>1</v>
      </c>
      <c r="M106" s="9">
        <v>15</v>
      </c>
      <c r="R106" s="9" t="s">
        <v>796</v>
      </c>
      <c r="T106" s="86" t="s">
        <v>423</v>
      </c>
      <c r="U106" s="9">
        <f ca="1">IFERROR(OFFSET(ITEM_RES!$A$5,MATCH(BUILDING!T106,ITEM_RES!$J$5:$J$229,0)-1,0),0)</f>
        <v>211021001</v>
      </c>
      <c r="V106" s="11">
        <v>10</v>
      </c>
      <c r="W106" s="86" t="s">
        <v>577</v>
      </c>
      <c r="X106" s="9">
        <f ca="1">IFERROR(OFFSET(ITEM_RES!$A$5,MATCH(BUILDING!W106,ITEM_RES!$J$5:$J$229,0)-1,0),0)</f>
        <v>211021101</v>
      </c>
      <c r="Z106" s="9" t="s">
        <v>547</v>
      </c>
      <c r="AA106" s="9">
        <v>2</v>
      </c>
      <c r="AC106" s="9">
        <v>800</v>
      </c>
      <c r="AE106" s="56">
        <f t="shared" si="26"/>
        <v>210</v>
      </c>
      <c r="AF106" s="10">
        <f>AE105+AE106</f>
        <v>815</v>
      </c>
      <c r="AH106" s="11">
        <f t="shared" si="23"/>
        <v>10</v>
      </c>
      <c r="AI106" s="10">
        <v>10</v>
      </c>
      <c r="AJ106" s="11">
        <f t="shared" si="63"/>
        <v>10</v>
      </c>
      <c r="AK106" s="10">
        <v>10</v>
      </c>
      <c r="AL106" s="11">
        <f t="shared" si="63"/>
        <v>10</v>
      </c>
      <c r="AM106" s="10">
        <v>10</v>
      </c>
      <c r="AN106" s="56">
        <f t="shared" si="29"/>
        <v>2</v>
      </c>
      <c r="AP106" s="11">
        <f ca="1">IFERROR(OFFSET(ITEM_RES!$A$1,MATCH(AQ106,ITEM_RES!$J:$J,0)-1,0),0)</f>
        <v>211020201</v>
      </c>
      <c r="AQ106" s="10" t="s">
        <v>454</v>
      </c>
      <c r="AR106" s="11">
        <v>50</v>
      </c>
      <c r="AU106" s="11">
        <f ca="1">IFERROR(OFFSET(ITEM_RES!$A$1,MATCH(AV106,ITEM_RES!$J:$J,0)-1,0),0)</f>
        <v>211020401</v>
      </c>
      <c r="AV106" s="10" t="s">
        <v>444</v>
      </c>
      <c r="AW106" s="11">
        <v>50</v>
      </c>
      <c r="AZ106" s="11">
        <f ca="1">IFERROR(OFFSET(ITEM_RES!$A$1,MATCH(BA106,ITEM_RES!$J:$J,0)-1,0),0)</f>
        <v>0</v>
      </c>
      <c r="BE106" s="11">
        <f ca="1">IFERROR(OFFSET(ITEM_RES!$A$1,MATCH(BF106,ITEM_RES!$J:$J,0)-1,0),0)</f>
        <v>0</v>
      </c>
      <c r="BJ106" s="11">
        <f ca="1">IFERROR(OFFSET(ITEM_RES!$A$1,MATCH(BK106,ITEM_RES!$J:$J,0)-1,0),0)</f>
        <v>0</v>
      </c>
      <c r="BL106" s="11">
        <f t="shared" si="62"/>
        <v>0</v>
      </c>
    </row>
    <row r="107" spans="1:65" x14ac:dyDescent="0.3">
      <c r="A107" s="14">
        <f t="shared" si="59"/>
        <v>112020003</v>
      </c>
      <c r="B107" s="13">
        <v>11</v>
      </c>
      <c r="C107" s="12">
        <f t="shared" si="60"/>
        <v>2</v>
      </c>
      <c r="D107" s="13">
        <v>2</v>
      </c>
      <c r="E107" s="13">
        <v>0</v>
      </c>
      <c r="F107" s="12">
        <f t="shared" si="61"/>
        <v>3</v>
      </c>
      <c r="H107" s="9">
        <v>2</v>
      </c>
      <c r="I107" s="9">
        <v>3</v>
      </c>
      <c r="K107" s="9" t="s">
        <v>377</v>
      </c>
      <c r="L107" s="9">
        <v>1</v>
      </c>
      <c r="M107" s="9">
        <v>15</v>
      </c>
      <c r="R107" s="9" t="s">
        <v>796</v>
      </c>
      <c r="T107" s="86" t="s">
        <v>423</v>
      </c>
      <c r="U107" s="9">
        <f ca="1">IFERROR(OFFSET(ITEM_RES!$A$5,MATCH(BUILDING!T107,ITEM_RES!$J$5:$J$229,0)-1,0),0)</f>
        <v>211021001</v>
      </c>
      <c r="V107" s="11">
        <v>10</v>
      </c>
      <c r="W107" s="86" t="s">
        <v>577</v>
      </c>
      <c r="X107" s="9">
        <f ca="1">IFERROR(OFFSET(ITEM_RES!$A$5,MATCH(BUILDING!W107,ITEM_RES!$J$5:$J$229,0)-1,0),0)</f>
        <v>211021101</v>
      </c>
      <c r="Z107" s="9" t="s">
        <v>547</v>
      </c>
      <c r="AA107" s="9">
        <v>3</v>
      </c>
      <c r="AC107" s="9">
        <v>1200</v>
      </c>
      <c r="AE107" s="56">
        <f t="shared" si="26"/>
        <v>315</v>
      </c>
      <c r="AF107" s="10">
        <f t="shared" ref="AF107:AF124" si="64">AE106+AE107</f>
        <v>525</v>
      </c>
      <c r="AH107" s="11">
        <f t="shared" si="23"/>
        <v>15</v>
      </c>
      <c r="AI107" s="10">
        <v>15</v>
      </c>
      <c r="AJ107" s="11">
        <f t="shared" si="63"/>
        <v>15</v>
      </c>
      <c r="AK107" s="10">
        <v>15</v>
      </c>
      <c r="AL107" s="11">
        <f t="shared" si="63"/>
        <v>15</v>
      </c>
      <c r="AM107" s="10">
        <v>15</v>
      </c>
      <c r="AN107" s="56">
        <f t="shared" si="29"/>
        <v>2</v>
      </c>
      <c r="AP107" s="11">
        <f ca="1">IFERROR(OFFSET(ITEM_RES!$A$1,MATCH(AQ107,ITEM_RES!$J:$J,0)-1,0),0)</f>
        <v>211020201</v>
      </c>
      <c r="AQ107" s="10" t="s">
        <v>453</v>
      </c>
      <c r="AR107" s="11">
        <v>75</v>
      </c>
      <c r="AU107" s="11">
        <f ca="1">IFERROR(OFFSET(ITEM_RES!$A$1,MATCH(AV107,ITEM_RES!$J:$J,0)-1,0),0)</f>
        <v>211020401</v>
      </c>
      <c r="AV107" s="10" t="s">
        <v>444</v>
      </c>
      <c r="AW107" s="11">
        <v>75</v>
      </c>
      <c r="AZ107" s="11">
        <f ca="1">IFERROR(OFFSET(ITEM_RES!$A$1,MATCH(BA107,ITEM_RES!$J:$J,0)-1,0),0)</f>
        <v>0</v>
      </c>
      <c r="BE107" s="11">
        <f ca="1">IFERROR(OFFSET(ITEM_RES!$A$1,MATCH(BF107,ITEM_RES!$J:$J,0)-1,0),0)</f>
        <v>0</v>
      </c>
      <c r="BJ107" s="11">
        <f ca="1">IFERROR(OFFSET(ITEM_RES!$A$1,MATCH(BK107,ITEM_RES!$J:$J,0)-1,0),0)</f>
        <v>0</v>
      </c>
      <c r="BL107" s="11">
        <f t="shared" si="62"/>
        <v>0</v>
      </c>
    </row>
    <row r="108" spans="1:65" x14ac:dyDescent="0.3">
      <c r="A108" s="14">
        <f t="shared" si="59"/>
        <v>112020004</v>
      </c>
      <c r="B108" s="13">
        <v>11</v>
      </c>
      <c r="C108" s="12">
        <f t="shared" si="60"/>
        <v>2</v>
      </c>
      <c r="D108" s="13">
        <v>2</v>
      </c>
      <c r="E108" s="13">
        <v>0</v>
      </c>
      <c r="F108" s="12">
        <f t="shared" si="61"/>
        <v>4</v>
      </c>
      <c r="H108" s="9">
        <v>2</v>
      </c>
      <c r="I108" s="9">
        <v>4</v>
      </c>
      <c r="K108" s="9" t="s">
        <v>377</v>
      </c>
      <c r="L108" s="9">
        <v>1</v>
      </c>
      <c r="M108" s="9">
        <v>15</v>
      </c>
      <c r="R108" s="9" t="s">
        <v>796</v>
      </c>
      <c r="T108" s="86" t="s">
        <v>423</v>
      </c>
      <c r="U108" s="9">
        <f ca="1">IFERROR(OFFSET(ITEM_RES!$A$5,MATCH(BUILDING!T108,ITEM_RES!$J$5:$J$229,0)-1,0),0)</f>
        <v>211021001</v>
      </c>
      <c r="V108" s="11">
        <v>10</v>
      </c>
      <c r="W108" s="86" t="s">
        <v>577</v>
      </c>
      <c r="X108" s="9">
        <f ca="1">IFERROR(OFFSET(ITEM_RES!$A$5,MATCH(BUILDING!W108,ITEM_RES!$J$5:$J$229,0)-1,0),0)</f>
        <v>211021101</v>
      </c>
      <c r="Z108" s="9" t="s">
        <v>547</v>
      </c>
      <c r="AA108" s="9">
        <v>4</v>
      </c>
      <c r="AC108" s="9">
        <v>2000</v>
      </c>
      <c r="AE108" s="56">
        <f t="shared" si="26"/>
        <v>525</v>
      </c>
      <c r="AF108" s="10">
        <f t="shared" si="64"/>
        <v>840</v>
      </c>
      <c r="AH108" s="11">
        <f t="shared" si="23"/>
        <v>20</v>
      </c>
      <c r="AI108" s="10">
        <v>20</v>
      </c>
      <c r="AJ108" s="11">
        <f t="shared" si="63"/>
        <v>25</v>
      </c>
      <c r="AK108" s="10">
        <v>25</v>
      </c>
      <c r="AL108" s="11">
        <f t="shared" si="63"/>
        <v>25</v>
      </c>
      <c r="AM108" s="10">
        <v>25</v>
      </c>
      <c r="AN108" s="56">
        <f t="shared" si="29"/>
        <v>2</v>
      </c>
      <c r="AP108" s="11">
        <f ca="1">IFERROR(OFFSET(ITEM_RES!$A$1,MATCH(AQ108,ITEM_RES!$J:$J,0)-1,0),0)</f>
        <v>211020201</v>
      </c>
      <c r="AQ108" s="10" t="s">
        <v>454</v>
      </c>
      <c r="AR108" s="11">
        <v>125</v>
      </c>
      <c r="AU108" s="11">
        <f ca="1">IFERROR(OFFSET(ITEM_RES!$A$1,MATCH(AV108,ITEM_RES!$J:$J,0)-1,0),0)</f>
        <v>211020401</v>
      </c>
      <c r="AV108" s="10" t="s">
        <v>444</v>
      </c>
      <c r="AW108" s="11">
        <v>125</v>
      </c>
      <c r="AZ108" s="11">
        <f ca="1">IFERROR(OFFSET(ITEM_RES!$A$1,MATCH(BA108,ITEM_RES!$J:$J,0)-1,0),0)</f>
        <v>0</v>
      </c>
      <c r="BE108" s="11">
        <f ca="1">IFERROR(OFFSET(ITEM_RES!$A$1,MATCH(BF108,ITEM_RES!$J:$J,0)-1,0),0)</f>
        <v>0</v>
      </c>
      <c r="BJ108" s="11">
        <f ca="1">IFERROR(OFFSET(ITEM_RES!$A$1,MATCH(BK108,ITEM_RES!$J:$J,0)-1,0),0)</f>
        <v>0</v>
      </c>
      <c r="BL108" s="11">
        <f t="shared" si="62"/>
        <v>0</v>
      </c>
    </row>
    <row r="109" spans="1:65" x14ac:dyDescent="0.3">
      <c r="A109" s="14">
        <f t="shared" si="59"/>
        <v>112020005</v>
      </c>
      <c r="B109" s="13">
        <v>11</v>
      </c>
      <c r="C109" s="12">
        <f t="shared" si="60"/>
        <v>2</v>
      </c>
      <c r="D109" s="13">
        <v>2</v>
      </c>
      <c r="E109" s="13">
        <v>0</v>
      </c>
      <c r="F109" s="12">
        <f t="shared" si="61"/>
        <v>5</v>
      </c>
      <c r="H109" s="9">
        <v>2</v>
      </c>
      <c r="I109" s="9">
        <v>5</v>
      </c>
      <c r="K109" s="9" t="s">
        <v>377</v>
      </c>
      <c r="L109" s="9">
        <v>1</v>
      </c>
      <c r="M109" s="9">
        <v>15</v>
      </c>
      <c r="R109" s="9" t="s">
        <v>796</v>
      </c>
      <c r="T109" s="86" t="s">
        <v>423</v>
      </c>
      <c r="U109" s="9">
        <f ca="1">IFERROR(OFFSET(ITEM_RES!$A$5,MATCH(BUILDING!T109,ITEM_RES!$J$5:$J$229,0)-1,0),0)</f>
        <v>211021001</v>
      </c>
      <c r="V109" s="11">
        <v>10</v>
      </c>
      <c r="W109" s="86" t="s">
        <v>577</v>
      </c>
      <c r="X109" s="9">
        <f ca="1">IFERROR(OFFSET(ITEM_RES!$A$5,MATCH(BUILDING!W109,ITEM_RES!$J$5:$J$229,0)-1,0),0)</f>
        <v>211021101</v>
      </c>
      <c r="Z109" s="9" t="s">
        <v>547</v>
      </c>
      <c r="AA109" s="9">
        <v>5</v>
      </c>
      <c r="AC109" s="9">
        <v>3200</v>
      </c>
      <c r="AE109" s="56">
        <f t="shared" si="26"/>
        <v>840</v>
      </c>
      <c r="AF109" s="10">
        <f t="shared" si="64"/>
        <v>1365</v>
      </c>
      <c r="AH109" s="11">
        <f t="shared" si="23"/>
        <v>25</v>
      </c>
      <c r="AI109" s="10">
        <v>25</v>
      </c>
      <c r="AJ109" s="11">
        <f t="shared" si="63"/>
        <v>40</v>
      </c>
      <c r="AK109" s="10">
        <v>40</v>
      </c>
      <c r="AL109" s="11">
        <f t="shared" si="63"/>
        <v>40</v>
      </c>
      <c r="AM109" s="10">
        <v>40</v>
      </c>
      <c r="AN109" s="56">
        <f t="shared" si="29"/>
        <v>2</v>
      </c>
      <c r="AP109" s="11">
        <f ca="1">IFERROR(OFFSET(ITEM_RES!$A$1,MATCH(AQ109,ITEM_RES!$J:$J,0)-1,0),0)</f>
        <v>211020201</v>
      </c>
      <c r="AQ109" s="10" t="s">
        <v>453</v>
      </c>
      <c r="AR109" s="11">
        <v>200</v>
      </c>
      <c r="AU109" s="11">
        <f ca="1">IFERROR(OFFSET(ITEM_RES!$A$1,MATCH(AV109,ITEM_RES!$J:$J,0)-1,0),0)</f>
        <v>211020401</v>
      </c>
      <c r="AV109" s="10" t="s">
        <v>444</v>
      </c>
      <c r="AW109" s="11">
        <v>200</v>
      </c>
      <c r="AZ109" s="11">
        <f ca="1">IFERROR(OFFSET(ITEM_RES!$A$1,MATCH(BA109,ITEM_RES!$J:$J,0)-1,0),0)</f>
        <v>0</v>
      </c>
      <c r="BE109" s="11">
        <f ca="1">IFERROR(OFFSET(ITEM_RES!$A$1,MATCH(BF109,ITEM_RES!$J:$J,0)-1,0),0)</f>
        <v>0</v>
      </c>
      <c r="BJ109" s="11">
        <f ca="1">IFERROR(OFFSET(ITEM_RES!$A$1,MATCH(BK109,ITEM_RES!$J:$J,0)-1,0),0)</f>
        <v>0</v>
      </c>
      <c r="BL109" s="11">
        <f t="shared" si="62"/>
        <v>0</v>
      </c>
    </row>
    <row r="110" spans="1:65" x14ac:dyDescent="0.3">
      <c r="A110" s="14">
        <f t="shared" si="59"/>
        <v>112020006</v>
      </c>
      <c r="B110" s="13">
        <v>11</v>
      </c>
      <c r="C110" s="12">
        <f t="shared" si="60"/>
        <v>2</v>
      </c>
      <c r="D110" s="13">
        <v>2</v>
      </c>
      <c r="E110" s="13">
        <v>0</v>
      </c>
      <c r="F110" s="12">
        <f t="shared" si="61"/>
        <v>6</v>
      </c>
      <c r="H110" s="9">
        <v>2</v>
      </c>
      <c r="I110" s="9">
        <v>6</v>
      </c>
      <c r="K110" s="9" t="s">
        <v>377</v>
      </c>
      <c r="L110" s="9">
        <v>1</v>
      </c>
      <c r="M110" s="9">
        <v>15</v>
      </c>
      <c r="R110" s="9" t="s">
        <v>796</v>
      </c>
      <c r="T110" s="86" t="s">
        <v>423</v>
      </c>
      <c r="U110" s="9">
        <f ca="1">IFERROR(OFFSET(ITEM_RES!$A$5,MATCH(BUILDING!T110,ITEM_RES!$J$5:$J$229,0)-1,0),0)</f>
        <v>211021001</v>
      </c>
      <c r="V110" s="11">
        <v>10</v>
      </c>
      <c r="W110" s="86" t="s">
        <v>577</v>
      </c>
      <c r="X110" s="9">
        <f ca="1">IFERROR(OFFSET(ITEM_RES!$A$5,MATCH(BUILDING!W110,ITEM_RES!$J$5:$J$229,0)-1,0),0)</f>
        <v>211021101</v>
      </c>
      <c r="Z110" s="9" t="s">
        <v>547</v>
      </c>
      <c r="AA110" s="9">
        <v>6</v>
      </c>
      <c r="AC110" s="9">
        <v>4000</v>
      </c>
      <c r="AE110" s="56">
        <f t="shared" si="26"/>
        <v>1050</v>
      </c>
      <c r="AF110" s="10">
        <f t="shared" si="64"/>
        <v>1890</v>
      </c>
      <c r="AH110" s="11">
        <f t="shared" si="23"/>
        <v>30</v>
      </c>
      <c r="AI110" s="10">
        <v>30</v>
      </c>
      <c r="AJ110" s="11">
        <f t="shared" si="63"/>
        <v>50</v>
      </c>
      <c r="AK110" s="10">
        <v>50</v>
      </c>
      <c r="AL110" s="11">
        <f t="shared" si="63"/>
        <v>50</v>
      </c>
      <c r="AM110" s="10">
        <v>50</v>
      </c>
      <c r="AN110" s="56">
        <f t="shared" si="29"/>
        <v>2</v>
      </c>
      <c r="AP110" s="11">
        <f ca="1">IFERROR(OFFSET(ITEM_RES!$A$1,MATCH(AQ110,ITEM_RES!$J:$J,0)-1,0),0)</f>
        <v>211020201</v>
      </c>
      <c r="AQ110" s="10" t="s">
        <v>454</v>
      </c>
      <c r="AR110" s="11">
        <v>250</v>
      </c>
      <c r="AU110" s="11">
        <f ca="1">IFERROR(OFFSET(ITEM_RES!$A$1,MATCH(AV110,ITEM_RES!$J:$J,0)-1,0),0)</f>
        <v>211020401</v>
      </c>
      <c r="AV110" s="10" t="s">
        <v>444</v>
      </c>
      <c r="AW110" s="11">
        <v>250</v>
      </c>
      <c r="AZ110" s="11">
        <f ca="1">IFERROR(OFFSET(ITEM_RES!$A$1,MATCH(BA110,ITEM_RES!$J:$J,0)-1,0),0)</f>
        <v>0</v>
      </c>
      <c r="BE110" s="11">
        <f ca="1">IFERROR(OFFSET(ITEM_RES!$A$1,MATCH(BF110,ITEM_RES!$J:$J,0)-1,0),0)</f>
        <v>0</v>
      </c>
      <c r="BJ110" s="11">
        <f ca="1">IFERROR(OFFSET(ITEM_RES!$A$1,MATCH(BK110,ITEM_RES!$J:$J,0)-1,0),0)</f>
        <v>0</v>
      </c>
      <c r="BL110" s="11">
        <f t="shared" si="62"/>
        <v>0</v>
      </c>
    </row>
    <row r="111" spans="1:65" x14ac:dyDescent="0.3">
      <c r="A111" s="14">
        <f t="shared" si="59"/>
        <v>112020007</v>
      </c>
      <c r="B111" s="13">
        <v>11</v>
      </c>
      <c r="C111" s="12">
        <f t="shared" si="60"/>
        <v>2</v>
      </c>
      <c r="D111" s="13">
        <v>2</v>
      </c>
      <c r="E111" s="13">
        <v>0</v>
      </c>
      <c r="F111" s="12">
        <f t="shared" si="61"/>
        <v>7</v>
      </c>
      <c r="H111" s="9">
        <v>2</v>
      </c>
      <c r="I111" s="9">
        <v>7</v>
      </c>
      <c r="K111" s="9" t="s">
        <v>377</v>
      </c>
      <c r="L111" s="9">
        <v>1</v>
      </c>
      <c r="M111" s="9">
        <v>15</v>
      </c>
      <c r="R111" s="9" t="s">
        <v>796</v>
      </c>
      <c r="T111" s="86" t="s">
        <v>423</v>
      </c>
      <c r="U111" s="9">
        <f ca="1">IFERROR(OFFSET(ITEM_RES!$A$5,MATCH(BUILDING!T111,ITEM_RES!$J$5:$J$229,0)-1,0),0)</f>
        <v>211021001</v>
      </c>
      <c r="V111" s="11">
        <v>10</v>
      </c>
      <c r="W111" s="86" t="s">
        <v>577</v>
      </c>
      <c r="X111" s="9">
        <f ca="1">IFERROR(OFFSET(ITEM_RES!$A$5,MATCH(BUILDING!W111,ITEM_RES!$J$5:$J$229,0)-1,0),0)</f>
        <v>211021101</v>
      </c>
      <c r="Z111" s="9" t="s">
        <v>547</v>
      </c>
      <c r="AA111" s="9">
        <v>7</v>
      </c>
      <c r="AC111" s="9">
        <v>8000</v>
      </c>
      <c r="AE111" s="56">
        <f t="shared" si="26"/>
        <v>2100</v>
      </c>
      <c r="AF111" s="10">
        <f t="shared" si="64"/>
        <v>3150</v>
      </c>
      <c r="AH111" s="11">
        <f t="shared" si="23"/>
        <v>35</v>
      </c>
      <c r="AI111" s="10">
        <v>35</v>
      </c>
      <c r="AJ111" s="11">
        <f t="shared" si="63"/>
        <v>100</v>
      </c>
      <c r="AK111" s="10">
        <v>100</v>
      </c>
      <c r="AL111" s="11">
        <f t="shared" si="63"/>
        <v>100</v>
      </c>
      <c r="AM111" s="10">
        <v>100</v>
      </c>
      <c r="AN111" s="56">
        <f t="shared" si="29"/>
        <v>2</v>
      </c>
      <c r="AP111" s="11">
        <f ca="1">IFERROR(OFFSET(ITEM_RES!$A$1,MATCH(AQ111,ITEM_RES!$J:$J,0)-1,0),0)</f>
        <v>211020201</v>
      </c>
      <c r="AQ111" s="10" t="s">
        <v>453</v>
      </c>
      <c r="AR111" s="11">
        <v>500</v>
      </c>
      <c r="AU111" s="11">
        <f ca="1">IFERROR(OFFSET(ITEM_RES!$A$1,MATCH(AV111,ITEM_RES!$J:$J,0)-1,0),0)</f>
        <v>211020401</v>
      </c>
      <c r="AV111" s="10" t="s">
        <v>444</v>
      </c>
      <c r="AW111" s="11">
        <v>500</v>
      </c>
      <c r="AZ111" s="11">
        <f ca="1">IFERROR(OFFSET(ITEM_RES!$A$1,MATCH(BA111,ITEM_RES!$J:$J,0)-1,0),0)</f>
        <v>0</v>
      </c>
      <c r="BE111" s="11">
        <f ca="1">IFERROR(OFFSET(ITEM_RES!$A$1,MATCH(BF111,ITEM_RES!$J:$J,0)-1,0),0)</f>
        <v>0</v>
      </c>
      <c r="BJ111" s="11">
        <f ca="1">IFERROR(OFFSET(ITEM_RES!$A$1,MATCH(BK111,ITEM_RES!$J:$J,0)-1,0),0)</f>
        <v>0</v>
      </c>
      <c r="BL111" s="11">
        <f t="shared" si="62"/>
        <v>0</v>
      </c>
    </row>
    <row r="112" spans="1:65" x14ac:dyDescent="0.3">
      <c r="A112" s="14">
        <f t="shared" si="59"/>
        <v>112020008</v>
      </c>
      <c r="B112" s="13">
        <v>11</v>
      </c>
      <c r="C112" s="12">
        <f t="shared" si="60"/>
        <v>2</v>
      </c>
      <c r="D112" s="13">
        <v>2</v>
      </c>
      <c r="E112" s="13">
        <v>0</v>
      </c>
      <c r="F112" s="12">
        <f t="shared" si="61"/>
        <v>8</v>
      </c>
      <c r="H112" s="9">
        <v>2</v>
      </c>
      <c r="I112" s="9">
        <v>8</v>
      </c>
      <c r="K112" s="9" t="s">
        <v>377</v>
      </c>
      <c r="L112" s="9">
        <v>1</v>
      </c>
      <c r="M112" s="9">
        <v>15</v>
      </c>
      <c r="R112" s="9" t="s">
        <v>796</v>
      </c>
      <c r="T112" s="86" t="s">
        <v>423</v>
      </c>
      <c r="U112" s="9">
        <f ca="1">IFERROR(OFFSET(ITEM_RES!$A$5,MATCH(BUILDING!T112,ITEM_RES!$J$5:$J$229,0)-1,0),0)</f>
        <v>211021001</v>
      </c>
      <c r="V112" s="11">
        <v>10</v>
      </c>
      <c r="W112" s="86" t="s">
        <v>577</v>
      </c>
      <c r="X112" s="9">
        <f ca="1">IFERROR(OFFSET(ITEM_RES!$A$5,MATCH(BUILDING!W112,ITEM_RES!$J$5:$J$229,0)-1,0),0)</f>
        <v>211021101</v>
      </c>
      <c r="Z112" s="9" t="s">
        <v>547</v>
      </c>
      <c r="AA112" s="9">
        <v>8</v>
      </c>
      <c r="AC112" s="9">
        <v>8000</v>
      </c>
      <c r="AE112" s="56">
        <f t="shared" si="26"/>
        <v>2100</v>
      </c>
      <c r="AF112" s="10">
        <f t="shared" si="64"/>
        <v>4200</v>
      </c>
      <c r="AH112" s="11">
        <f t="shared" si="23"/>
        <v>40</v>
      </c>
      <c r="AI112" s="10">
        <v>40</v>
      </c>
      <c r="AJ112" s="11">
        <f t="shared" si="63"/>
        <v>100</v>
      </c>
      <c r="AK112" s="10">
        <v>100</v>
      </c>
      <c r="AL112" s="11">
        <f t="shared" si="63"/>
        <v>100</v>
      </c>
      <c r="AM112" s="10">
        <v>100</v>
      </c>
      <c r="AN112" s="56">
        <f t="shared" si="29"/>
        <v>2</v>
      </c>
      <c r="AP112" s="11">
        <f ca="1">IFERROR(OFFSET(ITEM_RES!$A$1,MATCH(AQ112,ITEM_RES!$J:$J,0)-1,0),0)</f>
        <v>211020201</v>
      </c>
      <c r="AQ112" s="10" t="s">
        <v>454</v>
      </c>
      <c r="AR112" s="11">
        <v>500</v>
      </c>
      <c r="AU112" s="11">
        <f ca="1">IFERROR(OFFSET(ITEM_RES!$A$1,MATCH(AV112,ITEM_RES!$J:$J,0)-1,0),0)</f>
        <v>211020401</v>
      </c>
      <c r="AV112" s="10" t="s">
        <v>444</v>
      </c>
      <c r="AW112" s="11">
        <v>500</v>
      </c>
      <c r="AZ112" s="11">
        <f ca="1">IFERROR(OFFSET(ITEM_RES!$A$1,MATCH(BA112,ITEM_RES!$J:$J,0)-1,0),0)</f>
        <v>0</v>
      </c>
      <c r="BE112" s="11">
        <f ca="1">IFERROR(OFFSET(ITEM_RES!$A$1,MATCH(BF112,ITEM_RES!$J:$J,0)-1,0),0)</f>
        <v>0</v>
      </c>
      <c r="BJ112" s="11">
        <f ca="1">IFERROR(OFFSET(ITEM_RES!$A$1,MATCH(BK112,ITEM_RES!$J:$J,0)-1,0),0)</f>
        <v>0</v>
      </c>
      <c r="BL112" s="11">
        <f t="shared" si="62"/>
        <v>0</v>
      </c>
    </row>
    <row r="113" spans="1:65" x14ac:dyDescent="0.3">
      <c r="A113" s="14">
        <f t="shared" si="59"/>
        <v>112020009</v>
      </c>
      <c r="B113" s="13">
        <v>11</v>
      </c>
      <c r="C113" s="12">
        <f t="shared" si="60"/>
        <v>2</v>
      </c>
      <c r="D113" s="13">
        <v>2</v>
      </c>
      <c r="E113" s="13">
        <v>0</v>
      </c>
      <c r="F113" s="12">
        <f t="shared" si="61"/>
        <v>9</v>
      </c>
      <c r="H113" s="9">
        <v>2</v>
      </c>
      <c r="I113" s="9">
        <v>9</v>
      </c>
      <c r="K113" s="9" t="s">
        <v>377</v>
      </c>
      <c r="L113" s="9">
        <v>1</v>
      </c>
      <c r="M113" s="9">
        <v>15</v>
      </c>
      <c r="R113" s="9" t="s">
        <v>796</v>
      </c>
      <c r="T113" s="86" t="s">
        <v>423</v>
      </c>
      <c r="U113" s="9">
        <f ca="1">IFERROR(OFFSET(ITEM_RES!$A$5,MATCH(BUILDING!T113,ITEM_RES!$J$5:$J$229,0)-1,0),0)</f>
        <v>211021001</v>
      </c>
      <c r="V113" s="11">
        <v>10</v>
      </c>
      <c r="W113" s="86" t="s">
        <v>577</v>
      </c>
      <c r="X113" s="9">
        <f ca="1">IFERROR(OFFSET(ITEM_RES!$A$5,MATCH(BUILDING!W113,ITEM_RES!$J$5:$J$229,0)-1,0),0)</f>
        <v>211021101</v>
      </c>
      <c r="Z113" s="9" t="s">
        <v>547</v>
      </c>
      <c r="AA113" s="9">
        <v>9</v>
      </c>
      <c r="AC113" s="9">
        <v>12000</v>
      </c>
      <c r="AE113" s="56">
        <f t="shared" si="26"/>
        <v>3150</v>
      </c>
      <c r="AF113" s="10">
        <f t="shared" si="64"/>
        <v>5250</v>
      </c>
      <c r="AH113" s="11">
        <f t="shared" si="23"/>
        <v>45</v>
      </c>
      <c r="AI113" s="10">
        <v>45</v>
      </c>
      <c r="AJ113" s="11">
        <f t="shared" si="63"/>
        <v>150</v>
      </c>
      <c r="AK113" s="10">
        <v>150</v>
      </c>
      <c r="AL113" s="11">
        <f t="shared" si="63"/>
        <v>150</v>
      </c>
      <c r="AM113" s="10">
        <v>150</v>
      </c>
      <c r="AN113" s="56">
        <f t="shared" si="29"/>
        <v>2</v>
      </c>
      <c r="AP113" s="11">
        <f ca="1">IFERROR(OFFSET(ITEM_RES!$A$1,MATCH(AQ113,ITEM_RES!$J:$J,0)-1,0),0)</f>
        <v>211020201</v>
      </c>
      <c r="AQ113" s="10" t="s">
        <v>453</v>
      </c>
      <c r="AR113" s="11">
        <v>750</v>
      </c>
      <c r="AU113" s="11">
        <f ca="1">IFERROR(OFFSET(ITEM_RES!$A$1,MATCH(AV113,ITEM_RES!$J:$J,0)-1,0),0)</f>
        <v>211020401</v>
      </c>
      <c r="AV113" s="10" t="s">
        <v>444</v>
      </c>
      <c r="AW113" s="11">
        <v>750</v>
      </c>
      <c r="AZ113" s="11">
        <f ca="1">IFERROR(OFFSET(ITEM_RES!$A$1,MATCH(BA113,ITEM_RES!$J:$J,0)-1,0),0)</f>
        <v>0</v>
      </c>
      <c r="BE113" s="11">
        <f ca="1">IFERROR(OFFSET(ITEM_RES!$A$1,MATCH(BF113,ITEM_RES!$J:$J,0)-1,0),0)</f>
        <v>0</v>
      </c>
      <c r="BJ113" s="11">
        <f ca="1">IFERROR(OFFSET(ITEM_RES!$A$1,MATCH(BK113,ITEM_RES!$J:$J,0)-1,0),0)</f>
        <v>0</v>
      </c>
      <c r="BL113" s="11">
        <f t="shared" si="62"/>
        <v>0</v>
      </c>
    </row>
    <row r="114" spans="1:65" x14ac:dyDescent="0.3">
      <c r="A114" s="14">
        <f t="shared" si="59"/>
        <v>112020010</v>
      </c>
      <c r="B114" s="13">
        <v>11</v>
      </c>
      <c r="C114" s="12">
        <f t="shared" si="60"/>
        <v>2</v>
      </c>
      <c r="D114" s="13">
        <v>2</v>
      </c>
      <c r="E114" s="13">
        <v>0</v>
      </c>
      <c r="F114" s="12">
        <f t="shared" si="61"/>
        <v>10</v>
      </c>
      <c r="H114" s="9">
        <v>2</v>
      </c>
      <c r="I114" s="9">
        <v>10</v>
      </c>
      <c r="K114" s="9" t="s">
        <v>377</v>
      </c>
      <c r="L114" s="9">
        <v>1</v>
      </c>
      <c r="M114" s="9">
        <v>15</v>
      </c>
      <c r="R114" s="9" t="s">
        <v>796</v>
      </c>
      <c r="T114" s="86" t="s">
        <v>423</v>
      </c>
      <c r="U114" s="9">
        <f ca="1">IFERROR(OFFSET(ITEM_RES!$A$5,MATCH(BUILDING!T114,ITEM_RES!$J$5:$J$229,0)-1,0),0)</f>
        <v>211021001</v>
      </c>
      <c r="V114" s="11">
        <v>10</v>
      </c>
      <c r="W114" s="86" t="s">
        <v>577</v>
      </c>
      <c r="X114" s="9">
        <f ca="1">IFERROR(OFFSET(ITEM_RES!$A$5,MATCH(BUILDING!W114,ITEM_RES!$J$5:$J$229,0)-1,0),0)</f>
        <v>211021101</v>
      </c>
      <c r="Z114" s="9" t="s">
        <v>547</v>
      </c>
      <c r="AA114" s="9">
        <v>10</v>
      </c>
      <c r="AC114" s="9">
        <v>16000</v>
      </c>
      <c r="AE114" s="56">
        <f t="shared" si="26"/>
        <v>4200</v>
      </c>
      <c r="AF114" s="10">
        <f t="shared" si="64"/>
        <v>7350</v>
      </c>
      <c r="AH114" s="11">
        <f t="shared" si="23"/>
        <v>50</v>
      </c>
      <c r="AI114" s="10">
        <v>50</v>
      </c>
      <c r="AJ114" s="11">
        <f t="shared" si="63"/>
        <v>200</v>
      </c>
      <c r="AK114" s="10">
        <v>200</v>
      </c>
      <c r="AL114" s="11">
        <f t="shared" si="63"/>
        <v>200</v>
      </c>
      <c r="AM114" s="10">
        <v>200</v>
      </c>
      <c r="AN114" s="56">
        <f t="shared" si="29"/>
        <v>2</v>
      </c>
      <c r="AP114" s="11">
        <f ca="1">IFERROR(OFFSET(ITEM_RES!$A$1,MATCH(AQ114,ITEM_RES!$J:$J,0)-1,0),0)</f>
        <v>211020201</v>
      </c>
      <c r="AQ114" s="10" t="s">
        <v>454</v>
      </c>
      <c r="AR114" s="11">
        <v>1000</v>
      </c>
      <c r="AU114" s="11">
        <f ca="1">IFERROR(OFFSET(ITEM_RES!$A$1,MATCH(AV114,ITEM_RES!$J:$J,0)-1,0),0)</f>
        <v>211020401</v>
      </c>
      <c r="AV114" s="10" t="s">
        <v>444</v>
      </c>
      <c r="AW114" s="11">
        <v>1000</v>
      </c>
      <c r="AZ114" s="11">
        <f ca="1">IFERROR(OFFSET(ITEM_RES!$A$1,MATCH(BA114,ITEM_RES!$J:$J,0)-1,0),0)</f>
        <v>0</v>
      </c>
      <c r="BE114" s="11">
        <f ca="1">IFERROR(OFFSET(ITEM_RES!$A$1,MATCH(BF114,ITEM_RES!$J:$J,0)-1,0),0)</f>
        <v>0</v>
      </c>
      <c r="BJ114" s="11">
        <f ca="1">IFERROR(OFFSET(ITEM_RES!$A$1,MATCH(BK114,ITEM_RES!$J:$J,0)-1,0),0)</f>
        <v>0</v>
      </c>
      <c r="BL114" s="11">
        <f t="shared" si="62"/>
        <v>0</v>
      </c>
    </row>
    <row r="115" spans="1:65" x14ac:dyDescent="0.3">
      <c r="A115" s="14">
        <f t="shared" si="59"/>
        <v>112020011</v>
      </c>
      <c r="B115" s="13">
        <v>11</v>
      </c>
      <c r="C115" s="12">
        <f t="shared" si="60"/>
        <v>2</v>
      </c>
      <c r="D115" s="13">
        <v>2</v>
      </c>
      <c r="E115" s="13">
        <v>0</v>
      </c>
      <c r="F115" s="12">
        <f t="shared" si="61"/>
        <v>11</v>
      </c>
      <c r="H115" s="9">
        <v>2</v>
      </c>
      <c r="I115" s="9">
        <v>11</v>
      </c>
      <c r="K115" s="9" t="s">
        <v>377</v>
      </c>
      <c r="L115" s="9">
        <v>1</v>
      </c>
      <c r="M115" s="9">
        <v>15</v>
      </c>
      <c r="R115" s="9" t="s">
        <v>796</v>
      </c>
      <c r="T115" s="86" t="s">
        <v>423</v>
      </c>
      <c r="U115" s="9">
        <f ca="1">IFERROR(OFFSET(ITEM_RES!$A$5,MATCH(BUILDING!T115,ITEM_RES!$J$5:$J$229,0)-1,0),0)</f>
        <v>211021001</v>
      </c>
      <c r="V115" s="11">
        <v>10</v>
      </c>
      <c r="W115" s="86" t="s">
        <v>577</v>
      </c>
      <c r="X115" s="9">
        <f ca="1">IFERROR(OFFSET(ITEM_RES!$A$5,MATCH(BUILDING!W115,ITEM_RES!$J$5:$J$229,0)-1,0),0)</f>
        <v>211021101</v>
      </c>
      <c r="Z115" s="9" t="s">
        <v>547</v>
      </c>
      <c r="AA115" s="9">
        <v>11</v>
      </c>
      <c r="AC115" s="9">
        <v>20000</v>
      </c>
      <c r="AE115" s="56">
        <f t="shared" si="26"/>
        <v>5250</v>
      </c>
      <c r="AF115" s="10">
        <f t="shared" si="64"/>
        <v>9450</v>
      </c>
      <c r="AH115" s="11">
        <f t="shared" si="23"/>
        <v>55</v>
      </c>
      <c r="AI115" s="10">
        <v>55</v>
      </c>
      <c r="AJ115" s="11">
        <f t="shared" si="63"/>
        <v>250</v>
      </c>
      <c r="AK115" s="10">
        <v>250</v>
      </c>
      <c r="AL115" s="11">
        <f t="shared" si="63"/>
        <v>250</v>
      </c>
      <c r="AM115" s="10">
        <v>250</v>
      </c>
      <c r="AN115" s="56">
        <f t="shared" si="29"/>
        <v>2</v>
      </c>
      <c r="AP115" s="11">
        <f ca="1">IFERROR(OFFSET(ITEM_RES!$A$1,MATCH(AQ115,ITEM_RES!$J:$J,0)-1,0),0)</f>
        <v>211020301</v>
      </c>
      <c r="AQ115" s="10" t="s">
        <v>479</v>
      </c>
      <c r="AR115" s="11">
        <v>1250</v>
      </c>
      <c r="AU115" s="11">
        <f ca="1">IFERROR(OFFSET(ITEM_RES!$A$1,MATCH(AV115,ITEM_RES!$J:$J,0)-1,0),0)</f>
        <v>211020401</v>
      </c>
      <c r="AV115" s="10" t="s">
        <v>444</v>
      </c>
      <c r="AW115" s="11">
        <v>1250</v>
      </c>
      <c r="AZ115" s="11">
        <f ca="1">IFERROR(OFFSET(ITEM_RES!$A$1,MATCH(BA115,ITEM_RES!$J:$J,0)-1,0),0)</f>
        <v>0</v>
      </c>
      <c r="BE115" s="11">
        <f ca="1">IFERROR(OFFSET(ITEM_RES!$A$1,MATCH(BF115,ITEM_RES!$J:$J,0)-1,0),0)</f>
        <v>0</v>
      </c>
      <c r="BJ115" s="11">
        <f ca="1">IFERROR(OFFSET(ITEM_RES!$A$1,MATCH(BK115,ITEM_RES!$J:$J,0)-1,0),0)</f>
        <v>0</v>
      </c>
      <c r="BL115" s="11">
        <f t="shared" si="62"/>
        <v>0</v>
      </c>
    </row>
    <row r="116" spans="1:65" x14ac:dyDescent="0.3">
      <c r="A116" s="14">
        <f t="shared" si="59"/>
        <v>112020012</v>
      </c>
      <c r="B116" s="13">
        <v>11</v>
      </c>
      <c r="C116" s="12">
        <f t="shared" si="60"/>
        <v>2</v>
      </c>
      <c r="D116" s="13">
        <v>2</v>
      </c>
      <c r="E116" s="13">
        <v>0</v>
      </c>
      <c r="F116" s="12">
        <f t="shared" si="61"/>
        <v>12</v>
      </c>
      <c r="H116" s="9">
        <v>2</v>
      </c>
      <c r="I116" s="9">
        <v>12</v>
      </c>
      <c r="K116" s="9" t="s">
        <v>377</v>
      </c>
      <c r="L116" s="9">
        <v>1</v>
      </c>
      <c r="M116" s="9">
        <v>15</v>
      </c>
      <c r="R116" s="9" t="s">
        <v>796</v>
      </c>
      <c r="T116" s="86" t="s">
        <v>423</v>
      </c>
      <c r="U116" s="9">
        <f ca="1">IFERROR(OFFSET(ITEM_RES!$A$5,MATCH(BUILDING!T116,ITEM_RES!$J$5:$J$229,0)-1,0),0)</f>
        <v>211021001</v>
      </c>
      <c r="V116" s="11">
        <v>10</v>
      </c>
      <c r="W116" s="86" t="s">
        <v>577</v>
      </c>
      <c r="X116" s="9">
        <f ca="1">IFERROR(OFFSET(ITEM_RES!$A$5,MATCH(BUILDING!W116,ITEM_RES!$J$5:$J$229,0)-1,0),0)</f>
        <v>211021101</v>
      </c>
      <c r="Z116" s="9" t="s">
        <v>547</v>
      </c>
      <c r="AA116" s="9">
        <v>12</v>
      </c>
      <c r="AC116" s="9">
        <v>24000</v>
      </c>
      <c r="AE116" s="56">
        <f t="shared" si="26"/>
        <v>6300</v>
      </c>
      <c r="AF116" s="10">
        <f t="shared" si="64"/>
        <v>11550</v>
      </c>
      <c r="AH116" s="11">
        <f t="shared" si="23"/>
        <v>60</v>
      </c>
      <c r="AI116" s="10">
        <v>60</v>
      </c>
      <c r="AJ116" s="11">
        <f t="shared" si="63"/>
        <v>300</v>
      </c>
      <c r="AK116" s="10">
        <v>300</v>
      </c>
      <c r="AL116" s="11">
        <f t="shared" si="63"/>
        <v>300</v>
      </c>
      <c r="AM116" s="10">
        <v>300</v>
      </c>
      <c r="AN116" s="56">
        <f t="shared" si="29"/>
        <v>2</v>
      </c>
      <c r="AP116" s="11">
        <f ca="1">IFERROR(OFFSET(ITEM_RES!$A$1,MATCH(AQ116,ITEM_RES!$J:$J,0)-1,0),0)</f>
        <v>211020301</v>
      </c>
      <c r="AQ116" s="10" t="s">
        <v>479</v>
      </c>
      <c r="AR116" s="11">
        <v>1500</v>
      </c>
      <c r="AU116" s="11">
        <f ca="1">IFERROR(OFFSET(ITEM_RES!$A$1,MATCH(AV116,ITEM_RES!$J:$J,0)-1,0),0)</f>
        <v>211020401</v>
      </c>
      <c r="AV116" s="10" t="s">
        <v>444</v>
      </c>
      <c r="AW116" s="11">
        <v>1500</v>
      </c>
      <c r="AZ116" s="11">
        <f ca="1">IFERROR(OFFSET(ITEM_RES!$A$1,MATCH(BA116,ITEM_RES!$J:$J,0)-1,0),0)</f>
        <v>0</v>
      </c>
      <c r="BE116" s="11">
        <f ca="1">IFERROR(OFFSET(ITEM_RES!$A$1,MATCH(BF116,ITEM_RES!$J:$J,0)-1,0),0)</f>
        <v>0</v>
      </c>
      <c r="BJ116" s="11">
        <f ca="1">IFERROR(OFFSET(ITEM_RES!$A$1,MATCH(BK116,ITEM_RES!$J:$J,0)-1,0),0)</f>
        <v>0</v>
      </c>
      <c r="BL116" s="11">
        <f t="shared" si="62"/>
        <v>0</v>
      </c>
    </row>
    <row r="117" spans="1:65" x14ac:dyDescent="0.3">
      <c r="A117" s="14">
        <f t="shared" si="59"/>
        <v>112020013</v>
      </c>
      <c r="B117" s="13">
        <v>11</v>
      </c>
      <c r="C117" s="12">
        <f t="shared" si="60"/>
        <v>2</v>
      </c>
      <c r="D117" s="13">
        <v>2</v>
      </c>
      <c r="E117" s="13">
        <v>0</v>
      </c>
      <c r="F117" s="12">
        <f t="shared" si="61"/>
        <v>13</v>
      </c>
      <c r="H117" s="9">
        <v>2</v>
      </c>
      <c r="I117" s="9">
        <v>13</v>
      </c>
      <c r="K117" s="9" t="s">
        <v>377</v>
      </c>
      <c r="L117" s="9">
        <v>1</v>
      </c>
      <c r="M117" s="9">
        <v>15</v>
      </c>
      <c r="R117" s="9" t="s">
        <v>796</v>
      </c>
      <c r="T117" s="86" t="s">
        <v>423</v>
      </c>
      <c r="U117" s="9">
        <f ca="1">IFERROR(OFFSET(ITEM_RES!$A$5,MATCH(BUILDING!T117,ITEM_RES!$J$5:$J$229,0)-1,0),0)</f>
        <v>211021001</v>
      </c>
      <c r="V117" s="11">
        <v>10</v>
      </c>
      <c r="W117" s="86" t="s">
        <v>577</v>
      </c>
      <c r="X117" s="9">
        <f ca="1">IFERROR(OFFSET(ITEM_RES!$A$5,MATCH(BUILDING!W117,ITEM_RES!$J$5:$J$229,0)-1,0),0)</f>
        <v>211021101</v>
      </c>
      <c r="Z117" s="9" t="s">
        <v>547</v>
      </c>
      <c r="AA117" s="9">
        <v>13</v>
      </c>
      <c r="AC117" s="9">
        <v>28000</v>
      </c>
      <c r="AE117" s="56">
        <f t="shared" si="26"/>
        <v>7350</v>
      </c>
      <c r="AF117" s="10">
        <f t="shared" si="64"/>
        <v>13650</v>
      </c>
      <c r="AH117" s="11">
        <f t="shared" si="23"/>
        <v>65</v>
      </c>
      <c r="AI117" s="10">
        <v>65</v>
      </c>
      <c r="AJ117" s="11">
        <f t="shared" si="63"/>
        <v>350</v>
      </c>
      <c r="AK117" s="10">
        <v>350</v>
      </c>
      <c r="AL117" s="11">
        <f t="shared" si="63"/>
        <v>350</v>
      </c>
      <c r="AM117" s="10">
        <v>350</v>
      </c>
      <c r="AN117" s="56">
        <f t="shared" si="29"/>
        <v>2</v>
      </c>
      <c r="AP117" s="11">
        <f ca="1">IFERROR(OFFSET(ITEM_RES!$A$1,MATCH(AQ117,ITEM_RES!$J:$J,0)-1,0),0)</f>
        <v>211020301</v>
      </c>
      <c r="AQ117" s="10" t="s">
        <v>479</v>
      </c>
      <c r="AR117" s="11">
        <v>1750</v>
      </c>
      <c r="AU117" s="11">
        <f ca="1">IFERROR(OFFSET(ITEM_RES!$A$1,MATCH(AV117,ITEM_RES!$J:$J,0)-1,0),0)</f>
        <v>211020401</v>
      </c>
      <c r="AV117" s="10" t="s">
        <v>444</v>
      </c>
      <c r="AW117" s="11">
        <v>1750</v>
      </c>
      <c r="AZ117" s="11">
        <f ca="1">IFERROR(OFFSET(ITEM_RES!$A$1,MATCH(BA117,ITEM_RES!$J:$J,0)-1,0),0)</f>
        <v>0</v>
      </c>
      <c r="BE117" s="11">
        <f ca="1">IFERROR(OFFSET(ITEM_RES!$A$1,MATCH(BF117,ITEM_RES!$J:$J,0)-1,0),0)</f>
        <v>0</v>
      </c>
      <c r="BJ117" s="11">
        <f ca="1">IFERROR(OFFSET(ITEM_RES!$A$1,MATCH(BK117,ITEM_RES!$J:$J,0)-1,0),0)</f>
        <v>0</v>
      </c>
      <c r="BL117" s="11">
        <f t="shared" si="62"/>
        <v>0</v>
      </c>
    </row>
    <row r="118" spans="1:65" x14ac:dyDescent="0.3">
      <c r="A118" s="14">
        <f t="shared" si="59"/>
        <v>112020014</v>
      </c>
      <c r="B118" s="13">
        <v>11</v>
      </c>
      <c r="C118" s="12">
        <f t="shared" si="60"/>
        <v>2</v>
      </c>
      <c r="D118" s="13">
        <v>2</v>
      </c>
      <c r="E118" s="13">
        <v>0</v>
      </c>
      <c r="F118" s="12">
        <f t="shared" si="61"/>
        <v>14</v>
      </c>
      <c r="H118" s="9">
        <v>2</v>
      </c>
      <c r="I118" s="9">
        <v>14</v>
      </c>
      <c r="K118" s="9" t="s">
        <v>377</v>
      </c>
      <c r="L118" s="9">
        <v>1</v>
      </c>
      <c r="M118" s="9">
        <v>15</v>
      </c>
      <c r="R118" s="9" t="s">
        <v>796</v>
      </c>
      <c r="T118" s="86" t="s">
        <v>423</v>
      </c>
      <c r="U118" s="9">
        <f ca="1">IFERROR(OFFSET(ITEM_RES!$A$5,MATCH(BUILDING!T118,ITEM_RES!$J$5:$J$229,0)-1,0),0)</f>
        <v>211021001</v>
      </c>
      <c r="V118" s="11">
        <v>10</v>
      </c>
      <c r="W118" s="86" t="s">
        <v>577</v>
      </c>
      <c r="X118" s="9">
        <f ca="1">IFERROR(OFFSET(ITEM_RES!$A$5,MATCH(BUILDING!W118,ITEM_RES!$J$5:$J$229,0)-1,0),0)</f>
        <v>211021101</v>
      </c>
      <c r="Z118" s="9" t="s">
        <v>547</v>
      </c>
      <c r="AA118" s="9">
        <v>14</v>
      </c>
      <c r="AC118" s="9">
        <v>36000</v>
      </c>
      <c r="AE118" s="56">
        <f t="shared" si="26"/>
        <v>9450</v>
      </c>
      <c r="AF118" s="10">
        <f t="shared" si="64"/>
        <v>16800</v>
      </c>
      <c r="AH118" s="11">
        <f t="shared" si="23"/>
        <v>70</v>
      </c>
      <c r="AI118" s="10">
        <v>70</v>
      </c>
      <c r="AJ118" s="11">
        <f t="shared" si="63"/>
        <v>450</v>
      </c>
      <c r="AK118" s="10">
        <v>450</v>
      </c>
      <c r="AL118" s="11">
        <f t="shared" si="63"/>
        <v>450</v>
      </c>
      <c r="AM118" s="10">
        <v>450</v>
      </c>
      <c r="AN118" s="56">
        <f t="shared" si="29"/>
        <v>2</v>
      </c>
      <c r="AP118" s="11">
        <f ca="1">IFERROR(OFFSET(ITEM_RES!$A$1,MATCH(AQ118,ITEM_RES!$J:$J,0)-1,0),0)</f>
        <v>211020301</v>
      </c>
      <c r="AQ118" s="10" t="s">
        <v>479</v>
      </c>
      <c r="AR118" s="11">
        <v>2250</v>
      </c>
      <c r="AU118" s="11">
        <f ca="1">IFERROR(OFFSET(ITEM_RES!$A$1,MATCH(AV118,ITEM_RES!$J:$J,0)-1,0),0)</f>
        <v>211020401</v>
      </c>
      <c r="AV118" s="10" t="s">
        <v>444</v>
      </c>
      <c r="AW118" s="11">
        <v>2250</v>
      </c>
      <c r="AZ118" s="11">
        <f ca="1">IFERROR(OFFSET(ITEM_RES!$A$1,MATCH(BA118,ITEM_RES!$J:$J,0)-1,0),0)</f>
        <v>0</v>
      </c>
      <c r="BE118" s="11">
        <f ca="1">IFERROR(OFFSET(ITEM_RES!$A$1,MATCH(BF118,ITEM_RES!$J:$J,0)-1,0),0)</f>
        <v>0</v>
      </c>
      <c r="BJ118" s="11">
        <f ca="1">IFERROR(OFFSET(ITEM_RES!$A$1,MATCH(BK118,ITEM_RES!$J:$J,0)-1,0),0)</f>
        <v>0</v>
      </c>
      <c r="BL118" s="11">
        <f t="shared" si="62"/>
        <v>0</v>
      </c>
    </row>
    <row r="119" spans="1:65" x14ac:dyDescent="0.3">
      <c r="A119" s="14">
        <f t="shared" si="59"/>
        <v>112020015</v>
      </c>
      <c r="B119" s="13">
        <v>11</v>
      </c>
      <c r="C119" s="12">
        <f t="shared" si="60"/>
        <v>2</v>
      </c>
      <c r="D119" s="13">
        <v>2</v>
      </c>
      <c r="E119" s="13">
        <v>0</v>
      </c>
      <c r="F119" s="12">
        <f t="shared" si="61"/>
        <v>15</v>
      </c>
      <c r="H119" s="9">
        <v>2</v>
      </c>
      <c r="I119" s="9">
        <v>15</v>
      </c>
      <c r="K119" s="9" t="s">
        <v>377</v>
      </c>
      <c r="L119" s="9">
        <v>1</v>
      </c>
      <c r="M119" s="9">
        <v>15</v>
      </c>
      <c r="R119" s="9" t="s">
        <v>796</v>
      </c>
      <c r="T119" s="86" t="s">
        <v>423</v>
      </c>
      <c r="U119" s="9">
        <f ca="1">IFERROR(OFFSET(ITEM_RES!$A$5,MATCH(BUILDING!T119,ITEM_RES!$J$5:$J$229,0)-1,0),0)</f>
        <v>211021001</v>
      </c>
      <c r="V119" s="11">
        <v>10</v>
      </c>
      <c r="W119" s="86" t="s">
        <v>577</v>
      </c>
      <c r="X119" s="9">
        <f ca="1">IFERROR(OFFSET(ITEM_RES!$A$5,MATCH(BUILDING!W119,ITEM_RES!$J$5:$J$229,0)-1,0),0)</f>
        <v>211021101</v>
      </c>
      <c r="Z119" s="9" t="s">
        <v>547</v>
      </c>
      <c r="AA119" s="9">
        <v>15</v>
      </c>
      <c r="AC119" s="9">
        <v>44000</v>
      </c>
      <c r="AE119" s="56">
        <f t="shared" si="26"/>
        <v>11550</v>
      </c>
      <c r="AF119" s="10">
        <f t="shared" si="64"/>
        <v>21000</v>
      </c>
      <c r="AH119" s="11">
        <f t="shared" si="23"/>
        <v>75</v>
      </c>
      <c r="AI119" s="10">
        <v>75</v>
      </c>
      <c r="AJ119" s="11">
        <f t="shared" si="63"/>
        <v>550</v>
      </c>
      <c r="AK119" s="10">
        <v>550</v>
      </c>
      <c r="AL119" s="11">
        <f t="shared" si="63"/>
        <v>550</v>
      </c>
      <c r="AM119" s="10">
        <v>550</v>
      </c>
      <c r="AN119" s="56">
        <f t="shared" si="29"/>
        <v>2</v>
      </c>
      <c r="AP119" s="11">
        <f ca="1">IFERROR(OFFSET(ITEM_RES!$A$1,MATCH(AQ119,ITEM_RES!$J:$J,0)-1,0),0)</f>
        <v>211020301</v>
      </c>
      <c r="AQ119" s="10" t="s">
        <v>479</v>
      </c>
      <c r="AR119" s="11">
        <v>2750</v>
      </c>
      <c r="AU119" s="11">
        <f ca="1">IFERROR(OFFSET(ITEM_RES!$A$1,MATCH(AV119,ITEM_RES!$J:$J,0)-1,0),0)</f>
        <v>211020501</v>
      </c>
      <c r="AV119" s="10" t="s">
        <v>445</v>
      </c>
      <c r="AW119" s="11">
        <v>2750</v>
      </c>
      <c r="AZ119" s="11">
        <f ca="1">IFERROR(OFFSET(ITEM_RES!$A$1,MATCH(BA119,ITEM_RES!$J:$J,0)-1,0),0)</f>
        <v>0</v>
      </c>
      <c r="BE119" s="11">
        <f ca="1">IFERROR(OFFSET(ITEM_RES!$A$1,MATCH(BF119,ITEM_RES!$J:$J,0)-1,0),0)</f>
        <v>0</v>
      </c>
      <c r="BJ119" s="11">
        <f ca="1">IFERROR(OFFSET(ITEM_RES!$A$1,MATCH(BK119,ITEM_RES!$J:$J,0)-1,0),0)</f>
        <v>0</v>
      </c>
      <c r="BL119" s="11">
        <f t="shared" si="62"/>
        <v>0</v>
      </c>
    </row>
    <row r="120" spans="1:65" x14ac:dyDescent="0.3">
      <c r="A120" s="14">
        <f t="shared" si="59"/>
        <v>112020016</v>
      </c>
      <c r="B120" s="13">
        <v>11</v>
      </c>
      <c r="C120" s="12">
        <f t="shared" si="60"/>
        <v>2</v>
      </c>
      <c r="D120" s="13">
        <v>2</v>
      </c>
      <c r="E120" s="13">
        <v>0</v>
      </c>
      <c r="F120" s="12">
        <f t="shared" si="61"/>
        <v>16</v>
      </c>
      <c r="H120" s="9">
        <v>2</v>
      </c>
      <c r="I120" s="9">
        <v>16</v>
      </c>
      <c r="K120" s="9" t="s">
        <v>377</v>
      </c>
      <c r="L120" s="9">
        <v>0</v>
      </c>
      <c r="M120" s="9">
        <v>15</v>
      </c>
      <c r="R120" s="9" t="s">
        <v>796</v>
      </c>
      <c r="T120" s="86" t="s">
        <v>423</v>
      </c>
      <c r="U120" s="9">
        <f ca="1">IFERROR(OFFSET(ITEM_RES!$A$5,MATCH(BUILDING!T120,ITEM_RES!$J$5:$J$229,0)-1,0),0)</f>
        <v>211021001</v>
      </c>
      <c r="V120" s="11">
        <v>10</v>
      </c>
      <c r="W120" s="86" t="s">
        <v>577</v>
      </c>
      <c r="X120" s="9">
        <f ca="1">IFERROR(OFFSET(ITEM_RES!$A$5,MATCH(BUILDING!W120,ITEM_RES!$J$5:$J$229,0)-1,0),0)</f>
        <v>211021101</v>
      </c>
      <c r="Z120" s="9" t="s">
        <v>547</v>
      </c>
      <c r="AA120" s="9">
        <v>16</v>
      </c>
      <c r="AC120" s="9">
        <v>56000</v>
      </c>
      <c r="AE120" s="56">
        <f t="shared" si="26"/>
        <v>14700</v>
      </c>
      <c r="AF120" s="10">
        <f t="shared" si="64"/>
        <v>26250</v>
      </c>
      <c r="AH120" s="11">
        <f t="shared" si="23"/>
        <v>80</v>
      </c>
      <c r="AI120" s="10">
        <v>80</v>
      </c>
      <c r="AJ120" s="11">
        <f t="shared" si="63"/>
        <v>700</v>
      </c>
      <c r="AK120" s="10">
        <v>700</v>
      </c>
      <c r="AL120" s="11">
        <f t="shared" si="63"/>
        <v>700</v>
      </c>
      <c r="AM120" s="10">
        <v>700</v>
      </c>
      <c r="AN120" s="56">
        <f t="shared" si="29"/>
        <v>2</v>
      </c>
      <c r="AP120" s="11">
        <f ca="1">IFERROR(OFFSET(ITEM_RES!$A$1,MATCH(AQ120,ITEM_RES!$J:$J,0)-1,0),0)</f>
        <v>211020301</v>
      </c>
      <c r="AQ120" s="10" t="s">
        <v>479</v>
      </c>
      <c r="AR120" s="11">
        <v>3500</v>
      </c>
      <c r="AU120" s="11">
        <f ca="1">IFERROR(OFFSET(ITEM_RES!$A$1,MATCH(AV120,ITEM_RES!$J:$J,0)-1,0),0)</f>
        <v>211020501</v>
      </c>
      <c r="AV120" s="10" t="s">
        <v>445</v>
      </c>
      <c r="AW120" s="11">
        <v>3500</v>
      </c>
      <c r="AZ120" s="11">
        <f ca="1">IFERROR(OFFSET(ITEM_RES!$A$1,MATCH(BA120,ITEM_RES!$J:$J,0)-1,0),0)</f>
        <v>0</v>
      </c>
      <c r="BE120" s="11">
        <f ca="1">IFERROR(OFFSET(ITEM_RES!$A$1,MATCH(BF120,ITEM_RES!$J:$J,0)-1,0),0)</f>
        <v>0</v>
      </c>
      <c r="BJ120" s="11">
        <f ca="1">IFERROR(OFFSET(ITEM_RES!$A$1,MATCH(BK120,ITEM_RES!$J:$J,0)-1,0),0)</f>
        <v>0</v>
      </c>
      <c r="BL120" s="11">
        <f t="shared" si="62"/>
        <v>0</v>
      </c>
    </row>
    <row r="121" spans="1:65" x14ac:dyDescent="0.3">
      <c r="A121" s="14">
        <f t="shared" si="59"/>
        <v>112020017</v>
      </c>
      <c r="B121" s="13">
        <v>11</v>
      </c>
      <c r="C121" s="12">
        <f t="shared" si="60"/>
        <v>2</v>
      </c>
      <c r="D121" s="13">
        <v>2</v>
      </c>
      <c r="E121" s="13">
        <v>0</v>
      </c>
      <c r="F121" s="12">
        <f t="shared" si="61"/>
        <v>17</v>
      </c>
      <c r="H121" s="9">
        <v>2</v>
      </c>
      <c r="I121" s="9">
        <v>17</v>
      </c>
      <c r="K121" s="9" t="s">
        <v>377</v>
      </c>
      <c r="L121" s="9">
        <v>0</v>
      </c>
      <c r="M121" s="9">
        <v>15</v>
      </c>
      <c r="R121" s="9" t="s">
        <v>796</v>
      </c>
      <c r="T121" s="86" t="s">
        <v>423</v>
      </c>
      <c r="U121" s="9">
        <f ca="1">IFERROR(OFFSET(ITEM_RES!$A$5,MATCH(BUILDING!T121,ITEM_RES!$J$5:$J$229,0)-1,0),0)</f>
        <v>211021001</v>
      </c>
      <c r="V121" s="11">
        <v>10</v>
      </c>
      <c r="W121" s="86" t="s">
        <v>577</v>
      </c>
      <c r="X121" s="9">
        <f ca="1">IFERROR(OFFSET(ITEM_RES!$A$5,MATCH(BUILDING!W121,ITEM_RES!$J$5:$J$229,0)-1,0),0)</f>
        <v>211021101</v>
      </c>
      <c r="Z121" s="9" t="s">
        <v>547</v>
      </c>
      <c r="AA121" s="9">
        <v>17</v>
      </c>
      <c r="AC121" s="9">
        <v>68000</v>
      </c>
      <c r="AE121" s="56">
        <f t="shared" si="26"/>
        <v>17850</v>
      </c>
      <c r="AF121" s="10">
        <f t="shared" si="64"/>
        <v>32550</v>
      </c>
      <c r="AH121" s="11">
        <f t="shared" si="23"/>
        <v>85</v>
      </c>
      <c r="AI121" s="10">
        <v>85</v>
      </c>
      <c r="AJ121" s="11">
        <f t="shared" si="63"/>
        <v>850</v>
      </c>
      <c r="AK121" s="10">
        <v>850</v>
      </c>
      <c r="AL121" s="11">
        <f t="shared" si="63"/>
        <v>850</v>
      </c>
      <c r="AM121" s="10">
        <v>850</v>
      </c>
      <c r="AN121" s="56">
        <f t="shared" si="29"/>
        <v>2</v>
      </c>
      <c r="AP121" s="11">
        <f ca="1">IFERROR(OFFSET(ITEM_RES!$A$1,MATCH(AQ121,ITEM_RES!$J:$J,0)-1,0),0)</f>
        <v>0</v>
      </c>
      <c r="AQ121" s="10" t="s">
        <v>468</v>
      </c>
      <c r="AR121" s="11">
        <v>4250</v>
      </c>
      <c r="AU121" s="11">
        <f ca="1">IFERROR(OFFSET(ITEM_RES!$A$1,MATCH(AV121,ITEM_RES!$J:$J,0)-1,0),0)</f>
        <v>211020501</v>
      </c>
      <c r="AV121" s="10" t="s">
        <v>445</v>
      </c>
      <c r="AW121" s="11">
        <v>4250</v>
      </c>
      <c r="AZ121" s="11">
        <f ca="1">IFERROR(OFFSET(ITEM_RES!$A$1,MATCH(BA121,ITEM_RES!$J:$J,0)-1,0),0)</f>
        <v>0</v>
      </c>
      <c r="BE121" s="11">
        <f ca="1">IFERROR(OFFSET(ITEM_RES!$A$1,MATCH(BF121,ITEM_RES!$J:$J,0)-1,0),0)</f>
        <v>0</v>
      </c>
      <c r="BJ121" s="11">
        <f ca="1">IFERROR(OFFSET(ITEM_RES!$A$1,MATCH(BK121,ITEM_RES!$J:$J,0)-1,0),0)</f>
        <v>0</v>
      </c>
      <c r="BL121" s="11">
        <f t="shared" si="62"/>
        <v>0</v>
      </c>
    </row>
    <row r="122" spans="1:65" x14ac:dyDescent="0.3">
      <c r="A122" s="14">
        <f t="shared" si="59"/>
        <v>112020018</v>
      </c>
      <c r="B122" s="13">
        <v>11</v>
      </c>
      <c r="C122" s="12">
        <f t="shared" si="60"/>
        <v>2</v>
      </c>
      <c r="D122" s="13">
        <v>2</v>
      </c>
      <c r="E122" s="13">
        <v>0</v>
      </c>
      <c r="F122" s="12">
        <f t="shared" si="61"/>
        <v>18</v>
      </c>
      <c r="H122" s="9">
        <v>2</v>
      </c>
      <c r="I122" s="9">
        <v>18</v>
      </c>
      <c r="K122" s="9" t="s">
        <v>377</v>
      </c>
      <c r="L122" s="9">
        <v>0</v>
      </c>
      <c r="M122" s="9">
        <v>15</v>
      </c>
      <c r="R122" s="9" t="s">
        <v>796</v>
      </c>
      <c r="T122" s="86" t="s">
        <v>423</v>
      </c>
      <c r="U122" s="9">
        <f ca="1">IFERROR(OFFSET(ITEM_RES!$A$5,MATCH(BUILDING!T122,ITEM_RES!$J$5:$J$229,0)-1,0),0)</f>
        <v>211021001</v>
      </c>
      <c r="V122" s="11">
        <v>10</v>
      </c>
      <c r="W122" s="86" t="s">
        <v>577</v>
      </c>
      <c r="X122" s="9">
        <f ca="1">IFERROR(OFFSET(ITEM_RES!$A$5,MATCH(BUILDING!W122,ITEM_RES!$J$5:$J$229,0)-1,0),0)</f>
        <v>211021101</v>
      </c>
      <c r="Z122" s="9" t="s">
        <v>547</v>
      </c>
      <c r="AA122" s="9">
        <v>18</v>
      </c>
      <c r="AC122" s="9">
        <v>84000</v>
      </c>
      <c r="AE122" s="56">
        <f t="shared" si="26"/>
        <v>22050</v>
      </c>
      <c r="AF122" s="10">
        <f t="shared" si="64"/>
        <v>39900</v>
      </c>
      <c r="AH122" s="11">
        <f t="shared" si="23"/>
        <v>90</v>
      </c>
      <c r="AI122" s="10">
        <v>90</v>
      </c>
      <c r="AJ122" s="11">
        <f t="shared" si="63"/>
        <v>1050</v>
      </c>
      <c r="AK122" s="10">
        <v>1050</v>
      </c>
      <c r="AL122" s="11">
        <f t="shared" si="63"/>
        <v>1050</v>
      </c>
      <c r="AM122" s="10">
        <v>1050</v>
      </c>
      <c r="AN122" s="56">
        <f t="shared" si="29"/>
        <v>2</v>
      </c>
      <c r="AP122" s="11">
        <f ca="1">IFERROR(OFFSET(ITEM_RES!$A$1,MATCH(AQ122,ITEM_RES!$J:$J,0)-1,0),0)</f>
        <v>0</v>
      </c>
      <c r="AQ122" s="10" t="s">
        <v>480</v>
      </c>
      <c r="AR122" s="11">
        <v>5250</v>
      </c>
      <c r="AU122" s="11">
        <f ca="1">IFERROR(OFFSET(ITEM_RES!$A$1,MATCH(AV122,ITEM_RES!$J:$J,0)-1,0),0)</f>
        <v>211020501</v>
      </c>
      <c r="AV122" s="10" t="s">
        <v>445</v>
      </c>
      <c r="AW122" s="11">
        <v>5250</v>
      </c>
      <c r="AZ122" s="11">
        <f ca="1">IFERROR(OFFSET(ITEM_RES!$A$1,MATCH(BA122,ITEM_RES!$J:$J,0)-1,0),0)</f>
        <v>0</v>
      </c>
      <c r="BE122" s="11">
        <f ca="1">IFERROR(OFFSET(ITEM_RES!$A$1,MATCH(BF122,ITEM_RES!$J:$J,0)-1,0),0)</f>
        <v>0</v>
      </c>
      <c r="BJ122" s="11">
        <f ca="1">IFERROR(OFFSET(ITEM_RES!$A$1,MATCH(BK122,ITEM_RES!$J:$J,0)-1,0),0)</f>
        <v>0</v>
      </c>
      <c r="BL122" s="11">
        <f t="shared" si="62"/>
        <v>0</v>
      </c>
    </row>
    <row r="123" spans="1:65" x14ac:dyDescent="0.3">
      <c r="A123" s="14">
        <f t="shared" si="59"/>
        <v>112020019</v>
      </c>
      <c r="B123" s="13">
        <v>11</v>
      </c>
      <c r="C123" s="12">
        <f t="shared" si="60"/>
        <v>2</v>
      </c>
      <c r="D123" s="13">
        <v>2</v>
      </c>
      <c r="E123" s="13">
        <v>0</v>
      </c>
      <c r="F123" s="12">
        <f t="shared" si="61"/>
        <v>19</v>
      </c>
      <c r="H123" s="9">
        <v>2</v>
      </c>
      <c r="I123" s="9">
        <v>19</v>
      </c>
      <c r="K123" s="9" t="s">
        <v>377</v>
      </c>
      <c r="L123" s="9">
        <v>0</v>
      </c>
      <c r="M123" s="9">
        <v>15</v>
      </c>
      <c r="R123" s="9" t="s">
        <v>796</v>
      </c>
      <c r="T123" s="86" t="s">
        <v>423</v>
      </c>
      <c r="U123" s="9">
        <f ca="1">IFERROR(OFFSET(ITEM_RES!$A$5,MATCH(BUILDING!T123,ITEM_RES!$J$5:$J$229,0)-1,0),0)</f>
        <v>211021001</v>
      </c>
      <c r="V123" s="11">
        <v>10</v>
      </c>
      <c r="W123" s="86" t="s">
        <v>577</v>
      </c>
      <c r="X123" s="9">
        <f ca="1">IFERROR(OFFSET(ITEM_RES!$A$5,MATCH(BUILDING!W123,ITEM_RES!$J$5:$J$229,0)-1,0),0)</f>
        <v>211021101</v>
      </c>
      <c r="Z123" s="9" t="s">
        <v>547</v>
      </c>
      <c r="AA123" s="9">
        <v>19</v>
      </c>
      <c r="AC123" s="9">
        <v>100000</v>
      </c>
      <c r="AE123" s="56">
        <f t="shared" si="26"/>
        <v>26250</v>
      </c>
      <c r="AF123" s="10">
        <f t="shared" si="64"/>
        <v>48300</v>
      </c>
      <c r="AH123" s="11">
        <f t="shared" si="23"/>
        <v>95</v>
      </c>
      <c r="AI123" s="10">
        <v>95</v>
      </c>
      <c r="AJ123" s="11">
        <f t="shared" si="63"/>
        <v>1250</v>
      </c>
      <c r="AK123" s="10">
        <v>1250</v>
      </c>
      <c r="AL123" s="11">
        <f t="shared" si="63"/>
        <v>1250</v>
      </c>
      <c r="AM123" s="10">
        <v>1250</v>
      </c>
      <c r="AN123" s="56">
        <f t="shared" si="29"/>
        <v>2</v>
      </c>
      <c r="AP123" s="11">
        <f ca="1">IFERROR(OFFSET(ITEM_RES!$A$1,MATCH(AQ123,ITEM_RES!$J:$J,0)-1,0),0)</f>
        <v>0</v>
      </c>
      <c r="AQ123" s="10" t="s">
        <v>480</v>
      </c>
      <c r="AR123" s="11">
        <v>6250</v>
      </c>
      <c r="AU123" s="11">
        <f ca="1">IFERROR(OFFSET(ITEM_RES!$A$1,MATCH(AV123,ITEM_RES!$J:$J,0)-1,0),0)</f>
        <v>211020501</v>
      </c>
      <c r="AV123" s="10" t="s">
        <v>445</v>
      </c>
      <c r="AW123" s="11">
        <v>6250</v>
      </c>
      <c r="AZ123" s="11">
        <f ca="1">IFERROR(OFFSET(ITEM_RES!$A$1,MATCH(BA123,ITEM_RES!$J:$J,0)-1,0),0)</f>
        <v>0</v>
      </c>
      <c r="BE123" s="11">
        <f ca="1">IFERROR(OFFSET(ITEM_RES!$A$1,MATCH(BF123,ITEM_RES!$J:$J,0)-1,0),0)</f>
        <v>0</v>
      </c>
      <c r="BJ123" s="11">
        <f ca="1">IFERROR(OFFSET(ITEM_RES!$A$1,MATCH(BK123,ITEM_RES!$J:$J,0)-1,0),0)</f>
        <v>0</v>
      </c>
      <c r="BL123" s="11">
        <f t="shared" si="62"/>
        <v>0</v>
      </c>
    </row>
    <row r="124" spans="1:65" ht="17.25" thickBot="1" x14ac:dyDescent="0.35">
      <c r="A124" s="14">
        <f t="shared" si="59"/>
        <v>112020020</v>
      </c>
      <c r="B124" s="13">
        <v>11</v>
      </c>
      <c r="C124" s="12">
        <f t="shared" si="60"/>
        <v>2</v>
      </c>
      <c r="D124" s="13">
        <v>2</v>
      </c>
      <c r="E124" s="13">
        <v>0</v>
      </c>
      <c r="F124" s="12">
        <f t="shared" si="61"/>
        <v>20</v>
      </c>
      <c r="H124" s="9">
        <v>2</v>
      </c>
      <c r="I124" s="9">
        <v>20</v>
      </c>
      <c r="K124" s="9" t="s">
        <v>377</v>
      </c>
      <c r="L124" s="9">
        <v>0</v>
      </c>
      <c r="M124" s="9">
        <v>15</v>
      </c>
      <c r="R124" s="9" t="s">
        <v>796</v>
      </c>
      <c r="T124" s="86" t="s">
        <v>423</v>
      </c>
      <c r="U124" s="9">
        <f ca="1">IFERROR(OFFSET(ITEM_RES!$A$5,MATCH(BUILDING!T124,ITEM_RES!$J$5:$J$229,0)-1,0),0)</f>
        <v>211021001</v>
      </c>
      <c r="V124" s="11">
        <v>10</v>
      </c>
      <c r="W124" s="86" t="s">
        <v>577</v>
      </c>
      <c r="X124" s="9">
        <f ca="1">IFERROR(OFFSET(ITEM_RES!$A$5,MATCH(BUILDING!W124,ITEM_RES!$J$5:$J$229,0)-1,0),0)</f>
        <v>211021101</v>
      </c>
      <c r="Z124" s="9" t="s">
        <v>547</v>
      </c>
      <c r="AA124" s="9">
        <v>20</v>
      </c>
      <c r="AC124" s="9">
        <v>120000</v>
      </c>
      <c r="AE124" s="56">
        <f t="shared" si="26"/>
        <v>31500</v>
      </c>
      <c r="AF124" s="10">
        <f t="shared" si="64"/>
        <v>57750</v>
      </c>
      <c r="AH124" s="11">
        <f t="shared" si="23"/>
        <v>100</v>
      </c>
      <c r="AI124" s="10">
        <v>100</v>
      </c>
      <c r="AJ124" s="11">
        <f t="shared" si="63"/>
        <v>1500</v>
      </c>
      <c r="AK124" s="10">
        <v>1500</v>
      </c>
      <c r="AL124" s="11">
        <f t="shared" si="63"/>
        <v>1500</v>
      </c>
      <c r="AM124" s="10">
        <v>1500</v>
      </c>
      <c r="AN124" s="56">
        <f t="shared" si="29"/>
        <v>2</v>
      </c>
      <c r="AP124" s="11">
        <f ca="1">IFERROR(OFFSET(ITEM_RES!$A$1,MATCH(AQ124,ITEM_RES!$J:$J,0)-1,0),0)</f>
        <v>0</v>
      </c>
      <c r="AQ124" s="10" t="s">
        <v>480</v>
      </c>
      <c r="AR124" s="11">
        <v>7500</v>
      </c>
      <c r="AU124" s="11">
        <f ca="1">IFERROR(OFFSET(ITEM_RES!$A$1,MATCH(AV124,ITEM_RES!$J:$J,0)-1,0),0)</f>
        <v>211020501</v>
      </c>
      <c r="AV124" s="10" t="s">
        <v>445</v>
      </c>
      <c r="AW124" s="11">
        <v>7500</v>
      </c>
      <c r="AZ124" s="11">
        <f ca="1">IFERROR(OFFSET(ITEM_RES!$A$1,MATCH(BA124,ITEM_RES!$J:$J,0)-1,0),0)</f>
        <v>0</v>
      </c>
      <c r="BE124" s="11">
        <f ca="1">IFERROR(OFFSET(ITEM_RES!$A$1,MATCH(BF124,ITEM_RES!$J:$J,0)-1,0),0)</f>
        <v>0</v>
      </c>
      <c r="BJ124" s="11">
        <f ca="1">IFERROR(OFFSET(ITEM_RES!$A$1,MATCH(BK124,ITEM_RES!$J:$J,0)-1,0),0)</f>
        <v>0</v>
      </c>
      <c r="BL124" s="11">
        <f t="shared" si="62"/>
        <v>0</v>
      </c>
    </row>
    <row r="125" spans="1:65" s="15" customFormat="1" x14ac:dyDescent="0.3">
      <c r="A125" s="21">
        <f t="shared" si="59"/>
        <v>111050001</v>
      </c>
      <c r="B125" s="20">
        <v>11</v>
      </c>
      <c r="C125" s="19">
        <f t="shared" si="60"/>
        <v>1</v>
      </c>
      <c r="D125" s="20">
        <v>5</v>
      </c>
      <c r="E125" s="20">
        <v>0</v>
      </c>
      <c r="F125" s="19">
        <f t="shared" si="61"/>
        <v>1</v>
      </c>
      <c r="G125" s="80"/>
      <c r="H125" s="16">
        <v>1</v>
      </c>
      <c r="I125" s="16">
        <v>1</v>
      </c>
      <c r="J125" s="80"/>
      <c r="K125" s="16" t="s">
        <v>360</v>
      </c>
      <c r="L125" s="16">
        <v>1</v>
      </c>
      <c r="M125" s="16">
        <v>15</v>
      </c>
      <c r="N125" s="16"/>
      <c r="O125" s="17"/>
      <c r="P125" s="17"/>
      <c r="Q125" s="18"/>
      <c r="R125" s="16" t="s">
        <v>774</v>
      </c>
      <c r="S125" s="80"/>
      <c r="T125" s="88"/>
      <c r="U125" s="16">
        <f ca="1">IFERROR(OFFSET(ITEM_RES!$A$5,MATCH(BUILDING!T125,ITEM_RES!$J$5:$J$229,0)-1,0),0)</f>
        <v>0</v>
      </c>
      <c r="V125" s="18"/>
      <c r="W125" s="88" t="s">
        <v>578</v>
      </c>
      <c r="X125" s="16">
        <f ca="1">IFERROR(OFFSET(ITEM_RES!$A$5,MATCH(BUILDING!W125,ITEM_RES!$J$5:$J$229,0)-1,0),0)</f>
        <v>211010501</v>
      </c>
      <c r="Y125" s="80"/>
      <c r="Z125" s="16" t="s">
        <v>548</v>
      </c>
      <c r="AA125" s="16">
        <v>1</v>
      </c>
      <c r="AB125" s="80"/>
      <c r="AC125" s="16">
        <v>0</v>
      </c>
      <c r="AD125" s="80"/>
      <c r="AE125" s="57">
        <f t="shared" si="26"/>
        <v>580</v>
      </c>
      <c r="AF125" s="17">
        <f>AE125</f>
        <v>580</v>
      </c>
      <c r="AG125" s="80"/>
      <c r="AH125" s="18">
        <f t="shared" si="23"/>
        <v>5</v>
      </c>
      <c r="AI125" s="17">
        <v>5</v>
      </c>
      <c r="AJ125" s="18">
        <f t="shared" si="63"/>
        <v>5</v>
      </c>
      <c r="AK125" s="17">
        <v>5</v>
      </c>
      <c r="AL125" s="18">
        <f t="shared" si="63"/>
        <v>5</v>
      </c>
      <c r="AM125" s="17">
        <v>5</v>
      </c>
      <c r="AN125" s="57">
        <f t="shared" si="29"/>
        <v>2</v>
      </c>
      <c r="AO125" s="18"/>
      <c r="AP125" s="18">
        <f ca="1">IFERROR(OFFSET(ITEM_RES!$A$1,MATCH(AQ125,ITEM_RES!$J:$J,0)-1,0),0)</f>
        <v>211020401</v>
      </c>
      <c r="AQ125" s="17" t="s">
        <v>459</v>
      </c>
      <c r="AR125" s="18">
        <v>25</v>
      </c>
      <c r="AS125" s="17"/>
      <c r="AT125" s="18"/>
      <c r="AU125" s="18">
        <f ca="1">IFERROR(OFFSET(ITEM_RES!$A$1,MATCH(AV125,ITEM_RES!$J:$J,0)-1,0),0)</f>
        <v>0</v>
      </c>
      <c r="AV125" s="17"/>
      <c r="AW125" s="18"/>
      <c r="AX125" s="17"/>
      <c r="AY125" s="18"/>
      <c r="AZ125" s="18">
        <f ca="1">IFERROR(OFFSET(ITEM_RES!$A$1,MATCH(BA125,ITEM_RES!$J:$J,0)-1,0),0)</f>
        <v>213010101</v>
      </c>
      <c r="BA125" s="17" t="s">
        <v>481</v>
      </c>
      <c r="BB125" s="18">
        <v>1</v>
      </c>
      <c r="BC125" s="17"/>
      <c r="BD125" s="18"/>
      <c r="BE125" s="18">
        <f ca="1">IFERROR(OFFSET(ITEM_RES!$A$1,MATCH(BF125,ITEM_RES!$J:$J,0)-1,0),0)</f>
        <v>0</v>
      </c>
      <c r="BF125" s="17"/>
      <c r="BG125" s="18"/>
      <c r="BH125" s="17"/>
      <c r="BI125" s="18"/>
      <c r="BJ125" s="18">
        <f ca="1">IFERROR(OFFSET(ITEM_RES!$A$1,MATCH(BK125,ITEM_RES!$J:$J,0)-1,0),0)</f>
        <v>0</v>
      </c>
      <c r="BK125" s="17"/>
      <c r="BL125" s="18">
        <f t="shared" si="62"/>
        <v>0</v>
      </c>
      <c r="BM125" s="17"/>
    </row>
    <row r="126" spans="1:65" x14ac:dyDescent="0.3">
      <c r="A126" s="14">
        <f t="shared" si="59"/>
        <v>111050002</v>
      </c>
      <c r="B126" s="13">
        <v>11</v>
      </c>
      <c r="C126" s="12">
        <f t="shared" si="60"/>
        <v>1</v>
      </c>
      <c r="D126" s="13">
        <v>5</v>
      </c>
      <c r="E126" s="13">
        <v>0</v>
      </c>
      <c r="F126" s="12">
        <f t="shared" si="61"/>
        <v>2</v>
      </c>
      <c r="H126" s="9">
        <v>1</v>
      </c>
      <c r="I126" s="9">
        <v>2</v>
      </c>
      <c r="K126" s="9" t="s">
        <v>360</v>
      </c>
      <c r="L126" s="9">
        <v>1</v>
      </c>
      <c r="M126" s="9">
        <v>15</v>
      </c>
      <c r="R126" s="9" t="s">
        <v>774</v>
      </c>
      <c r="U126" s="9">
        <f ca="1">IFERROR(OFFSET(ITEM_RES!$A$5,MATCH(BUILDING!T126,ITEM_RES!$J$5:$J$229,0)-1,0),0)</f>
        <v>0</v>
      </c>
      <c r="W126" s="86" t="s">
        <v>578</v>
      </c>
      <c r="X126" s="9">
        <f ca="1">IFERROR(OFFSET(ITEM_RES!$A$5,MATCH(BUILDING!W126,ITEM_RES!$J$5:$J$229,0)-1,0),0)</f>
        <v>211010501</v>
      </c>
      <c r="Z126" s="9" t="s">
        <v>548</v>
      </c>
      <c r="AA126" s="9">
        <v>2</v>
      </c>
      <c r="AC126" s="9">
        <v>200</v>
      </c>
      <c r="AE126" s="56">
        <f t="shared" si="26"/>
        <v>160</v>
      </c>
      <c r="AF126" s="10">
        <f>AE125+AE126</f>
        <v>740</v>
      </c>
      <c r="AH126" s="11">
        <f t="shared" si="23"/>
        <v>10</v>
      </c>
      <c r="AI126" s="10">
        <v>10</v>
      </c>
      <c r="AJ126" s="11">
        <f t="shared" si="63"/>
        <v>10</v>
      </c>
      <c r="AK126" s="10">
        <v>10</v>
      </c>
      <c r="AL126" s="11">
        <f t="shared" si="63"/>
        <v>10</v>
      </c>
      <c r="AM126" s="10">
        <v>10</v>
      </c>
      <c r="AN126" s="56">
        <f t="shared" si="29"/>
        <v>1</v>
      </c>
      <c r="AP126" s="11">
        <f ca="1">IFERROR(OFFSET(ITEM_RES!$A$1,MATCH(AQ126,ITEM_RES!$J:$J,0)-1,0),0)</f>
        <v>211020401</v>
      </c>
      <c r="AQ126" s="10" t="s">
        <v>459</v>
      </c>
      <c r="AR126" s="11">
        <v>50</v>
      </c>
      <c r="AU126" s="11">
        <f ca="1">IFERROR(OFFSET(ITEM_RES!$A$1,MATCH(AV126,ITEM_RES!$J:$J,0)-1,0),0)</f>
        <v>0</v>
      </c>
      <c r="AZ126" s="11">
        <f ca="1">IFERROR(OFFSET(ITEM_RES!$A$1,MATCH(BA126,ITEM_RES!$J:$J,0)-1,0),0)</f>
        <v>0</v>
      </c>
      <c r="BE126" s="11">
        <f ca="1">IFERROR(OFFSET(ITEM_RES!$A$1,MATCH(BF126,ITEM_RES!$J:$J,0)-1,0),0)</f>
        <v>0</v>
      </c>
      <c r="BJ126" s="11">
        <f ca="1">IFERROR(OFFSET(ITEM_RES!$A$1,MATCH(BK126,ITEM_RES!$J:$J,0)-1,0),0)</f>
        <v>0</v>
      </c>
      <c r="BL126" s="11">
        <f t="shared" si="62"/>
        <v>0</v>
      </c>
    </row>
    <row r="127" spans="1:65" x14ac:dyDescent="0.3">
      <c r="A127" s="14">
        <f t="shared" si="59"/>
        <v>111050003</v>
      </c>
      <c r="B127" s="13">
        <v>11</v>
      </c>
      <c r="C127" s="12">
        <f t="shared" si="60"/>
        <v>1</v>
      </c>
      <c r="D127" s="13">
        <v>5</v>
      </c>
      <c r="E127" s="13">
        <v>0</v>
      </c>
      <c r="F127" s="12">
        <f t="shared" si="61"/>
        <v>3</v>
      </c>
      <c r="H127" s="9">
        <v>1</v>
      </c>
      <c r="I127" s="9">
        <v>3</v>
      </c>
      <c r="K127" s="9" t="s">
        <v>360</v>
      </c>
      <c r="L127" s="9">
        <v>1</v>
      </c>
      <c r="M127" s="9">
        <v>15</v>
      </c>
      <c r="R127" s="9" t="s">
        <v>774</v>
      </c>
      <c r="U127" s="9">
        <f ca="1">IFERROR(OFFSET(ITEM_RES!$A$5,MATCH(BUILDING!T127,ITEM_RES!$J$5:$J$229,0)-1,0),0)</f>
        <v>0</v>
      </c>
      <c r="W127" s="86" t="s">
        <v>578</v>
      </c>
      <c r="X127" s="9">
        <f ca="1">IFERROR(OFFSET(ITEM_RES!$A$5,MATCH(BUILDING!W127,ITEM_RES!$J$5:$J$229,0)-1,0),0)</f>
        <v>211010501</v>
      </c>
      <c r="Z127" s="9" t="s">
        <v>548</v>
      </c>
      <c r="AA127" s="9">
        <v>3</v>
      </c>
      <c r="AC127" s="9">
        <v>600</v>
      </c>
      <c r="AE127" s="56">
        <f t="shared" si="26"/>
        <v>240</v>
      </c>
      <c r="AF127" s="10">
        <f t="shared" ref="AF127:AF144" si="65">AE126+AE127</f>
        <v>400</v>
      </c>
      <c r="AH127" s="11">
        <f t="shared" si="23"/>
        <v>15</v>
      </c>
      <c r="AI127" s="10">
        <v>15</v>
      </c>
      <c r="AJ127" s="11">
        <f t="shared" si="63"/>
        <v>15</v>
      </c>
      <c r="AK127" s="10">
        <v>15</v>
      </c>
      <c r="AL127" s="11">
        <f t="shared" si="63"/>
        <v>15</v>
      </c>
      <c r="AM127" s="10">
        <v>15</v>
      </c>
      <c r="AN127" s="56">
        <f t="shared" si="29"/>
        <v>1</v>
      </c>
      <c r="AP127" s="11">
        <f ca="1">IFERROR(OFFSET(ITEM_RES!$A$1,MATCH(AQ127,ITEM_RES!$J:$J,0)-1,0),0)</f>
        <v>211020401</v>
      </c>
      <c r="AQ127" s="10" t="s">
        <v>459</v>
      </c>
      <c r="AR127" s="11">
        <v>75</v>
      </c>
      <c r="AU127" s="11">
        <f ca="1">IFERROR(OFFSET(ITEM_RES!$A$1,MATCH(AV127,ITEM_RES!$J:$J,0)-1,0),0)</f>
        <v>0</v>
      </c>
      <c r="AZ127" s="11">
        <f ca="1">IFERROR(OFFSET(ITEM_RES!$A$1,MATCH(BA127,ITEM_RES!$J:$J,0)-1,0),0)</f>
        <v>0</v>
      </c>
      <c r="BE127" s="11">
        <f ca="1">IFERROR(OFFSET(ITEM_RES!$A$1,MATCH(BF127,ITEM_RES!$J:$J,0)-1,0),0)</f>
        <v>0</v>
      </c>
      <c r="BJ127" s="11">
        <f ca="1">IFERROR(OFFSET(ITEM_RES!$A$1,MATCH(BK127,ITEM_RES!$J:$J,0)-1,0),0)</f>
        <v>0</v>
      </c>
      <c r="BL127" s="11">
        <f t="shared" si="62"/>
        <v>0</v>
      </c>
    </row>
    <row r="128" spans="1:65" x14ac:dyDescent="0.3">
      <c r="A128" s="14">
        <f t="shared" si="59"/>
        <v>111050004</v>
      </c>
      <c r="B128" s="13">
        <v>11</v>
      </c>
      <c r="C128" s="12">
        <f t="shared" si="60"/>
        <v>1</v>
      </c>
      <c r="D128" s="13">
        <v>5</v>
      </c>
      <c r="E128" s="13">
        <v>0</v>
      </c>
      <c r="F128" s="12">
        <f t="shared" si="61"/>
        <v>4</v>
      </c>
      <c r="H128" s="9">
        <v>1</v>
      </c>
      <c r="I128" s="9">
        <v>4</v>
      </c>
      <c r="K128" s="9" t="s">
        <v>360</v>
      </c>
      <c r="L128" s="9">
        <v>1</v>
      </c>
      <c r="M128" s="9">
        <v>15</v>
      </c>
      <c r="R128" s="9" t="s">
        <v>774</v>
      </c>
      <c r="U128" s="9">
        <f ca="1">IFERROR(OFFSET(ITEM_RES!$A$5,MATCH(BUILDING!T128,ITEM_RES!$J$5:$J$229,0)-1,0),0)</f>
        <v>0</v>
      </c>
      <c r="W128" s="86" t="s">
        <v>578</v>
      </c>
      <c r="X128" s="9">
        <f ca="1">IFERROR(OFFSET(ITEM_RES!$A$5,MATCH(BUILDING!W128,ITEM_RES!$J$5:$J$229,0)-1,0),0)</f>
        <v>211010501</v>
      </c>
      <c r="Z128" s="9" t="s">
        <v>548</v>
      </c>
      <c r="AA128" s="9">
        <v>4</v>
      </c>
      <c r="AC128" s="9">
        <v>1000</v>
      </c>
      <c r="AE128" s="56">
        <f t="shared" si="26"/>
        <v>400</v>
      </c>
      <c r="AF128" s="10">
        <f t="shared" si="65"/>
        <v>640</v>
      </c>
      <c r="AH128" s="11">
        <f t="shared" si="23"/>
        <v>20</v>
      </c>
      <c r="AI128" s="10">
        <v>20</v>
      </c>
      <c r="AJ128" s="11">
        <f t="shared" si="63"/>
        <v>25</v>
      </c>
      <c r="AK128" s="10">
        <v>25</v>
      </c>
      <c r="AL128" s="11">
        <f t="shared" si="63"/>
        <v>25</v>
      </c>
      <c r="AM128" s="10">
        <v>25</v>
      </c>
      <c r="AN128" s="56">
        <f t="shared" si="29"/>
        <v>1</v>
      </c>
      <c r="AP128" s="11">
        <f ca="1">IFERROR(OFFSET(ITEM_RES!$A$1,MATCH(AQ128,ITEM_RES!$J:$J,0)-1,0),0)</f>
        <v>211020401</v>
      </c>
      <c r="AQ128" s="10" t="s">
        <v>459</v>
      </c>
      <c r="AR128" s="11">
        <v>125</v>
      </c>
      <c r="AU128" s="11">
        <f ca="1">IFERROR(OFFSET(ITEM_RES!$A$1,MATCH(AV128,ITEM_RES!$J:$J,0)-1,0),0)</f>
        <v>0</v>
      </c>
      <c r="AZ128" s="11">
        <f ca="1">IFERROR(OFFSET(ITEM_RES!$A$1,MATCH(BA128,ITEM_RES!$J:$J,0)-1,0),0)</f>
        <v>0</v>
      </c>
      <c r="BE128" s="11">
        <f ca="1">IFERROR(OFFSET(ITEM_RES!$A$1,MATCH(BF128,ITEM_RES!$J:$J,0)-1,0),0)</f>
        <v>0</v>
      </c>
      <c r="BJ128" s="11">
        <f ca="1">IFERROR(OFFSET(ITEM_RES!$A$1,MATCH(BK128,ITEM_RES!$J:$J,0)-1,0),0)</f>
        <v>0</v>
      </c>
      <c r="BL128" s="11">
        <f t="shared" si="62"/>
        <v>0</v>
      </c>
    </row>
    <row r="129" spans="1:64" x14ac:dyDescent="0.3">
      <c r="A129" s="14">
        <f t="shared" si="59"/>
        <v>111050005</v>
      </c>
      <c r="B129" s="13">
        <v>11</v>
      </c>
      <c r="C129" s="12">
        <f t="shared" si="60"/>
        <v>1</v>
      </c>
      <c r="D129" s="13">
        <v>5</v>
      </c>
      <c r="E129" s="13">
        <v>0</v>
      </c>
      <c r="F129" s="12">
        <f t="shared" si="61"/>
        <v>5</v>
      </c>
      <c r="H129" s="9">
        <v>1</v>
      </c>
      <c r="I129" s="9">
        <v>5</v>
      </c>
      <c r="K129" s="9" t="s">
        <v>360</v>
      </c>
      <c r="L129" s="9">
        <v>1</v>
      </c>
      <c r="M129" s="9">
        <v>15</v>
      </c>
      <c r="R129" s="9" t="s">
        <v>774</v>
      </c>
      <c r="U129" s="9">
        <f ca="1">IFERROR(OFFSET(ITEM_RES!$A$5,MATCH(BUILDING!T129,ITEM_RES!$J$5:$J$229,0)-1,0),0)</f>
        <v>0</v>
      </c>
      <c r="W129" s="86" t="s">
        <v>578</v>
      </c>
      <c r="X129" s="9">
        <f ca="1">IFERROR(OFFSET(ITEM_RES!$A$5,MATCH(BUILDING!W129,ITEM_RES!$J$5:$J$229,0)-1,0),0)</f>
        <v>211010501</v>
      </c>
      <c r="Z129" s="9" t="s">
        <v>548</v>
      </c>
      <c r="AA129" s="9">
        <v>5</v>
      </c>
      <c r="AC129" s="9">
        <v>1600</v>
      </c>
      <c r="AE129" s="56">
        <f t="shared" si="26"/>
        <v>640</v>
      </c>
      <c r="AF129" s="10">
        <f t="shared" si="65"/>
        <v>1040</v>
      </c>
      <c r="AH129" s="11">
        <f t="shared" si="23"/>
        <v>25</v>
      </c>
      <c r="AI129" s="10">
        <v>25</v>
      </c>
      <c r="AJ129" s="11">
        <f t="shared" si="63"/>
        <v>40</v>
      </c>
      <c r="AK129" s="10">
        <v>40</v>
      </c>
      <c r="AL129" s="11">
        <f t="shared" si="63"/>
        <v>40</v>
      </c>
      <c r="AM129" s="10">
        <v>40</v>
      </c>
      <c r="AN129" s="56">
        <f t="shared" si="29"/>
        <v>1</v>
      </c>
      <c r="AP129" s="11">
        <f ca="1">IFERROR(OFFSET(ITEM_RES!$A$1,MATCH(AQ129,ITEM_RES!$J:$J,0)-1,0),0)</f>
        <v>211020401</v>
      </c>
      <c r="AQ129" s="10" t="s">
        <v>459</v>
      </c>
      <c r="AR129" s="11">
        <v>200</v>
      </c>
      <c r="AU129" s="11">
        <f ca="1">IFERROR(OFFSET(ITEM_RES!$A$1,MATCH(AV129,ITEM_RES!$J:$J,0)-1,0),0)</f>
        <v>0</v>
      </c>
      <c r="AZ129" s="11">
        <f ca="1">IFERROR(OFFSET(ITEM_RES!$A$1,MATCH(BA129,ITEM_RES!$J:$J,0)-1,0),0)</f>
        <v>0</v>
      </c>
      <c r="BE129" s="11">
        <f ca="1">IFERROR(OFFSET(ITEM_RES!$A$1,MATCH(BF129,ITEM_RES!$J:$J,0)-1,0),0)</f>
        <v>0</v>
      </c>
      <c r="BJ129" s="11">
        <f ca="1">IFERROR(OFFSET(ITEM_RES!$A$1,MATCH(BK129,ITEM_RES!$J:$J,0)-1,0),0)</f>
        <v>0</v>
      </c>
      <c r="BL129" s="11">
        <f t="shared" si="62"/>
        <v>0</v>
      </c>
    </row>
    <row r="130" spans="1:64" x14ac:dyDescent="0.3">
      <c r="A130" s="14">
        <f t="shared" si="59"/>
        <v>111050006</v>
      </c>
      <c r="B130" s="13">
        <v>11</v>
      </c>
      <c r="C130" s="12">
        <f t="shared" si="60"/>
        <v>1</v>
      </c>
      <c r="D130" s="13">
        <v>5</v>
      </c>
      <c r="E130" s="13">
        <v>0</v>
      </c>
      <c r="F130" s="12">
        <f t="shared" si="61"/>
        <v>6</v>
      </c>
      <c r="H130" s="9">
        <v>1</v>
      </c>
      <c r="I130" s="9">
        <v>6</v>
      </c>
      <c r="K130" s="9" t="s">
        <v>360</v>
      </c>
      <c r="L130" s="9">
        <v>1</v>
      </c>
      <c r="M130" s="9">
        <v>15</v>
      </c>
      <c r="R130" s="9" t="s">
        <v>774</v>
      </c>
      <c r="U130" s="9">
        <f ca="1">IFERROR(OFFSET(ITEM_RES!$A$5,MATCH(BUILDING!T130,ITEM_RES!$J$5:$J$229,0)-1,0),0)</f>
        <v>0</v>
      </c>
      <c r="W130" s="86" t="s">
        <v>578</v>
      </c>
      <c r="X130" s="9">
        <f ca="1">IFERROR(OFFSET(ITEM_RES!$A$5,MATCH(BUILDING!W130,ITEM_RES!$J$5:$J$229,0)-1,0),0)</f>
        <v>211010501</v>
      </c>
      <c r="Z130" s="9" t="s">
        <v>548</v>
      </c>
      <c r="AA130" s="9">
        <v>6</v>
      </c>
      <c r="AC130" s="9">
        <v>2000</v>
      </c>
      <c r="AE130" s="56">
        <f t="shared" si="26"/>
        <v>800</v>
      </c>
      <c r="AF130" s="10">
        <f t="shared" si="65"/>
        <v>1440</v>
      </c>
      <c r="AH130" s="11">
        <f t="shared" si="23"/>
        <v>30</v>
      </c>
      <c r="AI130" s="10">
        <v>30</v>
      </c>
      <c r="AJ130" s="11">
        <f t="shared" si="63"/>
        <v>50</v>
      </c>
      <c r="AK130" s="10">
        <v>50</v>
      </c>
      <c r="AL130" s="11">
        <f t="shared" si="63"/>
        <v>50</v>
      </c>
      <c r="AM130" s="10">
        <v>50</v>
      </c>
      <c r="AN130" s="56">
        <f t="shared" si="29"/>
        <v>1</v>
      </c>
      <c r="AP130" s="11">
        <f ca="1">IFERROR(OFFSET(ITEM_RES!$A$1,MATCH(AQ130,ITEM_RES!$J:$J,0)-1,0),0)</f>
        <v>211020401</v>
      </c>
      <c r="AQ130" s="10" t="s">
        <v>459</v>
      </c>
      <c r="AR130" s="11">
        <v>250</v>
      </c>
      <c r="AU130" s="11">
        <f ca="1">IFERROR(OFFSET(ITEM_RES!$A$1,MATCH(AV130,ITEM_RES!$J:$J,0)-1,0),0)</f>
        <v>0</v>
      </c>
      <c r="AZ130" s="11">
        <f ca="1">IFERROR(OFFSET(ITEM_RES!$A$1,MATCH(BA130,ITEM_RES!$J:$J,0)-1,0),0)</f>
        <v>0</v>
      </c>
      <c r="BE130" s="11">
        <f ca="1">IFERROR(OFFSET(ITEM_RES!$A$1,MATCH(BF130,ITEM_RES!$J:$J,0)-1,0),0)</f>
        <v>0</v>
      </c>
      <c r="BJ130" s="11">
        <f ca="1">IFERROR(OFFSET(ITEM_RES!$A$1,MATCH(BK130,ITEM_RES!$J:$J,0)-1,0),0)</f>
        <v>0</v>
      </c>
      <c r="BL130" s="11">
        <f t="shared" si="62"/>
        <v>0</v>
      </c>
    </row>
    <row r="131" spans="1:64" x14ac:dyDescent="0.3">
      <c r="A131" s="14">
        <f t="shared" si="59"/>
        <v>111050007</v>
      </c>
      <c r="B131" s="13">
        <v>11</v>
      </c>
      <c r="C131" s="12">
        <f t="shared" si="60"/>
        <v>1</v>
      </c>
      <c r="D131" s="13">
        <v>5</v>
      </c>
      <c r="E131" s="13">
        <v>0</v>
      </c>
      <c r="F131" s="12">
        <f t="shared" si="61"/>
        <v>7</v>
      </c>
      <c r="H131" s="9">
        <v>1</v>
      </c>
      <c r="I131" s="9">
        <v>7</v>
      </c>
      <c r="K131" s="9" t="s">
        <v>360</v>
      </c>
      <c r="L131" s="9">
        <v>1</v>
      </c>
      <c r="M131" s="9">
        <v>15</v>
      </c>
      <c r="R131" s="9" t="s">
        <v>774</v>
      </c>
      <c r="U131" s="9">
        <f ca="1">IFERROR(OFFSET(ITEM_RES!$A$5,MATCH(BUILDING!T131,ITEM_RES!$J$5:$J$229,0)-1,0),0)</f>
        <v>0</v>
      </c>
      <c r="W131" s="86" t="s">
        <v>578</v>
      </c>
      <c r="X131" s="9">
        <f ca="1">IFERROR(OFFSET(ITEM_RES!$A$5,MATCH(BUILDING!W131,ITEM_RES!$J$5:$J$229,0)-1,0),0)</f>
        <v>211010501</v>
      </c>
      <c r="Z131" s="9" t="s">
        <v>548</v>
      </c>
      <c r="AA131" s="9">
        <v>7</v>
      </c>
      <c r="AC131" s="9">
        <v>4000</v>
      </c>
      <c r="AE131" s="56">
        <f t="shared" si="26"/>
        <v>1600</v>
      </c>
      <c r="AF131" s="10">
        <f t="shared" si="65"/>
        <v>2400</v>
      </c>
      <c r="AH131" s="11">
        <f t="shared" si="23"/>
        <v>35</v>
      </c>
      <c r="AI131" s="10">
        <v>35</v>
      </c>
      <c r="AJ131" s="11">
        <f t="shared" si="63"/>
        <v>100</v>
      </c>
      <c r="AK131" s="10">
        <v>100</v>
      </c>
      <c r="AL131" s="11">
        <f t="shared" si="63"/>
        <v>100</v>
      </c>
      <c r="AM131" s="10">
        <v>100</v>
      </c>
      <c r="AN131" s="56">
        <f t="shared" si="29"/>
        <v>1</v>
      </c>
      <c r="AP131" s="11">
        <f ca="1">IFERROR(OFFSET(ITEM_RES!$A$1,MATCH(AQ131,ITEM_RES!$J:$J,0)-1,0),0)</f>
        <v>211020401</v>
      </c>
      <c r="AQ131" s="10" t="s">
        <v>459</v>
      </c>
      <c r="AR131" s="11">
        <v>500</v>
      </c>
      <c r="AU131" s="11">
        <f ca="1">IFERROR(OFFSET(ITEM_RES!$A$1,MATCH(AV131,ITEM_RES!$J:$J,0)-1,0),0)</f>
        <v>0</v>
      </c>
      <c r="AZ131" s="11">
        <f ca="1">IFERROR(OFFSET(ITEM_RES!$A$1,MATCH(BA131,ITEM_RES!$J:$J,0)-1,0),0)</f>
        <v>0</v>
      </c>
      <c r="BE131" s="11">
        <f ca="1">IFERROR(OFFSET(ITEM_RES!$A$1,MATCH(BF131,ITEM_RES!$J:$J,0)-1,0),0)</f>
        <v>0</v>
      </c>
      <c r="BJ131" s="11">
        <f ca="1">IFERROR(OFFSET(ITEM_RES!$A$1,MATCH(BK131,ITEM_RES!$J:$J,0)-1,0),0)</f>
        <v>0</v>
      </c>
      <c r="BL131" s="11">
        <f t="shared" si="62"/>
        <v>0</v>
      </c>
    </row>
    <row r="132" spans="1:64" x14ac:dyDescent="0.3">
      <c r="A132" s="14">
        <f t="shared" si="59"/>
        <v>111050008</v>
      </c>
      <c r="B132" s="13">
        <v>11</v>
      </c>
      <c r="C132" s="12">
        <f t="shared" si="60"/>
        <v>1</v>
      </c>
      <c r="D132" s="13">
        <v>5</v>
      </c>
      <c r="E132" s="13">
        <v>0</v>
      </c>
      <c r="F132" s="12">
        <f t="shared" si="61"/>
        <v>8</v>
      </c>
      <c r="H132" s="9">
        <v>1</v>
      </c>
      <c r="I132" s="9">
        <v>8</v>
      </c>
      <c r="K132" s="9" t="s">
        <v>360</v>
      </c>
      <c r="L132" s="9">
        <v>1</v>
      </c>
      <c r="M132" s="9">
        <v>15</v>
      </c>
      <c r="R132" s="9" t="s">
        <v>774</v>
      </c>
      <c r="U132" s="9">
        <f ca="1">IFERROR(OFFSET(ITEM_RES!$A$5,MATCH(BUILDING!T132,ITEM_RES!$J$5:$J$229,0)-1,0),0)</f>
        <v>0</v>
      </c>
      <c r="W132" s="86" t="s">
        <v>578</v>
      </c>
      <c r="X132" s="9">
        <f ca="1">IFERROR(OFFSET(ITEM_RES!$A$5,MATCH(BUILDING!W132,ITEM_RES!$J$5:$J$229,0)-1,0),0)</f>
        <v>211010501</v>
      </c>
      <c r="Z132" s="9" t="s">
        <v>548</v>
      </c>
      <c r="AA132" s="9">
        <v>8</v>
      </c>
      <c r="AC132" s="9">
        <v>4000</v>
      </c>
      <c r="AE132" s="56">
        <f t="shared" si="26"/>
        <v>1600</v>
      </c>
      <c r="AF132" s="10">
        <f t="shared" si="65"/>
        <v>3200</v>
      </c>
      <c r="AH132" s="11">
        <f t="shared" si="23"/>
        <v>40</v>
      </c>
      <c r="AI132" s="10">
        <v>40</v>
      </c>
      <c r="AJ132" s="11">
        <f t="shared" si="63"/>
        <v>100</v>
      </c>
      <c r="AK132" s="10">
        <v>100</v>
      </c>
      <c r="AL132" s="11">
        <f t="shared" si="63"/>
        <v>100</v>
      </c>
      <c r="AM132" s="10">
        <v>100</v>
      </c>
      <c r="AN132" s="56">
        <f t="shared" si="29"/>
        <v>1</v>
      </c>
      <c r="AP132" s="11">
        <f ca="1">IFERROR(OFFSET(ITEM_RES!$A$1,MATCH(AQ132,ITEM_RES!$J:$J,0)-1,0),0)</f>
        <v>211020401</v>
      </c>
      <c r="AQ132" s="10" t="s">
        <v>459</v>
      </c>
      <c r="AR132" s="11">
        <v>500</v>
      </c>
      <c r="AU132" s="11">
        <f ca="1">IFERROR(OFFSET(ITEM_RES!$A$1,MATCH(AV132,ITEM_RES!$J:$J,0)-1,0),0)</f>
        <v>0</v>
      </c>
      <c r="AZ132" s="11">
        <f ca="1">IFERROR(OFFSET(ITEM_RES!$A$1,MATCH(BA132,ITEM_RES!$J:$J,0)-1,0),0)</f>
        <v>0</v>
      </c>
      <c r="BE132" s="11">
        <f ca="1">IFERROR(OFFSET(ITEM_RES!$A$1,MATCH(BF132,ITEM_RES!$J:$J,0)-1,0),0)</f>
        <v>0</v>
      </c>
      <c r="BJ132" s="11">
        <f ca="1">IFERROR(OFFSET(ITEM_RES!$A$1,MATCH(BK132,ITEM_RES!$J:$J,0)-1,0),0)</f>
        <v>0</v>
      </c>
      <c r="BL132" s="11">
        <f t="shared" si="62"/>
        <v>0</v>
      </c>
    </row>
    <row r="133" spans="1:64" x14ac:dyDescent="0.3">
      <c r="A133" s="14">
        <f t="shared" si="59"/>
        <v>111050009</v>
      </c>
      <c r="B133" s="13">
        <v>11</v>
      </c>
      <c r="C133" s="12">
        <f t="shared" si="60"/>
        <v>1</v>
      </c>
      <c r="D133" s="13">
        <v>5</v>
      </c>
      <c r="E133" s="13">
        <v>0</v>
      </c>
      <c r="F133" s="12">
        <f t="shared" si="61"/>
        <v>9</v>
      </c>
      <c r="H133" s="9">
        <v>1</v>
      </c>
      <c r="I133" s="9">
        <v>9</v>
      </c>
      <c r="K133" s="9" t="s">
        <v>360</v>
      </c>
      <c r="L133" s="9">
        <v>1</v>
      </c>
      <c r="M133" s="9">
        <v>15</v>
      </c>
      <c r="R133" s="9" t="s">
        <v>774</v>
      </c>
      <c r="U133" s="9">
        <f ca="1">IFERROR(OFFSET(ITEM_RES!$A$5,MATCH(BUILDING!T133,ITEM_RES!$J$5:$J$229,0)-1,0),0)</f>
        <v>0</v>
      </c>
      <c r="W133" s="86" t="s">
        <v>578</v>
      </c>
      <c r="X133" s="9">
        <f ca="1">IFERROR(OFFSET(ITEM_RES!$A$5,MATCH(BUILDING!W133,ITEM_RES!$J$5:$J$229,0)-1,0),0)</f>
        <v>211010501</v>
      </c>
      <c r="Z133" s="9" t="s">
        <v>548</v>
      </c>
      <c r="AA133" s="9">
        <v>9</v>
      </c>
      <c r="AC133" s="9">
        <v>6000</v>
      </c>
      <c r="AE133" s="56">
        <f t="shared" si="26"/>
        <v>2400</v>
      </c>
      <c r="AF133" s="10">
        <f t="shared" si="65"/>
        <v>4000</v>
      </c>
      <c r="AH133" s="11">
        <f t="shared" ref="AH133:AH236" si="66">ROUND(AI133,0)</f>
        <v>45</v>
      </c>
      <c r="AI133" s="10">
        <v>45</v>
      </c>
      <c r="AJ133" s="11">
        <f t="shared" si="63"/>
        <v>150</v>
      </c>
      <c r="AK133" s="10">
        <v>150</v>
      </c>
      <c r="AL133" s="11">
        <f t="shared" si="63"/>
        <v>150</v>
      </c>
      <c r="AM133" s="10">
        <v>150</v>
      </c>
      <c r="AN133" s="56">
        <f t="shared" si="29"/>
        <v>1</v>
      </c>
      <c r="AP133" s="11">
        <f ca="1">IFERROR(OFFSET(ITEM_RES!$A$1,MATCH(AQ133,ITEM_RES!$J:$J,0)-1,0),0)</f>
        <v>211020401</v>
      </c>
      <c r="AQ133" s="10" t="s">
        <v>459</v>
      </c>
      <c r="AR133" s="11">
        <v>750</v>
      </c>
      <c r="AU133" s="11">
        <f ca="1">IFERROR(OFFSET(ITEM_RES!$A$1,MATCH(AV133,ITEM_RES!$J:$J,0)-1,0),0)</f>
        <v>0</v>
      </c>
      <c r="AZ133" s="11">
        <f ca="1">IFERROR(OFFSET(ITEM_RES!$A$1,MATCH(BA133,ITEM_RES!$J:$J,0)-1,0),0)</f>
        <v>0</v>
      </c>
      <c r="BE133" s="11">
        <f ca="1">IFERROR(OFFSET(ITEM_RES!$A$1,MATCH(BF133,ITEM_RES!$J:$J,0)-1,0),0)</f>
        <v>0</v>
      </c>
      <c r="BJ133" s="11">
        <f ca="1">IFERROR(OFFSET(ITEM_RES!$A$1,MATCH(BK133,ITEM_RES!$J:$J,0)-1,0),0)</f>
        <v>0</v>
      </c>
      <c r="BL133" s="11">
        <f t="shared" si="62"/>
        <v>0</v>
      </c>
    </row>
    <row r="134" spans="1:64" x14ac:dyDescent="0.3">
      <c r="A134" s="14">
        <f t="shared" si="59"/>
        <v>111050010</v>
      </c>
      <c r="B134" s="13">
        <v>11</v>
      </c>
      <c r="C134" s="12">
        <f t="shared" si="60"/>
        <v>1</v>
      </c>
      <c r="D134" s="13">
        <v>5</v>
      </c>
      <c r="E134" s="13">
        <v>0</v>
      </c>
      <c r="F134" s="12">
        <f t="shared" si="61"/>
        <v>10</v>
      </c>
      <c r="H134" s="9">
        <v>1</v>
      </c>
      <c r="I134" s="9">
        <v>10</v>
      </c>
      <c r="K134" s="9" t="s">
        <v>360</v>
      </c>
      <c r="L134" s="9">
        <v>1</v>
      </c>
      <c r="M134" s="9">
        <v>15</v>
      </c>
      <c r="R134" s="9" t="s">
        <v>774</v>
      </c>
      <c r="U134" s="9">
        <f ca="1">IFERROR(OFFSET(ITEM_RES!$A$5,MATCH(BUILDING!T134,ITEM_RES!$J$5:$J$229,0)-1,0),0)</f>
        <v>0</v>
      </c>
      <c r="W134" s="86" t="s">
        <v>578</v>
      </c>
      <c r="X134" s="9">
        <f ca="1">IFERROR(OFFSET(ITEM_RES!$A$5,MATCH(BUILDING!W134,ITEM_RES!$J$5:$J$229,0)-1,0),0)</f>
        <v>211010501</v>
      </c>
      <c r="Z134" s="9" t="s">
        <v>548</v>
      </c>
      <c r="AA134" s="9">
        <v>10</v>
      </c>
      <c r="AC134" s="9">
        <v>8000</v>
      </c>
      <c r="AE134" s="56">
        <f t="shared" ref="AE134:AE237" si="67">AK134*10+AM134+AR134+AW134+500*BB134+500*BG134+500*BL134</f>
        <v>3200</v>
      </c>
      <c r="AF134" s="10">
        <f t="shared" si="65"/>
        <v>5600</v>
      </c>
      <c r="AH134" s="11">
        <f t="shared" si="66"/>
        <v>50</v>
      </c>
      <c r="AI134" s="10">
        <v>50</v>
      </c>
      <c r="AJ134" s="11">
        <f t="shared" si="63"/>
        <v>200</v>
      </c>
      <c r="AK134" s="10">
        <v>200</v>
      </c>
      <c r="AL134" s="11">
        <f t="shared" si="63"/>
        <v>200</v>
      </c>
      <c r="AM134" s="10">
        <v>200</v>
      </c>
      <c r="AN134" s="56">
        <f t="shared" ref="AN134:AN237" si="68">(AR134&gt;0)*1+(AW134&gt;0)*1+(BB134&gt;0)*1+(BG134&gt;0)*1+(BL134&gt;0)*1</f>
        <v>1</v>
      </c>
      <c r="AP134" s="11">
        <f ca="1">IFERROR(OFFSET(ITEM_RES!$A$1,MATCH(AQ134,ITEM_RES!$J:$J,0)-1,0),0)</f>
        <v>211020401</v>
      </c>
      <c r="AQ134" s="10" t="s">
        <v>459</v>
      </c>
      <c r="AR134" s="11">
        <v>1000</v>
      </c>
      <c r="AU134" s="11">
        <f ca="1">IFERROR(OFFSET(ITEM_RES!$A$1,MATCH(AV134,ITEM_RES!$J:$J,0)-1,0),0)</f>
        <v>0</v>
      </c>
      <c r="AZ134" s="11">
        <f ca="1">IFERROR(OFFSET(ITEM_RES!$A$1,MATCH(BA134,ITEM_RES!$J:$J,0)-1,0),0)</f>
        <v>0</v>
      </c>
      <c r="BE134" s="11">
        <f ca="1">IFERROR(OFFSET(ITEM_RES!$A$1,MATCH(BF134,ITEM_RES!$J:$J,0)-1,0),0)</f>
        <v>0</v>
      </c>
      <c r="BJ134" s="11">
        <f ca="1">IFERROR(OFFSET(ITEM_RES!$A$1,MATCH(BK134,ITEM_RES!$J:$J,0)-1,0),0)</f>
        <v>0</v>
      </c>
      <c r="BL134" s="11">
        <f t="shared" si="62"/>
        <v>0</v>
      </c>
    </row>
    <row r="135" spans="1:64" x14ac:dyDescent="0.3">
      <c r="A135" s="14">
        <f t="shared" si="59"/>
        <v>111050011</v>
      </c>
      <c r="B135" s="13">
        <v>11</v>
      </c>
      <c r="C135" s="12">
        <f t="shared" si="60"/>
        <v>1</v>
      </c>
      <c r="D135" s="13">
        <v>5</v>
      </c>
      <c r="E135" s="13">
        <v>0</v>
      </c>
      <c r="F135" s="12">
        <f t="shared" si="61"/>
        <v>11</v>
      </c>
      <c r="H135" s="9">
        <v>1</v>
      </c>
      <c r="I135" s="9">
        <v>11</v>
      </c>
      <c r="K135" s="9" t="s">
        <v>360</v>
      </c>
      <c r="L135" s="9">
        <v>1</v>
      </c>
      <c r="M135" s="9">
        <v>15</v>
      </c>
      <c r="R135" s="9" t="s">
        <v>774</v>
      </c>
      <c r="U135" s="9">
        <f ca="1">IFERROR(OFFSET(ITEM_RES!$A$5,MATCH(BUILDING!T135,ITEM_RES!$J$5:$J$229,0)-1,0),0)</f>
        <v>0</v>
      </c>
      <c r="W135" s="86" t="s">
        <v>578</v>
      </c>
      <c r="X135" s="9">
        <f ca="1">IFERROR(OFFSET(ITEM_RES!$A$5,MATCH(BUILDING!W135,ITEM_RES!$J$5:$J$229,0)-1,0),0)</f>
        <v>211010501</v>
      </c>
      <c r="Z135" s="9" t="s">
        <v>548</v>
      </c>
      <c r="AA135" s="9">
        <v>11</v>
      </c>
      <c r="AC135" s="9">
        <v>10000</v>
      </c>
      <c r="AE135" s="56">
        <f t="shared" si="67"/>
        <v>4000</v>
      </c>
      <c r="AF135" s="10">
        <f t="shared" si="65"/>
        <v>7200</v>
      </c>
      <c r="AH135" s="11">
        <f t="shared" si="66"/>
        <v>55</v>
      </c>
      <c r="AI135" s="10">
        <v>55</v>
      </c>
      <c r="AJ135" s="11">
        <f t="shared" si="63"/>
        <v>250</v>
      </c>
      <c r="AK135" s="10">
        <v>250</v>
      </c>
      <c r="AL135" s="11">
        <f t="shared" si="63"/>
        <v>250</v>
      </c>
      <c r="AM135" s="10">
        <v>250</v>
      </c>
      <c r="AN135" s="56">
        <f t="shared" si="68"/>
        <v>1</v>
      </c>
      <c r="AP135" s="11">
        <f ca="1">IFERROR(OFFSET(ITEM_RES!$A$1,MATCH(AQ135,ITEM_RES!$J:$J,0)-1,0),0)</f>
        <v>211020501</v>
      </c>
      <c r="AQ135" s="10" t="s">
        <v>455</v>
      </c>
      <c r="AR135" s="11">
        <v>1250</v>
      </c>
      <c r="AU135" s="11">
        <f ca="1">IFERROR(OFFSET(ITEM_RES!$A$1,MATCH(AV135,ITEM_RES!$J:$J,0)-1,0),0)</f>
        <v>0</v>
      </c>
      <c r="AZ135" s="11">
        <f ca="1">IFERROR(OFFSET(ITEM_RES!$A$1,MATCH(BA135,ITEM_RES!$J:$J,0)-1,0),0)</f>
        <v>0</v>
      </c>
      <c r="BE135" s="11">
        <f ca="1">IFERROR(OFFSET(ITEM_RES!$A$1,MATCH(BF135,ITEM_RES!$J:$J,0)-1,0),0)</f>
        <v>0</v>
      </c>
      <c r="BJ135" s="11">
        <f ca="1">IFERROR(OFFSET(ITEM_RES!$A$1,MATCH(BK135,ITEM_RES!$J:$J,0)-1,0),0)</f>
        <v>0</v>
      </c>
      <c r="BL135" s="11">
        <f t="shared" si="62"/>
        <v>0</v>
      </c>
    </row>
    <row r="136" spans="1:64" x14ac:dyDescent="0.3">
      <c r="A136" s="14">
        <f t="shared" si="59"/>
        <v>111050012</v>
      </c>
      <c r="B136" s="13">
        <v>11</v>
      </c>
      <c r="C136" s="12">
        <f t="shared" si="60"/>
        <v>1</v>
      </c>
      <c r="D136" s="13">
        <v>5</v>
      </c>
      <c r="E136" s="13">
        <v>0</v>
      </c>
      <c r="F136" s="12">
        <f t="shared" si="61"/>
        <v>12</v>
      </c>
      <c r="H136" s="9">
        <v>1</v>
      </c>
      <c r="I136" s="9">
        <v>12</v>
      </c>
      <c r="K136" s="9" t="s">
        <v>360</v>
      </c>
      <c r="L136" s="9">
        <v>1</v>
      </c>
      <c r="M136" s="9">
        <v>15</v>
      </c>
      <c r="R136" s="9" t="s">
        <v>774</v>
      </c>
      <c r="U136" s="9">
        <f ca="1">IFERROR(OFFSET(ITEM_RES!$A$5,MATCH(BUILDING!T136,ITEM_RES!$J$5:$J$229,0)-1,0),0)</f>
        <v>0</v>
      </c>
      <c r="W136" s="86" t="s">
        <v>578</v>
      </c>
      <c r="X136" s="9">
        <f ca="1">IFERROR(OFFSET(ITEM_RES!$A$5,MATCH(BUILDING!W136,ITEM_RES!$J$5:$J$229,0)-1,0),0)</f>
        <v>211010501</v>
      </c>
      <c r="Z136" s="9" t="s">
        <v>548</v>
      </c>
      <c r="AA136" s="9">
        <v>12</v>
      </c>
      <c r="AC136" s="9">
        <v>12000</v>
      </c>
      <c r="AE136" s="56">
        <f t="shared" si="67"/>
        <v>4800</v>
      </c>
      <c r="AF136" s="10">
        <f t="shared" si="65"/>
        <v>8800</v>
      </c>
      <c r="AH136" s="11">
        <f t="shared" si="66"/>
        <v>60</v>
      </c>
      <c r="AI136" s="10">
        <v>60</v>
      </c>
      <c r="AJ136" s="11">
        <f t="shared" si="63"/>
        <v>300</v>
      </c>
      <c r="AK136" s="10">
        <v>300</v>
      </c>
      <c r="AL136" s="11">
        <f t="shared" si="63"/>
        <v>300</v>
      </c>
      <c r="AM136" s="10">
        <v>300</v>
      </c>
      <c r="AN136" s="56">
        <f t="shared" si="68"/>
        <v>1</v>
      </c>
      <c r="AP136" s="11">
        <f ca="1">IFERROR(OFFSET(ITEM_RES!$A$1,MATCH(AQ136,ITEM_RES!$J:$J,0)-1,0),0)</f>
        <v>211020501</v>
      </c>
      <c r="AQ136" s="10" t="s">
        <v>455</v>
      </c>
      <c r="AR136" s="11">
        <v>1500</v>
      </c>
      <c r="AU136" s="11">
        <f ca="1">IFERROR(OFFSET(ITEM_RES!$A$1,MATCH(AV136,ITEM_RES!$J:$J,0)-1,0),0)</f>
        <v>0</v>
      </c>
      <c r="AZ136" s="11">
        <f ca="1">IFERROR(OFFSET(ITEM_RES!$A$1,MATCH(BA136,ITEM_RES!$J:$J,0)-1,0),0)</f>
        <v>0</v>
      </c>
      <c r="BE136" s="11">
        <f ca="1">IFERROR(OFFSET(ITEM_RES!$A$1,MATCH(BF136,ITEM_RES!$J:$J,0)-1,0),0)</f>
        <v>0</v>
      </c>
      <c r="BJ136" s="11">
        <f ca="1">IFERROR(OFFSET(ITEM_RES!$A$1,MATCH(BK136,ITEM_RES!$J:$J,0)-1,0),0)</f>
        <v>0</v>
      </c>
      <c r="BL136" s="11">
        <f t="shared" si="62"/>
        <v>0</v>
      </c>
    </row>
    <row r="137" spans="1:64" x14ac:dyDescent="0.3">
      <c r="A137" s="14">
        <f t="shared" si="59"/>
        <v>111050013</v>
      </c>
      <c r="B137" s="13">
        <v>11</v>
      </c>
      <c r="C137" s="12">
        <f t="shared" si="60"/>
        <v>1</v>
      </c>
      <c r="D137" s="13">
        <v>5</v>
      </c>
      <c r="E137" s="13">
        <v>0</v>
      </c>
      <c r="F137" s="12">
        <f t="shared" si="61"/>
        <v>13</v>
      </c>
      <c r="H137" s="9">
        <v>1</v>
      </c>
      <c r="I137" s="9">
        <v>13</v>
      </c>
      <c r="K137" s="9" t="s">
        <v>360</v>
      </c>
      <c r="L137" s="9">
        <v>1</v>
      </c>
      <c r="M137" s="9">
        <v>15</v>
      </c>
      <c r="R137" s="9" t="s">
        <v>774</v>
      </c>
      <c r="U137" s="9">
        <f ca="1">IFERROR(OFFSET(ITEM_RES!$A$5,MATCH(BUILDING!T137,ITEM_RES!$J$5:$J$229,0)-1,0),0)</f>
        <v>0</v>
      </c>
      <c r="W137" s="86" t="s">
        <v>578</v>
      </c>
      <c r="X137" s="9">
        <f ca="1">IFERROR(OFFSET(ITEM_RES!$A$5,MATCH(BUILDING!W137,ITEM_RES!$J$5:$J$229,0)-1,0),0)</f>
        <v>211010501</v>
      </c>
      <c r="Z137" s="9" t="s">
        <v>548</v>
      </c>
      <c r="AA137" s="9">
        <v>13</v>
      </c>
      <c r="AC137" s="9">
        <v>14000</v>
      </c>
      <c r="AE137" s="56">
        <f t="shared" si="67"/>
        <v>5600</v>
      </c>
      <c r="AF137" s="10">
        <f t="shared" si="65"/>
        <v>10400</v>
      </c>
      <c r="AH137" s="11">
        <f t="shared" si="66"/>
        <v>65</v>
      </c>
      <c r="AI137" s="10">
        <v>65</v>
      </c>
      <c r="AJ137" s="11">
        <f t="shared" si="63"/>
        <v>350</v>
      </c>
      <c r="AK137" s="10">
        <v>350</v>
      </c>
      <c r="AL137" s="11">
        <f t="shared" si="63"/>
        <v>350</v>
      </c>
      <c r="AM137" s="10">
        <v>350</v>
      </c>
      <c r="AN137" s="56">
        <f t="shared" si="68"/>
        <v>1</v>
      </c>
      <c r="AP137" s="11">
        <f ca="1">IFERROR(OFFSET(ITEM_RES!$A$1,MATCH(AQ137,ITEM_RES!$J:$J,0)-1,0),0)</f>
        <v>211020501</v>
      </c>
      <c r="AQ137" s="10" t="s">
        <v>455</v>
      </c>
      <c r="AR137" s="11">
        <v>1750</v>
      </c>
      <c r="AU137" s="11">
        <f ca="1">IFERROR(OFFSET(ITEM_RES!$A$1,MATCH(AV137,ITEM_RES!$J:$J,0)-1,0),0)</f>
        <v>0</v>
      </c>
      <c r="AZ137" s="11">
        <f ca="1">IFERROR(OFFSET(ITEM_RES!$A$1,MATCH(BA137,ITEM_RES!$J:$J,0)-1,0),0)</f>
        <v>0</v>
      </c>
      <c r="BE137" s="11">
        <f ca="1">IFERROR(OFFSET(ITEM_RES!$A$1,MATCH(BF137,ITEM_RES!$J:$J,0)-1,0),0)</f>
        <v>0</v>
      </c>
      <c r="BJ137" s="11">
        <f ca="1">IFERROR(OFFSET(ITEM_RES!$A$1,MATCH(BK137,ITEM_RES!$J:$J,0)-1,0),0)</f>
        <v>0</v>
      </c>
      <c r="BL137" s="11">
        <f t="shared" si="62"/>
        <v>0</v>
      </c>
    </row>
    <row r="138" spans="1:64" x14ac:dyDescent="0.3">
      <c r="A138" s="14">
        <f t="shared" si="59"/>
        <v>111050014</v>
      </c>
      <c r="B138" s="13">
        <v>11</v>
      </c>
      <c r="C138" s="12">
        <f t="shared" si="60"/>
        <v>1</v>
      </c>
      <c r="D138" s="13">
        <v>5</v>
      </c>
      <c r="E138" s="13">
        <v>0</v>
      </c>
      <c r="F138" s="12">
        <f t="shared" si="61"/>
        <v>14</v>
      </c>
      <c r="H138" s="9">
        <v>1</v>
      </c>
      <c r="I138" s="9">
        <v>14</v>
      </c>
      <c r="K138" s="9" t="s">
        <v>360</v>
      </c>
      <c r="L138" s="9">
        <v>1</v>
      </c>
      <c r="M138" s="9">
        <v>15</v>
      </c>
      <c r="R138" s="9" t="s">
        <v>774</v>
      </c>
      <c r="U138" s="9">
        <f ca="1">IFERROR(OFFSET(ITEM_RES!$A$5,MATCH(BUILDING!T138,ITEM_RES!$J$5:$J$229,0)-1,0),0)</f>
        <v>0</v>
      </c>
      <c r="W138" s="86" t="s">
        <v>578</v>
      </c>
      <c r="X138" s="9">
        <f ca="1">IFERROR(OFFSET(ITEM_RES!$A$5,MATCH(BUILDING!W138,ITEM_RES!$J$5:$J$229,0)-1,0),0)</f>
        <v>211010501</v>
      </c>
      <c r="Z138" s="9" t="s">
        <v>548</v>
      </c>
      <c r="AA138" s="9">
        <v>14</v>
      </c>
      <c r="AC138" s="9">
        <v>18000</v>
      </c>
      <c r="AE138" s="56">
        <f t="shared" si="67"/>
        <v>7200</v>
      </c>
      <c r="AF138" s="10">
        <f t="shared" si="65"/>
        <v>12800</v>
      </c>
      <c r="AH138" s="11">
        <f t="shared" si="66"/>
        <v>70</v>
      </c>
      <c r="AI138" s="10">
        <v>70</v>
      </c>
      <c r="AJ138" s="11">
        <f t="shared" si="63"/>
        <v>450</v>
      </c>
      <c r="AK138" s="10">
        <v>450</v>
      </c>
      <c r="AL138" s="11">
        <f t="shared" si="63"/>
        <v>450</v>
      </c>
      <c r="AM138" s="10">
        <v>450</v>
      </c>
      <c r="AN138" s="56">
        <f t="shared" si="68"/>
        <v>1</v>
      </c>
      <c r="AP138" s="11">
        <f ca="1">IFERROR(OFFSET(ITEM_RES!$A$1,MATCH(AQ138,ITEM_RES!$J:$J,0)-1,0),0)</f>
        <v>211020501</v>
      </c>
      <c r="AQ138" s="10" t="s">
        <v>455</v>
      </c>
      <c r="AR138" s="11">
        <v>2250</v>
      </c>
      <c r="AU138" s="11">
        <f ca="1">IFERROR(OFFSET(ITEM_RES!$A$1,MATCH(AV138,ITEM_RES!$J:$J,0)-1,0),0)</f>
        <v>0</v>
      </c>
      <c r="AZ138" s="11">
        <f ca="1">IFERROR(OFFSET(ITEM_RES!$A$1,MATCH(BA138,ITEM_RES!$J:$J,0)-1,0),0)</f>
        <v>0</v>
      </c>
      <c r="BE138" s="11">
        <f ca="1">IFERROR(OFFSET(ITEM_RES!$A$1,MATCH(BF138,ITEM_RES!$J:$J,0)-1,0),0)</f>
        <v>0</v>
      </c>
      <c r="BJ138" s="11">
        <f ca="1">IFERROR(OFFSET(ITEM_RES!$A$1,MATCH(BK138,ITEM_RES!$J:$J,0)-1,0),0)</f>
        <v>0</v>
      </c>
      <c r="BL138" s="11">
        <f t="shared" si="62"/>
        <v>0</v>
      </c>
    </row>
    <row r="139" spans="1:64" x14ac:dyDescent="0.3">
      <c r="A139" s="14">
        <f t="shared" si="59"/>
        <v>111050015</v>
      </c>
      <c r="B139" s="13">
        <v>11</v>
      </c>
      <c r="C139" s="12">
        <f t="shared" si="60"/>
        <v>1</v>
      </c>
      <c r="D139" s="13">
        <v>5</v>
      </c>
      <c r="E139" s="13">
        <v>0</v>
      </c>
      <c r="F139" s="12">
        <f t="shared" si="61"/>
        <v>15</v>
      </c>
      <c r="H139" s="9">
        <v>1</v>
      </c>
      <c r="I139" s="9">
        <v>15</v>
      </c>
      <c r="K139" s="9" t="s">
        <v>360</v>
      </c>
      <c r="L139" s="9">
        <v>1</v>
      </c>
      <c r="M139" s="9">
        <v>15</v>
      </c>
      <c r="R139" s="9" t="s">
        <v>774</v>
      </c>
      <c r="U139" s="9">
        <f ca="1">IFERROR(OFFSET(ITEM_RES!$A$5,MATCH(BUILDING!T139,ITEM_RES!$J$5:$J$229,0)-1,0),0)</f>
        <v>0</v>
      </c>
      <c r="W139" s="86" t="s">
        <v>578</v>
      </c>
      <c r="X139" s="9">
        <f ca="1">IFERROR(OFFSET(ITEM_RES!$A$5,MATCH(BUILDING!W139,ITEM_RES!$J$5:$J$229,0)-1,0),0)</f>
        <v>211010501</v>
      </c>
      <c r="Z139" s="9" t="s">
        <v>548</v>
      </c>
      <c r="AA139" s="9">
        <v>15</v>
      </c>
      <c r="AC139" s="9">
        <v>22000</v>
      </c>
      <c r="AE139" s="56">
        <f t="shared" si="67"/>
        <v>8800</v>
      </c>
      <c r="AF139" s="10">
        <f t="shared" si="65"/>
        <v>16000</v>
      </c>
      <c r="AH139" s="11">
        <f t="shared" si="66"/>
        <v>75</v>
      </c>
      <c r="AI139" s="10">
        <v>75</v>
      </c>
      <c r="AJ139" s="11">
        <f t="shared" si="63"/>
        <v>550</v>
      </c>
      <c r="AK139" s="10">
        <v>550</v>
      </c>
      <c r="AL139" s="11">
        <f t="shared" si="63"/>
        <v>550</v>
      </c>
      <c r="AM139" s="10">
        <v>550</v>
      </c>
      <c r="AN139" s="56">
        <f t="shared" si="68"/>
        <v>1</v>
      </c>
      <c r="AP139" s="11">
        <f ca="1">IFERROR(OFFSET(ITEM_RES!$A$1,MATCH(AQ139,ITEM_RES!$J:$J,0)-1,0),0)</f>
        <v>211020501</v>
      </c>
      <c r="AQ139" s="10" t="s">
        <v>455</v>
      </c>
      <c r="AR139" s="11">
        <v>2750</v>
      </c>
      <c r="AU139" s="11">
        <f ca="1">IFERROR(OFFSET(ITEM_RES!$A$1,MATCH(AV139,ITEM_RES!$J:$J,0)-1,0),0)</f>
        <v>0</v>
      </c>
      <c r="AZ139" s="11">
        <f ca="1">IFERROR(OFFSET(ITEM_RES!$A$1,MATCH(BA139,ITEM_RES!$J:$J,0)-1,0),0)</f>
        <v>0</v>
      </c>
      <c r="BE139" s="11">
        <f ca="1">IFERROR(OFFSET(ITEM_RES!$A$1,MATCH(BF139,ITEM_RES!$J:$J,0)-1,0),0)</f>
        <v>0</v>
      </c>
      <c r="BJ139" s="11">
        <f ca="1">IFERROR(OFFSET(ITEM_RES!$A$1,MATCH(BK139,ITEM_RES!$J:$J,0)-1,0),0)</f>
        <v>0</v>
      </c>
      <c r="BL139" s="11">
        <f t="shared" si="62"/>
        <v>0</v>
      </c>
    </row>
    <row r="140" spans="1:64" x14ac:dyDescent="0.3">
      <c r="A140" s="14">
        <f t="shared" si="59"/>
        <v>111050016</v>
      </c>
      <c r="B140" s="13">
        <v>11</v>
      </c>
      <c r="C140" s="12">
        <f t="shared" si="60"/>
        <v>1</v>
      </c>
      <c r="D140" s="13">
        <v>5</v>
      </c>
      <c r="E140" s="13">
        <v>0</v>
      </c>
      <c r="F140" s="12">
        <f t="shared" si="61"/>
        <v>16</v>
      </c>
      <c r="H140" s="9">
        <v>1</v>
      </c>
      <c r="I140" s="9">
        <v>16</v>
      </c>
      <c r="K140" s="9" t="s">
        <v>360</v>
      </c>
      <c r="L140" s="9">
        <v>0</v>
      </c>
      <c r="M140" s="9">
        <v>15</v>
      </c>
      <c r="R140" s="9" t="s">
        <v>774</v>
      </c>
      <c r="U140" s="9">
        <f ca="1">IFERROR(OFFSET(ITEM_RES!$A$5,MATCH(BUILDING!T140,ITEM_RES!$J$5:$J$229,0)-1,0),0)</f>
        <v>0</v>
      </c>
      <c r="W140" s="86" t="s">
        <v>578</v>
      </c>
      <c r="X140" s="9">
        <f ca="1">IFERROR(OFFSET(ITEM_RES!$A$5,MATCH(BUILDING!W140,ITEM_RES!$J$5:$J$229,0)-1,0),0)</f>
        <v>211010501</v>
      </c>
      <c r="Z140" s="9" t="s">
        <v>548</v>
      </c>
      <c r="AA140" s="9">
        <v>16</v>
      </c>
      <c r="AC140" s="9">
        <v>28000</v>
      </c>
      <c r="AE140" s="56">
        <f t="shared" si="67"/>
        <v>11200</v>
      </c>
      <c r="AF140" s="10">
        <f t="shared" si="65"/>
        <v>20000</v>
      </c>
      <c r="AH140" s="11">
        <f t="shared" si="66"/>
        <v>80</v>
      </c>
      <c r="AI140" s="10">
        <v>80</v>
      </c>
      <c r="AJ140" s="11">
        <f t="shared" si="63"/>
        <v>700</v>
      </c>
      <c r="AK140" s="10">
        <v>700</v>
      </c>
      <c r="AL140" s="11">
        <f t="shared" si="63"/>
        <v>700</v>
      </c>
      <c r="AM140" s="10">
        <v>700</v>
      </c>
      <c r="AN140" s="56">
        <f t="shared" si="68"/>
        <v>1</v>
      </c>
      <c r="AP140" s="11">
        <f ca="1">IFERROR(OFFSET(ITEM_RES!$A$1,MATCH(AQ140,ITEM_RES!$J:$J,0)-1,0),0)</f>
        <v>211020501</v>
      </c>
      <c r="AQ140" s="10" t="s">
        <v>455</v>
      </c>
      <c r="AR140" s="11">
        <v>3500</v>
      </c>
      <c r="AU140" s="11">
        <f ca="1">IFERROR(OFFSET(ITEM_RES!$A$1,MATCH(AV140,ITEM_RES!$J:$J,0)-1,0),0)</f>
        <v>0</v>
      </c>
      <c r="AZ140" s="11">
        <f ca="1">IFERROR(OFFSET(ITEM_RES!$A$1,MATCH(BA140,ITEM_RES!$J:$J,0)-1,0),0)</f>
        <v>0</v>
      </c>
      <c r="BE140" s="11">
        <f ca="1">IFERROR(OFFSET(ITEM_RES!$A$1,MATCH(BF140,ITEM_RES!$J:$J,0)-1,0),0)</f>
        <v>0</v>
      </c>
      <c r="BJ140" s="11">
        <f ca="1">IFERROR(OFFSET(ITEM_RES!$A$1,MATCH(BK140,ITEM_RES!$J:$J,0)-1,0),0)</f>
        <v>0</v>
      </c>
      <c r="BL140" s="11">
        <f t="shared" si="62"/>
        <v>0</v>
      </c>
    </row>
    <row r="141" spans="1:64" x14ac:dyDescent="0.3">
      <c r="A141" s="14">
        <f t="shared" si="59"/>
        <v>111050017</v>
      </c>
      <c r="B141" s="13">
        <v>11</v>
      </c>
      <c r="C141" s="12">
        <f t="shared" si="60"/>
        <v>1</v>
      </c>
      <c r="D141" s="13">
        <v>5</v>
      </c>
      <c r="E141" s="13">
        <v>0</v>
      </c>
      <c r="F141" s="12">
        <f t="shared" si="61"/>
        <v>17</v>
      </c>
      <c r="H141" s="9">
        <v>1</v>
      </c>
      <c r="I141" s="9">
        <v>17</v>
      </c>
      <c r="K141" s="9" t="s">
        <v>360</v>
      </c>
      <c r="L141" s="9">
        <v>0</v>
      </c>
      <c r="M141" s="9">
        <v>15</v>
      </c>
      <c r="R141" s="9" t="s">
        <v>774</v>
      </c>
      <c r="U141" s="9">
        <f ca="1">IFERROR(OFFSET(ITEM_RES!$A$5,MATCH(BUILDING!T141,ITEM_RES!$J$5:$J$229,0)-1,0),0)</f>
        <v>0</v>
      </c>
      <c r="W141" s="86" t="s">
        <v>578</v>
      </c>
      <c r="X141" s="9">
        <f ca="1">IFERROR(OFFSET(ITEM_RES!$A$5,MATCH(BUILDING!W141,ITEM_RES!$J$5:$J$229,0)-1,0),0)</f>
        <v>211010501</v>
      </c>
      <c r="Z141" s="9" t="s">
        <v>548</v>
      </c>
      <c r="AA141" s="9">
        <v>17</v>
      </c>
      <c r="AC141" s="9">
        <v>34000</v>
      </c>
      <c r="AE141" s="56">
        <f t="shared" si="67"/>
        <v>13600</v>
      </c>
      <c r="AF141" s="10">
        <f t="shared" si="65"/>
        <v>24800</v>
      </c>
      <c r="AH141" s="11">
        <f t="shared" si="66"/>
        <v>85</v>
      </c>
      <c r="AI141" s="10">
        <v>85</v>
      </c>
      <c r="AJ141" s="11">
        <f t="shared" si="63"/>
        <v>850</v>
      </c>
      <c r="AK141" s="10">
        <v>850</v>
      </c>
      <c r="AL141" s="11">
        <f t="shared" si="63"/>
        <v>850</v>
      </c>
      <c r="AM141" s="10">
        <v>850</v>
      </c>
      <c r="AN141" s="56">
        <f t="shared" si="68"/>
        <v>1</v>
      </c>
      <c r="AP141" s="11">
        <f ca="1">IFERROR(OFFSET(ITEM_RES!$A$1,MATCH(AQ141,ITEM_RES!$J:$J,0)-1,0),0)</f>
        <v>211020501</v>
      </c>
      <c r="AQ141" s="10" t="s">
        <v>455</v>
      </c>
      <c r="AR141" s="11">
        <v>4250</v>
      </c>
      <c r="AU141" s="11">
        <f ca="1">IFERROR(OFFSET(ITEM_RES!$A$1,MATCH(AV141,ITEM_RES!$J:$J,0)-1,0),0)</f>
        <v>0</v>
      </c>
      <c r="AZ141" s="11">
        <f ca="1">IFERROR(OFFSET(ITEM_RES!$A$1,MATCH(BA141,ITEM_RES!$J:$J,0)-1,0),0)</f>
        <v>0</v>
      </c>
      <c r="BE141" s="11">
        <f ca="1">IFERROR(OFFSET(ITEM_RES!$A$1,MATCH(BF141,ITEM_RES!$J:$J,0)-1,0),0)</f>
        <v>0</v>
      </c>
      <c r="BJ141" s="11">
        <f ca="1">IFERROR(OFFSET(ITEM_RES!$A$1,MATCH(BK141,ITEM_RES!$J:$J,0)-1,0),0)</f>
        <v>0</v>
      </c>
      <c r="BL141" s="11">
        <f t="shared" si="62"/>
        <v>0</v>
      </c>
    </row>
    <row r="142" spans="1:64" x14ac:dyDescent="0.3">
      <c r="A142" s="14">
        <f t="shared" si="59"/>
        <v>111050018</v>
      </c>
      <c r="B142" s="13">
        <v>11</v>
      </c>
      <c r="C142" s="12">
        <f t="shared" si="60"/>
        <v>1</v>
      </c>
      <c r="D142" s="13">
        <v>5</v>
      </c>
      <c r="E142" s="13">
        <v>0</v>
      </c>
      <c r="F142" s="12">
        <f t="shared" si="61"/>
        <v>18</v>
      </c>
      <c r="H142" s="9">
        <v>1</v>
      </c>
      <c r="I142" s="9">
        <v>18</v>
      </c>
      <c r="K142" s="9" t="s">
        <v>360</v>
      </c>
      <c r="L142" s="9">
        <v>0</v>
      </c>
      <c r="M142" s="9">
        <v>15</v>
      </c>
      <c r="R142" s="9" t="s">
        <v>774</v>
      </c>
      <c r="U142" s="9">
        <f ca="1">IFERROR(OFFSET(ITEM_RES!$A$5,MATCH(BUILDING!T142,ITEM_RES!$J$5:$J$229,0)-1,0),0)</f>
        <v>0</v>
      </c>
      <c r="W142" s="86" t="s">
        <v>578</v>
      </c>
      <c r="X142" s="9">
        <f ca="1">IFERROR(OFFSET(ITEM_RES!$A$5,MATCH(BUILDING!W142,ITEM_RES!$J$5:$J$229,0)-1,0),0)</f>
        <v>211010501</v>
      </c>
      <c r="Z142" s="9" t="s">
        <v>548</v>
      </c>
      <c r="AA142" s="9">
        <v>18</v>
      </c>
      <c r="AC142" s="9">
        <v>42000</v>
      </c>
      <c r="AE142" s="56">
        <f t="shared" si="67"/>
        <v>16800</v>
      </c>
      <c r="AF142" s="10">
        <f t="shared" si="65"/>
        <v>30400</v>
      </c>
      <c r="AH142" s="11">
        <f t="shared" si="66"/>
        <v>90</v>
      </c>
      <c r="AI142" s="10">
        <v>90</v>
      </c>
      <c r="AJ142" s="11">
        <f t="shared" si="63"/>
        <v>1050</v>
      </c>
      <c r="AK142" s="10">
        <v>1050</v>
      </c>
      <c r="AL142" s="11">
        <f t="shared" si="63"/>
        <v>1050</v>
      </c>
      <c r="AM142" s="10">
        <v>1050</v>
      </c>
      <c r="AN142" s="56">
        <f t="shared" si="68"/>
        <v>1</v>
      </c>
      <c r="AP142" s="11">
        <f ca="1">IFERROR(OFFSET(ITEM_RES!$A$1,MATCH(AQ142,ITEM_RES!$J:$J,0)-1,0),0)</f>
        <v>211020501</v>
      </c>
      <c r="AQ142" s="10" t="s">
        <v>455</v>
      </c>
      <c r="AR142" s="11">
        <v>5250</v>
      </c>
      <c r="AU142" s="11">
        <f ca="1">IFERROR(OFFSET(ITEM_RES!$A$1,MATCH(AV142,ITEM_RES!$J:$J,0)-1,0),0)</f>
        <v>0</v>
      </c>
      <c r="AZ142" s="11">
        <f ca="1">IFERROR(OFFSET(ITEM_RES!$A$1,MATCH(BA142,ITEM_RES!$J:$J,0)-1,0),0)</f>
        <v>0</v>
      </c>
      <c r="BE142" s="11">
        <f ca="1">IFERROR(OFFSET(ITEM_RES!$A$1,MATCH(BF142,ITEM_RES!$J:$J,0)-1,0),0)</f>
        <v>0</v>
      </c>
      <c r="BJ142" s="11">
        <f ca="1">IFERROR(OFFSET(ITEM_RES!$A$1,MATCH(BK142,ITEM_RES!$J:$J,0)-1,0),0)</f>
        <v>0</v>
      </c>
      <c r="BL142" s="11">
        <f t="shared" si="62"/>
        <v>0</v>
      </c>
    </row>
    <row r="143" spans="1:64" x14ac:dyDescent="0.3">
      <c r="A143" s="14">
        <f t="shared" si="59"/>
        <v>111050019</v>
      </c>
      <c r="B143" s="13">
        <v>11</v>
      </c>
      <c r="C143" s="12">
        <f t="shared" si="60"/>
        <v>1</v>
      </c>
      <c r="D143" s="13">
        <v>5</v>
      </c>
      <c r="E143" s="13">
        <v>0</v>
      </c>
      <c r="F143" s="12">
        <f t="shared" si="61"/>
        <v>19</v>
      </c>
      <c r="H143" s="9">
        <v>1</v>
      </c>
      <c r="I143" s="9">
        <v>19</v>
      </c>
      <c r="K143" s="9" t="s">
        <v>360</v>
      </c>
      <c r="L143" s="9">
        <v>0</v>
      </c>
      <c r="M143" s="9">
        <v>15</v>
      </c>
      <c r="R143" s="9" t="s">
        <v>774</v>
      </c>
      <c r="U143" s="9">
        <f ca="1">IFERROR(OFFSET(ITEM_RES!$A$5,MATCH(BUILDING!T143,ITEM_RES!$J$5:$J$229,0)-1,0),0)</f>
        <v>0</v>
      </c>
      <c r="W143" s="86" t="s">
        <v>578</v>
      </c>
      <c r="X143" s="9">
        <f ca="1">IFERROR(OFFSET(ITEM_RES!$A$5,MATCH(BUILDING!W143,ITEM_RES!$J$5:$J$229,0)-1,0),0)</f>
        <v>211010501</v>
      </c>
      <c r="Z143" s="9" t="s">
        <v>548</v>
      </c>
      <c r="AA143" s="9">
        <v>19</v>
      </c>
      <c r="AC143" s="9">
        <v>50000</v>
      </c>
      <c r="AE143" s="56">
        <f t="shared" si="67"/>
        <v>20000</v>
      </c>
      <c r="AF143" s="10">
        <f t="shared" si="65"/>
        <v>36800</v>
      </c>
      <c r="AH143" s="11">
        <f t="shared" si="66"/>
        <v>95</v>
      </c>
      <c r="AI143" s="10">
        <v>95</v>
      </c>
      <c r="AJ143" s="11">
        <f t="shared" si="63"/>
        <v>1250</v>
      </c>
      <c r="AK143" s="10">
        <v>1250</v>
      </c>
      <c r="AL143" s="11">
        <f t="shared" si="63"/>
        <v>1250</v>
      </c>
      <c r="AM143" s="10">
        <v>1250</v>
      </c>
      <c r="AN143" s="56">
        <f t="shared" si="68"/>
        <v>1</v>
      </c>
      <c r="AP143" s="11">
        <f ca="1">IFERROR(OFFSET(ITEM_RES!$A$1,MATCH(AQ143,ITEM_RES!$J:$J,0)-1,0),0)</f>
        <v>211020501</v>
      </c>
      <c r="AQ143" s="10" t="s">
        <v>455</v>
      </c>
      <c r="AR143" s="11">
        <v>6250</v>
      </c>
      <c r="AU143" s="11">
        <f ca="1">IFERROR(OFFSET(ITEM_RES!$A$1,MATCH(AV143,ITEM_RES!$J:$J,0)-1,0),0)</f>
        <v>0</v>
      </c>
      <c r="AZ143" s="11">
        <f ca="1">IFERROR(OFFSET(ITEM_RES!$A$1,MATCH(BA143,ITEM_RES!$J:$J,0)-1,0),0)</f>
        <v>0</v>
      </c>
      <c r="BE143" s="11">
        <f ca="1">IFERROR(OFFSET(ITEM_RES!$A$1,MATCH(BF143,ITEM_RES!$J:$J,0)-1,0),0)</f>
        <v>0</v>
      </c>
      <c r="BJ143" s="11">
        <f ca="1">IFERROR(OFFSET(ITEM_RES!$A$1,MATCH(BK143,ITEM_RES!$J:$J,0)-1,0),0)</f>
        <v>0</v>
      </c>
      <c r="BL143" s="11">
        <f t="shared" si="62"/>
        <v>0</v>
      </c>
    </row>
    <row r="144" spans="1:64" ht="17.25" thickBot="1" x14ac:dyDescent="0.35">
      <c r="A144" s="14">
        <f t="shared" si="59"/>
        <v>111050020</v>
      </c>
      <c r="B144" s="13">
        <v>11</v>
      </c>
      <c r="C144" s="12">
        <f t="shared" si="60"/>
        <v>1</v>
      </c>
      <c r="D144" s="13">
        <v>5</v>
      </c>
      <c r="E144" s="13">
        <v>0</v>
      </c>
      <c r="F144" s="12">
        <f t="shared" si="61"/>
        <v>20</v>
      </c>
      <c r="H144" s="9">
        <v>1</v>
      </c>
      <c r="I144" s="9">
        <v>20</v>
      </c>
      <c r="K144" s="9" t="s">
        <v>360</v>
      </c>
      <c r="L144" s="9">
        <v>0</v>
      </c>
      <c r="M144" s="9">
        <v>15</v>
      </c>
      <c r="R144" s="9" t="s">
        <v>774</v>
      </c>
      <c r="U144" s="9">
        <f ca="1">IFERROR(OFFSET(ITEM_RES!$A$5,MATCH(BUILDING!T144,ITEM_RES!$J$5:$J$229,0)-1,0),0)</f>
        <v>0</v>
      </c>
      <c r="W144" s="86" t="s">
        <v>578</v>
      </c>
      <c r="X144" s="9">
        <f ca="1">IFERROR(OFFSET(ITEM_RES!$A$5,MATCH(BUILDING!W144,ITEM_RES!$J$5:$J$229,0)-1,0),0)</f>
        <v>211010501</v>
      </c>
      <c r="Z144" s="9" t="s">
        <v>548</v>
      </c>
      <c r="AA144" s="9">
        <v>20</v>
      </c>
      <c r="AC144" s="9">
        <v>60000</v>
      </c>
      <c r="AE144" s="56">
        <f t="shared" si="67"/>
        <v>24000</v>
      </c>
      <c r="AF144" s="10">
        <f t="shared" si="65"/>
        <v>44000</v>
      </c>
      <c r="AH144" s="11">
        <f t="shared" si="66"/>
        <v>100</v>
      </c>
      <c r="AI144" s="10">
        <v>100</v>
      </c>
      <c r="AJ144" s="11">
        <f t="shared" si="63"/>
        <v>1500</v>
      </c>
      <c r="AK144" s="10">
        <v>1500</v>
      </c>
      <c r="AL144" s="11">
        <f t="shared" si="63"/>
        <v>1500</v>
      </c>
      <c r="AM144" s="10">
        <v>1500</v>
      </c>
      <c r="AN144" s="56">
        <f t="shared" si="68"/>
        <v>1</v>
      </c>
      <c r="AP144" s="11">
        <f ca="1">IFERROR(OFFSET(ITEM_RES!$A$1,MATCH(AQ144,ITEM_RES!$J:$J,0)-1,0),0)</f>
        <v>211020501</v>
      </c>
      <c r="AQ144" s="10" t="s">
        <v>455</v>
      </c>
      <c r="AR144" s="11">
        <v>7500</v>
      </c>
      <c r="AU144" s="11">
        <f ca="1">IFERROR(OFFSET(ITEM_RES!$A$1,MATCH(AV144,ITEM_RES!$J:$J,0)-1,0),0)</f>
        <v>0</v>
      </c>
      <c r="AZ144" s="11">
        <f ca="1">IFERROR(OFFSET(ITEM_RES!$A$1,MATCH(BA144,ITEM_RES!$J:$J,0)-1,0),0)</f>
        <v>0</v>
      </c>
      <c r="BE144" s="11">
        <f ca="1">IFERROR(OFFSET(ITEM_RES!$A$1,MATCH(BF144,ITEM_RES!$J:$J,0)-1,0),0)</f>
        <v>0</v>
      </c>
      <c r="BJ144" s="11">
        <f ca="1">IFERROR(OFFSET(ITEM_RES!$A$1,MATCH(BK144,ITEM_RES!$J:$J,0)-1,0),0)</f>
        <v>0</v>
      </c>
      <c r="BL144" s="11">
        <f t="shared" si="62"/>
        <v>0</v>
      </c>
    </row>
    <row r="145" spans="1:65" s="15" customFormat="1" x14ac:dyDescent="0.3">
      <c r="A145" s="21">
        <f t="shared" si="59"/>
        <v>111060001</v>
      </c>
      <c r="B145" s="20">
        <v>11</v>
      </c>
      <c r="C145" s="19">
        <f t="shared" si="60"/>
        <v>1</v>
      </c>
      <c r="D145" s="20">
        <v>6</v>
      </c>
      <c r="E145" s="20">
        <v>0</v>
      </c>
      <c r="F145" s="19">
        <f t="shared" si="61"/>
        <v>1</v>
      </c>
      <c r="G145" s="80"/>
      <c r="H145" s="16">
        <v>1</v>
      </c>
      <c r="I145" s="16">
        <v>1</v>
      </c>
      <c r="J145" s="80"/>
      <c r="K145" s="16" t="s">
        <v>359</v>
      </c>
      <c r="L145" s="16">
        <v>1</v>
      </c>
      <c r="M145" s="16">
        <v>15</v>
      </c>
      <c r="N145" s="16"/>
      <c r="O145" s="17"/>
      <c r="P145" s="17"/>
      <c r="Q145" s="18"/>
      <c r="R145" s="16" t="s">
        <v>794</v>
      </c>
      <c r="S145" s="80"/>
      <c r="T145" s="88"/>
      <c r="U145" s="16">
        <f ca="1">IFERROR(OFFSET(ITEM_RES!$A$5,MATCH(BUILDING!T145,ITEM_RES!$J$5:$J$229,0)-1,0),0)</f>
        <v>0</v>
      </c>
      <c r="V145" s="18"/>
      <c r="W145" s="88" t="s">
        <v>578</v>
      </c>
      <c r="X145" s="16">
        <f ca="1">IFERROR(OFFSET(ITEM_RES!$A$5,MATCH(BUILDING!W145,ITEM_RES!$J$5:$J$229,0)-1,0),0)</f>
        <v>211010501</v>
      </c>
      <c r="Y145" s="80"/>
      <c r="Z145" s="16" t="s">
        <v>549</v>
      </c>
      <c r="AA145" s="16">
        <v>1</v>
      </c>
      <c r="AB145" s="80"/>
      <c r="AC145" s="16">
        <v>0</v>
      </c>
      <c r="AD145" s="80"/>
      <c r="AE145" s="57">
        <f t="shared" si="67"/>
        <v>580</v>
      </c>
      <c r="AF145" s="17">
        <f>AE145</f>
        <v>580</v>
      </c>
      <c r="AG145" s="80"/>
      <c r="AH145" s="18">
        <f t="shared" si="66"/>
        <v>5</v>
      </c>
      <c r="AI145" s="17">
        <v>5</v>
      </c>
      <c r="AJ145" s="18">
        <f t="shared" si="63"/>
        <v>5</v>
      </c>
      <c r="AK145" s="17">
        <v>5</v>
      </c>
      <c r="AL145" s="18">
        <f t="shared" si="63"/>
        <v>5</v>
      </c>
      <c r="AM145" s="17">
        <v>5</v>
      </c>
      <c r="AN145" s="57">
        <f t="shared" si="68"/>
        <v>2</v>
      </c>
      <c r="AO145" s="18"/>
      <c r="AP145" s="18">
        <f ca="1">IFERROR(OFFSET(ITEM_RES!$A$1,MATCH(AQ145,ITEM_RES!$J:$J,0)-1,0),0)</f>
        <v>211020801</v>
      </c>
      <c r="AQ145" s="17" t="s">
        <v>457</v>
      </c>
      <c r="AR145" s="18">
        <v>25</v>
      </c>
      <c r="AS145" s="17"/>
      <c r="AT145" s="18"/>
      <c r="AU145" s="18">
        <f ca="1">IFERROR(OFFSET(ITEM_RES!$A$1,MATCH(AV145,ITEM_RES!$J:$J,0)-1,0),0)</f>
        <v>0</v>
      </c>
      <c r="AV145" s="17"/>
      <c r="AW145" s="18"/>
      <c r="AX145" s="17"/>
      <c r="AY145" s="18"/>
      <c r="AZ145" s="18">
        <f ca="1">IFERROR(OFFSET(ITEM_RES!$A$1,MATCH(BA145,ITEM_RES!$J:$J,0)-1,0),0)</f>
        <v>213010101</v>
      </c>
      <c r="BA145" s="17" t="s">
        <v>481</v>
      </c>
      <c r="BB145" s="18">
        <v>1</v>
      </c>
      <c r="BC145" s="17"/>
      <c r="BD145" s="18"/>
      <c r="BE145" s="18">
        <f ca="1">IFERROR(OFFSET(ITEM_RES!$A$1,MATCH(BF145,ITEM_RES!$J:$J,0)-1,0),0)</f>
        <v>0</v>
      </c>
      <c r="BF145" s="17"/>
      <c r="BG145" s="18"/>
      <c r="BH145" s="17"/>
      <c r="BI145" s="18"/>
      <c r="BJ145" s="18">
        <f ca="1">IFERROR(OFFSET(ITEM_RES!$A$1,MATCH(BK145,ITEM_RES!$J:$J,0)-1,0),0)</f>
        <v>0</v>
      </c>
      <c r="BK145" s="17"/>
      <c r="BL145" s="18">
        <f t="shared" si="62"/>
        <v>0</v>
      </c>
      <c r="BM145" s="17"/>
    </row>
    <row r="146" spans="1:65" x14ac:dyDescent="0.3">
      <c r="A146" s="14">
        <f t="shared" si="59"/>
        <v>111060002</v>
      </c>
      <c r="B146" s="13">
        <v>11</v>
      </c>
      <c r="C146" s="12">
        <f t="shared" si="60"/>
        <v>1</v>
      </c>
      <c r="D146" s="13">
        <v>6</v>
      </c>
      <c r="E146" s="13">
        <v>0</v>
      </c>
      <c r="F146" s="12">
        <f t="shared" si="61"/>
        <v>2</v>
      </c>
      <c r="H146" s="9">
        <v>1</v>
      </c>
      <c r="I146" s="9">
        <v>2</v>
      </c>
      <c r="K146" s="9" t="s">
        <v>359</v>
      </c>
      <c r="L146" s="9">
        <v>1</v>
      </c>
      <c r="M146" s="9">
        <v>15</v>
      </c>
      <c r="R146" s="9" t="s">
        <v>794</v>
      </c>
      <c r="U146" s="9">
        <f ca="1">IFERROR(OFFSET(ITEM_RES!$A$5,MATCH(BUILDING!T146,ITEM_RES!$J$5:$J$229,0)-1,0),0)</f>
        <v>0</v>
      </c>
      <c r="W146" s="86" t="s">
        <v>578</v>
      </c>
      <c r="X146" s="9">
        <f ca="1">IFERROR(OFFSET(ITEM_RES!$A$5,MATCH(BUILDING!W146,ITEM_RES!$J$5:$J$229,0)-1,0),0)</f>
        <v>211010501</v>
      </c>
      <c r="Z146" s="9" t="s">
        <v>549</v>
      </c>
      <c r="AA146" s="9">
        <v>2</v>
      </c>
      <c r="AC146" s="9">
        <v>800</v>
      </c>
      <c r="AE146" s="56">
        <f t="shared" si="67"/>
        <v>160</v>
      </c>
      <c r="AF146" s="10">
        <f>AE145+AE146</f>
        <v>740</v>
      </c>
      <c r="AH146" s="11">
        <f t="shared" si="66"/>
        <v>10</v>
      </c>
      <c r="AI146" s="10">
        <v>10</v>
      </c>
      <c r="AJ146" s="11">
        <f t="shared" si="63"/>
        <v>10</v>
      </c>
      <c r="AK146" s="10">
        <v>10</v>
      </c>
      <c r="AL146" s="11">
        <f t="shared" si="63"/>
        <v>10</v>
      </c>
      <c r="AM146" s="10">
        <v>10</v>
      </c>
      <c r="AN146" s="56">
        <f t="shared" si="68"/>
        <v>1</v>
      </c>
      <c r="AP146" s="11">
        <f ca="1">IFERROR(OFFSET(ITEM_RES!$A$1,MATCH(AQ146,ITEM_RES!$J:$J,0)-1,0),0)</f>
        <v>211020801</v>
      </c>
      <c r="AQ146" s="10" t="s">
        <v>457</v>
      </c>
      <c r="AR146" s="11">
        <v>50</v>
      </c>
      <c r="AU146" s="11">
        <f ca="1">IFERROR(OFFSET(ITEM_RES!$A$1,MATCH(AV146,ITEM_RES!$J:$J,0)-1,0),0)</f>
        <v>0</v>
      </c>
      <c r="AZ146" s="11">
        <f ca="1">IFERROR(OFFSET(ITEM_RES!$A$1,MATCH(BA146,ITEM_RES!$J:$J,0)-1,0),0)</f>
        <v>0</v>
      </c>
      <c r="BE146" s="11">
        <f ca="1">IFERROR(OFFSET(ITEM_RES!$A$1,MATCH(BF146,ITEM_RES!$J:$J,0)-1,0),0)</f>
        <v>0</v>
      </c>
      <c r="BJ146" s="11">
        <f ca="1">IFERROR(OFFSET(ITEM_RES!$A$1,MATCH(BK146,ITEM_RES!$J:$J,0)-1,0),0)</f>
        <v>0</v>
      </c>
      <c r="BL146" s="11">
        <f t="shared" si="62"/>
        <v>0</v>
      </c>
    </row>
    <row r="147" spans="1:65" x14ac:dyDescent="0.3">
      <c r="A147" s="14">
        <f t="shared" si="59"/>
        <v>111060003</v>
      </c>
      <c r="B147" s="13">
        <v>11</v>
      </c>
      <c r="C147" s="12">
        <f t="shared" si="60"/>
        <v>1</v>
      </c>
      <c r="D147" s="13">
        <v>6</v>
      </c>
      <c r="E147" s="13">
        <v>0</v>
      </c>
      <c r="F147" s="12">
        <f t="shared" si="61"/>
        <v>3</v>
      </c>
      <c r="H147" s="9">
        <v>1</v>
      </c>
      <c r="I147" s="9">
        <v>3</v>
      </c>
      <c r="K147" s="9" t="s">
        <v>359</v>
      </c>
      <c r="L147" s="9">
        <v>1</v>
      </c>
      <c r="M147" s="9">
        <v>15</v>
      </c>
      <c r="R147" s="9" t="s">
        <v>794</v>
      </c>
      <c r="U147" s="9">
        <f ca="1">IFERROR(OFFSET(ITEM_RES!$A$5,MATCH(BUILDING!T147,ITEM_RES!$J$5:$J$229,0)-1,0),0)</f>
        <v>0</v>
      </c>
      <c r="W147" s="86" t="s">
        <v>578</v>
      </c>
      <c r="X147" s="9">
        <f ca="1">IFERROR(OFFSET(ITEM_RES!$A$5,MATCH(BUILDING!W147,ITEM_RES!$J$5:$J$229,0)-1,0),0)</f>
        <v>211010501</v>
      </c>
      <c r="Z147" s="9" t="s">
        <v>549</v>
      </c>
      <c r="AA147" s="9">
        <v>3</v>
      </c>
      <c r="AC147" s="9">
        <v>1200</v>
      </c>
      <c r="AE147" s="56">
        <f t="shared" si="67"/>
        <v>240</v>
      </c>
      <c r="AF147" s="10">
        <f t="shared" ref="AF147:AF164" si="69">AE146+AE147</f>
        <v>400</v>
      </c>
      <c r="AH147" s="11">
        <f t="shared" si="66"/>
        <v>15</v>
      </c>
      <c r="AI147" s="10">
        <v>15</v>
      </c>
      <c r="AJ147" s="11">
        <f t="shared" si="63"/>
        <v>15</v>
      </c>
      <c r="AK147" s="10">
        <v>15</v>
      </c>
      <c r="AL147" s="11">
        <f t="shared" si="63"/>
        <v>15</v>
      </c>
      <c r="AM147" s="10">
        <v>15</v>
      </c>
      <c r="AN147" s="56">
        <f t="shared" si="68"/>
        <v>1</v>
      </c>
      <c r="AP147" s="11">
        <f ca="1">IFERROR(OFFSET(ITEM_RES!$A$1,MATCH(AQ147,ITEM_RES!$J:$J,0)-1,0),0)</f>
        <v>211020801</v>
      </c>
      <c r="AQ147" s="10" t="s">
        <v>457</v>
      </c>
      <c r="AR147" s="11">
        <v>75</v>
      </c>
      <c r="AU147" s="11">
        <f ca="1">IFERROR(OFFSET(ITEM_RES!$A$1,MATCH(AV147,ITEM_RES!$J:$J,0)-1,0),0)</f>
        <v>0</v>
      </c>
      <c r="AZ147" s="11">
        <f ca="1">IFERROR(OFFSET(ITEM_RES!$A$1,MATCH(BA147,ITEM_RES!$J:$J,0)-1,0),0)</f>
        <v>0</v>
      </c>
      <c r="BE147" s="11">
        <f ca="1">IFERROR(OFFSET(ITEM_RES!$A$1,MATCH(BF147,ITEM_RES!$J:$J,0)-1,0),0)</f>
        <v>0</v>
      </c>
      <c r="BJ147" s="11">
        <f ca="1">IFERROR(OFFSET(ITEM_RES!$A$1,MATCH(BK147,ITEM_RES!$J:$J,0)-1,0),0)</f>
        <v>0</v>
      </c>
      <c r="BL147" s="11">
        <f t="shared" si="62"/>
        <v>0</v>
      </c>
    </row>
    <row r="148" spans="1:65" x14ac:dyDescent="0.3">
      <c r="A148" s="14">
        <f t="shared" si="59"/>
        <v>111060004</v>
      </c>
      <c r="B148" s="13">
        <v>11</v>
      </c>
      <c r="C148" s="12">
        <f t="shared" si="60"/>
        <v>1</v>
      </c>
      <c r="D148" s="13">
        <v>6</v>
      </c>
      <c r="E148" s="13">
        <v>0</v>
      </c>
      <c r="F148" s="12">
        <f t="shared" si="61"/>
        <v>4</v>
      </c>
      <c r="H148" s="9">
        <v>1</v>
      </c>
      <c r="I148" s="9">
        <v>4</v>
      </c>
      <c r="K148" s="9" t="s">
        <v>359</v>
      </c>
      <c r="L148" s="9">
        <v>1</v>
      </c>
      <c r="M148" s="9">
        <v>15</v>
      </c>
      <c r="R148" s="9" t="s">
        <v>794</v>
      </c>
      <c r="U148" s="9">
        <f ca="1">IFERROR(OFFSET(ITEM_RES!$A$5,MATCH(BUILDING!T148,ITEM_RES!$J$5:$J$229,0)-1,0),0)</f>
        <v>0</v>
      </c>
      <c r="W148" s="86" t="s">
        <v>578</v>
      </c>
      <c r="X148" s="9">
        <f ca="1">IFERROR(OFFSET(ITEM_RES!$A$5,MATCH(BUILDING!W148,ITEM_RES!$J$5:$J$229,0)-1,0),0)</f>
        <v>211010501</v>
      </c>
      <c r="Z148" s="9" t="s">
        <v>549</v>
      </c>
      <c r="AA148" s="9">
        <v>4</v>
      </c>
      <c r="AC148" s="9">
        <v>2000</v>
      </c>
      <c r="AE148" s="56">
        <f t="shared" si="67"/>
        <v>400</v>
      </c>
      <c r="AF148" s="10">
        <f t="shared" si="69"/>
        <v>640</v>
      </c>
      <c r="AH148" s="11">
        <f t="shared" si="66"/>
        <v>20</v>
      </c>
      <c r="AI148" s="10">
        <v>20</v>
      </c>
      <c r="AJ148" s="11">
        <f t="shared" si="63"/>
        <v>25</v>
      </c>
      <c r="AK148" s="10">
        <v>25</v>
      </c>
      <c r="AL148" s="11">
        <f t="shared" si="63"/>
        <v>25</v>
      </c>
      <c r="AM148" s="10">
        <v>25</v>
      </c>
      <c r="AN148" s="56">
        <f t="shared" si="68"/>
        <v>1</v>
      </c>
      <c r="AP148" s="11">
        <f ca="1">IFERROR(OFFSET(ITEM_RES!$A$1,MATCH(AQ148,ITEM_RES!$J:$J,0)-1,0),0)</f>
        <v>211020801</v>
      </c>
      <c r="AQ148" s="10" t="s">
        <v>457</v>
      </c>
      <c r="AR148" s="11">
        <v>125</v>
      </c>
      <c r="AU148" s="11">
        <f ca="1">IFERROR(OFFSET(ITEM_RES!$A$1,MATCH(AV148,ITEM_RES!$J:$J,0)-1,0),0)</f>
        <v>0</v>
      </c>
      <c r="AZ148" s="11">
        <f ca="1">IFERROR(OFFSET(ITEM_RES!$A$1,MATCH(BA148,ITEM_RES!$J:$J,0)-1,0),0)</f>
        <v>0</v>
      </c>
      <c r="BE148" s="11">
        <f ca="1">IFERROR(OFFSET(ITEM_RES!$A$1,MATCH(BF148,ITEM_RES!$J:$J,0)-1,0),0)</f>
        <v>0</v>
      </c>
      <c r="BJ148" s="11">
        <f ca="1">IFERROR(OFFSET(ITEM_RES!$A$1,MATCH(BK148,ITEM_RES!$J:$J,0)-1,0),0)</f>
        <v>0</v>
      </c>
      <c r="BL148" s="11">
        <f t="shared" si="62"/>
        <v>0</v>
      </c>
    </row>
    <row r="149" spans="1:65" x14ac:dyDescent="0.3">
      <c r="A149" s="14">
        <f t="shared" si="59"/>
        <v>111060005</v>
      </c>
      <c r="B149" s="13">
        <v>11</v>
      </c>
      <c r="C149" s="12">
        <f t="shared" si="60"/>
        <v>1</v>
      </c>
      <c r="D149" s="13">
        <v>6</v>
      </c>
      <c r="E149" s="13">
        <v>0</v>
      </c>
      <c r="F149" s="12">
        <f t="shared" si="61"/>
        <v>5</v>
      </c>
      <c r="H149" s="9">
        <v>1</v>
      </c>
      <c r="I149" s="9">
        <v>5</v>
      </c>
      <c r="K149" s="9" t="s">
        <v>359</v>
      </c>
      <c r="L149" s="9">
        <v>1</v>
      </c>
      <c r="M149" s="9">
        <v>15</v>
      </c>
      <c r="R149" s="9" t="s">
        <v>794</v>
      </c>
      <c r="U149" s="9">
        <f ca="1">IFERROR(OFFSET(ITEM_RES!$A$5,MATCH(BUILDING!T149,ITEM_RES!$J$5:$J$229,0)-1,0),0)</f>
        <v>0</v>
      </c>
      <c r="W149" s="86" t="s">
        <v>578</v>
      </c>
      <c r="X149" s="9">
        <f ca="1">IFERROR(OFFSET(ITEM_RES!$A$5,MATCH(BUILDING!W149,ITEM_RES!$J$5:$J$229,0)-1,0),0)</f>
        <v>211010501</v>
      </c>
      <c r="Z149" s="9" t="s">
        <v>549</v>
      </c>
      <c r="AA149" s="9">
        <v>5</v>
      </c>
      <c r="AC149" s="9">
        <v>3200</v>
      </c>
      <c r="AE149" s="56">
        <f t="shared" si="67"/>
        <v>640</v>
      </c>
      <c r="AF149" s="10">
        <f t="shared" si="69"/>
        <v>1040</v>
      </c>
      <c r="AH149" s="11">
        <f t="shared" si="66"/>
        <v>25</v>
      </c>
      <c r="AI149" s="10">
        <v>25</v>
      </c>
      <c r="AJ149" s="11">
        <f t="shared" si="63"/>
        <v>40</v>
      </c>
      <c r="AK149" s="10">
        <v>40</v>
      </c>
      <c r="AL149" s="11">
        <f t="shared" si="63"/>
        <v>40</v>
      </c>
      <c r="AM149" s="10">
        <v>40</v>
      </c>
      <c r="AN149" s="56">
        <f t="shared" si="68"/>
        <v>1</v>
      </c>
      <c r="AP149" s="11">
        <f ca="1">IFERROR(OFFSET(ITEM_RES!$A$1,MATCH(AQ149,ITEM_RES!$J:$J,0)-1,0),0)</f>
        <v>211020801</v>
      </c>
      <c r="AQ149" s="10" t="s">
        <v>457</v>
      </c>
      <c r="AR149" s="11">
        <v>200</v>
      </c>
      <c r="AU149" s="11">
        <f ca="1">IFERROR(OFFSET(ITEM_RES!$A$1,MATCH(AV149,ITEM_RES!$J:$J,0)-1,0),0)</f>
        <v>0</v>
      </c>
      <c r="AZ149" s="11">
        <f ca="1">IFERROR(OFFSET(ITEM_RES!$A$1,MATCH(BA149,ITEM_RES!$J:$J,0)-1,0),0)</f>
        <v>0</v>
      </c>
      <c r="BE149" s="11">
        <f ca="1">IFERROR(OFFSET(ITEM_RES!$A$1,MATCH(BF149,ITEM_RES!$J:$J,0)-1,0),0)</f>
        <v>0</v>
      </c>
      <c r="BJ149" s="11">
        <f ca="1">IFERROR(OFFSET(ITEM_RES!$A$1,MATCH(BK149,ITEM_RES!$J:$J,0)-1,0),0)</f>
        <v>0</v>
      </c>
      <c r="BL149" s="11">
        <f t="shared" si="62"/>
        <v>0</v>
      </c>
    </row>
    <row r="150" spans="1:65" x14ac:dyDescent="0.3">
      <c r="A150" s="14">
        <f t="shared" si="59"/>
        <v>111060006</v>
      </c>
      <c r="B150" s="13">
        <v>11</v>
      </c>
      <c r="C150" s="12">
        <f t="shared" si="60"/>
        <v>1</v>
      </c>
      <c r="D150" s="13">
        <v>6</v>
      </c>
      <c r="E150" s="13">
        <v>0</v>
      </c>
      <c r="F150" s="12">
        <f t="shared" si="61"/>
        <v>6</v>
      </c>
      <c r="H150" s="9">
        <v>1</v>
      </c>
      <c r="I150" s="9">
        <v>6</v>
      </c>
      <c r="K150" s="9" t="s">
        <v>359</v>
      </c>
      <c r="L150" s="9">
        <v>1</v>
      </c>
      <c r="M150" s="9">
        <v>15</v>
      </c>
      <c r="R150" s="9" t="s">
        <v>794</v>
      </c>
      <c r="U150" s="9">
        <f ca="1">IFERROR(OFFSET(ITEM_RES!$A$5,MATCH(BUILDING!T150,ITEM_RES!$J$5:$J$229,0)-1,0),0)</f>
        <v>0</v>
      </c>
      <c r="W150" s="86" t="s">
        <v>578</v>
      </c>
      <c r="X150" s="9">
        <f ca="1">IFERROR(OFFSET(ITEM_RES!$A$5,MATCH(BUILDING!W150,ITEM_RES!$J$5:$J$229,0)-1,0),0)</f>
        <v>211010501</v>
      </c>
      <c r="Z150" s="9" t="s">
        <v>549</v>
      </c>
      <c r="AA150" s="9">
        <v>6</v>
      </c>
      <c r="AC150" s="9">
        <v>4000</v>
      </c>
      <c r="AE150" s="56">
        <f t="shared" si="67"/>
        <v>800</v>
      </c>
      <c r="AF150" s="10">
        <f t="shared" si="69"/>
        <v>1440</v>
      </c>
      <c r="AH150" s="11">
        <f t="shared" si="66"/>
        <v>30</v>
      </c>
      <c r="AI150" s="10">
        <v>30</v>
      </c>
      <c r="AJ150" s="11">
        <f t="shared" si="63"/>
        <v>50</v>
      </c>
      <c r="AK150" s="10">
        <v>50</v>
      </c>
      <c r="AL150" s="11">
        <f t="shared" si="63"/>
        <v>50</v>
      </c>
      <c r="AM150" s="10">
        <v>50</v>
      </c>
      <c r="AN150" s="56">
        <f t="shared" si="68"/>
        <v>1</v>
      </c>
      <c r="AP150" s="11">
        <f ca="1">IFERROR(OFFSET(ITEM_RES!$A$1,MATCH(AQ150,ITEM_RES!$J:$J,0)-1,0),0)</f>
        <v>211020801</v>
      </c>
      <c r="AQ150" s="10" t="s">
        <v>457</v>
      </c>
      <c r="AR150" s="11">
        <v>250</v>
      </c>
      <c r="AU150" s="11">
        <f ca="1">IFERROR(OFFSET(ITEM_RES!$A$1,MATCH(AV150,ITEM_RES!$J:$J,0)-1,0),0)</f>
        <v>0</v>
      </c>
      <c r="AZ150" s="11">
        <f ca="1">IFERROR(OFFSET(ITEM_RES!$A$1,MATCH(BA150,ITEM_RES!$J:$J,0)-1,0),0)</f>
        <v>0</v>
      </c>
      <c r="BE150" s="11">
        <f ca="1">IFERROR(OFFSET(ITEM_RES!$A$1,MATCH(BF150,ITEM_RES!$J:$J,0)-1,0),0)</f>
        <v>0</v>
      </c>
      <c r="BJ150" s="11">
        <f ca="1">IFERROR(OFFSET(ITEM_RES!$A$1,MATCH(BK150,ITEM_RES!$J:$J,0)-1,0),0)</f>
        <v>0</v>
      </c>
      <c r="BL150" s="11">
        <f t="shared" si="62"/>
        <v>0</v>
      </c>
    </row>
    <row r="151" spans="1:65" x14ac:dyDescent="0.3">
      <c r="A151" s="14">
        <f t="shared" si="59"/>
        <v>111060007</v>
      </c>
      <c r="B151" s="13">
        <v>11</v>
      </c>
      <c r="C151" s="12">
        <f t="shared" si="60"/>
        <v>1</v>
      </c>
      <c r="D151" s="13">
        <v>6</v>
      </c>
      <c r="E151" s="13">
        <v>0</v>
      </c>
      <c r="F151" s="12">
        <f t="shared" si="61"/>
        <v>7</v>
      </c>
      <c r="H151" s="9">
        <v>1</v>
      </c>
      <c r="I151" s="9">
        <v>7</v>
      </c>
      <c r="K151" s="9" t="s">
        <v>359</v>
      </c>
      <c r="L151" s="9">
        <v>1</v>
      </c>
      <c r="M151" s="9">
        <v>15</v>
      </c>
      <c r="R151" s="9" t="s">
        <v>794</v>
      </c>
      <c r="U151" s="9">
        <f ca="1">IFERROR(OFFSET(ITEM_RES!$A$5,MATCH(BUILDING!T151,ITEM_RES!$J$5:$J$229,0)-1,0),0)</f>
        <v>0</v>
      </c>
      <c r="W151" s="86" t="s">
        <v>578</v>
      </c>
      <c r="X151" s="9">
        <f ca="1">IFERROR(OFFSET(ITEM_RES!$A$5,MATCH(BUILDING!W151,ITEM_RES!$J$5:$J$229,0)-1,0),0)</f>
        <v>211010501</v>
      </c>
      <c r="Z151" s="9" t="s">
        <v>549</v>
      </c>
      <c r="AA151" s="9">
        <v>7</v>
      </c>
      <c r="AC151" s="9">
        <v>8000</v>
      </c>
      <c r="AE151" s="56">
        <f t="shared" si="67"/>
        <v>1600</v>
      </c>
      <c r="AF151" s="10">
        <f t="shared" si="69"/>
        <v>2400</v>
      </c>
      <c r="AH151" s="11">
        <f t="shared" si="66"/>
        <v>35</v>
      </c>
      <c r="AI151" s="10">
        <v>35</v>
      </c>
      <c r="AJ151" s="11">
        <f t="shared" si="63"/>
        <v>100</v>
      </c>
      <c r="AK151" s="10">
        <v>100</v>
      </c>
      <c r="AL151" s="11">
        <f t="shared" si="63"/>
        <v>100</v>
      </c>
      <c r="AM151" s="10">
        <v>100</v>
      </c>
      <c r="AN151" s="56">
        <f t="shared" si="68"/>
        <v>1</v>
      </c>
      <c r="AP151" s="11">
        <f ca="1">IFERROR(OFFSET(ITEM_RES!$A$1,MATCH(AQ151,ITEM_RES!$J:$J,0)-1,0),0)</f>
        <v>211020801</v>
      </c>
      <c r="AQ151" s="10" t="s">
        <v>457</v>
      </c>
      <c r="AR151" s="11">
        <v>500</v>
      </c>
      <c r="AU151" s="11">
        <f ca="1">IFERROR(OFFSET(ITEM_RES!$A$1,MATCH(AV151,ITEM_RES!$J:$J,0)-1,0),0)</f>
        <v>0</v>
      </c>
      <c r="AZ151" s="11">
        <f ca="1">IFERROR(OFFSET(ITEM_RES!$A$1,MATCH(BA151,ITEM_RES!$J:$J,0)-1,0),0)</f>
        <v>0</v>
      </c>
      <c r="BE151" s="11">
        <f ca="1">IFERROR(OFFSET(ITEM_RES!$A$1,MATCH(BF151,ITEM_RES!$J:$J,0)-1,0),0)</f>
        <v>0</v>
      </c>
      <c r="BJ151" s="11">
        <f ca="1">IFERROR(OFFSET(ITEM_RES!$A$1,MATCH(BK151,ITEM_RES!$J:$J,0)-1,0),0)</f>
        <v>0</v>
      </c>
      <c r="BL151" s="11">
        <f t="shared" si="62"/>
        <v>0</v>
      </c>
    </row>
    <row r="152" spans="1:65" x14ac:dyDescent="0.3">
      <c r="A152" s="14">
        <f t="shared" si="59"/>
        <v>111060008</v>
      </c>
      <c r="B152" s="13">
        <v>11</v>
      </c>
      <c r="C152" s="12">
        <f t="shared" si="60"/>
        <v>1</v>
      </c>
      <c r="D152" s="13">
        <v>6</v>
      </c>
      <c r="E152" s="13">
        <v>0</v>
      </c>
      <c r="F152" s="12">
        <f t="shared" si="61"/>
        <v>8</v>
      </c>
      <c r="H152" s="9">
        <v>1</v>
      </c>
      <c r="I152" s="9">
        <v>8</v>
      </c>
      <c r="K152" s="9" t="s">
        <v>359</v>
      </c>
      <c r="L152" s="9">
        <v>1</v>
      </c>
      <c r="M152" s="9">
        <v>15</v>
      </c>
      <c r="R152" s="9" t="s">
        <v>794</v>
      </c>
      <c r="U152" s="9">
        <f ca="1">IFERROR(OFFSET(ITEM_RES!$A$5,MATCH(BUILDING!T152,ITEM_RES!$J$5:$J$229,0)-1,0),0)</f>
        <v>0</v>
      </c>
      <c r="W152" s="86" t="s">
        <v>578</v>
      </c>
      <c r="X152" s="9">
        <f ca="1">IFERROR(OFFSET(ITEM_RES!$A$5,MATCH(BUILDING!W152,ITEM_RES!$J$5:$J$229,0)-1,0),0)</f>
        <v>211010501</v>
      </c>
      <c r="Z152" s="9" t="s">
        <v>549</v>
      </c>
      <c r="AA152" s="9">
        <v>8</v>
      </c>
      <c r="AC152" s="9">
        <v>8000</v>
      </c>
      <c r="AE152" s="56">
        <f t="shared" si="67"/>
        <v>1600</v>
      </c>
      <c r="AF152" s="10">
        <f t="shared" si="69"/>
        <v>3200</v>
      </c>
      <c r="AH152" s="11">
        <f t="shared" si="66"/>
        <v>40</v>
      </c>
      <c r="AI152" s="10">
        <v>40</v>
      </c>
      <c r="AJ152" s="11">
        <f t="shared" si="63"/>
        <v>100</v>
      </c>
      <c r="AK152" s="10">
        <v>100</v>
      </c>
      <c r="AL152" s="11">
        <f t="shared" si="63"/>
        <v>100</v>
      </c>
      <c r="AM152" s="10">
        <v>100</v>
      </c>
      <c r="AN152" s="56">
        <f t="shared" si="68"/>
        <v>1</v>
      </c>
      <c r="AP152" s="11">
        <f ca="1">IFERROR(OFFSET(ITEM_RES!$A$1,MATCH(AQ152,ITEM_RES!$J:$J,0)-1,0),0)</f>
        <v>211020801</v>
      </c>
      <c r="AQ152" s="10" t="s">
        <v>457</v>
      </c>
      <c r="AR152" s="11">
        <v>500</v>
      </c>
      <c r="AU152" s="11">
        <f ca="1">IFERROR(OFFSET(ITEM_RES!$A$1,MATCH(AV152,ITEM_RES!$J:$J,0)-1,0),0)</f>
        <v>0</v>
      </c>
      <c r="AZ152" s="11">
        <f ca="1">IFERROR(OFFSET(ITEM_RES!$A$1,MATCH(BA152,ITEM_RES!$J:$J,0)-1,0),0)</f>
        <v>0</v>
      </c>
      <c r="BE152" s="11">
        <f ca="1">IFERROR(OFFSET(ITEM_RES!$A$1,MATCH(BF152,ITEM_RES!$J:$J,0)-1,0),0)</f>
        <v>0</v>
      </c>
      <c r="BJ152" s="11">
        <f ca="1">IFERROR(OFFSET(ITEM_RES!$A$1,MATCH(BK152,ITEM_RES!$J:$J,0)-1,0),0)</f>
        <v>0</v>
      </c>
      <c r="BL152" s="11">
        <f t="shared" si="62"/>
        <v>0</v>
      </c>
    </row>
    <row r="153" spans="1:65" x14ac:dyDescent="0.3">
      <c r="A153" s="14">
        <f t="shared" ref="A153:A256" si="70">B153*10000000+C153*1000000+D153*10000+E153*100+F153</f>
        <v>111060009</v>
      </c>
      <c r="B153" s="13">
        <v>11</v>
      </c>
      <c r="C153" s="12">
        <f t="shared" ref="C153:C256" si="71">H153</f>
        <v>1</v>
      </c>
      <c r="D153" s="13">
        <v>6</v>
      </c>
      <c r="E153" s="13">
        <v>0</v>
      </c>
      <c r="F153" s="12">
        <f t="shared" ref="F153:F256" si="72">I153</f>
        <v>9</v>
      </c>
      <c r="H153" s="9">
        <v>1</v>
      </c>
      <c r="I153" s="9">
        <v>9</v>
      </c>
      <c r="K153" s="9" t="s">
        <v>359</v>
      </c>
      <c r="L153" s="9">
        <v>1</v>
      </c>
      <c r="M153" s="9">
        <v>15</v>
      </c>
      <c r="R153" s="9" t="s">
        <v>794</v>
      </c>
      <c r="U153" s="9">
        <f ca="1">IFERROR(OFFSET(ITEM_RES!$A$5,MATCH(BUILDING!T153,ITEM_RES!$J$5:$J$229,0)-1,0),0)</f>
        <v>0</v>
      </c>
      <c r="W153" s="86" t="s">
        <v>578</v>
      </c>
      <c r="X153" s="9">
        <f ca="1">IFERROR(OFFSET(ITEM_RES!$A$5,MATCH(BUILDING!W153,ITEM_RES!$J$5:$J$229,0)-1,0),0)</f>
        <v>211010501</v>
      </c>
      <c r="Z153" s="9" t="s">
        <v>549</v>
      </c>
      <c r="AA153" s="9">
        <v>9</v>
      </c>
      <c r="AC153" s="9">
        <v>12000</v>
      </c>
      <c r="AE153" s="56">
        <f t="shared" si="67"/>
        <v>2400</v>
      </c>
      <c r="AF153" s="10">
        <f t="shared" si="69"/>
        <v>4000</v>
      </c>
      <c r="AH153" s="11">
        <f t="shared" si="66"/>
        <v>45</v>
      </c>
      <c r="AI153" s="10">
        <v>45</v>
      </c>
      <c r="AJ153" s="11">
        <f t="shared" si="63"/>
        <v>150</v>
      </c>
      <c r="AK153" s="10">
        <v>150</v>
      </c>
      <c r="AL153" s="11">
        <f t="shared" si="63"/>
        <v>150</v>
      </c>
      <c r="AM153" s="10">
        <v>150</v>
      </c>
      <c r="AN153" s="56">
        <f t="shared" si="68"/>
        <v>1</v>
      </c>
      <c r="AP153" s="11">
        <f ca="1">IFERROR(OFFSET(ITEM_RES!$A$1,MATCH(AQ153,ITEM_RES!$J:$J,0)-1,0),0)</f>
        <v>211020801</v>
      </c>
      <c r="AQ153" s="10" t="s">
        <v>457</v>
      </c>
      <c r="AR153" s="11">
        <v>750</v>
      </c>
      <c r="AU153" s="11">
        <f ca="1">IFERROR(OFFSET(ITEM_RES!$A$1,MATCH(AV153,ITEM_RES!$J:$J,0)-1,0),0)</f>
        <v>0</v>
      </c>
      <c r="AZ153" s="11">
        <f ca="1">IFERROR(OFFSET(ITEM_RES!$A$1,MATCH(BA153,ITEM_RES!$J:$J,0)-1,0),0)</f>
        <v>0</v>
      </c>
      <c r="BE153" s="11">
        <f ca="1">IFERROR(OFFSET(ITEM_RES!$A$1,MATCH(BF153,ITEM_RES!$J:$J,0)-1,0),0)</f>
        <v>0</v>
      </c>
      <c r="BJ153" s="11">
        <f ca="1">IFERROR(OFFSET(ITEM_RES!$A$1,MATCH(BK153,ITEM_RES!$J:$J,0)-1,0),0)</f>
        <v>0</v>
      </c>
      <c r="BL153" s="11">
        <f t="shared" ref="BL153:BL256" si="73">IF(BM153&lt;100,ROUND(BM153,1-LEN(ROUND(BM153,0))),ROUND(BM153,2-LEN(ROUND(BM153,0))))</f>
        <v>0</v>
      </c>
    </row>
    <row r="154" spans="1:65" x14ac:dyDescent="0.3">
      <c r="A154" s="14">
        <f t="shared" si="70"/>
        <v>111060010</v>
      </c>
      <c r="B154" s="13">
        <v>11</v>
      </c>
      <c r="C154" s="12">
        <f t="shared" si="71"/>
        <v>1</v>
      </c>
      <c r="D154" s="13">
        <v>6</v>
      </c>
      <c r="E154" s="13">
        <v>0</v>
      </c>
      <c r="F154" s="12">
        <f t="shared" si="72"/>
        <v>10</v>
      </c>
      <c r="H154" s="9">
        <v>1</v>
      </c>
      <c r="I154" s="9">
        <v>10</v>
      </c>
      <c r="K154" s="9" t="s">
        <v>359</v>
      </c>
      <c r="L154" s="9">
        <v>1</v>
      </c>
      <c r="M154" s="9">
        <v>15</v>
      </c>
      <c r="R154" s="9" t="s">
        <v>794</v>
      </c>
      <c r="U154" s="9">
        <f ca="1">IFERROR(OFFSET(ITEM_RES!$A$5,MATCH(BUILDING!T154,ITEM_RES!$J$5:$J$229,0)-1,0),0)</f>
        <v>0</v>
      </c>
      <c r="W154" s="86" t="s">
        <v>578</v>
      </c>
      <c r="X154" s="9">
        <f ca="1">IFERROR(OFFSET(ITEM_RES!$A$5,MATCH(BUILDING!W154,ITEM_RES!$J$5:$J$229,0)-1,0),0)</f>
        <v>211010501</v>
      </c>
      <c r="Z154" s="9" t="s">
        <v>549</v>
      </c>
      <c r="AA154" s="9">
        <v>10</v>
      </c>
      <c r="AC154" s="9">
        <v>16000</v>
      </c>
      <c r="AE154" s="56">
        <f t="shared" si="67"/>
        <v>3200</v>
      </c>
      <c r="AF154" s="10">
        <f t="shared" si="69"/>
        <v>5600</v>
      </c>
      <c r="AH154" s="11">
        <f t="shared" si="66"/>
        <v>50</v>
      </c>
      <c r="AI154" s="10">
        <v>50</v>
      </c>
      <c r="AJ154" s="11">
        <f t="shared" ref="AJ154:AL257" si="74">ROUND(AK154,0)</f>
        <v>200</v>
      </c>
      <c r="AK154" s="10">
        <v>200</v>
      </c>
      <c r="AL154" s="11">
        <f t="shared" si="74"/>
        <v>200</v>
      </c>
      <c r="AM154" s="10">
        <v>200</v>
      </c>
      <c r="AN154" s="56">
        <f t="shared" si="68"/>
        <v>1</v>
      </c>
      <c r="AP154" s="11">
        <f ca="1">IFERROR(OFFSET(ITEM_RES!$A$1,MATCH(AQ154,ITEM_RES!$J:$J,0)-1,0),0)</f>
        <v>211020801</v>
      </c>
      <c r="AQ154" s="10" t="s">
        <v>457</v>
      </c>
      <c r="AR154" s="11">
        <v>1000</v>
      </c>
      <c r="AU154" s="11">
        <f ca="1">IFERROR(OFFSET(ITEM_RES!$A$1,MATCH(AV154,ITEM_RES!$J:$J,0)-1,0),0)</f>
        <v>0</v>
      </c>
      <c r="AZ154" s="11">
        <f ca="1">IFERROR(OFFSET(ITEM_RES!$A$1,MATCH(BA154,ITEM_RES!$J:$J,0)-1,0),0)</f>
        <v>0</v>
      </c>
      <c r="BE154" s="11">
        <f ca="1">IFERROR(OFFSET(ITEM_RES!$A$1,MATCH(BF154,ITEM_RES!$J:$J,0)-1,0),0)</f>
        <v>0</v>
      </c>
      <c r="BJ154" s="11">
        <f ca="1">IFERROR(OFFSET(ITEM_RES!$A$1,MATCH(BK154,ITEM_RES!$J:$J,0)-1,0),0)</f>
        <v>0</v>
      </c>
      <c r="BL154" s="11">
        <f t="shared" si="73"/>
        <v>0</v>
      </c>
    </row>
    <row r="155" spans="1:65" x14ac:dyDescent="0.3">
      <c r="A155" s="14">
        <f t="shared" si="70"/>
        <v>111060011</v>
      </c>
      <c r="B155" s="13">
        <v>11</v>
      </c>
      <c r="C155" s="12">
        <f t="shared" si="71"/>
        <v>1</v>
      </c>
      <c r="D155" s="13">
        <v>6</v>
      </c>
      <c r="E155" s="13">
        <v>0</v>
      </c>
      <c r="F155" s="12">
        <f t="shared" si="72"/>
        <v>11</v>
      </c>
      <c r="H155" s="9">
        <v>1</v>
      </c>
      <c r="I155" s="9">
        <v>11</v>
      </c>
      <c r="K155" s="9" t="s">
        <v>359</v>
      </c>
      <c r="L155" s="9">
        <v>1</v>
      </c>
      <c r="M155" s="9">
        <v>15</v>
      </c>
      <c r="R155" s="9" t="s">
        <v>794</v>
      </c>
      <c r="U155" s="9">
        <f ca="1">IFERROR(OFFSET(ITEM_RES!$A$5,MATCH(BUILDING!T155,ITEM_RES!$J$5:$J$229,0)-1,0),0)</f>
        <v>0</v>
      </c>
      <c r="W155" s="86" t="s">
        <v>578</v>
      </c>
      <c r="X155" s="9">
        <f ca="1">IFERROR(OFFSET(ITEM_RES!$A$5,MATCH(BUILDING!W155,ITEM_RES!$J$5:$J$229,0)-1,0),0)</f>
        <v>211010501</v>
      </c>
      <c r="Z155" s="9" t="s">
        <v>549</v>
      </c>
      <c r="AA155" s="9">
        <v>11</v>
      </c>
      <c r="AC155" s="9">
        <v>20000</v>
      </c>
      <c r="AE155" s="56">
        <f t="shared" si="67"/>
        <v>4000</v>
      </c>
      <c r="AF155" s="10">
        <f t="shared" si="69"/>
        <v>7200</v>
      </c>
      <c r="AH155" s="11">
        <f t="shared" si="66"/>
        <v>55</v>
      </c>
      <c r="AI155" s="10">
        <v>55</v>
      </c>
      <c r="AJ155" s="11">
        <f t="shared" si="74"/>
        <v>250</v>
      </c>
      <c r="AK155" s="10">
        <v>250</v>
      </c>
      <c r="AL155" s="11">
        <f t="shared" si="74"/>
        <v>250</v>
      </c>
      <c r="AM155" s="10">
        <v>250</v>
      </c>
      <c r="AN155" s="56">
        <f t="shared" si="68"/>
        <v>1</v>
      </c>
      <c r="AP155" s="11">
        <f ca="1">IFERROR(OFFSET(ITEM_RES!$A$1,MATCH(AQ155,ITEM_RES!$J:$J,0)-1,0),0)</f>
        <v>211020801</v>
      </c>
      <c r="AQ155" s="10" t="s">
        <v>460</v>
      </c>
      <c r="AR155" s="11">
        <v>1250</v>
      </c>
      <c r="AU155" s="11">
        <f ca="1">IFERROR(OFFSET(ITEM_RES!$A$1,MATCH(AV155,ITEM_RES!$J:$J,0)-1,0),0)</f>
        <v>0</v>
      </c>
      <c r="AZ155" s="11">
        <f ca="1">IFERROR(OFFSET(ITEM_RES!$A$1,MATCH(BA155,ITEM_RES!$J:$J,0)-1,0),0)</f>
        <v>0</v>
      </c>
      <c r="BE155" s="11">
        <f ca="1">IFERROR(OFFSET(ITEM_RES!$A$1,MATCH(BF155,ITEM_RES!$J:$J,0)-1,0),0)</f>
        <v>0</v>
      </c>
      <c r="BJ155" s="11">
        <f ca="1">IFERROR(OFFSET(ITEM_RES!$A$1,MATCH(BK155,ITEM_RES!$J:$J,0)-1,0),0)</f>
        <v>0</v>
      </c>
      <c r="BL155" s="11">
        <f t="shared" si="73"/>
        <v>0</v>
      </c>
    </row>
    <row r="156" spans="1:65" x14ac:dyDescent="0.3">
      <c r="A156" s="14">
        <f t="shared" si="70"/>
        <v>111060012</v>
      </c>
      <c r="B156" s="13">
        <v>11</v>
      </c>
      <c r="C156" s="12">
        <f t="shared" si="71"/>
        <v>1</v>
      </c>
      <c r="D156" s="13">
        <v>6</v>
      </c>
      <c r="E156" s="13">
        <v>0</v>
      </c>
      <c r="F156" s="12">
        <f t="shared" si="72"/>
        <v>12</v>
      </c>
      <c r="H156" s="9">
        <v>1</v>
      </c>
      <c r="I156" s="9">
        <v>12</v>
      </c>
      <c r="K156" s="9" t="s">
        <v>359</v>
      </c>
      <c r="L156" s="9">
        <v>1</v>
      </c>
      <c r="M156" s="9">
        <v>15</v>
      </c>
      <c r="R156" s="9" t="s">
        <v>794</v>
      </c>
      <c r="U156" s="9">
        <f ca="1">IFERROR(OFFSET(ITEM_RES!$A$5,MATCH(BUILDING!T156,ITEM_RES!$J$5:$J$229,0)-1,0),0)</f>
        <v>0</v>
      </c>
      <c r="W156" s="86" t="s">
        <v>578</v>
      </c>
      <c r="X156" s="9">
        <f ca="1">IFERROR(OFFSET(ITEM_RES!$A$5,MATCH(BUILDING!W156,ITEM_RES!$J$5:$J$229,0)-1,0),0)</f>
        <v>211010501</v>
      </c>
      <c r="Z156" s="9" t="s">
        <v>549</v>
      </c>
      <c r="AA156" s="9">
        <v>12</v>
      </c>
      <c r="AC156" s="9">
        <v>24000</v>
      </c>
      <c r="AE156" s="56">
        <f t="shared" si="67"/>
        <v>4800</v>
      </c>
      <c r="AF156" s="10">
        <f t="shared" si="69"/>
        <v>8800</v>
      </c>
      <c r="AH156" s="11">
        <f t="shared" si="66"/>
        <v>60</v>
      </c>
      <c r="AI156" s="10">
        <v>60</v>
      </c>
      <c r="AJ156" s="11">
        <f t="shared" si="74"/>
        <v>300</v>
      </c>
      <c r="AK156" s="10">
        <v>300</v>
      </c>
      <c r="AL156" s="11">
        <f t="shared" si="74"/>
        <v>300</v>
      </c>
      <c r="AM156" s="10">
        <v>300</v>
      </c>
      <c r="AN156" s="56">
        <f t="shared" si="68"/>
        <v>1</v>
      </c>
      <c r="AP156" s="11">
        <f ca="1">IFERROR(OFFSET(ITEM_RES!$A$1,MATCH(AQ156,ITEM_RES!$J:$J,0)-1,0),0)</f>
        <v>211020801</v>
      </c>
      <c r="AQ156" s="10" t="s">
        <v>457</v>
      </c>
      <c r="AR156" s="11">
        <v>1500</v>
      </c>
      <c r="AU156" s="11">
        <f ca="1">IFERROR(OFFSET(ITEM_RES!$A$1,MATCH(AV156,ITEM_RES!$J:$J,0)-1,0),0)</f>
        <v>0</v>
      </c>
      <c r="AZ156" s="11">
        <f ca="1">IFERROR(OFFSET(ITEM_RES!$A$1,MATCH(BA156,ITEM_RES!$J:$J,0)-1,0),0)</f>
        <v>0</v>
      </c>
      <c r="BE156" s="11">
        <f ca="1">IFERROR(OFFSET(ITEM_RES!$A$1,MATCH(BF156,ITEM_RES!$J:$J,0)-1,0),0)</f>
        <v>0</v>
      </c>
      <c r="BJ156" s="11">
        <f ca="1">IFERROR(OFFSET(ITEM_RES!$A$1,MATCH(BK156,ITEM_RES!$J:$J,0)-1,0),0)</f>
        <v>0</v>
      </c>
      <c r="BL156" s="11">
        <f t="shared" si="73"/>
        <v>0</v>
      </c>
    </row>
    <row r="157" spans="1:65" x14ac:dyDescent="0.3">
      <c r="A157" s="14">
        <f t="shared" si="70"/>
        <v>111060013</v>
      </c>
      <c r="B157" s="13">
        <v>11</v>
      </c>
      <c r="C157" s="12">
        <f t="shared" si="71"/>
        <v>1</v>
      </c>
      <c r="D157" s="13">
        <v>6</v>
      </c>
      <c r="E157" s="13">
        <v>0</v>
      </c>
      <c r="F157" s="12">
        <f t="shared" si="72"/>
        <v>13</v>
      </c>
      <c r="H157" s="9">
        <v>1</v>
      </c>
      <c r="I157" s="9">
        <v>13</v>
      </c>
      <c r="K157" s="9" t="s">
        <v>359</v>
      </c>
      <c r="L157" s="9">
        <v>1</v>
      </c>
      <c r="M157" s="9">
        <v>15</v>
      </c>
      <c r="R157" s="9" t="s">
        <v>794</v>
      </c>
      <c r="U157" s="9">
        <f ca="1">IFERROR(OFFSET(ITEM_RES!$A$5,MATCH(BUILDING!T157,ITEM_RES!$J$5:$J$229,0)-1,0),0)</f>
        <v>0</v>
      </c>
      <c r="W157" s="86" t="s">
        <v>578</v>
      </c>
      <c r="X157" s="9">
        <f ca="1">IFERROR(OFFSET(ITEM_RES!$A$5,MATCH(BUILDING!W157,ITEM_RES!$J$5:$J$229,0)-1,0),0)</f>
        <v>211010501</v>
      </c>
      <c r="Z157" s="9" t="s">
        <v>549</v>
      </c>
      <c r="AA157" s="9">
        <v>13</v>
      </c>
      <c r="AC157" s="9">
        <v>28000</v>
      </c>
      <c r="AE157" s="56">
        <f t="shared" si="67"/>
        <v>5600</v>
      </c>
      <c r="AF157" s="10">
        <f t="shared" si="69"/>
        <v>10400</v>
      </c>
      <c r="AH157" s="11">
        <f t="shared" si="66"/>
        <v>65</v>
      </c>
      <c r="AI157" s="10">
        <v>65</v>
      </c>
      <c r="AJ157" s="11">
        <f t="shared" si="74"/>
        <v>350</v>
      </c>
      <c r="AK157" s="10">
        <v>350</v>
      </c>
      <c r="AL157" s="11">
        <f t="shared" si="74"/>
        <v>350</v>
      </c>
      <c r="AM157" s="10">
        <v>350</v>
      </c>
      <c r="AN157" s="56">
        <f t="shared" si="68"/>
        <v>1</v>
      </c>
      <c r="AP157" s="11">
        <f ca="1">IFERROR(OFFSET(ITEM_RES!$A$1,MATCH(AQ157,ITEM_RES!$J:$J,0)-1,0),0)</f>
        <v>211020901</v>
      </c>
      <c r="AQ157" s="10" t="s">
        <v>470</v>
      </c>
      <c r="AR157" s="11">
        <v>1750</v>
      </c>
      <c r="AU157" s="11">
        <f ca="1">IFERROR(OFFSET(ITEM_RES!$A$1,MATCH(AV157,ITEM_RES!$J:$J,0)-1,0),0)</f>
        <v>0</v>
      </c>
      <c r="AZ157" s="11">
        <f ca="1">IFERROR(OFFSET(ITEM_RES!$A$1,MATCH(BA157,ITEM_RES!$J:$J,0)-1,0),0)</f>
        <v>0</v>
      </c>
      <c r="BE157" s="11">
        <f ca="1">IFERROR(OFFSET(ITEM_RES!$A$1,MATCH(BF157,ITEM_RES!$J:$J,0)-1,0),0)</f>
        <v>0</v>
      </c>
      <c r="BJ157" s="11">
        <f ca="1">IFERROR(OFFSET(ITEM_RES!$A$1,MATCH(BK157,ITEM_RES!$J:$J,0)-1,0),0)</f>
        <v>0</v>
      </c>
      <c r="BL157" s="11">
        <f t="shared" si="73"/>
        <v>0</v>
      </c>
    </row>
    <row r="158" spans="1:65" x14ac:dyDescent="0.3">
      <c r="A158" s="14">
        <f t="shared" si="70"/>
        <v>111060014</v>
      </c>
      <c r="B158" s="13">
        <v>11</v>
      </c>
      <c r="C158" s="12">
        <f t="shared" si="71"/>
        <v>1</v>
      </c>
      <c r="D158" s="13">
        <v>6</v>
      </c>
      <c r="E158" s="13">
        <v>0</v>
      </c>
      <c r="F158" s="12">
        <f t="shared" si="72"/>
        <v>14</v>
      </c>
      <c r="H158" s="9">
        <v>1</v>
      </c>
      <c r="I158" s="9">
        <v>14</v>
      </c>
      <c r="K158" s="9" t="s">
        <v>359</v>
      </c>
      <c r="L158" s="9">
        <v>1</v>
      </c>
      <c r="M158" s="9">
        <v>15</v>
      </c>
      <c r="R158" s="9" t="s">
        <v>794</v>
      </c>
      <c r="U158" s="9">
        <f ca="1">IFERROR(OFFSET(ITEM_RES!$A$5,MATCH(BUILDING!T158,ITEM_RES!$J$5:$J$229,0)-1,0),0)</f>
        <v>0</v>
      </c>
      <c r="W158" s="86" t="s">
        <v>578</v>
      </c>
      <c r="X158" s="9">
        <f ca="1">IFERROR(OFFSET(ITEM_RES!$A$5,MATCH(BUILDING!W158,ITEM_RES!$J$5:$J$229,0)-1,0),0)</f>
        <v>211010501</v>
      </c>
      <c r="Z158" s="9" t="s">
        <v>549</v>
      </c>
      <c r="AA158" s="9">
        <v>14</v>
      </c>
      <c r="AC158" s="9">
        <v>36000</v>
      </c>
      <c r="AE158" s="56">
        <f t="shared" si="67"/>
        <v>7200</v>
      </c>
      <c r="AF158" s="10">
        <f t="shared" si="69"/>
        <v>12800</v>
      </c>
      <c r="AH158" s="11">
        <f t="shared" si="66"/>
        <v>70</v>
      </c>
      <c r="AI158" s="10">
        <v>70</v>
      </c>
      <c r="AJ158" s="11">
        <f t="shared" si="74"/>
        <v>450</v>
      </c>
      <c r="AK158" s="10">
        <v>450</v>
      </c>
      <c r="AL158" s="11">
        <f t="shared" si="74"/>
        <v>450</v>
      </c>
      <c r="AM158" s="10">
        <v>450</v>
      </c>
      <c r="AN158" s="56">
        <f t="shared" si="68"/>
        <v>1</v>
      </c>
      <c r="AP158" s="11">
        <f ca="1">IFERROR(OFFSET(ITEM_RES!$A$1,MATCH(AQ158,ITEM_RES!$J:$J,0)-1,0),0)</f>
        <v>211020901</v>
      </c>
      <c r="AQ158" s="10" t="s">
        <v>470</v>
      </c>
      <c r="AR158" s="11">
        <v>2250</v>
      </c>
      <c r="AU158" s="11">
        <f ca="1">IFERROR(OFFSET(ITEM_RES!$A$1,MATCH(AV158,ITEM_RES!$J:$J,0)-1,0),0)</f>
        <v>0</v>
      </c>
      <c r="AZ158" s="11">
        <f ca="1">IFERROR(OFFSET(ITEM_RES!$A$1,MATCH(BA158,ITEM_RES!$J:$J,0)-1,0),0)</f>
        <v>0</v>
      </c>
      <c r="BE158" s="11">
        <f ca="1">IFERROR(OFFSET(ITEM_RES!$A$1,MATCH(BF158,ITEM_RES!$J:$J,0)-1,0),0)</f>
        <v>0</v>
      </c>
      <c r="BJ158" s="11">
        <f ca="1">IFERROR(OFFSET(ITEM_RES!$A$1,MATCH(BK158,ITEM_RES!$J:$J,0)-1,0),0)</f>
        <v>0</v>
      </c>
      <c r="BL158" s="11">
        <f t="shared" si="73"/>
        <v>0</v>
      </c>
    </row>
    <row r="159" spans="1:65" x14ac:dyDescent="0.3">
      <c r="A159" s="14">
        <f t="shared" si="70"/>
        <v>111060015</v>
      </c>
      <c r="B159" s="13">
        <v>11</v>
      </c>
      <c r="C159" s="12">
        <f t="shared" si="71"/>
        <v>1</v>
      </c>
      <c r="D159" s="13">
        <v>6</v>
      </c>
      <c r="E159" s="13">
        <v>0</v>
      </c>
      <c r="F159" s="12">
        <f t="shared" si="72"/>
        <v>15</v>
      </c>
      <c r="H159" s="9">
        <v>1</v>
      </c>
      <c r="I159" s="9">
        <v>15</v>
      </c>
      <c r="K159" s="9" t="s">
        <v>359</v>
      </c>
      <c r="L159" s="9">
        <v>1</v>
      </c>
      <c r="M159" s="9">
        <v>15</v>
      </c>
      <c r="R159" s="9" t="s">
        <v>794</v>
      </c>
      <c r="U159" s="9">
        <f ca="1">IFERROR(OFFSET(ITEM_RES!$A$5,MATCH(BUILDING!T159,ITEM_RES!$J$5:$J$229,0)-1,0),0)</f>
        <v>0</v>
      </c>
      <c r="W159" s="86" t="s">
        <v>578</v>
      </c>
      <c r="X159" s="9">
        <f ca="1">IFERROR(OFFSET(ITEM_RES!$A$5,MATCH(BUILDING!W159,ITEM_RES!$J$5:$J$229,0)-1,0),0)</f>
        <v>211010501</v>
      </c>
      <c r="Z159" s="9" t="s">
        <v>549</v>
      </c>
      <c r="AA159" s="9">
        <v>15</v>
      </c>
      <c r="AC159" s="9">
        <v>44000</v>
      </c>
      <c r="AE159" s="56">
        <f t="shared" si="67"/>
        <v>8800</v>
      </c>
      <c r="AF159" s="10">
        <f t="shared" si="69"/>
        <v>16000</v>
      </c>
      <c r="AH159" s="11">
        <f t="shared" si="66"/>
        <v>75</v>
      </c>
      <c r="AI159" s="10">
        <v>75</v>
      </c>
      <c r="AJ159" s="11">
        <f t="shared" si="74"/>
        <v>550</v>
      </c>
      <c r="AK159" s="10">
        <v>550</v>
      </c>
      <c r="AL159" s="11">
        <f t="shared" si="74"/>
        <v>550</v>
      </c>
      <c r="AM159" s="10">
        <v>550</v>
      </c>
      <c r="AN159" s="56">
        <f t="shared" si="68"/>
        <v>1</v>
      </c>
      <c r="AP159" s="11">
        <f ca="1">IFERROR(OFFSET(ITEM_RES!$A$1,MATCH(AQ159,ITEM_RES!$J:$J,0)-1,0),0)</f>
        <v>211020901</v>
      </c>
      <c r="AQ159" s="10" t="s">
        <v>470</v>
      </c>
      <c r="AR159" s="11">
        <v>2750</v>
      </c>
      <c r="AU159" s="11">
        <f ca="1">IFERROR(OFFSET(ITEM_RES!$A$1,MATCH(AV159,ITEM_RES!$J:$J,0)-1,0),0)</f>
        <v>0</v>
      </c>
      <c r="AZ159" s="11">
        <f ca="1">IFERROR(OFFSET(ITEM_RES!$A$1,MATCH(BA159,ITEM_RES!$J:$J,0)-1,0),0)</f>
        <v>0</v>
      </c>
      <c r="BE159" s="11">
        <f ca="1">IFERROR(OFFSET(ITEM_RES!$A$1,MATCH(BF159,ITEM_RES!$J:$J,0)-1,0),0)</f>
        <v>0</v>
      </c>
      <c r="BJ159" s="11">
        <f ca="1">IFERROR(OFFSET(ITEM_RES!$A$1,MATCH(BK159,ITEM_RES!$J:$J,0)-1,0),0)</f>
        <v>0</v>
      </c>
      <c r="BL159" s="11">
        <f t="shared" si="73"/>
        <v>0</v>
      </c>
    </row>
    <row r="160" spans="1:65" x14ac:dyDescent="0.3">
      <c r="A160" s="14">
        <f t="shared" si="70"/>
        <v>111060016</v>
      </c>
      <c r="B160" s="13">
        <v>11</v>
      </c>
      <c r="C160" s="12">
        <f t="shared" si="71"/>
        <v>1</v>
      </c>
      <c r="D160" s="13">
        <v>6</v>
      </c>
      <c r="E160" s="13">
        <v>0</v>
      </c>
      <c r="F160" s="12">
        <f t="shared" si="72"/>
        <v>16</v>
      </c>
      <c r="H160" s="9">
        <v>1</v>
      </c>
      <c r="I160" s="9">
        <v>16</v>
      </c>
      <c r="K160" s="9" t="s">
        <v>359</v>
      </c>
      <c r="L160" s="9">
        <v>0</v>
      </c>
      <c r="M160" s="9">
        <v>15</v>
      </c>
      <c r="R160" s="9" t="s">
        <v>794</v>
      </c>
      <c r="U160" s="9">
        <f ca="1">IFERROR(OFFSET(ITEM_RES!$A$5,MATCH(BUILDING!T160,ITEM_RES!$J$5:$J$229,0)-1,0),0)</f>
        <v>0</v>
      </c>
      <c r="W160" s="86" t="s">
        <v>578</v>
      </c>
      <c r="X160" s="9">
        <f ca="1">IFERROR(OFFSET(ITEM_RES!$A$5,MATCH(BUILDING!W160,ITEM_RES!$J$5:$J$229,0)-1,0),0)</f>
        <v>211010501</v>
      </c>
      <c r="Z160" s="9" t="s">
        <v>549</v>
      </c>
      <c r="AA160" s="9">
        <v>16</v>
      </c>
      <c r="AC160" s="9">
        <v>56000</v>
      </c>
      <c r="AE160" s="56">
        <f t="shared" si="67"/>
        <v>11200</v>
      </c>
      <c r="AF160" s="10">
        <f t="shared" si="69"/>
        <v>20000</v>
      </c>
      <c r="AH160" s="11">
        <f t="shared" si="66"/>
        <v>80</v>
      </c>
      <c r="AI160" s="10">
        <v>80</v>
      </c>
      <c r="AJ160" s="11">
        <f t="shared" si="74"/>
        <v>700</v>
      </c>
      <c r="AK160" s="10">
        <v>700</v>
      </c>
      <c r="AL160" s="11">
        <f t="shared" si="74"/>
        <v>700</v>
      </c>
      <c r="AM160" s="10">
        <v>700</v>
      </c>
      <c r="AN160" s="56">
        <f t="shared" si="68"/>
        <v>1</v>
      </c>
      <c r="AP160" s="11">
        <f ca="1">IFERROR(OFFSET(ITEM_RES!$A$1,MATCH(AQ160,ITEM_RES!$J:$J,0)-1,0),0)</f>
        <v>211020901</v>
      </c>
      <c r="AQ160" s="10" t="s">
        <v>470</v>
      </c>
      <c r="AR160" s="11">
        <v>3500</v>
      </c>
      <c r="AU160" s="11">
        <f ca="1">IFERROR(OFFSET(ITEM_RES!$A$1,MATCH(AV160,ITEM_RES!$J:$J,0)-1,0),0)</f>
        <v>0</v>
      </c>
      <c r="AZ160" s="11">
        <f ca="1">IFERROR(OFFSET(ITEM_RES!$A$1,MATCH(BA160,ITEM_RES!$J:$J,0)-1,0),0)</f>
        <v>0</v>
      </c>
      <c r="BE160" s="11">
        <f ca="1">IFERROR(OFFSET(ITEM_RES!$A$1,MATCH(BF160,ITEM_RES!$J:$J,0)-1,0),0)</f>
        <v>0</v>
      </c>
      <c r="BJ160" s="11">
        <f ca="1">IFERROR(OFFSET(ITEM_RES!$A$1,MATCH(BK160,ITEM_RES!$J:$J,0)-1,0),0)</f>
        <v>0</v>
      </c>
      <c r="BL160" s="11">
        <f t="shared" si="73"/>
        <v>0</v>
      </c>
    </row>
    <row r="161" spans="1:65" x14ac:dyDescent="0.3">
      <c r="A161" s="14">
        <f t="shared" si="70"/>
        <v>111060017</v>
      </c>
      <c r="B161" s="13">
        <v>11</v>
      </c>
      <c r="C161" s="12">
        <f t="shared" si="71"/>
        <v>1</v>
      </c>
      <c r="D161" s="13">
        <v>6</v>
      </c>
      <c r="E161" s="13">
        <v>0</v>
      </c>
      <c r="F161" s="12">
        <f t="shared" si="72"/>
        <v>17</v>
      </c>
      <c r="H161" s="9">
        <v>1</v>
      </c>
      <c r="I161" s="9">
        <v>17</v>
      </c>
      <c r="K161" s="9" t="s">
        <v>359</v>
      </c>
      <c r="L161" s="9">
        <v>0</v>
      </c>
      <c r="M161" s="9">
        <v>15</v>
      </c>
      <c r="R161" s="9" t="s">
        <v>794</v>
      </c>
      <c r="U161" s="9">
        <f ca="1">IFERROR(OFFSET(ITEM_RES!$A$5,MATCH(BUILDING!T161,ITEM_RES!$J$5:$J$229,0)-1,0),0)</f>
        <v>0</v>
      </c>
      <c r="W161" s="86" t="s">
        <v>578</v>
      </c>
      <c r="X161" s="9">
        <f ca="1">IFERROR(OFFSET(ITEM_RES!$A$5,MATCH(BUILDING!W161,ITEM_RES!$J$5:$J$229,0)-1,0),0)</f>
        <v>211010501</v>
      </c>
      <c r="Z161" s="9" t="s">
        <v>549</v>
      </c>
      <c r="AA161" s="9">
        <v>17</v>
      </c>
      <c r="AC161" s="9">
        <v>68000</v>
      </c>
      <c r="AE161" s="56">
        <f t="shared" si="67"/>
        <v>13600</v>
      </c>
      <c r="AF161" s="10">
        <f t="shared" si="69"/>
        <v>24800</v>
      </c>
      <c r="AH161" s="11">
        <f t="shared" si="66"/>
        <v>85</v>
      </c>
      <c r="AI161" s="10">
        <v>85</v>
      </c>
      <c r="AJ161" s="11">
        <f t="shared" si="74"/>
        <v>850</v>
      </c>
      <c r="AK161" s="10">
        <v>850</v>
      </c>
      <c r="AL161" s="11">
        <f t="shared" si="74"/>
        <v>850</v>
      </c>
      <c r="AM161" s="10">
        <v>850</v>
      </c>
      <c r="AN161" s="56">
        <f t="shared" si="68"/>
        <v>1</v>
      </c>
      <c r="AP161" s="11">
        <f ca="1">IFERROR(OFFSET(ITEM_RES!$A$1,MATCH(AQ161,ITEM_RES!$J:$J,0)-1,0),0)</f>
        <v>211020901</v>
      </c>
      <c r="AQ161" s="10" t="s">
        <v>470</v>
      </c>
      <c r="AR161" s="11">
        <v>4250</v>
      </c>
      <c r="AU161" s="11">
        <f ca="1">IFERROR(OFFSET(ITEM_RES!$A$1,MATCH(AV161,ITEM_RES!$J:$J,0)-1,0),0)</f>
        <v>0</v>
      </c>
      <c r="AZ161" s="11">
        <f ca="1">IFERROR(OFFSET(ITEM_RES!$A$1,MATCH(BA161,ITEM_RES!$J:$J,0)-1,0),0)</f>
        <v>0</v>
      </c>
      <c r="BE161" s="11">
        <f ca="1">IFERROR(OFFSET(ITEM_RES!$A$1,MATCH(BF161,ITEM_RES!$J:$J,0)-1,0),0)</f>
        <v>0</v>
      </c>
      <c r="BJ161" s="11">
        <f ca="1">IFERROR(OFFSET(ITEM_RES!$A$1,MATCH(BK161,ITEM_RES!$J:$J,0)-1,0),0)</f>
        <v>0</v>
      </c>
      <c r="BL161" s="11">
        <f t="shared" si="73"/>
        <v>0</v>
      </c>
    </row>
    <row r="162" spans="1:65" x14ac:dyDescent="0.3">
      <c r="A162" s="14">
        <f t="shared" si="70"/>
        <v>111060018</v>
      </c>
      <c r="B162" s="13">
        <v>11</v>
      </c>
      <c r="C162" s="12">
        <f t="shared" si="71"/>
        <v>1</v>
      </c>
      <c r="D162" s="13">
        <v>6</v>
      </c>
      <c r="E162" s="13">
        <v>0</v>
      </c>
      <c r="F162" s="12">
        <f t="shared" si="72"/>
        <v>18</v>
      </c>
      <c r="H162" s="9">
        <v>1</v>
      </c>
      <c r="I162" s="9">
        <v>18</v>
      </c>
      <c r="K162" s="9" t="s">
        <v>359</v>
      </c>
      <c r="L162" s="9">
        <v>0</v>
      </c>
      <c r="M162" s="9">
        <v>15</v>
      </c>
      <c r="R162" s="9" t="s">
        <v>794</v>
      </c>
      <c r="U162" s="9">
        <f ca="1">IFERROR(OFFSET(ITEM_RES!$A$5,MATCH(BUILDING!T162,ITEM_RES!$J$5:$J$229,0)-1,0),0)</f>
        <v>0</v>
      </c>
      <c r="W162" s="86" t="s">
        <v>578</v>
      </c>
      <c r="X162" s="9">
        <f ca="1">IFERROR(OFFSET(ITEM_RES!$A$5,MATCH(BUILDING!W162,ITEM_RES!$J$5:$J$229,0)-1,0),0)</f>
        <v>211010501</v>
      </c>
      <c r="Z162" s="9" t="s">
        <v>549</v>
      </c>
      <c r="AA162" s="9">
        <v>18</v>
      </c>
      <c r="AC162" s="9">
        <v>84000</v>
      </c>
      <c r="AE162" s="56">
        <f t="shared" si="67"/>
        <v>16800</v>
      </c>
      <c r="AF162" s="10">
        <f t="shared" si="69"/>
        <v>30400</v>
      </c>
      <c r="AH162" s="11">
        <f t="shared" si="66"/>
        <v>90</v>
      </c>
      <c r="AI162" s="10">
        <v>90</v>
      </c>
      <c r="AJ162" s="11">
        <f t="shared" si="74"/>
        <v>1050</v>
      </c>
      <c r="AK162" s="10">
        <v>1050</v>
      </c>
      <c r="AL162" s="11">
        <f t="shared" si="74"/>
        <v>1050</v>
      </c>
      <c r="AM162" s="10">
        <v>1050</v>
      </c>
      <c r="AN162" s="56">
        <f t="shared" si="68"/>
        <v>1</v>
      </c>
      <c r="AP162" s="11">
        <f ca="1">IFERROR(OFFSET(ITEM_RES!$A$1,MATCH(AQ162,ITEM_RES!$J:$J,0)-1,0),0)</f>
        <v>211020901</v>
      </c>
      <c r="AQ162" s="10" t="s">
        <v>470</v>
      </c>
      <c r="AR162" s="11">
        <v>5250</v>
      </c>
      <c r="AU162" s="11">
        <f ca="1">IFERROR(OFFSET(ITEM_RES!$A$1,MATCH(AV162,ITEM_RES!$J:$J,0)-1,0),0)</f>
        <v>0</v>
      </c>
      <c r="AZ162" s="11">
        <f ca="1">IFERROR(OFFSET(ITEM_RES!$A$1,MATCH(BA162,ITEM_RES!$J:$J,0)-1,0),0)</f>
        <v>0</v>
      </c>
      <c r="BE162" s="11">
        <f ca="1">IFERROR(OFFSET(ITEM_RES!$A$1,MATCH(BF162,ITEM_RES!$J:$J,0)-1,0),0)</f>
        <v>0</v>
      </c>
      <c r="BJ162" s="11">
        <f ca="1">IFERROR(OFFSET(ITEM_RES!$A$1,MATCH(BK162,ITEM_RES!$J:$J,0)-1,0),0)</f>
        <v>0</v>
      </c>
      <c r="BL162" s="11">
        <f t="shared" si="73"/>
        <v>0</v>
      </c>
    </row>
    <row r="163" spans="1:65" x14ac:dyDescent="0.3">
      <c r="A163" s="14">
        <f t="shared" si="70"/>
        <v>111060019</v>
      </c>
      <c r="B163" s="13">
        <v>11</v>
      </c>
      <c r="C163" s="12">
        <f t="shared" si="71"/>
        <v>1</v>
      </c>
      <c r="D163" s="13">
        <v>6</v>
      </c>
      <c r="E163" s="13">
        <v>0</v>
      </c>
      <c r="F163" s="12">
        <f t="shared" si="72"/>
        <v>19</v>
      </c>
      <c r="H163" s="9">
        <v>1</v>
      </c>
      <c r="I163" s="9">
        <v>19</v>
      </c>
      <c r="K163" s="9" t="s">
        <v>359</v>
      </c>
      <c r="L163" s="9">
        <v>0</v>
      </c>
      <c r="M163" s="9">
        <v>15</v>
      </c>
      <c r="R163" s="9" t="s">
        <v>794</v>
      </c>
      <c r="U163" s="9">
        <f ca="1">IFERROR(OFFSET(ITEM_RES!$A$5,MATCH(BUILDING!T163,ITEM_RES!$J$5:$J$229,0)-1,0),0)</f>
        <v>0</v>
      </c>
      <c r="W163" s="86" t="s">
        <v>578</v>
      </c>
      <c r="X163" s="9">
        <f ca="1">IFERROR(OFFSET(ITEM_RES!$A$5,MATCH(BUILDING!W163,ITEM_RES!$J$5:$J$229,0)-1,0),0)</f>
        <v>211010501</v>
      </c>
      <c r="Z163" s="9" t="s">
        <v>549</v>
      </c>
      <c r="AA163" s="9">
        <v>19</v>
      </c>
      <c r="AC163" s="9">
        <v>100000</v>
      </c>
      <c r="AE163" s="56">
        <f t="shared" si="67"/>
        <v>20000</v>
      </c>
      <c r="AF163" s="10">
        <f t="shared" si="69"/>
        <v>36800</v>
      </c>
      <c r="AH163" s="11">
        <f t="shared" si="66"/>
        <v>95</v>
      </c>
      <c r="AI163" s="10">
        <v>95</v>
      </c>
      <c r="AJ163" s="11">
        <f t="shared" si="74"/>
        <v>1250</v>
      </c>
      <c r="AK163" s="10">
        <v>1250</v>
      </c>
      <c r="AL163" s="11">
        <f t="shared" si="74"/>
        <v>1250</v>
      </c>
      <c r="AM163" s="10">
        <v>1250</v>
      </c>
      <c r="AN163" s="56">
        <f t="shared" si="68"/>
        <v>1</v>
      </c>
      <c r="AP163" s="11">
        <f ca="1">IFERROR(OFFSET(ITEM_RES!$A$1,MATCH(AQ163,ITEM_RES!$J:$J,0)-1,0),0)</f>
        <v>211020901</v>
      </c>
      <c r="AQ163" s="10" t="s">
        <v>470</v>
      </c>
      <c r="AR163" s="11">
        <v>6250</v>
      </c>
      <c r="AU163" s="11">
        <f ca="1">IFERROR(OFFSET(ITEM_RES!$A$1,MATCH(AV163,ITEM_RES!$J:$J,0)-1,0),0)</f>
        <v>0</v>
      </c>
      <c r="AZ163" s="11">
        <f ca="1">IFERROR(OFFSET(ITEM_RES!$A$1,MATCH(BA163,ITEM_RES!$J:$J,0)-1,0),0)</f>
        <v>0</v>
      </c>
      <c r="BE163" s="11">
        <f ca="1">IFERROR(OFFSET(ITEM_RES!$A$1,MATCH(BF163,ITEM_RES!$J:$J,0)-1,0),0)</f>
        <v>0</v>
      </c>
      <c r="BJ163" s="11">
        <f ca="1">IFERROR(OFFSET(ITEM_RES!$A$1,MATCH(BK163,ITEM_RES!$J:$J,0)-1,0),0)</f>
        <v>0</v>
      </c>
      <c r="BL163" s="11">
        <f t="shared" si="73"/>
        <v>0</v>
      </c>
    </row>
    <row r="164" spans="1:65" ht="17.25" thickBot="1" x14ac:dyDescent="0.35">
      <c r="A164" s="14">
        <f t="shared" si="70"/>
        <v>111060020</v>
      </c>
      <c r="B164" s="13">
        <v>11</v>
      </c>
      <c r="C164" s="12">
        <f t="shared" si="71"/>
        <v>1</v>
      </c>
      <c r="D164" s="13">
        <v>6</v>
      </c>
      <c r="E164" s="13">
        <v>0</v>
      </c>
      <c r="F164" s="12">
        <f t="shared" si="72"/>
        <v>20</v>
      </c>
      <c r="H164" s="9">
        <v>1</v>
      </c>
      <c r="I164" s="9">
        <v>20</v>
      </c>
      <c r="K164" s="9" t="s">
        <v>359</v>
      </c>
      <c r="L164" s="9">
        <v>0</v>
      </c>
      <c r="M164" s="9">
        <v>15</v>
      </c>
      <c r="R164" s="9" t="s">
        <v>794</v>
      </c>
      <c r="U164" s="9">
        <f ca="1">IFERROR(OFFSET(ITEM_RES!$A$5,MATCH(BUILDING!T164,ITEM_RES!$J$5:$J$229,0)-1,0),0)</f>
        <v>0</v>
      </c>
      <c r="W164" s="86" t="s">
        <v>578</v>
      </c>
      <c r="X164" s="9">
        <f ca="1">IFERROR(OFFSET(ITEM_RES!$A$5,MATCH(BUILDING!W164,ITEM_RES!$J$5:$J$229,0)-1,0),0)</f>
        <v>211010501</v>
      </c>
      <c r="Z164" s="9" t="s">
        <v>549</v>
      </c>
      <c r="AA164" s="9">
        <v>20</v>
      </c>
      <c r="AC164" s="9">
        <v>120000</v>
      </c>
      <c r="AE164" s="56">
        <f t="shared" si="67"/>
        <v>24000</v>
      </c>
      <c r="AF164" s="10">
        <f t="shared" si="69"/>
        <v>44000</v>
      </c>
      <c r="AH164" s="11">
        <f t="shared" si="66"/>
        <v>100</v>
      </c>
      <c r="AI164" s="10">
        <v>100</v>
      </c>
      <c r="AJ164" s="11">
        <f t="shared" si="74"/>
        <v>1500</v>
      </c>
      <c r="AK164" s="10">
        <v>1500</v>
      </c>
      <c r="AL164" s="11">
        <f t="shared" si="74"/>
        <v>1500</v>
      </c>
      <c r="AM164" s="10">
        <v>1500</v>
      </c>
      <c r="AN164" s="56">
        <f t="shared" si="68"/>
        <v>1</v>
      </c>
      <c r="AP164" s="11">
        <f ca="1">IFERROR(OFFSET(ITEM_RES!$A$1,MATCH(AQ164,ITEM_RES!$J:$J,0)-1,0),0)</f>
        <v>211020901</v>
      </c>
      <c r="AQ164" s="10" t="s">
        <v>470</v>
      </c>
      <c r="AR164" s="11">
        <v>7500</v>
      </c>
      <c r="AU164" s="11">
        <f ca="1">IFERROR(OFFSET(ITEM_RES!$A$1,MATCH(AV164,ITEM_RES!$J:$J,0)-1,0),0)</f>
        <v>0</v>
      </c>
      <c r="AZ164" s="11">
        <f ca="1">IFERROR(OFFSET(ITEM_RES!$A$1,MATCH(BA164,ITEM_RES!$J:$J,0)-1,0),0)</f>
        <v>0</v>
      </c>
      <c r="BE164" s="11">
        <f ca="1">IFERROR(OFFSET(ITEM_RES!$A$1,MATCH(BF164,ITEM_RES!$J:$J,0)-1,0),0)</f>
        <v>0</v>
      </c>
      <c r="BJ164" s="11">
        <f ca="1">IFERROR(OFFSET(ITEM_RES!$A$1,MATCH(BK164,ITEM_RES!$J:$J,0)-1,0),0)</f>
        <v>0</v>
      </c>
      <c r="BL164" s="11">
        <f t="shared" si="73"/>
        <v>0</v>
      </c>
    </row>
    <row r="165" spans="1:65" s="15" customFormat="1" x14ac:dyDescent="0.3">
      <c r="A165" s="21">
        <f t="shared" si="70"/>
        <v>112030001</v>
      </c>
      <c r="B165" s="20">
        <v>11</v>
      </c>
      <c r="C165" s="19">
        <f t="shared" si="71"/>
        <v>2</v>
      </c>
      <c r="D165" s="20">
        <v>3</v>
      </c>
      <c r="E165" s="20">
        <v>0</v>
      </c>
      <c r="F165" s="19">
        <f t="shared" si="72"/>
        <v>1</v>
      </c>
      <c r="G165" s="80"/>
      <c r="H165" s="16">
        <v>2</v>
      </c>
      <c r="I165" s="16">
        <v>1</v>
      </c>
      <c r="J165" s="80"/>
      <c r="K165" s="16" t="s">
        <v>361</v>
      </c>
      <c r="L165" s="16">
        <v>1</v>
      </c>
      <c r="M165" s="16">
        <v>15</v>
      </c>
      <c r="N165" s="16"/>
      <c r="O165" s="17"/>
      <c r="P165" s="17"/>
      <c r="Q165" s="18"/>
      <c r="R165" s="16" t="s">
        <v>775</v>
      </c>
      <c r="S165" s="80"/>
      <c r="T165" s="88" t="s">
        <v>578</v>
      </c>
      <c r="U165" s="16">
        <f ca="1">IFERROR(OFFSET(ITEM_RES!$A$5,MATCH(BUILDING!T165,ITEM_RES!$J$5:$J$229,0)-1,0),0)</f>
        <v>211010501</v>
      </c>
      <c r="V165" s="18">
        <v>1</v>
      </c>
      <c r="W165" s="88" t="s">
        <v>579</v>
      </c>
      <c r="X165" s="16">
        <f ca="1">IFERROR(OFFSET(ITEM_RES!$A$5,MATCH(BUILDING!W165,ITEM_RES!$J$5:$J$229,0)-1,0),0)</f>
        <v>211010601</v>
      </c>
      <c r="Y165" s="80"/>
      <c r="Z165" s="16" t="s">
        <v>550</v>
      </c>
      <c r="AA165" s="16">
        <v>1</v>
      </c>
      <c r="AB165" s="80"/>
      <c r="AC165" s="16">
        <v>0</v>
      </c>
      <c r="AD165" s="80"/>
      <c r="AE165" s="57">
        <f t="shared" si="67"/>
        <v>580</v>
      </c>
      <c r="AF165" s="17">
        <f>AE165</f>
        <v>580</v>
      </c>
      <c r="AG165" s="80"/>
      <c r="AH165" s="18">
        <f t="shared" si="66"/>
        <v>5</v>
      </c>
      <c r="AI165" s="17">
        <v>5</v>
      </c>
      <c r="AJ165" s="18">
        <f t="shared" si="74"/>
        <v>5</v>
      </c>
      <c r="AK165" s="17">
        <v>5</v>
      </c>
      <c r="AL165" s="18">
        <f t="shared" si="74"/>
        <v>5</v>
      </c>
      <c r="AM165" s="17">
        <v>5</v>
      </c>
      <c r="AN165" s="57">
        <f t="shared" si="68"/>
        <v>2</v>
      </c>
      <c r="AO165" s="18"/>
      <c r="AP165" s="18">
        <f ca="1">IFERROR(OFFSET(ITEM_RES!$A$1,MATCH(AQ165,ITEM_RES!$J:$J,0)-1,0),0)</f>
        <v>211020801</v>
      </c>
      <c r="AQ165" s="17" t="s">
        <v>457</v>
      </c>
      <c r="AR165" s="18">
        <v>25</v>
      </c>
      <c r="AS165" s="17"/>
      <c r="AT165" s="18"/>
      <c r="AU165" s="18">
        <f ca="1">IFERROR(OFFSET(ITEM_RES!$A$1,MATCH(AV165,ITEM_RES!$J:$J,0)-1,0),0)</f>
        <v>0</v>
      </c>
      <c r="AV165" s="17"/>
      <c r="AW165" s="18"/>
      <c r="AX165" s="17"/>
      <c r="AY165" s="18"/>
      <c r="AZ165" s="18">
        <f ca="1">IFERROR(OFFSET(ITEM_RES!$A$1,MATCH(BA165,ITEM_RES!$J:$J,0)-1,0),0)</f>
        <v>213010101</v>
      </c>
      <c r="BA165" s="17" t="s">
        <v>481</v>
      </c>
      <c r="BB165" s="18">
        <v>1</v>
      </c>
      <c r="BC165" s="17"/>
      <c r="BD165" s="18"/>
      <c r="BE165" s="18">
        <f ca="1">IFERROR(OFFSET(ITEM_RES!$A$1,MATCH(BF165,ITEM_RES!$J:$J,0)-1,0),0)</f>
        <v>0</v>
      </c>
      <c r="BF165" s="17"/>
      <c r="BG165" s="18"/>
      <c r="BH165" s="17"/>
      <c r="BI165" s="18"/>
      <c r="BJ165" s="18">
        <f ca="1">IFERROR(OFFSET(ITEM_RES!$A$1,MATCH(BK165,ITEM_RES!$J:$J,0)-1,0),0)</f>
        <v>0</v>
      </c>
      <c r="BK165" s="17"/>
      <c r="BL165" s="18">
        <f t="shared" si="73"/>
        <v>0</v>
      </c>
      <c r="BM165" s="17"/>
    </row>
    <row r="166" spans="1:65" x14ac:dyDescent="0.3">
      <c r="A166" s="14">
        <f t="shared" si="70"/>
        <v>112030002</v>
      </c>
      <c r="B166" s="13">
        <v>11</v>
      </c>
      <c r="C166" s="12">
        <f t="shared" si="71"/>
        <v>2</v>
      </c>
      <c r="D166" s="13">
        <v>3</v>
      </c>
      <c r="E166" s="13">
        <v>0</v>
      </c>
      <c r="F166" s="12">
        <f t="shared" si="72"/>
        <v>2</v>
      </c>
      <c r="H166" s="9">
        <v>2</v>
      </c>
      <c r="I166" s="9">
        <v>2</v>
      </c>
      <c r="K166" s="9" t="s">
        <v>361</v>
      </c>
      <c r="L166" s="9">
        <v>1</v>
      </c>
      <c r="M166" s="9">
        <v>15</v>
      </c>
      <c r="R166" s="9" t="s">
        <v>775</v>
      </c>
      <c r="T166" s="86" t="s">
        <v>578</v>
      </c>
      <c r="U166" s="9">
        <f ca="1">IFERROR(OFFSET(ITEM_RES!$A$5,MATCH(BUILDING!T166,ITEM_RES!$J$5:$J$229,0)-1,0),0)</f>
        <v>211010501</v>
      </c>
      <c r="V166" s="11">
        <v>1</v>
      </c>
      <c r="W166" s="86" t="s">
        <v>579</v>
      </c>
      <c r="X166" s="9">
        <f ca="1">IFERROR(OFFSET(ITEM_RES!$A$5,MATCH(BUILDING!W166,ITEM_RES!$J$5:$J$229,0)-1,0),0)</f>
        <v>211010601</v>
      </c>
      <c r="Z166" s="9" t="s">
        <v>550</v>
      </c>
      <c r="AA166" s="9">
        <v>2</v>
      </c>
      <c r="AC166" s="9">
        <v>800</v>
      </c>
      <c r="AE166" s="56">
        <f t="shared" si="67"/>
        <v>160</v>
      </c>
      <c r="AF166" s="10">
        <f>AE165+AE166</f>
        <v>740</v>
      </c>
      <c r="AH166" s="11">
        <f t="shared" si="66"/>
        <v>10</v>
      </c>
      <c r="AI166" s="10">
        <v>10</v>
      </c>
      <c r="AJ166" s="11">
        <f t="shared" si="74"/>
        <v>10</v>
      </c>
      <c r="AK166" s="10">
        <v>10</v>
      </c>
      <c r="AL166" s="11">
        <f t="shared" si="74"/>
        <v>10</v>
      </c>
      <c r="AM166" s="10">
        <v>10</v>
      </c>
      <c r="AN166" s="56">
        <f t="shared" si="68"/>
        <v>1</v>
      </c>
      <c r="AP166" s="11">
        <f ca="1">IFERROR(OFFSET(ITEM_RES!$A$1,MATCH(AQ166,ITEM_RES!$J:$J,0)-1,0),0)</f>
        <v>211020801</v>
      </c>
      <c r="AQ166" s="10" t="s">
        <v>457</v>
      </c>
      <c r="AR166" s="11">
        <v>50</v>
      </c>
      <c r="AU166" s="11">
        <f ca="1">IFERROR(OFFSET(ITEM_RES!$A$1,MATCH(AV166,ITEM_RES!$J:$J,0)-1,0),0)</f>
        <v>0</v>
      </c>
      <c r="AZ166" s="11">
        <f ca="1">IFERROR(OFFSET(ITEM_RES!$A$1,MATCH(BA166,ITEM_RES!$J:$J,0)-1,0),0)</f>
        <v>0</v>
      </c>
      <c r="BE166" s="11">
        <f ca="1">IFERROR(OFFSET(ITEM_RES!$A$1,MATCH(BF166,ITEM_RES!$J:$J,0)-1,0),0)</f>
        <v>0</v>
      </c>
      <c r="BJ166" s="11">
        <f ca="1">IFERROR(OFFSET(ITEM_RES!$A$1,MATCH(BK166,ITEM_RES!$J:$J,0)-1,0),0)</f>
        <v>0</v>
      </c>
      <c r="BL166" s="11">
        <f t="shared" si="73"/>
        <v>0</v>
      </c>
    </row>
    <row r="167" spans="1:65" x14ac:dyDescent="0.3">
      <c r="A167" s="14">
        <f t="shared" si="70"/>
        <v>112030003</v>
      </c>
      <c r="B167" s="13">
        <v>11</v>
      </c>
      <c r="C167" s="12">
        <f t="shared" si="71"/>
        <v>2</v>
      </c>
      <c r="D167" s="13">
        <v>3</v>
      </c>
      <c r="E167" s="13">
        <v>0</v>
      </c>
      <c r="F167" s="12">
        <f t="shared" si="72"/>
        <v>3</v>
      </c>
      <c r="H167" s="9">
        <v>2</v>
      </c>
      <c r="I167" s="9">
        <v>3</v>
      </c>
      <c r="K167" s="9" t="s">
        <v>361</v>
      </c>
      <c r="L167" s="9">
        <v>1</v>
      </c>
      <c r="M167" s="9">
        <v>15</v>
      </c>
      <c r="R167" s="9" t="s">
        <v>775</v>
      </c>
      <c r="T167" s="86" t="s">
        <v>578</v>
      </c>
      <c r="U167" s="9">
        <f ca="1">IFERROR(OFFSET(ITEM_RES!$A$5,MATCH(BUILDING!T167,ITEM_RES!$J$5:$J$229,0)-1,0),0)</f>
        <v>211010501</v>
      </c>
      <c r="V167" s="11">
        <v>1</v>
      </c>
      <c r="W167" s="86" t="s">
        <v>579</v>
      </c>
      <c r="X167" s="9">
        <f ca="1">IFERROR(OFFSET(ITEM_RES!$A$5,MATCH(BUILDING!W167,ITEM_RES!$J$5:$J$229,0)-1,0),0)</f>
        <v>211010601</v>
      </c>
      <c r="Z167" s="9" t="s">
        <v>550</v>
      </c>
      <c r="AA167" s="9">
        <v>3</v>
      </c>
      <c r="AC167" s="9">
        <v>1200</v>
      </c>
      <c r="AE167" s="56">
        <f t="shared" si="67"/>
        <v>240</v>
      </c>
      <c r="AF167" s="10">
        <f t="shared" ref="AF167:AF184" si="75">AE166+AE167</f>
        <v>400</v>
      </c>
      <c r="AH167" s="11">
        <f t="shared" si="66"/>
        <v>15</v>
      </c>
      <c r="AI167" s="10">
        <v>15</v>
      </c>
      <c r="AJ167" s="11">
        <f t="shared" si="74"/>
        <v>15</v>
      </c>
      <c r="AK167" s="10">
        <v>15</v>
      </c>
      <c r="AL167" s="11">
        <f t="shared" si="74"/>
        <v>15</v>
      </c>
      <c r="AM167" s="10">
        <v>15</v>
      </c>
      <c r="AN167" s="56">
        <f t="shared" si="68"/>
        <v>1</v>
      </c>
      <c r="AP167" s="11">
        <f ca="1">IFERROR(OFFSET(ITEM_RES!$A$1,MATCH(AQ167,ITEM_RES!$J:$J,0)-1,0),0)</f>
        <v>211020801</v>
      </c>
      <c r="AQ167" s="10" t="s">
        <v>457</v>
      </c>
      <c r="AR167" s="11">
        <v>75</v>
      </c>
      <c r="AU167" s="11">
        <f ca="1">IFERROR(OFFSET(ITEM_RES!$A$1,MATCH(AV167,ITEM_RES!$J:$J,0)-1,0),0)</f>
        <v>0</v>
      </c>
      <c r="AZ167" s="11">
        <f ca="1">IFERROR(OFFSET(ITEM_RES!$A$1,MATCH(BA167,ITEM_RES!$J:$J,0)-1,0),0)</f>
        <v>0</v>
      </c>
      <c r="BE167" s="11">
        <f ca="1">IFERROR(OFFSET(ITEM_RES!$A$1,MATCH(BF167,ITEM_RES!$J:$J,0)-1,0),0)</f>
        <v>0</v>
      </c>
      <c r="BJ167" s="11">
        <f ca="1">IFERROR(OFFSET(ITEM_RES!$A$1,MATCH(BK167,ITEM_RES!$J:$J,0)-1,0),0)</f>
        <v>0</v>
      </c>
      <c r="BL167" s="11">
        <f t="shared" si="73"/>
        <v>0</v>
      </c>
    </row>
    <row r="168" spans="1:65" x14ac:dyDescent="0.3">
      <c r="A168" s="14">
        <f t="shared" si="70"/>
        <v>112030004</v>
      </c>
      <c r="B168" s="13">
        <v>11</v>
      </c>
      <c r="C168" s="12">
        <f t="shared" si="71"/>
        <v>2</v>
      </c>
      <c r="D168" s="13">
        <v>3</v>
      </c>
      <c r="E168" s="13">
        <v>0</v>
      </c>
      <c r="F168" s="12">
        <f t="shared" si="72"/>
        <v>4</v>
      </c>
      <c r="H168" s="9">
        <v>2</v>
      </c>
      <c r="I168" s="9">
        <v>4</v>
      </c>
      <c r="K168" s="9" t="s">
        <v>361</v>
      </c>
      <c r="L168" s="9">
        <v>1</v>
      </c>
      <c r="M168" s="9">
        <v>15</v>
      </c>
      <c r="R168" s="9" t="s">
        <v>775</v>
      </c>
      <c r="T168" s="86" t="s">
        <v>578</v>
      </c>
      <c r="U168" s="9">
        <f ca="1">IFERROR(OFFSET(ITEM_RES!$A$5,MATCH(BUILDING!T168,ITEM_RES!$J$5:$J$229,0)-1,0),0)</f>
        <v>211010501</v>
      </c>
      <c r="V168" s="11">
        <v>1</v>
      </c>
      <c r="W168" s="86" t="s">
        <v>579</v>
      </c>
      <c r="X168" s="9">
        <f ca="1">IFERROR(OFFSET(ITEM_RES!$A$5,MATCH(BUILDING!W168,ITEM_RES!$J$5:$J$229,0)-1,0),0)</f>
        <v>211010601</v>
      </c>
      <c r="Z168" s="9" t="s">
        <v>550</v>
      </c>
      <c r="AA168" s="9">
        <v>4</v>
      </c>
      <c r="AC168" s="9">
        <v>2000</v>
      </c>
      <c r="AE168" s="56">
        <f t="shared" si="67"/>
        <v>400</v>
      </c>
      <c r="AF168" s="10">
        <f t="shared" si="75"/>
        <v>640</v>
      </c>
      <c r="AH168" s="11">
        <f t="shared" si="66"/>
        <v>20</v>
      </c>
      <c r="AI168" s="10">
        <v>20</v>
      </c>
      <c r="AJ168" s="11">
        <f t="shared" si="74"/>
        <v>25</v>
      </c>
      <c r="AK168" s="10">
        <v>25</v>
      </c>
      <c r="AL168" s="11">
        <f t="shared" si="74"/>
        <v>25</v>
      </c>
      <c r="AM168" s="10">
        <v>25</v>
      </c>
      <c r="AN168" s="56">
        <f t="shared" si="68"/>
        <v>1</v>
      </c>
      <c r="AP168" s="11">
        <f ca="1">IFERROR(OFFSET(ITEM_RES!$A$1,MATCH(AQ168,ITEM_RES!$J:$J,0)-1,0),0)</f>
        <v>211020801</v>
      </c>
      <c r="AQ168" s="10" t="s">
        <v>457</v>
      </c>
      <c r="AR168" s="11">
        <v>125</v>
      </c>
      <c r="AU168" s="11">
        <f ca="1">IFERROR(OFFSET(ITEM_RES!$A$1,MATCH(AV168,ITEM_RES!$J:$J,0)-1,0),0)</f>
        <v>0</v>
      </c>
      <c r="AZ168" s="11">
        <f ca="1">IFERROR(OFFSET(ITEM_RES!$A$1,MATCH(BA168,ITEM_RES!$J:$J,0)-1,0),0)</f>
        <v>0</v>
      </c>
      <c r="BE168" s="11">
        <f ca="1">IFERROR(OFFSET(ITEM_RES!$A$1,MATCH(BF168,ITEM_RES!$J:$J,0)-1,0),0)</f>
        <v>0</v>
      </c>
      <c r="BJ168" s="11">
        <f ca="1">IFERROR(OFFSET(ITEM_RES!$A$1,MATCH(BK168,ITEM_RES!$J:$J,0)-1,0),0)</f>
        <v>0</v>
      </c>
      <c r="BL168" s="11">
        <f t="shared" si="73"/>
        <v>0</v>
      </c>
    </row>
    <row r="169" spans="1:65" x14ac:dyDescent="0.3">
      <c r="A169" s="14">
        <f t="shared" si="70"/>
        <v>112030005</v>
      </c>
      <c r="B169" s="13">
        <v>11</v>
      </c>
      <c r="C169" s="12">
        <f t="shared" si="71"/>
        <v>2</v>
      </c>
      <c r="D169" s="13">
        <v>3</v>
      </c>
      <c r="E169" s="13">
        <v>0</v>
      </c>
      <c r="F169" s="12">
        <f t="shared" si="72"/>
        <v>5</v>
      </c>
      <c r="H169" s="9">
        <v>2</v>
      </c>
      <c r="I169" s="9">
        <v>5</v>
      </c>
      <c r="K169" s="9" t="s">
        <v>361</v>
      </c>
      <c r="L169" s="9">
        <v>1</v>
      </c>
      <c r="M169" s="9">
        <v>15</v>
      </c>
      <c r="R169" s="9" t="s">
        <v>775</v>
      </c>
      <c r="T169" s="86" t="s">
        <v>578</v>
      </c>
      <c r="U169" s="9">
        <f ca="1">IFERROR(OFFSET(ITEM_RES!$A$5,MATCH(BUILDING!T169,ITEM_RES!$J$5:$J$229,0)-1,0),0)</f>
        <v>211010501</v>
      </c>
      <c r="V169" s="11">
        <v>1</v>
      </c>
      <c r="W169" s="86" t="s">
        <v>579</v>
      </c>
      <c r="X169" s="9">
        <f ca="1">IFERROR(OFFSET(ITEM_RES!$A$5,MATCH(BUILDING!W169,ITEM_RES!$J$5:$J$229,0)-1,0),0)</f>
        <v>211010601</v>
      </c>
      <c r="Z169" s="9" t="s">
        <v>550</v>
      </c>
      <c r="AA169" s="9">
        <v>5</v>
      </c>
      <c r="AC169" s="9">
        <v>3200</v>
      </c>
      <c r="AE169" s="56">
        <f t="shared" si="67"/>
        <v>640</v>
      </c>
      <c r="AF169" s="10">
        <f t="shared" si="75"/>
        <v>1040</v>
      </c>
      <c r="AH169" s="11">
        <f t="shared" si="66"/>
        <v>25</v>
      </c>
      <c r="AI169" s="10">
        <v>25</v>
      </c>
      <c r="AJ169" s="11">
        <f t="shared" si="74"/>
        <v>40</v>
      </c>
      <c r="AK169" s="10">
        <v>40</v>
      </c>
      <c r="AL169" s="11">
        <f t="shared" si="74"/>
        <v>40</v>
      </c>
      <c r="AM169" s="10">
        <v>40</v>
      </c>
      <c r="AN169" s="56">
        <f t="shared" si="68"/>
        <v>1</v>
      </c>
      <c r="AP169" s="11">
        <f ca="1">IFERROR(OFFSET(ITEM_RES!$A$1,MATCH(AQ169,ITEM_RES!$J:$J,0)-1,0),0)</f>
        <v>211020801</v>
      </c>
      <c r="AQ169" s="10" t="s">
        <v>457</v>
      </c>
      <c r="AR169" s="11">
        <v>200</v>
      </c>
      <c r="AU169" s="11">
        <f ca="1">IFERROR(OFFSET(ITEM_RES!$A$1,MATCH(AV169,ITEM_RES!$J:$J,0)-1,0),0)</f>
        <v>0</v>
      </c>
      <c r="AZ169" s="11">
        <f ca="1">IFERROR(OFFSET(ITEM_RES!$A$1,MATCH(BA169,ITEM_RES!$J:$J,0)-1,0),0)</f>
        <v>0</v>
      </c>
      <c r="BE169" s="11">
        <f ca="1">IFERROR(OFFSET(ITEM_RES!$A$1,MATCH(BF169,ITEM_RES!$J:$J,0)-1,0),0)</f>
        <v>0</v>
      </c>
      <c r="BJ169" s="11">
        <f ca="1">IFERROR(OFFSET(ITEM_RES!$A$1,MATCH(BK169,ITEM_RES!$J:$J,0)-1,0),0)</f>
        <v>0</v>
      </c>
      <c r="BL169" s="11">
        <f t="shared" si="73"/>
        <v>0</v>
      </c>
    </row>
    <row r="170" spans="1:65" x14ac:dyDescent="0.3">
      <c r="A170" s="14">
        <f t="shared" si="70"/>
        <v>112030006</v>
      </c>
      <c r="B170" s="13">
        <v>11</v>
      </c>
      <c r="C170" s="12">
        <f t="shared" si="71"/>
        <v>2</v>
      </c>
      <c r="D170" s="13">
        <v>3</v>
      </c>
      <c r="E170" s="13">
        <v>0</v>
      </c>
      <c r="F170" s="12">
        <f t="shared" si="72"/>
        <v>6</v>
      </c>
      <c r="H170" s="9">
        <v>2</v>
      </c>
      <c r="I170" s="9">
        <v>6</v>
      </c>
      <c r="K170" s="9" t="s">
        <v>361</v>
      </c>
      <c r="L170" s="9">
        <v>1</v>
      </c>
      <c r="M170" s="9">
        <v>15</v>
      </c>
      <c r="R170" s="9" t="s">
        <v>775</v>
      </c>
      <c r="T170" s="86" t="s">
        <v>578</v>
      </c>
      <c r="U170" s="9">
        <f ca="1">IFERROR(OFFSET(ITEM_RES!$A$5,MATCH(BUILDING!T170,ITEM_RES!$J$5:$J$229,0)-1,0),0)</f>
        <v>211010501</v>
      </c>
      <c r="V170" s="11">
        <v>1</v>
      </c>
      <c r="W170" s="86" t="s">
        <v>579</v>
      </c>
      <c r="X170" s="9">
        <f ca="1">IFERROR(OFFSET(ITEM_RES!$A$5,MATCH(BUILDING!W170,ITEM_RES!$J$5:$J$229,0)-1,0),0)</f>
        <v>211010601</v>
      </c>
      <c r="Z170" s="9" t="s">
        <v>550</v>
      </c>
      <c r="AA170" s="9">
        <v>6</v>
      </c>
      <c r="AC170" s="9">
        <v>4000</v>
      </c>
      <c r="AE170" s="56">
        <f t="shared" si="67"/>
        <v>800</v>
      </c>
      <c r="AF170" s="10">
        <f t="shared" si="75"/>
        <v>1440</v>
      </c>
      <c r="AH170" s="11">
        <f t="shared" si="66"/>
        <v>30</v>
      </c>
      <c r="AI170" s="10">
        <v>30</v>
      </c>
      <c r="AJ170" s="11">
        <f t="shared" si="74"/>
        <v>50</v>
      </c>
      <c r="AK170" s="10">
        <v>50</v>
      </c>
      <c r="AL170" s="11">
        <f t="shared" si="74"/>
        <v>50</v>
      </c>
      <c r="AM170" s="10">
        <v>50</v>
      </c>
      <c r="AN170" s="56">
        <f t="shared" si="68"/>
        <v>1</v>
      </c>
      <c r="AP170" s="11">
        <f ca="1">IFERROR(OFFSET(ITEM_RES!$A$1,MATCH(AQ170,ITEM_RES!$J:$J,0)-1,0),0)</f>
        <v>211020801</v>
      </c>
      <c r="AQ170" s="10" t="s">
        <v>457</v>
      </c>
      <c r="AR170" s="11">
        <v>250</v>
      </c>
      <c r="AU170" s="11">
        <f ca="1">IFERROR(OFFSET(ITEM_RES!$A$1,MATCH(AV170,ITEM_RES!$J:$J,0)-1,0),0)</f>
        <v>0</v>
      </c>
      <c r="AZ170" s="11">
        <f ca="1">IFERROR(OFFSET(ITEM_RES!$A$1,MATCH(BA170,ITEM_RES!$J:$J,0)-1,0),0)</f>
        <v>0</v>
      </c>
      <c r="BE170" s="11">
        <f ca="1">IFERROR(OFFSET(ITEM_RES!$A$1,MATCH(BF170,ITEM_RES!$J:$J,0)-1,0),0)</f>
        <v>0</v>
      </c>
      <c r="BJ170" s="11">
        <f ca="1">IFERROR(OFFSET(ITEM_RES!$A$1,MATCH(BK170,ITEM_RES!$J:$J,0)-1,0),0)</f>
        <v>0</v>
      </c>
      <c r="BL170" s="11">
        <f t="shared" si="73"/>
        <v>0</v>
      </c>
    </row>
    <row r="171" spans="1:65" x14ac:dyDescent="0.3">
      <c r="A171" s="14">
        <f t="shared" si="70"/>
        <v>112030007</v>
      </c>
      <c r="B171" s="13">
        <v>11</v>
      </c>
      <c r="C171" s="12">
        <f t="shared" si="71"/>
        <v>2</v>
      </c>
      <c r="D171" s="13">
        <v>3</v>
      </c>
      <c r="E171" s="13">
        <v>0</v>
      </c>
      <c r="F171" s="12">
        <f t="shared" si="72"/>
        <v>7</v>
      </c>
      <c r="H171" s="9">
        <v>2</v>
      </c>
      <c r="I171" s="9">
        <v>7</v>
      </c>
      <c r="K171" s="9" t="s">
        <v>361</v>
      </c>
      <c r="L171" s="9">
        <v>1</v>
      </c>
      <c r="M171" s="9">
        <v>15</v>
      </c>
      <c r="R171" s="9" t="s">
        <v>775</v>
      </c>
      <c r="T171" s="86" t="s">
        <v>578</v>
      </c>
      <c r="U171" s="9">
        <f ca="1">IFERROR(OFFSET(ITEM_RES!$A$5,MATCH(BUILDING!T171,ITEM_RES!$J$5:$J$229,0)-1,0),0)</f>
        <v>211010501</v>
      </c>
      <c r="V171" s="11">
        <v>1</v>
      </c>
      <c r="W171" s="86" t="s">
        <v>579</v>
      </c>
      <c r="X171" s="9">
        <f ca="1">IFERROR(OFFSET(ITEM_RES!$A$5,MATCH(BUILDING!W171,ITEM_RES!$J$5:$J$229,0)-1,0),0)</f>
        <v>211010601</v>
      </c>
      <c r="Z171" s="9" t="s">
        <v>550</v>
      </c>
      <c r="AA171" s="9">
        <v>7</v>
      </c>
      <c r="AC171" s="9">
        <v>8000</v>
      </c>
      <c r="AE171" s="56">
        <f t="shared" si="67"/>
        <v>1600</v>
      </c>
      <c r="AF171" s="10">
        <f t="shared" si="75"/>
        <v>2400</v>
      </c>
      <c r="AH171" s="11">
        <f t="shared" si="66"/>
        <v>35</v>
      </c>
      <c r="AI171" s="10">
        <v>35</v>
      </c>
      <c r="AJ171" s="11">
        <f t="shared" si="74"/>
        <v>100</v>
      </c>
      <c r="AK171" s="10">
        <v>100</v>
      </c>
      <c r="AL171" s="11">
        <f t="shared" si="74"/>
        <v>100</v>
      </c>
      <c r="AM171" s="10">
        <v>100</v>
      </c>
      <c r="AN171" s="56">
        <f t="shared" si="68"/>
        <v>1</v>
      </c>
      <c r="AP171" s="11">
        <f ca="1">IFERROR(OFFSET(ITEM_RES!$A$1,MATCH(AQ171,ITEM_RES!$J:$J,0)-1,0),0)</f>
        <v>211020801</v>
      </c>
      <c r="AQ171" s="10" t="s">
        <v>457</v>
      </c>
      <c r="AR171" s="11">
        <v>500</v>
      </c>
      <c r="AU171" s="11">
        <f ca="1">IFERROR(OFFSET(ITEM_RES!$A$1,MATCH(AV171,ITEM_RES!$J:$J,0)-1,0),0)</f>
        <v>0</v>
      </c>
      <c r="AZ171" s="11">
        <f ca="1">IFERROR(OFFSET(ITEM_RES!$A$1,MATCH(BA171,ITEM_RES!$J:$J,0)-1,0),0)</f>
        <v>0</v>
      </c>
      <c r="BE171" s="11">
        <f ca="1">IFERROR(OFFSET(ITEM_RES!$A$1,MATCH(BF171,ITEM_RES!$J:$J,0)-1,0),0)</f>
        <v>0</v>
      </c>
      <c r="BJ171" s="11">
        <f ca="1">IFERROR(OFFSET(ITEM_RES!$A$1,MATCH(BK171,ITEM_RES!$J:$J,0)-1,0),0)</f>
        <v>0</v>
      </c>
      <c r="BL171" s="11">
        <f t="shared" si="73"/>
        <v>0</v>
      </c>
    </row>
    <row r="172" spans="1:65" x14ac:dyDescent="0.3">
      <c r="A172" s="14">
        <f t="shared" si="70"/>
        <v>112030008</v>
      </c>
      <c r="B172" s="13">
        <v>11</v>
      </c>
      <c r="C172" s="12">
        <f t="shared" si="71"/>
        <v>2</v>
      </c>
      <c r="D172" s="13">
        <v>3</v>
      </c>
      <c r="E172" s="13">
        <v>0</v>
      </c>
      <c r="F172" s="12">
        <f t="shared" si="72"/>
        <v>8</v>
      </c>
      <c r="H172" s="9">
        <v>2</v>
      </c>
      <c r="I172" s="9">
        <v>8</v>
      </c>
      <c r="K172" s="9" t="s">
        <v>361</v>
      </c>
      <c r="L172" s="9">
        <v>1</v>
      </c>
      <c r="M172" s="9">
        <v>15</v>
      </c>
      <c r="R172" s="9" t="s">
        <v>775</v>
      </c>
      <c r="T172" s="86" t="s">
        <v>578</v>
      </c>
      <c r="U172" s="9">
        <f ca="1">IFERROR(OFFSET(ITEM_RES!$A$5,MATCH(BUILDING!T172,ITEM_RES!$J$5:$J$229,0)-1,0),0)</f>
        <v>211010501</v>
      </c>
      <c r="V172" s="11">
        <v>1</v>
      </c>
      <c r="W172" s="86" t="s">
        <v>579</v>
      </c>
      <c r="X172" s="9">
        <f ca="1">IFERROR(OFFSET(ITEM_RES!$A$5,MATCH(BUILDING!W172,ITEM_RES!$J$5:$J$229,0)-1,0),0)</f>
        <v>211010601</v>
      </c>
      <c r="Z172" s="9" t="s">
        <v>550</v>
      </c>
      <c r="AA172" s="9">
        <v>8</v>
      </c>
      <c r="AC172" s="9">
        <v>8000</v>
      </c>
      <c r="AE172" s="56">
        <f t="shared" si="67"/>
        <v>1600</v>
      </c>
      <c r="AF172" s="10">
        <f t="shared" si="75"/>
        <v>3200</v>
      </c>
      <c r="AH172" s="11">
        <f t="shared" si="66"/>
        <v>40</v>
      </c>
      <c r="AI172" s="10">
        <v>40</v>
      </c>
      <c r="AJ172" s="11">
        <f t="shared" si="74"/>
        <v>100</v>
      </c>
      <c r="AK172" s="10">
        <v>100</v>
      </c>
      <c r="AL172" s="11">
        <f t="shared" si="74"/>
        <v>100</v>
      </c>
      <c r="AM172" s="10">
        <v>100</v>
      </c>
      <c r="AN172" s="56">
        <f t="shared" si="68"/>
        <v>1</v>
      </c>
      <c r="AP172" s="11">
        <f ca="1">IFERROR(OFFSET(ITEM_RES!$A$1,MATCH(AQ172,ITEM_RES!$J:$J,0)-1,0),0)</f>
        <v>211020801</v>
      </c>
      <c r="AQ172" s="10" t="s">
        <v>457</v>
      </c>
      <c r="AR172" s="11">
        <v>500</v>
      </c>
      <c r="AU172" s="11">
        <f ca="1">IFERROR(OFFSET(ITEM_RES!$A$1,MATCH(AV172,ITEM_RES!$J:$J,0)-1,0),0)</f>
        <v>0</v>
      </c>
      <c r="AZ172" s="11">
        <f ca="1">IFERROR(OFFSET(ITEM_RES!$A$1,MATCH(BA172,ITEM_RES!$J:$J,0)-1,0),0)</f>
        <v>0</v>
      </c>
      <c r="BE172" s="11">
        <f ca="1">IFERROR(OFFSET(ITEM_RES!$A$1,MATCH(BF172,ITEM_RES!$J:$J,0)-1,0),0)</f>
        <v>0</v>
      </c>
      <c r="BJ172" s="11">
        <f ca="1">IFERROR(OFFSET(ITEM_RES!$A$1,MATCH(BK172,ITEM_RES!$J:$J,0)-1,0),0)</f>
        <v>0</v>
      </c>
      <c r="BL172" s="11">
        <f t="shared" si="73"/>
        <v>0</v>
      </c>
    </row>
    <row r="173" spans="1:65" x14ac:dyDescent="0.3">
      <c r="A173" s="14">
        <f t="shared" si="70"/>
        <v>112030009</v>
      </c>
      <c r="B173" s="13">
        <v>11</v>
      </c>
      <c r="C173" s="12">
        <f t="shared" si="71"/>
        <v>2</v>
      </c>
      <c r="D173" s="13">
        <v>3</v>
      </c>
      <c r="E173" s="13">
        <v>0</v>
      </c>
      <c r="F173" s="12">
        <f t="shared" si="72"/>
        <v>9</v>
      </c>
      <c r="H173" s="9">
        <v>2</v>
      </c>
      <c r="I173" s="9">
        <v>9</v>
      </c>
      <c r="K173" s="9" t="s">
        <v>361</v>
      </c>
      <c r="L173" s="9">
        <v>1</v>
      </c>
      <c r="M173" s="9">
        <v>15</v>
      </c>
      <c r="R173" s="9" t="s">
        <v>775</v>
      </c>
      <c r="T173" s="86" t="s">
        <v>578</v>
      </c>
      <c r="U173" s="9">
        <f ca="1">IFERROR(OFFSET(ITEM_RES!$A$5,MATCH(BUILDING!T173,ITEM_RES!$J$5:$J$229,0)-1,0),0)</f>
        <v>211010501</v>
      </c>
      <c r="V173" s="11">
        <v>1</v>
      </c>
      <c r="W173" s="86" t="s">
        <v>579</v>
      </c>
      <c r="X173" s="9">
        <f ca="1">IFERROR(OFFSET(ITEM_RES!$A$5,MATCH(BUILDING!W173,ITEM_RES!$J$5:$J$229,0)-1,0),0)</f>
        <v>211010601</v>
      </c>
      <c r="Z173" s="9" t="s">
        <v>550</v>
      </c>
      <c r="AA173" s="9">
        <v>9</v>
      </c>
      <c r="AC173" s="9">
        <v>12000</v>
      </c>
      <c r="AE173" s="56">
        <f t="shared" si="67"/>
        <v>2400</v>
      </c>
      <c r="AF173" s="10">
        <f t="shared" si="75"/>
        <v>4000</v>
      </c>
      <c r="AH173" s="11">
        <f t="shared" si="66"/>
        <v>45</v>
      </c>
      <c r="AI173" s="10">
        <v>45</v>
      </c>
      <c r="AJ173" s="11">
        <f t="shared" si="74"/>
        <v>150</v>
      </c>
      <c r="AK173" s="10">
        <v>150</v>
      </c>
      <c r="AL173" s="11">
        <f t="shared" si="74"/>
        <v>150</v>
      </c>
      <c r="AM173" s="10">
        <v>150</v>
      </c>
      <c r="AN173" s="56">
        <f t="shared" si="68"/>
        <v>1</v>
      </c>
      <c r="AP173" s="11">
        <f ca="1">IFERROR(OFFSET(ITEM_RES!$A$1,MATCH(AQ173,ITEM_RES!$J:$J,0)-1,0),0)</f>
        <v>211020801</v>
      </c>
      <c r="AQ173" s="10" t="s">
        <v>457</v>
      </c>
      <c r="AR173" s="11">
        <v>750</v>
      </c>
      <c r="AU173" s="11">
        <f ca="1">IFERROR(OFFSET(ITEM_RES!$A$1,MATCH(AV173,ITEM_RES!$J:$J,0)-1,0),0)</f>
        <v>0</v>
      </c>
      <c r="AZ173" s="11">
        <f ca="1">IFERROR(OFFSET(ITEM_RES!$A$1,MATCH(BA173,ITEM_RES!$J:$J,0)-1,0),0)</f>
        <v>0</v>
      </c>
      <c r="BE173" s="11">
        <f ca="1">IFERROR(OFFSET(ITEM_RES!$A$1,MATCH(BF173,ITEM_RES!$J:$J,0)-1,0),0)</f>
        <v>0</v>
      </c>
      <c r="BJ173" s="11">
        <f ca="1">IFERROR(OFFSET(ITEM_RES!$A$1,MATCH(BK173,ITEM_RES!$J:$J,0)-1,0),0)</f>
        <v>0</v>
      </c>
      <c r="BL173" s="11">
        <f t="shared" si="73"/>
        <v>0</v>
      </c>
    </row>
    <row r="174" spans="1:65" x14ac:dyDescent="0.3">
      <c r="A174" s="14">
        <f t="shared" si="70"/>
        <v>112030010</v>
      </c>
      <c r="B174" s="13">
        <v>11</v>
      </c>
      <c r="C174" s="12">
        <f t="shared" si="71"/>
        <v>2</v>
      </c>
      <c r="D174" s="13">
        <v>3</v>
      </c>
      <c r="E174" s="13">
        <v>0</v>
      </c>
      <c r="F174" s="12">
        <f t="shared" si="72"/>
        <v>10</v>
      </c>
      <c r="H174" s="9">
        <v>2</v>
      </c>
      <c r="I174" s="9">
        <v>10</v>
      </c>
      <c r="K174" s="9" t="s">
        <v>361</v>
      </c>
      <c r="L174" s="9">
        <v>1</v>
      </c>
      <c r="M174" s="9">
        <v>15</v>
      </c>
      <c r="R174" s="9" t="s">
        <v>775</v>
      </c>
      <c r="T174" s="86" t="s">
        <v>578</v>
      </c>
      <c r="U174" s="9">
        <f ca="1">IFERROR(OFFSET(ITEM_RES!$A$5,MATCH(BUILDING!T174,ITEM_RES!$J$5:$J$229,0)-1,0),0)</f>
        <v>211010501</v>
      </c>
      <c r="V174" s="11">
        <v>1</v>
      </c>
      <c r="W174" s="86" t="s">
        <v>579</v>
      </c>
      <c r="X174" s="9">
        <f ca="1">IFERROR(OFFSET(ITEM_RES!$A$5,MATCH(BUILDING!W174,ITEM_RES!$J$5:$J$229,0)-1,0),0)</f>
        <v>211010601</v>
      </c>
      <c r="Z174" s="9" t="s">
        <v>550</v>
      </c>
      <c r="AA174" s="9">
        <v>10</v>
      </c>
      <c r="AC174" s="9">
        <v>16000</v>
      </c>
      <c r="AE174" s="56">
        <f t="shared" si="67"/>
        <v>3200</v>
      </c>
      <c r="AF174" s="10">
        <f t="shared" si="75"/>
        <v>5600</v>
      </c>
      <c r="AH174" s="11">
        <f t="shared" si="66"/>
        <v>50</v>
      </c>
      <c r="AI174" s="10">
        <v>50</v>
      </c>
      <c r="AJ174" s="11">
        <f t="shared" si="74"/>
        <v>200</v>
      </c>
      <c r="AK174" s="10">
        <v>200</v>
      </c>
      <c r="AL174" s="11">
        <f t="shared" si="74"/>
        <v>200</v>
      </c>
      <c r="AM174" s="10">
        <v>200</v>
      </c>
      <c r="AN174" s="56">
        <f t="shared" si="68"/>
        <v>1</v>
      </c>
      <c r="AP174" s="11">
        <f ca="1">IFERROR(OFFSET(ITEM_RES!$A$1,MATCH(AQ174,ITEM_RES!$J:$J,0)-1,0),0)</f>
        <v>211020801</v>
      </c>
      <c r="AQ174" s="10" t="s">
        <v>457</v>
      </c>
      <c r="AR174" s="11">
        <v>1000</v>
      </c>
      <c r="AU174" s="11">
        <f ca="1">IFERROR(OFFSET(ITEM_RES!$A$1,MATCH(AV174,ITEM_RES!$J:$J,0)-1,0),0)</f>
        <v>0</v>
      </c>
      <c r="AZ174" s="11">
        <f ca="1">IFERROR(OFFSET(ITEM_RES!$A$1,MATCH(BA174,ITEM_RES!$J:$J,0)-1,0),0)</f>
        <v>0</v>
      </c>
      <c r="BE174" s="11">
        <f ca="1">IFERROR(OFFSET(ITEM_RES!$A$1,MATCH(BF174,ITEM_RES!$J:$J,0)-1,0),0)</f>
        <v>0</v>
      </c>
      <c r="BJ174" s="11">
        <f ca="1">IFERROR(OFFSET(ITEM_RES!$A$1,MATCH(BK174,ITEM_RES!$J:$J,0)-1,0),0)</f>
        <v>0</v>
      </c>
      <c r="BL174" s="11">
        <f t="shared" si="73"/>
        <v>0</v>
      </c>
    </row>
    <row r="175" spans="1:65" x14ac:dyDescent="0.3">
      <c r="A175" s="14">
        <f t="shared" si="70"/>
        <v>112030011</v>
      </c>
      <c r="B175" s="13">
        <v>11</v>
      </c>
      <c r="C175" s="12">
        <f t="shared" si="71"/>
        <v>2</v>
      </c>
      <c r="D175" s="13">
        <v>3</v>
      </c>
      <c r="E175" s="13">
        <v>0</v>
      </c>
      <c r="F175" s="12">
        <f t="shared" si="72"/>
        <v>11</v>
      </c>
      <c r="H175" s="9">
        <v>2</v>
      </c>
      <c r="I175" s="9">
        <v>11</v>
      </c>
      <c r="K175" s="9" t="s">
        <v>361</v>
      </c>
      <c r="L175" s="9">
        <v>1</v>
      </c>
      <c r="M175" s="9">
        <v>15</v>
      </c>
      <c r="R175" s="9" t="s">
        <v>775</v>
      </c>
      <c r="T175" s="86" t="s">
        <v>578</v>
      </c>
      <c r="U175" s="9">
        <f ca="1">IFERROR(OFFSET(ITEM_RES!$A$5,MATCH(BUILDING!T175,ITEM_RES!$J$5:$J$229,0)-1,0),0)</f>
        <v>211010501</v>
      </c>
      <c r="V175" s="11">
        <v>1</v>
      </c>
      <c r="W175" s="86" t="s">
        <v>579</v>
      </c>
      <c r="X175" s="9">
        <f ca="1">IFERROR(OFFSET(ITEM_RES!$A$5,MATCH(BUILDING!W175,ITEM_RES!$J$5:$J$229,0)-1,0),0)</f>
        <v>211010601</v>
      </c>
      <c r="Z175" s="9" t="s">
        <v>550</v>
      </c>
      <c r="AA175" s="9">
        <v>11</v>
      </c>
      <c r="AC175" s="9">
        <v>20000</v>
      </c>
      <c r="AE175" s="56">
        <f t="shared" si="67"/>
        <v>4000</v>
      </c>
      <c r="AF175" s="10">
        <f t="shared" si="75"/>
        <v>7200</v>
      </c>
      <c r="AH175" s="11">
        <f t="shared" si="66"/>
        <v>55</v>
      </c>
      <c r="AI175" s="10">
        <v>55</v>
      </c>
      <c r="AJ175" s="11">
        <f t="shared" si="74"/>
        <v>250</v>
      </c>
      <c r="AK175" s="10">
        <v>250</v>
      </c>
      <c r="AL175" s="11">
        <f t="shared" si="74"/>
        <v>250</v>
      </c>
      <c r="AM175" s="10">
        <v>250</v>
      </c>
      <c r="AN175" s="56">
        <f t="shared" si="68"/>
        <v>1</v>
      </c>
      <c r="AP175" s="11">
        <f ca="1">IFERROR(OFFSET(ITEM_RES!$A$1,MATCH(AQ175,ITEM_RES!$J:$J,0)-1,0),0)</f>
        <v>211020801</v>
      </c>
      <c r="AQ175" s="10" t="s">
        <v>457</v>
      </c>
      <c r="AR175" s="11">
        <v>1250</v>
      </c>
      <c r="AU175" s="11">
        <f ca="1">IFERROR(OFFSET(ITEM_RES!$A$1,MATCH(AV175,ITEM_RES!$J:$J,0)-1,0),0)</f>
        <v>0</v>
      </c>
      <c r="AZ175" s="11">
        <f ca="1">IFERROR(OFFSET(ITEM_RES!$A$1,MATCH(BA175,ITEM_RES!$J:$J,0)-1,0),0)</f>
        <v>0</v>
      </c>
      <c r="BE175" s="11">
        <f ca="1">IFERROR(OFFSET(ITEM_RES!$A$1,MATCH(BF175,ITEM_RES!$J:$J,0)-1,0),0)</f>
        <v>0</v>
      </c>
      <c r="BJ175" s="11">
        <f ca="1">IFERROR(OFFSET(ITEM_RES!$A$1,MATCH(BK175,ITEM_RES!$J:$J,0)-1,0),0)</f>
        <v>0</v>
      </c>
      <c r="BL175" s="11">
        <f t="shared" si="73"/>
        <v>0</v>
      </c>
    </row>
    <row r="176" spans="1:65" x14ac:dyDescent="0.3">
      <c r="A176" s="14">
        <f t="shared" si="70"/>
        <v>112030012</v>
      </c>
      <c r="B176" s="13">
        <v>11</v>
      </c>
      <c r="C176" s="12">
        <f t="shared" si="71"/>
        <v>2</v>
      </c>
      <c r="D176" s="13">
        <v>3</v>
      </c>
      <c r="E176" s="13">
        <v>0</v>
      </c>
      <c r="F176" s="12">
        <f t="shared" si="72"/>
        <v>12</v>
      </c>
      <c r="H176" s="9">
        <v>2</v>
      </c>
      <c r="I176" s="9">
        <v>12</v>
      </c>
      <c r="K176" s="9" t="s">
        <v>361</v>
      </c>
      <c r="L176" s="9">
        <v>1</v>
      </c>
      <c r="M176" s="9">
        <v>15</v>
      </c>
      <c r="R176" s="9" t="s">
        <v>775</v>
      </c>
      <c r="T176" s="86" t="s">
        <v>578</v>
      </c>
      <c r="U176" s="9">
        <f ca="1">IFERROR(OFFSET(ITEM_RES!$A$5,MATCH(BUILDING!T176,ITEM_RES!$J$5:$J$229,0)-1,0),0)</f>
        <v>211010501</v>
      </c>
      <c r="V176" s="11">
        <v>1</v>
      </c>
      <c r="W176" s="86" t="s">
        <v>579</v>
      </c>
      <c r="X176" s="9">
        <f ca="1">IFERROR(OFFSET(ITEM_RES!$A$5,MATCH(BUILDING!W176,ITEM_RES!$J$5:$J$229,0)-1,0),0)</f>
        <v>211010601</v>
      </c>
      <c r="Z176" s="9" t="s">
        <v>550</v>
      </c>
      <c r="AA176" s="9">
        <v>12</v>
      </c>
      <c r="AC176" s="9">
        <v>24000</v>
      </c>
      <c r="AE176" s="56">
        <f t="shared" si="67"/>
        <v>4800</v>
      </c>
      <c r="AF176" s="10">
        <f t="shared" si="75"/>
        <v>8800</v>
      </c>
      <c r="AH176" s="11">
        <f t="shared" si="66"/>
        <v>60</v>
      </c>
      <c r="AI176" s="10">
        <v>60</v>
      </c>
      <c r="AJ176" s="11">
        <f t="shared" si="74"/>
        <v>300</v>
      </c>
      <c r="AK176" s="10">
        <v>300</v>
      </c>
      <c r="AL176" s="11">
        <f t="shared" si="74"/>
        <v>300</v>
      </c>
      <c r="AM176" s="10">
        <v>300</v>
      </c>
      <c r="AN176" s="56">
        <f t="shared" si="68"/>
        <v>1</v>
      </c>
      <c r="AP176" s="11">
        <f ca="1">IFERROR(OFFSET(ITEM_RES!$A$1,MATCH(AQ176,ITEM_RES!$J:$J,0)-1,0),0)</f>
        <v>211020801</v>
      </c>
      <c r="AQ176" s="10" t="s">
        <v>457</v>
      </c>
      <c r="AR176" s="11">
        <v>1500</v>
      </c>
      <c r="AU176" s="11">
        <f ca="1">IFERROR(OFFSET(ITEM_RES!$A$1,MATCH(AV176,ITEM_RES!$J:$J,0)-1,0),0)</f>
        <v>0</v>
      </c>
      <c r="AZ176" s="11">
        <f ca="1">IFERROR(OFFSET(ITEM_RES!$A$1,MATCH(BA176,ITEM_RES!$J:$J,0)-1,0),0)</f>
        <v>0</v>
      </c>
      <c r="BE176" s="11">
        <f ca="1">IFERROR(OFFSET(ITEM_RES!$A$1,MATCH(BF176,ITEM_RES!$J:$J,0)-1,0),0)</f>
        <v>0</v>
      </c>
      <c r="BJ176" s="11">
        <f ca="1">IFERROR(OFFSET(ITEM_RES!$A$1,MATCH(BK176,ITEM_RES!$J:$J,0)-1,0),0)</f>
        <v>0</v>
      </c>
      <c r="BL176" s="11">
        <f t="shared" si="73"/>
        <v>0</v>
      </c>
    </row>
    <row r="177" spans="1:65" x14ac:dyDescent="0.3">
      <c r="A177" s="14">
        <f t="shared" si="70"/>
        <v>112030013</v>
      </c>
      <c r="B177" s="13">
        <v>11</v>
      </c>
      <c r="C177" s="12">
        <f t="shared" si="71"/>
        <v>2</v>
      </c>
      <c r="D177" s="13">
        <v>3</v>
      </c>
      <c r="E177" s="13">
        <v>0</v>
      </c>
      <c r="F177" s="12">
        <f t="shared" si="72"/>
        <v>13</v>
      </c>
      <c r="H177" s="9">
        <v>2</v>
      </c>
      <c r="I177" s="9">
        <v>13</v>
      </c>
      <c r="K177" s="9" t="s">
        <v>361</v>
      </c>
      <c r="L177" s="9">
        <v>1</v>
      </c>
      <c r="M177" s="9">
        <v>15</v>
      </c>
      <c r="R177" s="9" t="s">
        <v>775</v>
      </c>
      <c r="T177" s="86" t="s">
        <v>578</v>
      </c>
      <c r="U177" s="9">
        <f ca="1">IFERROR(OFFSET(ITEM_RES!$A$5,MATCH(BUILDING!T177,ITEM_RES!$J$5:$J$229,0)-1,0),0)</f>
        <v>211010501</v>
      </c>
      <c r="V177" s="11">
        <v>1</v>
      </c>
      <c r="W177" s="86" t="s">
        <v>579</v>
      </c>
      <c r="X177" s="9">
        <f ca="1">IFERROR(OFFSET(ITEM_RES!$A$5,MATCH(BUILDING!W177,ITEM_RES!$J$5:$J$229,0)-1,0),0)</f>
        <v>211010601</v>
      </c>
      <c r="Z177" s="9" t="s">
        <v>550</v>
      </c>
      <c r="AA177" s="9">
        <v>13</v>
      </c>
      <c r="AC177" s="9">
        <v>28000</v>
      </c>
      <c r="AE177" s="56">
        <f t="shared" si="67"/>
        <v>5600</v>
      </c>
      <c r="AF177" s="10">
        <f t="shared" si="75"/>
        <v>10400</v>
      </c>
      <c r="AH177" s="11">
        <f t="shared" si="66"/>
        <v>65</v>
      </c>
      <c r="AI177" s="10">
        <v>65</v>
      </c>
      <c r="AJ177" s="11">
        <f t="shared" si="74"/>
        <v>350</v>
      </c>
      <c r="AK177" s="10">
        <v>350</v>
      </c>
      <c r="AL177" s="11">
        <f t="shared" si="74"/>
        <v>350</v>
      </c>
      <c r="AM177" s="10">
        <v>350</v>
      </c>
      <c r="AN177" s="56">
        <f t="shared" si="68"/>
        <v>1</v>
      </c>
      <c r="AP177" s="11">
        <f ca="1">IFERROR(OFFSET(ITEM_RES!$A$1,MATCH(AQ177,ITEM_RES!$J:$J,0)-1,0),0)</f>
        <v>211020801</v>
      </c>
      <c r="AQ177" s="10" t="s">
        <v>457</v>
      </c>
      <c r="AR177" s="11">
        <v>1750</v>
      </c>
      <c r="AU177" s="11">
        <f ca="1">IFERROR(OFFSET(ITEM_RES!$A$1,MATCH(AV177,ITEM_RES!$J:$J,0)-1,0),0)</f>
        <v>0</v>
      </c>
      <c r="AZ177" s="11">
        <f ca="1">IFERROR(OFFSET(ITEM_RES!$A$1,MATCH(BA177,ITEM_RES!$J:$J,0)-1,0),0)</f>
        <v>0</v>
      </c>
      <c r="BE177" s="11">
        <f ca="1">IFERROR(OFFSET(ITEM_RES!$A$1,MATCH(BF177,ITEM_RES!$J:$J,0)-1,0),0)</f>
        <v>0</v>
      </c>
      <c r="BJ177" s="11">
        <f ca="1">IFERROR(OFFSET(ITEM_RES!$A$1,MATCH(BK177,ITEM_RES!$J:$J,0)-1,0),0)</f>
        <v>0</v>
      </c>
      <c r="BL177" s="11">
        <f t="shared" si="73"/>
        <v>0</v>
      </c>
    </row>
    <row r="178" spans="1:65" x14ac:dyDescent="0.3">
      <c r="A178" s="14">
        <f t="shared" si="70"/>
        <v>112030014</v>
      </c>
      <c r="B178" s="13">
        <v>11</v>
      </c>
      <c r="C178" s="12">
        <f t="shared" si="71"/>
        <v>2</v>
      </c>
      <c r="D178" s="13">
        <v>3</v>
      </c>
      <c r="E178" s="13">
        <v>0</v>
      </c>
      <c r="F178" s="12">
        <f t="shared" si="72"/>
        <v>14</v>
      </c>
      <c r="H178" s="9">
        <v>2</v>
      </c>
      <c r="I178" s="9">
        <v>14</v>
      </c>
      <c r="K178" s="9" t="s">
        <v>361</v>
      </c>
      <c r="L178" s="9">
        <v>1</v>
      </c>
      <c r="M178" s="9">
        <v>15</v>
      </c>
      <c r="R178" s="9" t="s">
        <v>775</v>
      </c>
      <c r="T178" s="86" t="s">
        <v>578</v>
      </c>
      <c r="U178" s="9">
        <f ca="1">IFERROR(OFFSET(ITEM_RES!$A$5,MATCH(BUILDING!T178,ITEM_RES!$J$5:$J$229,0)-1,0),0)</f>
        <v>211010501</v>
      </c>
      <c r="V178" s="11">
        <v>1</v>
      </c>
      <c r="W178" s="86" t="s">
        <v>579</v>
      </c>
      <c r="X178" s="9">
        <f ca="1">IFERROR(OFFSET(ITEM_RES!$A$5,MATCH(BUILDING!W178,ITEM_RES!$J$5:$J$229,0)-1,0),0)</f>
        <v>211010601</v>
      </c>
      <c r="Z178" s="9" t="s">
        <v>550</v>
      </c>
      <c r="AA178" s="9">
        <v>14</v>
      </c>
      <c r="AC178" s="9">
        <v>36000</v>
      </c>
      <c r="AE178" s="56">
        <f t="shared" si="67"/>
        <v>7200</v>
      </c>
      <c r="AF178" s="10">
        <f t="shared" si="75"/>
        <v>12800</v>
      </c>
      <c r="AH178" s="11">
        <f t="shared" si="66"/>
        <v>70</v>
      </c>
      <c r="AI178" s="10">
        <v>70</v>
      </c>
      <c r="AJ178" s="11">
        <f t="shared" si="74"/>
        <v>450</v>
      </c>
      <c r="AK178" s="10">
        <v>450</v>
      </c>
      <c r="AL178" s="11">
        <f t="shared" si="74"/>
        <v>450</v>
      </c>
      <c r="AM178" s="10">
        <v>450</v>
      </c>
      <c r="AN178" s="56">
        <f t="shared" si="68"/>
        <v>1</v>
      </c>
      <c r="AP178" s="11">
        <f ca="1">IFERROR(OFFSET(ITEM_RES!$A$1,MATCH(AQ178,ITEM_RES!$J:$J,0)-1,0),0)</f>
        <v>211020801</v>
      </c>
      <c r="AQ178" s="10" t="s">
        <v>457</v>
      </c>
      <c r="AR178" s="11">
        <v>2250</v>
      </c>
      <c r="AU178" s="11">
        <f ca="1">IFERROR(OFFSET(ITEM_RES!$A$1,MATCH(AV178,ITEM_RES!$J:$J,0)-1,0),0)</f>
        <v>0</v>
      </c>
      <c r="AZ178" s="11">
        <f ca="1">IFERROR(OFFSET(ITEM_RES!$A$1,MATCH(BA178,ITEM_RES!$J:$J,0)-1,0),0)</f>
        <v>0</v>
      </c>
      <c r="BE178" s="11">
        <f ca="1">IFERROR(OFFSET(ITEM_RES!$A$1,MATCH(BF178,ITEM_RES!$J:$J,0)-1,0),0)</f>
        <v>0</v>
      </c>
      <c r="BJ178" s="11">
        <f ca="1">IFERROR(OFFSET(ITEM_RES!$A$1,MATCH(BK178,ITEM_RES!$J:$J,0)-1,0),0)</f>
        <v>0</v>
      </c>
      <c r="BL178" s="11">
        <f t="shared" si="73"/>
        <v>0</v>
      </c>
    </row>
    <row r="179" spans="1:65" x14ac:dyDescent="0.3">
      <c r="A179" s="14">
        <f t="shared" si="70"/>
        <v>112030015</v>
      </c>
      <c r="B179" s="13">
        <v>11</v>
      </c>
      <c r="C179" s="12">
        <f t="shared" si="71"/>
        <v>2</v>
      </c>
      <c r="D179" s="13">
        <v>3</v>
      </c>
      <c r="E179" s="13">
        <v>0</v>
      </c>
      <c r="F179" s="12">
        <f t="shared" si="72"/>
        <v>15</v>
      </c>
      <c r="H179" s="9">
        <v>2</v>
      </c>
      <c r="I179" s="9">
        <v>15</v>
      </c>
      <c r="K179" s="9" t="s">
        <v>361</v>
      </c>
      <c r="L179" s="9">
        <v>1</v>
      </c>
      <c r="M179" s="9">
        <v>15</v>
      </c>
      <c r="R179" s="9" t="s">
        <v>775</v>
      </c>
      <c r="T179" s="86" t="s">
        <v>578</v>
      </c>
      <c r="U179" s="9">
        <f ca="1">IFERROR(OFFSET(ITEM_RES!$A$5,MATCH(BUILDING!T179,ITEM_RES!$J$5:$J$229,0)-1,0),0)</f>
        <v>211010501</v>
      </c>
      <c r="V179" s="11">
        <v>1</v>
      </c>
      <c r="W179" s="86" t="s">
        <v>579</v>
      </c>
      <c r="X179" s="9">
        <f ca="1">IFERROR(OFFSET(ITEM_RES!$A$5,MATCH(BUILDING!W179,ITEM_RES!$J$5:$J$229,0)-1,0),0)</f>
        <v>211010601</v>
      </c>
      <c r="Z179" s="9" t="s">
        <v>550</v>
      </c>
      <c r="AA179" s="9">
        <v>15</v>
      </c>
      <c r="AC179" s="9">
        <v>44000</v>
      </c>
      <c r="AE179" s="56">
        <f t="shared" si="67"/>
        <v>8800</v>
      </c>
      <c r="AF179" s="10">
        <f t="shared" si="75"/>
        <v>16000</v>
      </c>
      <c r="AH179" s="11">
        <f t="shared" si="66"/>
        <v>75</v>
      </c>
      <c r="AI179" s="10">
        <v>75</v>
      </c>
      <c r="AJ179" s="11">
        <f t="shared" si="74"/>
        <v>550</v>
      </c>
      <c r="AK179" s="10">
        <v>550</v>
      </c>
      <c r="AL179" s="11">
        <f t="shared" si="74"/>
        <v>550</v>
      </c>
      <c r="AM179" s="10">
        <v>550</v>
      </c>
      <c r="AN179" s="56">
        <f t="shared" si="68"/>
        <v>1</v>
      </c>
      <c r="AP179" s="11">
        <f ca="1">IFERROR(OFFSET(ITEM_RES!$A$1,MATCH(AQ179,ITEM_RES!$J:$J,0)-1,0),0)</f>
        <v>211020801</v>
      </c>
      <c r="AQ179" s="10" t="s">
        <v>457</v>
      </c>
      <c r="AR179" s="11">
        <v>2750</v>
      </c>
      <c r="AU179" s="11">
        <f ca="1">IFERROR(OFFSET(ITEM_RES!$A$1,MATCH(AV179,ITEM_RES!$J:$J,0)-1,0),0)</f>
        <v>0</v>
      </c>
      <c r="AZ179" s="11">
        <f ca="1">IFERROR(OFFSET(ITEM_RES!$A$1,MATCH(BA179,ITEM_RES!$J:$J,0)-1,0),0)</f>
        <v>0</v>
      </c>
      <c r="BE179" s="11">
        <f ca="1">IFERROR(OFFSET(ITEM_RES!$A$1,MATCH(BF179,ITEM_RES!$J:$J,0)-1,0),0)</f>
        <v>0</v>
      </c>
      <c r="BJ179" s="11">
        <f ca="1">IFERROR(OFFSET(ITEM_RES!$A$1,MATCH(BK179,ITEM_RES!$J:$J,0)-1,0),0)</f>
        <v>0</v>
      </c>
      <c r="BL179" s="11">
        <f t="shared" si="73"/>
        <v>0</v>
      </c>
    </row>
    <row r="180" spans="1:65" x14ac:dyDescent="0.3">
      <c r="A180" s="14">
        <f t="shared" si="70"/>
        <v>112030016</v>
      </c>
      <c r="B180" s="13">
        <v>11</v>
      </c>
      <c r="C180" s="12">
        <f t="shared" si="71"/>
        <v>2</v>
      </c>
      <c r="D180" s="13">
        <v>3</v>
      </c>
      <c r="E180" s="13">
        <v>0</v>
      </c>
      <c r="F180" s="12">
        <f t="shared" si="72"/>
        <v>16</v>
      </c>
      <c r="H180" s="9">
        <v>2</v>
      </c>
      <c r="I180" s="9">
        <v>16</v>
      </c>
      <c r="K180" s="9" t="s">
        <v>361</v>
      </c>
      <c r="L180" s="9">
        <v>0</v>
      </c>
      <c r="M180" s="9">
        <v>15</v>
      </c>
      <c r="R180" s="9" t="s">
        <v>775</v>
      </c>
      <c r="T180" s="86" t="s">
        <v>578</v>
      </c>
      <c r="U180" s="9">
        <f ca="1">IFERROR(OFFSET(ITEM_RES!$A$5,MATCH(BUILDING!T180,ITEM_RES!$J$5:$J$229,0)-1,0),0)</f>
        <v>211010501</v>
      </c>
      <c r="V180" s="11">
        <v>1</v>
      </c>
      <c r="W180" s="86" t="s">
        <v>579</v>
      </c>
      <c r="X180" s="9">
        <f ca="1">IFERROR(OFFSET(ITEM_RES!$A$5,MATCH(BUILDING!W180,ITEM_RES!$J$5:$J$229,0)-1,0),0)</f>
        <v>211010601</v>
      </c>
      <c r="Z180" s="9" t="s">
        <v>550</v>
      </c>
      <c r="AA180" s="9">
        <v>16</v>
      </c>
      <c r="AC180" s="9">
        <v>56000</v>
      </c>
      <c r="AE180" s="56">
        <f t="shared" si="67"/>
        <v>11200</v>
      </c>
      <c r="AF180" s="10">
        <f t="shared" si="75"/>
        <v>20000</v>
      </c>
      <c r="AH180" s="11">
        <f t="shared" si="66"/>
        <v>80</v>
      </c>
      <c r="AI180" s="10">
        <v>80</v>
      </c>
      <c r="AJ180" s="11">
        <f t="shared" si="74"/>
        <v>700</v>
      </c>
      <c r="AK180" s="10">
        <v>700</v>
      </c>
      <c r="AL180" s="11">
        <f t="shared" si="74"/>
        <v>700</v>
      </c>
      <c r="AM180" s="10">
        <v>700</v>
      </c>
      <c r="AN180" s="56">
        <f t="shared" si="68"/>
        <v>1</v>
      </c>
      <c r="AP180" s="11">
        <f ca="1">IFERROR(OFFSET(ITEM_RES!$A$1,MATCH(AQ180,ITEM_RES!$J:$J,0)-1,0),0)</f>
        <v>211020801</v>
      </c>
      <c r="AQ180" s="10" t="s">
        <v>457</v>
      </c>
      <c r="AR180" s="11">
        <v>3500</v>
      </c>
      <c r="AU180" s="11">
        <f ca="1">IFERROR(OFFSET(ITEM_RES!$A$1,MATCH(AV180,ITEM_RES!$J:$J,0)-1,0),0)</f>
        <v>0</v>
      </c>
      <c r="AZ180" s="11">
        <f ca="1">IFERROR(OFFSET(ITEM_RES!$A$1,MATCH(BA180,ITEM_RES!$J:$J,0)-1,0),0)</f>
        <v>0</v>
      </c>
      <c r="BE180" s="11">
        <f ca="1">IFERROR(OFFSET(ITEM_RES!$A$1,MATCH(BF180,ITEM_RES!$J:$J,0)-1,0),0)</f>
        <v>0</v>
      </c>
      <c r="BJ180" s="11">
        <f ca="1">IFERROR(OFFSET(ITEM_RES!$A$1,MATCH(BK180,ITEM_RES!$J:$J,0)-1,0),0)</f>
        <v>0</v>
      </c>
      <c r="BL180" s="11">
        <f t="shared" si="73"/>
        <v>0</v>
      </c>
    </row>
    <row r="181" spans="1:65" x14ac:dyDescent="0.3">
      <c r="A181" s="14">
        <f t="shared" si="70"/>
        <v>112030017</v>
      </c>
      <c r="B181" s="13">
        <v>11</v>
      </c>
      <c r="C181" s="12">
        <f t="shared" si="71"/>
        <v>2</v>
      </c>
      <c r="D181" s="13">
        <v>3</v>
      </c>
      <c r="E181" s="13">
        <v>0</v>
      </c>
      <c r="F181" s="12">
        <f t="shared" si="72"/>
        <v>17</v>
      </c>
      <c r="H181" s="9">
        <v>2</v>
      </c>
      <c r="I181" s="9">
        <v>17</v>
      </c>
      <c r="K181" s="9" t="s">
        <v>361</v>
      </c>
      <c r="L181" s="9">
        <v>0</v>
      </c>
      <c r="M181" s="9">
        <v>15</v>
      </c>
      <c r="R181" s="9" t="s">
        <v>775</v>
      </c>
      <c r="T181" s="86" t="s">
        <v>578</v>
      </c>
      <c r="U181" s="9">
        <f ca="1">IFERROR(OFFSET(ITEM_RES!$A$5,MATCH(BUILDING!T181,ITEM_RES!$J$5:$J$229,0)-1,0),0)</f>
        <v>211010501</v>
      </c>
      <c r="V181" s="11">
        <v>1</v>
      </c>
      <c r="W181" s="86" t="s">
        <v>579</v>
      </c>
      <c r="X181" s="9">
        <f ca="1">IFERROR(OFFSET(ITEM_RES!$A$5,MATCH(BUILDING!W181,ITEM_RES!$J$5:$J$229,0)-1,0),0)</f>
        <v>211010601</v>
      </c>
      <c r="Z181" s="9" t="s">
        <v>550</v>
      </c>
      <c r="AA181" s="9">
        <v>17</v>
      </c>
      <c r="AC181" s="9">
        <v>68000</v>
      </c>
      <c r="AE181" s="56">
        <f t="shared" si="67"/>
        <v>13600</v>
      </c>
      <c r="AF181" s="10">
        <f t="shared" si="75"/>
        <v>24800</v>
      </c>
      <c r="AH181" s="11">
        <f t="shared" si="66"/>
        <v>85</v>
      </c>
      <c r="AI181" s="10">
        <v>85</v>
      </c>
      <c r="AJ181" s="11">
        <f t="shared" si="74"/>
        <v>850</v>
      </c>
      <c r="AK181" s="10">
        <v>850</v>
      </c>
      <c r="AL181" s="11">
        <f t="shared" si="74"/>
        <v>850</v>
      </c>
      <c r="AM181" s="10">
        <v>850</v>
      </c>
      <c r="AN181" s="56">
        <f t="shared" si="68"/>
        <v>1</v>
      </c>
      <c r="AP181" s="11">
        <f ca="1">IFERROR(OFFSET(ITEM_RES!$A$1,MATCH(AQ181,ITEM_RES!$J:$J,0)-1,0),0)</f>
        <v>211020901</v>
      </c>
      <c r="AQ181" s="10" t="s">
        <v>470</v>
      </c>
      <c r="AR181" s="11">
        <v>4250</v>
      </c>
      <c r="AU181" s="11">
        <f ca="1">IFERROR(OFFSET(ITEM_RES!$A$1,MATCH(AV181,ITEM_RES!$J:$J,0)-1,0),0)</f>
        <v>0</v>
      </c>
      <c r="AZ181" s="11">
        <f ca="1">IFERROR(OFFSET(ITEM_RES!$A$1,MATCH(BA181,ITEM_RES!$J:$J,0)-1,0),0)</f>
        <v>0</v>
      </c>
      <c r="BE181" s="11">
        <f ca="1">IFERROR(OFFSET(ITEM_RES!$A$1,MATCH(BF181,ITEM_RES!$J:$J,0)-1,0),0)</f>
        <v>0</v>
      </c>
      <c r="BJ181" s="11">
        <f ca="1">IFERROR(OFFSET(ITEM_RES!$A$1,MATCH(BK181,ITEM_RES!$J:$J,0)-1,0),0)</f>
        <v>0</v>
      </c>
      <c r="BL181" s="11">
        <f t="shared" si="73"/>
        <v>0</v>
      </c>
    </row>
    <row r="182" spans="1:65" x14ac:dyDescent="0.3">
      <c r="A182" s="14">
        <f t="shared" si="70"/>
        <v>112030018</v>
      </c>
      <c r="B182" s="13">
        <v>11</v>
      </c>
      <c r="C182" s="12">
        <f t="shared" si="71"/>
        <v>2</v>
      </c>
      <c r="D182" s="13">
        <v>3</v>
      </c>
      <c r="E182" s="13">
        <v>0</v>
      </c>
      <c r="F182" s="12">
        <f t="shared" si="72"/>
        <v>18</v>
      </c>
      <c r="H182" s="9">
        <v>2</v>
      </c>
      <c r="I182" s="9">
        <v>18</v>
      </c>
      <c r="K182" s="9" t="s">
        <v>361</v>
      </c>
      <c r="L182" s="9">
        <v>0</v>
      </c>
      <c r="M182" s="9">
        <v>15</v>
      </c>
      <c r="R182" s="9" t="s">
        <v>775</v>
      </c>
      <c r="T182" s="86" t="s">
        <v>578</v>
      </c>
      <c r="U182" s="9">
        <f ca="1">IFERROR(OFFSET(ITEM_RES!$A$5,MATCH(BUILDING!T182,ITEM_RES!$J$5:$J$229,0)-1,0),0)</f>
        <v>211010501</v>
      </c>
      <c r="V182" s="11">
        <v>1</v>
      </c>
      <c r="W182" s="86" t="s">
        <v>579</v>
      </c>
      <c r="X182" s="9">
        <f ca="1">IFERROR(OFFSET(ITEM_RES!$A$5,MATCH(BUILDING!W182,ITEM_RES!$J$5:$J$229,0)-1,0),0)</f>
        <v>211010601</v>
      </c>
      <c r="Z182" s="9" t="s">
        <v>550</v>
      </c>
      <c r="AA182" s="9">
        <v>18</v>
      </c>
      <c r="AC182" s="9">
        <v>84000</v>
      </c>
      <c r="AE182" s="56">
        <f t="shared" si="67"/>
        <v>16800</v>
      </c>
      <c r="AF182" s="10">
        <f t="shared" si="75"/>
        <v>30400</v>
      </c>
      <c r="AH182" s="11">
        <f t="shared" si="66"/>
        <v>90</v>
      </c>
      <c r="AI182" s="10">
        <v>90</v>
      </c>
      <c r="AJ182" s="11">
        <f t="shared" si="74"/>
        <v>1050</v>
      </c>
      <c r="AK182" s="10">
        <v>1050</v>
      </c>
      <c r="AL182" s="11">
        <f t="shared" si="74"/>
        <v>1050</v>
      </c>
      <c r="AM182" s="10">
        <v>1050</v>
      </c>
      <c r="AN182" s="56">
        <f t="shared" si="68"/>
        <v>1</v>
      </c>
      <c r="AP182" s="11">
        <f ca="1">IFERROR(OFFSET(ITEM_RES!$A$1,MATCH(AQ182,ITEM_RES!$J:$J,0)-1,0),0)</f>
        <v>211020901</v>
      </c>
      <c r="AQ182" s="10" t="s">
        <v>470</v>
      </c>
      <c r="AR182" s="11">
        <v>5250</v>
      </c>
      <c r="AU182" s="11">
        <f ca="1">IFERROR(OFFSET(ITEM_RES!$A$1,MATCH(AV182,ITEM_RES!$J:$J,0)-1,0),0)</f>
        <v>0</v>
      </c>
      <c r="AZ182" s="11">
        <f ca="1">IFERROR(OFFSET(ITEM_RES!$A$1,MATCH(BA182,ITEM_RES!$J:$J,0)-1,0),0)</f>
        <v>0</v>
      </c>
      <c r="BE182" s="11">
        <f ca="1">IFERROR(OFFSET(ITEM_RES!$A$1,MATCH(BF182,ITEM_RES!$J:$J,0)-1,0),0)</f>
        <v>0</v>
      </c>
      <c r="BJ182" s="11">
        <f ca="1">IFERROR(OFFSET(ITEM_RES!$A$1,MATCH(BK182,ITEM_RES!$J:$J,0)-1,0),0)</f>
        <v>0</v>
      </c>
      <c r="BL182" s="11">
        <f t="shared" si="73"/>
        <v>0</v>
      </c>
    </row>
    <row r="183" spans="1:65" x14ac:dyDescent="0.3">
      <c r="A183" s="14">
        <f t="shared" si="70"/>
        <v>112030019</v>
      </c>
      <c r="B183" s="13">
        <v>11</v>
      </c>
      <c r="C183" s="12">
        <f t="shared" si="71"/>
        <v>2</v>
      </c>
      <c r="D183" s="13">
        <v>3</v>
      </c>
      <c r="E183" s="13">
        <v>0</v>
      </c>
      <c r="F183" s="12">
        <f t="shared" si="72"/>
        <v>19</v>
      </c>
      <c r="H183" s="9">
        <v>2</v>
      </c>
      <c r="I183" s="9">
        <v>19</v>
      </c>
      <c r="K183" s="9" t="s">
        <v>361</v>
      </c>
      <c r="L183" s="9">
        <v>0</v>
      </c>
      <c r="M183" s="9">
        <v>15</v>
      </c>
      <c r="R183" s="9" t="s">
        <v>775</v>
      </c>
      <c r="T183" s="86" t="s">
        <v>578</v>
      </c>
      <c r="U183" s="9">
        <f ca="1">IFERROR(OFFSET(ITEM_RES!$A$5,MATCH(BUILDING!T183,ITEM_RES!$J$5:$J$229,0)-1,0),0)</f>
        <v>211010501</v>
      </c>
      <c r="V183" s="11">
        <v>1</v>
      </c>
      <c r="W183" s="86" t="s">
        <v>579</v>
      </c>
      <c r="X183" s="9">
        <f ca="1">IFERROR(OFFSET(ITEM_RES!$A$5,MATCH(BUILDING!W183,ITEM_RES!$J$5:$J$229,0)-1,0),0)</f>
        <v>211010601</v>
      </c>
      <c r="Z183" s="9" t="s">
        <v>550</v>
      </c>
      <c r="AA183" s="9">
        <v>19</v>
      </c>
      <c r="AC183" s="9">
        <v>100000</v>
      </c>
      <c r="AE183" s="56">
        <f t="shared" si="67"/>
        <v>20000</v>
      </c>
      <c r="AF183" s="10">
        <f t="shared" si="75"/>
        <v>36800</v>
      </c>
      <c r="AH183" s="11">
        <f t="shared" si="66"/>
        <v>95</v>
      </c>
      <c r="AI183" s="10">
        <v>95</v>
      </c>
      <c r="AJ183" s="11">
        <f t="shared" si="74"/>
        <v>1250</v>
      </c>
      <c r="AK183" s="10">
        <v>1250</v>
      </c>
      <c r="AL183" s="11">
        <f t="shared" si="74"/>
        <v>1250</v>
      </c>
      <c r="AM183" s="10">
        <v>1250</v>
      </c>
      <c r="AN183" s="56">
        <f t="shared" si="68"/>
        <v>1</v>
      </c>
      <c r="AP183" s="11">
        <f ca="1">IFERROR(OFFSET(ITEM_RES!$A$1,MATCH(AQ183,ITEM_RES!$J:$J,0)-1,0),0)</f>
        <v>211020901</v>
      </c>
      <c r="AQ183" s="10" t="s">
        <v>470</v>
      </c>
      <c r="AR183" s="11">
        <v>6250</v>
      </c>
      <c r="AU183" s="11">
        <f ca="1">IFERROR(OFFSET(ITEM_RES!$A$1,MATCH(AV183,ITEM_RES!$J:$J,0)-1,0),0)</f>
        <v>0</v>
      </c>
      <c r="AZ183" s="11">
        <f ca="1">IFERROR(OFFSET(ITEM_RES!$A$1,MATCH(BA183,ITEM_RES!$J:$J,0)-1,0),0)</f>
        <v>0</v>
      </c>
      <c r="BE183" s="11">
        <f ca="1">IFERROR(OFFSET(ITEM_RES!$A$1,MATCH(BF183,ITEM_RES!$J:$J,0)-1,0),0)</f>
        <v>0</v>
      </c>
      <c r="BJ183" s="11">
        <f ca="1">IFERROR(OFFSET(ITEM_RES!$A$1,MATCH(BK183,ITEM_RES!$J:$J,0)-1,0),0)</f>
        <v>0</v>
      </c>
      <c r="BL183" s="11">
        <f t="shared" si="73"/>
        <v>0</v>
      </c>
    </row>
    <row r="184" spans="1:65" ht="17.25" thickBot="1" x14ac:dyDescent="0.35">
      <c r="A184" s="14">
        <f t="shared" si="70"/>
        <v>112030020</v>
      </c>
      <c r="B184" s="13">
        <v>11</v>
      </c>
      <c r="C184" s="12">
        <f t="shared" si="71"/>
        <v>2</v>
      </c>
      <c r="D184" s="13">
        <v>3</v>
      </c>
      <c r="E184" s="13">
        <v>0</v>
      </c>
      <c r="F184" s="12">
        <f t="shared" si="72"/>
        <v>20</v>
      </c>
      <c r="H184" s="9">
        <v>2</v>
      </c>
      <c r="I184" s="9">
        <v>20</v>
      </c>
      <c r="K184" s="9" t="s">
        <v>361</v>
      </c>
      <c r="L184" s="9">
        <v>0</v>
      </c>
      <c r="M184" s="9">
        <v>15</v>
      </c>
      <c r="R184" s="9" t="s">
        <v>775</v>
      </c>
      <c r="T184" s="86" t="s">
        <v>578</v>
      </c>
      <c r="U184" s="9">
        <f ca="1">IFERROR(OFFSET(ITEM_RES!$A$5,MATCH(BUILDING!T184,ITEM_RES!$J$5:$J$229,0)-1,0),0)</f>
        <v>211010501</v>
      </c>
      <c r="V184" s="11">
        <v>1</v>
      </c>
      <c r="W184" s="86" t="s">
        <v>579</v>
      </c>
      <c r="X184" s="9">
        <f ca="1">IFERROR(OFFSET(ITEM_RES!$A$5,MATCH(BUILDING!W184,ITEM_RES!$J$5:$J$229,0)-1,0),0)</f>
        <v>211010601</v>
      </c>
      <c r="Z184" s="9" t="s">
        <v>550</v>
      </c>
      <c r="AA184" s="9">
        <v>20</v>
      </c>
      <c r="AC184" s="9">
        <v>120000</v>
      </c>
      <c r="AE184" s="56">
        <f t="shared" si="67"/>
        <v>24000</v>
      </c>
      <c r="AF184" s="10">
        <f t="shared" si="75"/>
        <v>44000</v>
      </c>
      <c r="AH184" s="11">
        <f t="shared" si="66"/>
        <v>100</v>
      </c>
      <c r="AI184" s="10">
        <v>100</v>
      </c>
      <c r="AJ184" s="11">
        <f t="shared" si="74"/>
        <v>1500</v>
      </c>
      <c r="AK184" s="10">
        <v>1500</v>
      </c>
      <c r="AL184" s="11">
        <f t="shared" si="74"/>
        <v>1500</v>
      </c>
      <c r="AM184" s="10">
        <v>1500</v>
      </c>
      <c r="AN184" s="56">
        <f t="shared" si="68"/>
        <v>1</v>
      </c>
      <c r="AP184" s="11">
        <f ca="1">IFERROR(OFFSET(ITEM_RES!$A$1,MATCH(AQ184,ITEM_RES!$J:$J,0)-1,0),0)</f>
        <v>211020901</v>
      </c>
      <c r="AQ184" s="10" t="s">
        <v>470</v>
      </c>
      <c r="AR184" s="11">
        <v>7500</v>
      </c>
      <c r="AU184" s="11">
        <f ca="1">IFERROR(OFFSET(ITEM_RES!$A$1,MATCH(AV184,ITEM_RES!$J:$J,0)-1,0),0)</f>
        <v>0</v>
      </c>
      <c r="AZ184" s="11">
        <f ca="1">IFERROR(OFFSET(ITEM_RES!$A$1,MATCH(BA184,ITEM_RES!$J:$J,0)-1,0),0)</f>
        <v>0</v>
      </c>
      <c r="BE184" s="11">
        <f ca="1">IFERROR(OFFSET(ITEM_RES!$A$1,MATCH(BF184,ITEM_RES!$J:$J,0)-1,0),0)</f>
        <v>0</v>
      </c>
      <c r="BJ184" s="11">
        <f ca="1">IFERROR(OFFSET(ITEM_RES!$A$1,MATCH(BK184,ITEM_RES!$J:$J,0)-1,0),0)</f>
        <v>0</v>
      </c>
      <c r="BL184" s="11">
        <f t="shared" si="73"/>
        <v>0</v>
      </c>
    </row>
    <row r="185" spans="1:65" s="15" customFormat="1" x14ac:dyDescent="0.3">
      <c r="A185" s="21">
        <f t="shared" ref="A185:A204" si="76">B185*10000000+C185*1000000+D185*10000+E185*100+F185</f>
        <v>113010001</v>
      </c>
      <c r="B185" s="20">
        <v>11</v>
      </c>
      <c r="C185" s="19">
        <f t="shared" ref="C185:C204" si="77">H185</f>
        <v>3</v>
      </c>
      <c r="D185" s="20">
        <v>1</v>
      </c>
      <c r="E185" s="20">
        <v>0</v>
      </c>
      <c r="F185" s="19">
        <f t="shared" ref="F185:F204" si="78">I185</f>
        <v>1</v>
      </c>
      <c r="G185" s="80"/>
      <c r="H185" s="16">
        <v>3</v>
      </c>
      <c r="I185" s="16">
        <v>1</v>
      </c>
      <c r="J185" s="80"/>
      <c r="K185" s="64" t="s">
        <v>537</v>
      </c>
      <c r="L185" s="16">
        <v>1</v>
      </c>
      <c r="M185" s="16">
        <v>15</v>
      </c>
      <c r="N185" s="16"/>
      <c r="O185" s="17"/>
      <c r="P185" s="17"/>
      <c r="Q185" s="18"/>
      <c r="R185" s="16" t="s">
        <v>793</v>
      </c>
      <c r="S185" s="80"/>
      <c r="T185" s="88"/>
      <c r="U185" s="16">
        <f ca="1">IFERROR(OFFSET(ITEM_RES!$A$5,MATCH(BUILDING!T185,ITEM_RES!$J$5:$J$229,0)-1,0),0)</f>
        <v>0</v>
      </c>
      <c r="V185" s="18"/>
      <c r="W185" s="88"/>
      <c r="X185" s="16">
        <f ca="1">IFERROR(OFFSET(ITEM_RES!$A$5,MATCH(BUILDING!W185,ITEM_RES!$J$5:$J$229,0)-1,0),0)</f>
        <v>0</v>
      </c>
      <c r="Y185" s="80"/>
      <c r="Z185" s="16" t="s">
        <v>551</v>
      </c>
      <c r="AA185" s="16">
        <v>1</v>
      </c>
      <c r="AB185" s="80"/>
      <c r="AC185" s="16">
        <v>0</v>
      </c>
      <c r="AD185" s="80"/>
      <c r="AE185" s="57">
        <f t="shared" ref="AE185:AE204" si="79">AK185*10+AM185+AR185+AW185+500*BB185+500*BG185+500*BL185</f>
        <v>580</v>
      </c>
      <c r="AF185" s="17">
        <f>AE185</f>
        <v>580</v>
      </c>
      <c r="AG185" s="80"/>
      <c r="AH185" s="18">
        <f t="shared" ref="AH185:AH204" si="80">ROUND(AI185,0)</f>
        <v>5</v>
      </c>
      <c r="AI185" s="17">
        <v>5</v>
      </c>
      <c r="AJ185" s="18">
        <f t="shared" ref="AJ185:AJ204" si="81">ROUND(AK185,0)</f>
        <v>5</v>
      </c>
      <c r="AK185" s="17">
        <v>5</v>
      </c>
      <c r="AL185" s="18">
        <f t="shared" ref="AL185:AL204" si="82">ROUND(AM185,0)</f>
        <v>5</v>
      </c>
      <c r="AM185" s="17">
        <v>5</v>
      </c>
      <c r="AN185" s="57">
        <f t="shared" ref="AN185:AN204" si="83">(AR185&gt;0)*1+(AW185&gt;0)*1+(BB185&gt;0)*1+(BG185&gt;0)*1+(BL185&gt;0)*1</f>
        <v>2</v>
      </c>
      <c r="AO185" s="18"/>
      <c r="AP185" s="18">
        <f ca="1">IFERROR(OFFSET(ITEM_RES!$A$1,MATCH(AQ185,ITEM_RES!$J:$J,0)-1,0),0)</f>
        <v>211020801</v>
      </c>
      <c r="AQ185" s="17" t="s">
        <v>409</v>
      </c>
      <c r="AR185" s="18">
        <v>25</v>
      </c>
      <c r="AS185" s="17"/>
      <c r="AT185" s="18"/>
      <c r="AU185" s="18">
        <f ca="1">IFERROR(OFFSET(ITEM_RES!$A$1,MATCH(AV185,ITEM_RES!$J:$J,0)-1,0),0)</f>
        <v>0</v>
      </c>
      <c r="AV185" s="17"/>
      <c r="AW185" s="18"/>
      <c r="AX185" s="17"/>
      <c r="AY185" s="18"/>
      <c r="AZ185" s="18">
        <f ca="1">IFERROR(OFFSET(ITEM_RES!$A$1,MATCH(BA185,ITEM_RES!$J:$J,0)-1,0),0)</f>
        <v>213010101</v>
      </c>
      <c r="BA185" s="17" t="s">
        <v>413</v>
      </c>
      <c r="BB185" s="18">
        <v>1</v>
      </c>
      <c r="BC185" s="17"/>
      <c r="BD185" s="18"/>
      <c r="BE185" s="18">
        <f ca="1">IFERROR(OFFSET(ITEM_RES!$A$1,MATCH(BF185,ITEM_RES!$J:$J,0)-1,0),0)</f>
        <v>0</v>
      </c>
      <c r="BF185" s="17"/>
      <c r="BG185" s="18"/>
      <c r="BH185" s="17"/>
      <c r="BI185" s="18"/>
      <c r="BJ185" s="18">
        <f ca="1">IFERROR(OFFSET(ITEM_RES!$A$1,MATCH(BK185,ITEM_RES!$J:$J,0)-1,0),0)</f>
        <v>0</v>
      </c>
      <c r="BK185" s="17"/>
      <c r="BL185" s="18">
        <f t="shared" ref="BL185:BL204" si="84">IF(BM185&lt;100,ROUND(BM185,1-LEN(ROUND(BM185,0))),ROUND(BM185,2-LEN(ROUND(BM185,0))))</f>
        <v>0</v>
      </c>
      <c r="BM185" s="17"/>
    </row>
    <row r="186" spans="1:65" x14ac:dyDescent="0.3">
      <c r="A186" s="14">
        <f t="shared" si="76"/>
        <v>113010002</v>
      </c>
      <c r="B186" s="13">
        <v>11</v>
      </c>
      <c r="C186" s="12">
        <f t="shared" si="77"/>
        <v>3</v>
      </c>
      <c r="D186" s="13">
        <v>1</v>
      </c>
      <c r="E186" s="13">
        <v>0</v>
      </c>
      <c r="F186" s="12">
        <f t="shared" si="78"/>
        <v>2</v>
      </c>
      <c r="H186" s="9">
        <v>3</v>
      </c>
      <c r="I186" s="9">
        <v>2</v>
      </c>
      <c r="K186" s="56" t="s">
        <v>537</v>
      </c>
      <c r="L186" s="9">
        <v>1</v>
      </c>
      <c r="M186" s="9">
        <v>15</v>
      </c>
      <c r="N186" s="85"/>
      <c r="R186" s="9" t="s">
        <v>776</v>
      </c>
      <c r="U186" s="9">
        <f ca="1">IFERROR(OFFSET(ITEM_RES!$A$5,MATCH(BUILDING!T186,ITEM_RES!$J$5:$J$229,0)-1,0),0)</f>
        <v>0</v>
      </c>
      <c r="X186" s="9">
        <f ca="1">IFERROR(OFFSET(ITEM_RES!$A$5,MATCH(BUILDING!W186,ITEM_RES!$J$5:$J$229,0)-1,0),0)</f>
        <v>0</v>
      </c>
      <c r="Z186" s="9" t="s">
        <v>551</v>
      </c>
      <c r="AA186" s="9">
        <v>2</v>
      </c>
      <c r="AC186" s="9">
        <v>200</v>
      </c>
      <c r="AE186" s="56">
        <f t="shared" si="79"/>
        <v>160</v>
      </c>
      <c r="AF186" s="10">
        <f>AE185+AE186</f>
        <v>740</v>
      </c>
      <c r="AH186" s="11">
        <f t="shared" si="80"/>
        <v>10</v>
      </c>
      <c r="AI186" s="10">
        <v>10</v>
      </c>
      <c r="AJ186" s="11">
        <f t="shared" si="81"/>
        <v>10</v>
      </c>
      <c r="AK186" s="10">
        <v>10</v>
      </c>
      <c r="AL186" s="11">
        <f t="shared" si="82"/>
        <v>10</v>
      </c>
      <c r="AM186" s="10">
        <v>10</v>
      </c>
      <c r="AN186" s="56">
        <f t="shared" si="83"/>
        <v>1</v>
      </c>
      <c r="AP186" s="11">
        <f ca="1">IFERROR(OFFSET(ITEM_RES!$A$1,MATCH(AQ186,ITEM_RES!$J:$J,0)-1,0),0)</f>
        <v>211020801</v>
      </c>
      <c r="AQ186" s="10" t="s">
        <v>409</v>
      </c>
      <c r="AR186" s="11">
        <v>50</v>
      </c>
      <c r="AU186" s="11">
        <f ca="1">IFERROR(OFFSET(ITEM_RES!$A$1,MATCH(AV186,ITEM_RES!$J:$J,0)-1,0),0)</f>
        <v>0</v>
      </c>
      <c r="AZ186" s="11">
        <f ca="1">IFERROR(OFFSET(ITEM_RES!$A$1,MATCH(BA186,ITEM_RES!$J:$J,0)-1,0),0)</f>
        <v>0</v>
      </c>
      <c r="BE186" s="11">
        <f ca="1">IFERROR(OFFSET(ITEM_RES!$A$1,MATCH(BF186,ITEM_RES!$J:$J,0)-1,0),0)</f>
        <v>0</v>
      </c>
      <c r="BJ186" s="11">
        <f ca="1">IFERROR(OFFSET(ITEM_RES!$A$1,MATCH(BK186,ITEM_RES!$J:$J,0)-1,0),0)</f>
        <v>0</v>
      </c>
      <c r="BL186" s="11">
        <f t="shared" si="84"/>
        <v>0</v>
      </c>
    </row>
    <row r="187" spans="1:65" x14ac:dyDescent="0.3">
      <c r="A187" s="14">
        <f t="shared" si="76"/>
        <v>113010003</v>
      </c>
      <c r="B187" s="13">
        <v>11</v>
      </c>
      <c r="C187" s="12">
        <f t="shared" si="77"/>
        <v>3</v>
      </c>
      <c r="D187" s="13">
        <v>1</v>
      </c>
      <c r="E187" s="13">
        <v>0</v>
      </c>
      <c r="F187" s="12">
        <f t="shared" si="78"/>
        <v>3</v>
      </c>
      <c r="H187" s="9">
        <v>3</v>
      </c>
      <c r="I187" s="9">
        <v>3</v>
      </c>
      <c r="K187" s="56" t="s">
        <v>537</v>
      </c>
      <c r="L187" s="9">
        <v>1</v>
      </c>
      <c r="M187" s="9">
        <v>15</v>
      </c>
      <c r="R187" s="9" t="s">
        <v>776</v>
      </c>
      <c r="U187" s="9">
        <f ca="1">IFERROR(OFFSET(ITEM_RES!$A$5,MATCH(BUILDING!T187,ITEM_RES!$J$5:$J$229,0)-1,0),0)</f>
        <v>0</v>
      </c>
      <c r="X187" s="9">
        <f ca="1">IFERROR(OFFSET(ITEM_RES!$A$5,MATCH(BUILDING!W187,ITEM_RES!$J$5:$J$229,0)-1,0),0)</f>
        <v>0</v>
      </c>
      <c r="Z187" s="9" t="s">
        <v>551</v>
      </c>
      <c r="AA187" s="9">
        <v>3</v>
      </c>
      <c r="AC187" s="9">
        <v>600</v>
      </c>
      <c r="AE187" s="56">
        <f t="shared" si="79"/>
        <v>240</v>
      </c>
      <c r="AF187" s="10">
        <f t="shared" ref="AF187:AF204" si="85">AE186+AE187</f>
        <v>400</v>
      </c>
      <c r="AH187" s="11">
        <f t="shared" si="80"/>
        <v>15</v>
      </c>
      <c r="AI187" s="10">
        <v>15</v>
      </c>
      <c r="AJ187" s="11">
        <f t="shared" si="81"/>
        <v>15</v>
      </c>
      <c r="AK187" s="10">
        <v>15</v>
      </c>
      <c r="AL187" s="11">
        <f t="shared" si="82"/>
        <v>15</v>
      </c>
      <c r="AM187" s="10">
        <v>15</v>
      </c>
      <c r="AN187" s="56">
        <f t="shared" si="83"/>
        <v>1</v>
      </c>
      <c r="AP187" s="11">
        <f ca="1">IFERROR(OFFSET(ITEM_RES!$A$1,MATCH(AQ187,ITEM_RES!$J:$J,0)-1,0),0)</f>
        <v>211020801</v>
      </c>
      <c r="AQ187" s="10" t="s">
        <v>409</v>
      </c>
      <c r="AR187" s="11">
        <v>75</v>
      </c>
      <c r="AU187" s="11">
        <f ca="1">IFERROR(OFFSET(ITEM_RES!$A$1,MATCH(AV187,ITEM_RES!$J:$J,0)-1,0),0)</f>
        <v>0</v>
      </c>
      <c r="AZ187" s="11">
        <f ca="1">IFERROR(OFFSET(ITEM_RES!$A$1,MATCH(BA187,ITEM_RES!$J:$J,0)-1,0),0)</f>
        <v>0</v>
      </c>
      <c r="BE187" s="11">
        <f ca="1">IFERROR(OFFSET(ITEM_RES!$A$1,MATCH(BF187,ITEM_RES!$J:$J,0)-1,0),0)</f>
        <v>0</v>
      </c>
      <c r="BJ187" s="11">
        <f ca="1">IFERROR(OFFSET(ITEM_RES!$A$1,MATCH(BK187,ITEM_RES!$J:$J,0)-1,0),0)</f>
        <v>0</v>
      </c>
      <c r="BL187" s="11">
        <f t="shared" si="84"/>
        <v>0</v>
      </c>
    </row>
    <row r="188" spans="1:65" x14ac:dyDescent="0.3">
      <c r="A188" s="14">
        <f t="shared" si="76"/>
        <v>113010004</v>
      </c>
      <c r="B188" s="13">
        <v>11</v>
      </c>
      <c r="C188" s="12">
        <f t="shared" si="77"/>
        <v>3</v>
      </c>
      <c r="D188" s="13">
        <v>1</v>
      </c>
      <c r="E188" s="13">
        <v>0</v>
      </c>
      <c r="F188" s="12">
        <f t="shared" si="78"/>
        <v>4</v>
      </c>
      <c r="H188" s="9">
        <v>3</v>
      </c>
      <c r="I188" s="9">
        <v>4</v>
      </c>
      <c r="K188" s="56" t="s">
        <v>537</v>
      </c>
      <c r="L188" s="9">
        <v>1</v>
      </c>
      <c r="M188" s="9">
        <v>15</v>
      </c>
      <c r="R188" s="9" t="s">
        <v>776</v>
      </c>
      <c r="U188" s="9">
        <f ca="1">IFERROR(OFFSET(ITEM_RES!$A$5,MATCH(BUILDING!T188,ITEM_RES!$J$5:$J$229,0)-1,0),0)</f>
        <v>0</v>
      </c>
      <c r="X188" s="9">
        <f ca="1">IFERROR(OFFSET(ITEM_RES!$A$5,MATCH(BUILDING!W188,ITEM_RES!$J$5:$J$229,0)-1,0),0)</f>
        <v>0</v>
      </c>
      <c r="Z188" s="9" t="s">
        <v>551</v>
      </c>
      <c r="AA188" s="9">
        <v>4</v>
      </c>
      <c r="AC188" s="9">
        <v>1000</v>
      </c>
      <c r="AE188" s="56">
        <f t="shared" si="79"/>
        <v>400</v>
      </c>
      <c r="AF188" s="10">
        <f t="shared" si="85"/>
        <v>640</v>
      </c>
      <c r="AH188" s="11">
        <f t="shared" si="80"/>
        <v>20</v>
      </c>
      <c r="AI188" s="10">
        <v>20</v>
      </c>
      <c r="AJ188" s="11">
        <f t="shared" si="81"/>
        <v>25</v>
      </c>
      <c r="AK188" s="10">
        <v>25</v>
      </c>
      <c r="AL188" s="11">
        <f t="shared" si="82"/>
        <v>25</v>
      </c>
      <c r="AM188" s="10">
        <v>25</v>
      </c>
      <c r="AN188" s="56">
        <f t="shared" si="83"/>
        <v>1</v>
      </c>
      <c r="AP188" s="11">
        <f ca="1">IFERROR(OFFSET(ITEM_RES!$A$1,MATCH(AQ188,ITEM_RES!$J:$J,0)-1,0),0)</f>
        <v>211020801</v>
      </c>
      <c r="AQ188" s="10" t="s">
        <v>409</v>
      </c>
      <c r="AR188" s="11">
        <v>125</v>
      </c>
      <c r="AU188" s="11">
        <f ca="1">IFERROR(OFFSET(ITEM_RES!$A$1,MATCH(AV188,ITEM_RES!$J:$J,0)-1,0),0)</f>
        <v>0</v>
      </c>
      <c r="AZ188" s="11">
        <f ca="1">IFERROR(OFFSET(ITEM_RES!$A$1,MATCH(BA188,ITEM_RES!$J:$J,0)-1,0),0)</f>
        <v>0</v>
      </c>
      <c r="BE188" s="11">
        <f ca="1">IFERROR(OFFSET(ITEM_RES!$A$1,MATCH(BF188,ITEM_RES!$J:$J,0)-1,0),0)</f>
        <v>0</v>
      </c>
      <c r="BJ188" s="11">
        <f ca="1">IFERROR(OFFSET(ITEM_RES!$A$1,MATCH(BK188,ITEM_RES!$J:$J,0)-1,0),0)</f>
        <v>0</v>
      </c>
      <c r="BL188" s="11">
        <f t="shared" si="84"/>
        <v>0</v>
      </c>
    </row>
    <row r="189" spans="1:65" x14ac:dyDescent="0.3">
      <c r="A189" s="14">
        <f t="shared" si="76"/>
        <v>113010005</v>
      </c>
      <c r="B189" s="13">
        <v>11</v>
      </c>
      <c r="C189" s="12">
        <f t="shared" si="77"/>
        <v>3</v>
      </c>
      <c r="D189" s="13">
        <v>1</v>
      </c>
      <c r="E189" s="13">
        <v>0</v>
      </c>
      <c r="F189" s="12">
        <f t="shared" si="78"/>
        <v>5</v>
      </c>
      <c r="H189" s="9">
        <v>3</v>
      </c>
      <c r="I189" s="9">
        <v>5</v>
      </c>
      <c r="K189" s="56" t="s">
        <v>537</v>
      </c>
      <c r="L189" s="9">
        <v>1</v>
      </c>
      <c r="M189" s="9">
        <v>15</v>
      </c>
      <c r="R189" s="9" t="s">
        <v>776</v>
      </c>
      <c r="U189" s="9">
        <f ca="1">IFERROR(OFFSET(ITEM_RES!$A$5,MATCH(BUILDING!T189,ITEM_RES!$J$5:$J$229,0)-1,0),0)</f>
        <v>0</v>
      </c>
      <c r="X189" s="9">
        <f ca="1">IFERROR(OFFSET(ITEM_RES!$A$5,MATCH(BUILDING!W189,ITEM_RES!$J$5:$J$229,0)-1,0),0)</f>
        <v>0</v>
      </c>
      <c r="Z189" s="9" t="s">
        <v>551</v>
      </c>
      <c r="AA189" s="9">
        <v>5</v>
      </c>
      <c r="AC189" s="9">
        <v>1600</v>
      </c>
      <c r="AE189" s="56">
        <f t="shared" si="79"/>
        <v>640</v>
      </c>
      <c r="AF189" s="10">
        <f t="shared" si="85"/>
        <v>1040</v>
      </c>
      <c r="AH189" s="11">
        <f t="shared" si="80"/>
        <v>25</v>
      </c>
      <c r="AI189" s="10">
        <v>25</v>
      </c>
      <c r="AJ189" s="11">
        <f t="shared" si="81"/>
        <v>40</v>
      </c>
      <c r="AK189" s="10">
        <v>40</v>
      </c>
      <c r="AL189" s="11">
        <f t="shared" si="82"/>
        <v>40</v>
      </c>
      <c r="AM189" s="10">
        <v>40</v>
      </c>
      <c r="AN189" s="56">
        <f t="shared" si="83"/>
        <v>1</v>
      </c>
      <c r="AP189" s="11">
        <f ca="1">IFERROR(OFFSET(ITEM_RES!$A$1,MATCH(AQ189,ITEM_RES!$J:$J,0)-1,0),0)</f>
        <v>211020801</v>
      </c>
      <c r="AQ189" s="10" t="s">
        <v>409</v>
      </c>
      <c r="AR189" s="11">
        <v>200</v>
      </c>
      <c r="AU189" s="11">
        <f ca="1">IFERROR(OFFSET(ITEM_RES!$A$1,MATCH(AV189,ITEM_RES!$J:$J,0)-1,0),0)</f>
        <v>0</v>
      </c>
      <c r="AZ189" s="11">
        <f ca="1">IFERROR(OFFSET(ITEM_RES!$A$1,MATCH(BA189,ITEM_RES!$J:$J,0)-1,0),0)</f>
        <v>0</v>
      </c>
      <c r="BE189" s="11">
        <f ca="1">IFERROR(OFFSET(ITEM_RES!$A$1,MATCH(BF189,ITEM_RES!$J:$J,0)-1,0),0)</f>
        <v>0</v>
      </c>
      <c r="BJ189" s="11">
        <f ca="1">IFERROR(OFFSET(ITEM_RES!$A$1,MATCH(BK189,ITEM_RES!$J:$J,0)-1,0),0)</f>
        <v>0</v>
      </c>
      <c r="BL189" s="11">
        <f t="shared" si="84"/>
        <v>0</v>
      </c>
    </row>
    <row r="190" spans="1:65" x14ac:dyDescent="0.3">
      <c r="A190" s="14">
        <f t="shared" si="76"/>
        <v>113010006</v>
      </c>
      <c r="B190" s="13">
        <v>11</v>
      </c>
      <c r="C190" s="12">
        <f t="shared" si="77"/>
        <v>3</v>
      </c>
      <c r="D190" s="13">
        <v>1</v>
      </c>
      <c r="E190" s="13">
        <v>0</v>
      </c>
      <c r="F190" s="12">
        <f t="shared" si="78"/>
        <v>6</v>
      </c>
      <c r="H190" s="9">
        <v>3</v>
      </c>
      <c r="I190" s="9">
        <v>6</v>
      </c>
      <c r="K190" s="56" t="s">
        <v>537</v>
      </c>
      <c r="L190" s="9">
        <v>1</v>
      </c>
      <c r="M190" s="9">
        <v>15</v>
      </c>
      <c r="R190" s="9" t="s">
        <v>776</v>
      </c>
      <c r="U190" s="9">
        <f ca="1">IFERROR(OFFSET(ITEM_RES!$A$5,MATCH(BUILDING!T190,ITEM_RES!$J$5:$J$229,0)-1,0),0)</f>
        <v>0</v>
      </c>
      <c r="X190" s="9">
        <f ca="1">IFERROR(OFFSET(ITEM_RES!$A$5,MATCH(BUILDING!W190,ITEM_RES!$J$5:$J$229,0)-1,0),0)</f>
        <v>0</v>
      </c>
      <c r="Z190" s="9" t="s">
        <v>551</v>
      </c>
      <c r="AA190" s="9">
        <v>6</v>
      </c>
      <c r="AC190" s="9">
        <v>2000</v>
      </c>
      <c r="AE190" s="56">
        <f t="shared" si="79"/>
        <v>800</v>
      </c>
      <c r="AF190" s="10">
        <f t="shared" si="85"/>
        <v>1440</v>
      </c>
      <c r="AH190" s="11">
        <f t="shared" si="80"/>
        <v>30</v>
      </c>
      <c r="AI190" s="10">
        <v>30</v>
      </c>
      <c r="AJ190" s="11">
        <f t="shared" si="81"/>
        <v>50</v>
      </c>
      <c r="AK190" s="10">
        <v>50</v>
      </c>
      <c r="AL190" s="11">
        <f t="shared" si="82"/>
        <v>50</v>
      </c>
      <c r="AM190" s="10">
        <v>50</v>
      </c>
      <c r="AN190" s="56">
        <f t="shared" si="83"/>
        <v>1</v>
      </c>
      <c r="AP190" s="11">
        <f ca="1">IFERROR(OFFSET(ITEM_RES!$A$1,MATCH(AQ190,ITEM_RES!$J:$J,0)-1,0),0)</f>
        <v>211020801</v>
      </c>
      <c r="AQ190" s="10" t="s">
        <v>409</v>
      </c>
      <c r="AR190" s="11">
        <v>250</v>
      </c>
      <c r="AU190" s="11">
        <f ca="1">IFERROR(OFFSET(ITEM_RES!$A$1,MATCH(AV190,ITEM_RES!$J:$J,0)-1,0),0)</f>
        <v>0</v>
      </c>
      <c r="AZ190" s="11">
        <f ca="1">IFERROR(OFFSET(ITEM_RES!$A$1,MATCH(BA190,ITEM_RES!$J:$J,0)-1,0),0)</f>
        <v>0</v>
      </c>
      <c r="BE190" s="11">
        <f ca="1">IFERROR(OFFSET(ITEM_RES!$A$1,MATCH(BF190,ITEM_RES!$J:$J,0)-1,0),0)</f>
        <v>0</v>
      </c>
      <c r="BJ190" s="11">
        <f ca="1">IFERROR(OFFSET(ITEM_RES!$A$1,MATCH(BK190,ITEM_RES!$J:$J,0)-1,0),0)</f>
        <v>0</v>
      </c>
      <c r="BL190" s="11">
        <f t="shared" si="84"/>
        <v>0</v>
      </c>
    </row>
    <row r="191" spans="1:65" x14ac:dyDescent="0.3">
      <c r="A191" s="14">
        <f t="shared" si="76"/>
        <v>113010007</v>
      </c>
      <c r="B191" s="13">
        <v>11</v>
      </c>
      <c r="C191" s="12">
        <f t="shared" si="77"/>
        <v>3</v>
      </c>
      <c r="D191" s="13">
        <v>1</v>
      </c>
      <c r="E191" s="13">
        <v>0</v>
      </c>
      <c r="F191" s="12">
        <f t="shared" si="78"/>
        <v>7</v>
      </c>
      <c r="H191" s="9">
        <v>3</v>
      </c>
      <c r="I191" s="9">
        <v>7</v>
      </c>
      <c r="K191" s="56" t="s">
        <v>537</v>
      </c>
      <c r="L191" s="9">
        <v>1</v>
      </c>
      <c r="M191" s="9">
        <v>15</v>
      </c>
      <c r="R191" s="9" t="s">
        <v>776</v>
      </c>
      <c r="U191" s="9">
        <f ca="1">IFERROR(OFFSET(ITEM_RES!$A$5,MATCH(BUILDING!T191,ITEM_RES!$J$5:$J$229,0)-1,0),0)</f>
        <v>0</v>
      </c>
      <c r="X191" s="9">
        <f ca="1">IFERROR(OFFSET(ITEM_RES!$A$5,MATCH(BUILDING!W191,ITEM_RES!$J$5:$J$229,0)-1,0),0)</f>
        <v>0</v>
      </c>
      <c r="Z191" s="9" t="s">
        <v>551</v>
      </c>
      <c r="AA191" s="9">
        <v>7</v>
      </c>
      <c r="AC191" s="9">
        <v>4000</v>
      </c>
      <c r="AE191" s="56">
        <f t="shared" si="79"/>
        <v>1600</v>
      </c>
      <c r="AF191" s="10">
        <f t="shared" si="85"/>
        <v>2400</v>
      </c>
      <c r="AH191" s="11">
        <f t="shared" si="80"/>
        <v>35</v>
      </c>
      <c r="AI191" s="10">
        <v>35</v>
      </c>
      <c r="AJ191" s="11">
        <f t="shared" si="81"/>
        <v>100</v>
      </c>
      <c r="AK191" s="10">
        <v>100</v>
      </c>
      <c r="AL191" s="11">
        <f t="shared" si="82"/>
        <v>100</v>
      </c>
      <c r="AM191" s="10">
        <v>100</v>
      </c>
      <c r="AN191" s="56">
        <f t="shared" si="83"/>
        <v>1</v>
      </c>
      <c r="AP191" s="11">
        <f ca="1">IFERROR(OFFSET(ITEM_RES!$A$1,MATCH(AQ191,ITEM_RES!$J:$J,0)-1,0),0)</f>
        <v>211020801</v>
      </c>
      <c r="AQ191" s="10" t="s">
        <v>409</v>
      </c>
      <c r="AR191" s="11">
        <v>500</v>
      </c>
      <c r="AU191" s="11">
        <f ca="1">IFERROR(OFFSET(ITEM_RES!$A$1,MATCH(AV191,ITEM_RES!$J:$J,0)-1,0),0)</f>
        <v>0</v>
      </c>
      <c r="AZ191" s="11">
        <f ca="1">IFERROR(OFFSET(ITEM_RES!$A$1,MATCH(BA191,ITEM_RES!$J:$J,0)-1,0),0)</f>
        <v>0</v>
      </c>
      <c r="BE191" s="11">
        <f ca="1">IFERROR(OFFSET(ITEM_RES!$A$1,MATCH(BF191,ITEM_RES!$J:$J,0)-1,0),0)</f>
        <v>0</v>
      </c>
      <c r="BJ191" s="11">
        <f ca="1">IFERROR(OFFSET(ITEM_RES!$A$1,MATCH(BK191,ITEM_RES!$J:$J,0)-1,0),0)</f>
        <v>0</v>
      </c>
      <c r="BL191" s="11">
        <f t="shared" si="84"/>
        <v>0</v>
      </c>
    </row>
    <row r="192" spans="1:65" x14ac:dyDescent="0.3">
      <c r="A192" s="14">
        <f t="shared" si="76"/>
        <v>113010008</v>
      </c>
      <c r="B192" s="13">
        <v>11</v>
      </c>
      <c r="C192" s="12">
        <f t="shared" si="77"/>
        <v>3</v>
      </c>
      <c r="D192" s="13">
        <v>1</v>
      </c>
      <c r="E192" s="13">
        <v>0</v>
      </c>
      <c r="F192" s="12">
        <f t="shared" si="78"/>
        <v>8</v>
      </c>
      <c r="H192" s="9">
        <v>3</v>
      </c>
      <c r="I192" s="9">
        <v>8</v>
      </c>
      <c r="K192" s="56" t="s">
        <v>537</v>
      </c>
      <c r="L192" s="9">
        <v>1</v>
      </c>
      <c r="M192" s="9">
        <v>15</v>
      </c>
      <c r="R192" s="9" t="s">
        <v>776</v>
      </c>
      <c r="U192" s="9">
        <f ca="1">IFERROR(OFFSET(ITEM_RES!$A$5,MATCH(BUILDING!T192,ITEM_RES!$J$5:$J$229,0)-1,0),0)</f>
        <v>0</v>
      </c>
      <c r="X192" s="9">
        <f ca="1">IFERROR(OFFSET(ITEM_RES!$A$5,MATCH(BUILDING!W192,ITEM_RES!$J$5:$J$229,0)-1,0),0)</f>
        <v>0</v>
      </c>
      <c r="Z192" s="9" t="s">
        <v>551</v>
      </c>
      <c r="AA192" s="9">
        <v>8</v>
      </c>
      <c r="AC192" s="9">
        <v>4000</v>
      </c>
      <c r="AE192" s="56">
        <f t="shared" si="79"/>
        <v>1600</v>
      </c>
      <c r="AF192" s="10">
        <f t="shared" si="85"/>
        <v>3200</v>
      </c>
      <c r="AH192" s="11">
        <f t="shared" si="80"/>
        <v>40</v>
      </c>
      <c r="AI192" s="10">
        <v>40</v>
      </c>
      <c r="AJ192" s="11">
        <f t="shared" si="81"/>
        <v>100</v>
      </c>
      <c r="AK192" s="10">
        <v>100</v>
      </c>
      <c r="AL192" s="11">
        <f t="shared" si="82"/>
        <v>100</v>
      </c>
      <c r="AM192" s="10">
        <v>100</v>
      </c>
      <c r="AN192" s="56">
        <f t="shared" si="83"/>
        <v>1</v>
      </c>
      <c r="AP192" s="11">
        <f ca="1">IFERROR(OFFSET(ITEM_RES!$A$1,MATCH(AQ192,ITEM_RES!$J:$J,0)-1,0),0)</f>
        <v>211020801</v>
      </c>
      <c r="AQ192" s="10" t="s">
        <v>409</v>
      </c>
      <c r="AR192" s="11">
        <v>500</v>
      </c>
      <c r="AU192" s="11">
        <f ca="1">IFERROR(OFFSET(ITEM_RES!$A$1,MATCH(AV192,ITEM_RES!$J:$J,0)-1,0),0)</f>
        <v>0</v>
      </c>
      <c r="AZ192" s="11">
        <f ca="1">IFERROR(OFFSET(ITEM_RES!$A$1,MATCH(BA192,ITEM_RES!$J:$J,0)-1,0),0)</f>
        <v>0</v>
      </c>
      <c r="BE192" s="11">
        <f ca="1">IFERROR(OFFSET(ITEM_RES!$A$1,MATCH(BF192,ITEM_RES!$J:$J,0)-1,0),0)</f>
        <v>0</v>
      </c>
      <c r="BJ192" s="11">
        <f ca="1">IFERROR(OFFSET(ITEM_RES!$A$1,MATCH(BK192,ITEM_RES!$J:$J,0)-1,0),0)</f>
        <v>0</v>
      </c>
      <c r="BL192" s="11">
        <f t="shared" si="84"/>
        <v>0</v>
      </c>
    </row>
    <row r="193" spans="1:65" x14ac:dyDescent="0.3">
      <c r="A193" s="14">
        <f t="shared" si="76"/>
        <v>113010009</v>
      </c>
      <c r="B193" s="13">
        <v>11</v>
      </c>
      <c r="C193" s="12">
        <f t="shared" si="77"/>
        <v>3</v>
      </c>
      <c r="D193" s="13">
        <v>1</v>
      </c>
      <c r="E193" s="13">
        <v>0</v>
      </c>
      <c r="F193" s="12">
        <f t="shared" si="78"/>
        <v>9</v>
      </c>
      <c r="H193" s="9">
        <v>3</v>
      </c>
      <c r="I193" s="9">
        <v>9</v>
      </c>
      <c r="K193" s="56" t="s">
        <v>537</v>
      </c>
      <c r="L193" s="9">
        <v>1</v>
      </c>
      <c r="M193" s="9">
        <v>15</v>
      </c>
      <c r="R193" s="9" t="s">
        <v>776</v>
      </c>
      <c r="U193" s="9">
        <f ca="1">IFERROR(OFFSET(ITEM_RES!$A$5,MATCH(BUILDING!T193,ITEM_RES!$J$5:$J$229,0)-1,0),0)</f>
        <v>0</v>
      </c>
      <c r="X193" s="9">
        <f ca="1">IFERROR(OFFSET(ITEM_RES!$A$5,MATCH(BUILDING!W193,ITEM_RES!$J$5:$J$229,0)-1,0),0)</f>
        <v>0</v>
      </c>
      <c r="Z193" s="9" t="s">
        <v>551</v>
      </c>
      <c r="AA193" s="9">
        <v>9</v>
      </c>
      <c r="AC193" s="9">
        <v>6000</v>
      </c>
      <c r="AE193" s="56">
        <f t="shared" si="79"/>
        <v>2400</v>
      </c>
      <c r="AF193" s="10">
        <f t="shared" si="85"/>
        <v>4000</v>
      </c>
      <c r="AH193" s="11">
        <f t="shared" si="80"/>
        <v>45</v>
      </c>
      <c r="AI193" s="10">
        <v>45</v>
      </c>
      <c r="AJ193" s="11">
        <f t="shared" si="81"/>
        <v>150</v>
      </c>
      <c r="AK193" s="10">
        <v>150</v>
      </c>
      <c r="AL193" s="11">
        <f t="shared" si="82"/>
        <v>150</v>
      </c>
      <c r="AM193" s="10">
        <v>150</v>
      </c>
      <c r="AN193" s="56">
        <f t="shared" si="83"/>
        <v>1</v>
      </c>
      <c r="AP193" s="11">
        <f ca="1">IFERROR(OFFSET(ITEM_RES!$A$1,MATCH(AQ193,ITEM_RES!$J:$J,0)-1,0),0)</f>
        <v>211020801</v>
      </c>
      <c r="AQ193" s="10" t="s">
        <v>409</v>
      </c>
      <c r="AR193" s="11">
        <v>750</v>
      </c>
      <c r="AU193" s="11">
        <f ca="1">IFERROR(OFFSET(ITEM_RES!$A$1,MATCH(AV193,ITEM_RES!$J:$J,0)-1,0),0)</f>
        <v>0</v>
      </c>
      <c r="AZ193" s="11">
        <f ca="1">IFERROR(OFFSET(ITEM_RES!$A$1,MATCH(BA193,ITEM_RES!$J:$J,0)-1,0),0)</f>
        <v>0</v>
      </c>
      <c r="BE193" s="11">
        <f ca="1">IFERROR(OFFSET(ITEM_RES!$A$1,MATCH(BF193,ITEM_RES!$J:$J,0)-1,0),0)</f>
        <v>0</v>
      </c>
      <c r="BJ193" s="11">
        <f ca="1">IFERROR(OFFSET(ITEM_RES!$A$1,MATCH(BK193,ITEM_RES!$J:$J,0)-1,0),0)</f>
        <v>0</v>
      </c>
      <c r="BL193" s="11">
        <f t="shared" si="84"/>
        <v>0</v>
      </c>
    </row>
    <row r="194" spans="1:65" x14ac:dyDescent="0.3">
      <c r="A194" s="14">
        <f t="shared" si="76"/>
        <v>113010010</v>
      </c>
      <c r="B194" s="13">
        <v>11</v>
      </c>
      <c r="C194" s="12">
        <f t="shared" si="77"/>
        <v>3</v>
      </c>
      <c r="D194" s="13">
        <v>1</v>
      </c>
      <c r="E194" s="13">
        <v>0</v>
      </c>
      <c r="F194" s="12">
        <f t="shared" si="78"/>
        <v>10</v>
      </c>
      <c r="H194" s="9">
        <v>3</v>
      </c>
      <c r="I194" s="9">
        <v>10</v>
      </c>
      <c r="K194" s="56" t="s">
        <v>537</v>
      </c>
      <c r="L194" s="9">
        <v>1</v>
      </c>
      <c r="M194" s="9">
        <v>15</v>
      </c>
      <c r="R194" s="9" t="s">
        <v>776</v>
      </c>
      <c r="U194" s="9">
        <f ca="1">IFERROR(OFFSET(ITEM_RES!$A$5,MATCH(BUILDING!T194,ITEM_RES!$J$5:$J$229,0)-1,0),0)</f>
        <v>0</v>
      </c>
      <c r="X194" s="9">
        <f ca="1">IFERROR(OFFSET(ITEM_RES!$A$5,MATCH(BUILDING!W194,ITEM_RES!$J$5:$J$229,0)-1,0),0)</f>
        <v>0</v>
      </c>
      <c r="Z194" s="9" t="s">
        <v>551</v>
      </c>
      <c r="AA194" s="9">
        <v>10</v>
      </c>
      <c r="AC194" s="9">
        <v>8000</v>
      </c>
      <c r="AE194" s="56">
        <f t="shared" si="79"/>
        <v>3700</v>
      </c>
      <c r="AF194" s="10">
        <f t="shared" si="85"/>
        <v>6100</v>
      </c>
      <c r="AH194" s="11">
        <f t="shared" si="80"/>
        <v>50</v>
      </c>
      <c r="AI194" s="10">
        <v>50</v>
      </c>
      <c r="AJ194" s="11">
        <f t="shared" si="81"/>
        <v>200</v>
      </c>
      <c r="AK194" s="10">
        <v>200</v>
      </c>
      <c r="AL194" s="11">
        <f t="shared" si="82"/>
        <v>200</v>
      </c>
      <c r="AM194" s="10">
        <v>200</v>
      </c>
      <c r="AN194" s="56">
        <f t="shared" si="83"/>
        <v>2</v>
      </c>
      <c r="AP194" s="11">
        <f ca="1">IFERROR(OFFSET(ITEM_RES!$A$1,MATCH(AQ194,ITEM_RES!$J:$J,0)-1,0),0)</f>
        <v>211020801</v>
      </c>
      <c r="AQ194" s="10" t="s">
        <v>409</v>
      </c>
      <c r="AR194" s="11">
        <v>1000</v>
      </c>
      <c r="AU194" s="11">
        <f ca="1">IFERROR(OFFSET(ITEM_RES!$A$1,MATCH(AV194,ITEM_RES!$J:$J,0)-1,0),0)</f>
        <v>0</v>
      </c>
      <c r="AZ194" s="11">
        <f ca="1">IFERROR(OFFSET(ITEM_RES!$A$1,MATCH(BA194,ITEM_RES!$J:$J,0)-1,0),0)</f>
        <v>0</v>
      </c>
      <c r="BE194" s="11">
        <f ca="1">IFERROR(OFFSET(ITEM_RES!$A$1,MATCH(BF194,ITEM_RES!$J:$J,0)-1,0),0)</f>
        <v>213010801</v>
      </c>
      <c r="BF194" s="10" t="s">
        <v>492</v>
      </c>
      <c r="BG194" s="11">
        <v>1</v>
      </c>
      <c r="BJ194" s="11">
        <f ca="1">IFERROR(OFFSET(ITEM_RES!$A$1,MATCH(BK194,ITEM_RES!$J:$J,0)-1,0),0)</f>
        <v>0</v>
      </c>
      <c r="BL194" s="11">
        <f t="shared" si="84"/>
        <v>0</v>
      </c>
    </row>
    <row r="195" spans="1:65" x14ac:dyDescent="0.3">
      <c r="A195" s="14">
        <f t="shared" si="76"/>
        <v>113010011</v>
      </c>
      <c r="B195" s="13">
        <v>11</v>
      </c>
      <c r="C195" s="12">
        <f t="shared" si="77"/>
        <v>3</v>
      </c>
      <c r="D195" s="13">
        <v>1</v>
      </c>
      <c r="E195" s="13">
        <v>0</v>
      </c>
      <c r="F195" s="12">
        <f t="shared" si="78"/>
        <v>11</v>
      </c>
      <c r="H195" s="9">
        <v>3</v>
      </c>
      <c r="I195" s="9">
        <v>11</v>
      </c>
      <c r="K195" s="56" t="s">
        <v>537</v>
      </c>
      <c r="L195" s="9">
        <v>1</v>
      </c>
      <c r="M195" s="9">
        <v>15</v>
      </c>
      <c r="R195" s="9" t="s">
        <v>776</v>
      </c>
      <c r="U195" s="9">
        <f ca="1">IFERROR(OFFSET(ITEM_RES!$A$5,MATCH(BUILDING!T195,ITEM_RES!$J$5:$J$229,0)-1,0),0)</f>
        <v>0</v>
      </c>
      <c r="X195" s="9">
        <f ca="1">IFERROR(OFFSET(ITEM_RES!$A$5,MATCH(BUILDING!W195,ITEM_RES!$J$5:$J$229,0)-1,0),0)</f>
        <v>0</v>
      </c>
      <c r="Z195" s="9" t="s">
        <v>551</v>
      </c>
      <c r="AA195" s="9">
        <v>11</v>
      </c>
      <c r="AC195" s="9">
        <v>10000</v>
      </c>
      <c r="AE195" s="56">
        <f t="shared" si="79"/>
        <v>4000</v>
      </c>
      <c r="AF195" s="10">
        <f t="shared" si="85"/>
        <v>7700</v>
      </c>
      <c r="AH195" s="11">
        <f t="shared" si="80"/>
        <v>55</v>
      </c>
      <c r="AI195" s="10">
        <v>55</v>
      </c>
      <c r="AJ195" s="11">
        <f t="shared" si="81"/>
        <v>250</v>
      </c>
      <c r="AK195" s="10">
        <v>250</v>
      </c>
      <c r="AL195" s="11">
        <f t="shared" si="82"/>
        <v>250</v>
      </c>
      <c r="AM195" s="10">
        <v>250</v>
      </c>
      <c r="AN195" s="56">
        <f t="shared" si="83"/>
        <v>1</v>
      </c>
      <c r="AP195" s="11">
        <f ca="1">IFERROR(OFFSET(ITEM_RES!$A$1,MATCH(AQ195,ITEM_RES!$J:$J,0)-1,0),0)</f>
        <v>211020801</v>
      </c>
      <c r="AQ195" s="10" t="s">
        <v>409</v>
      </c>
      <c r="AR195" s="11">
        <v>1250</v>
      </c>
      <c r="AU195" s="11">
        <f ca="1">IFERROR(OFFSET(ITEM_RES!$A$1,MATCH(AV195,ITEM_RES!$J:$J,0)-1,0),0)</f>
        <v>0</v>
      </c>
      <c r="AZ195" s="11">
        <f ca="1">IFERROR(OFFSET(ITEM_RES!$A$1,MATCH(BA195,ITEM_RES!$J:$J,0)-1,0),0)</f>
        <v>0</v>
      </c>
      <c r="BE195" s="11">
        <f ca="1">IFERROR(OFFSET(ITEM_RES!$A$1,MATCH(BF195,ITEM_RES!$J:$J,0)-1,0),0)</f>
        <v>0</v>
      </c>
      <c r="BJ195" s="11">
        <f ca="1">IFERROR(OFFSET(ITEM_RES!$A$1,MATCH(BK195,ITEM_RES!$J:$J,0)-1,0),0)</f>
        <v>0</v>
      </c>
      <c r="BL195" s="11">
        <f t="shared" si="84"/>
        <v>0</v>
      </c>
    </row>
    <row r="196" spans="1:65" x14ac:dyDescent="0.3">
      <c r="A196" s="14">
        <f t="shared" si="76"/>
        <v>113010012</v>
      </c>
      <c r="B196" s="13">
        <v>11</v>
      </c>
      <c r="C196" s="12">
        <f t="shared" si="77"/>
        <v>3</v>
      </c>
      <c r="D196" s="13">
        <v>1</v>
      </c>
      <c r="E196" s="13">
        <v>0</v>
      </c>
      <c r="F196" s="12">
        <f t="shared" si="78"/>
        <v>12</v>
      </c>
      <c r="H196" s="9">
        <v>3</v>
      </c>
      <c r="I196" s="9">
        <v>12</v>
      </c>
      <c r="K196" s="56" t="s">
        <v>537</v>
      </c>
      <c r="L196" s="9">
        <v>1</v>
      </c>
      <c r="M196" s="9">
        <v>15</v>
      </c>
      <c r="R196" s="9" t="s">
        <v>776</v>
      </c>
      <c r="U196" s="9">
        <f ca="1">IFERROR(OFFSET(ITEM_RES!$A$5,MATCH(BUILDING!T196,ITEM_RES!$J$5:$J$229,0)-1,0),0)</f>
        <v>0</v>
      </c>
      <c r="X196" s="9">
        <f ca="1">IFERROR(OFFSET(ITEM_RES!$A$5,MATCH(BUILDING!W196,ITEM_RES!$J$5:$J$229,0)-1,0),0)</f>
        <v>0</v>
      </c>
      <c r="Z196" s="9" t="s">
        <v>551</v>
      </c>
      <c r="AA196" s="9">
        <v>12</v>
      </c>
      <c r="AC196" s="9">
        <v>12000</v>
      </c>
      <c r="AE196" s="56">
        <f t="shared" si="79"/>
        <v>6300</v>
      </c>
      <c r="AF196" s="10">
        <f t="shared" si="85"/>
        <v>10300</v>
      </c>
      <c r="AH196" s="11">
        <f t="shared" si="80"/>
        <v>60</v>
      </c>
      <c r="AI196" s="10">
        <v>60</v>
      </c>
      <c r="AJ196" s="11">
        <f t="shared" si="81"/>
        <v>300</v>
      </c>
      <c r="AK196" s="10">
        <v>300</v>
      </c>
      <c r="AL196" s="11">
        <f t="shared" si="82"/>
        <v>300</v>
      </c>
      <c r="AM196" s="10">
        <v>300</v>
      </c>
      <c r="AN196" s="56">
        <f t="shared" si="83"/>
        <v>2</v>
      </c>
      <c r="AP196" s="11">
        <f ca="1">IFERROR(OFFSET(ITEM_RES!$A$1,MATCH(AQ196,ITEM_RES!$J:$J,0)-1,0),0)</f>
        <v>211020801</v>
      </c>
      <c r="AQ196" s="10" t="s">
        <v>409</v>
      </c>
      <c r="AR196" s="11">
        <v>1500</v>
      </c>
      <c r="AU196" s="11">
        <f ca="1">IFERROR(OFFSET(ITEM_RES!$A$1,MATCH(AV196,ITEM_RES!$J:$J,0)-1,0),0)</f>
        <v>211020901</v>
      </c>
      <c r="AV196" s="10" t="s">
        <v>410</v>
      </c>
      <c r="AW196" s="11">
        <v>1500</v>
      </c>
      <c r="AZ196" s="11">
        <f ca="1">IFERROR(OFFSET(ITEM_RES!$A$1,MATCH(BA196,ITEM_RES!$J:$J,0)-1,0),0)</f>
        <v>0</v>
      </c>
      <c r="BE196" s="11">
        <f ca="1">IFERROR(OFFSET(ITEM_RES!$A$1,MATCH(BF196,ITEM_RES!$J:$J,0)-1,0),0)</f>
        <v>0</v>
      </c>
      <c r="BJ196" s="11">
        <f ca="1">IFERROR(OFFSET(ITEM_RES!$A$1,MATCH(BK196,ITEM_RES!$J:$J,0)-1,0),0)</f>
        <v>0</v>
      </c>
      <c r="BL196" s="11">
        <f t="shared" si="84"/>
        <v>0</v>
      </c>
    </row>
    <row r="197" spans="1:65" x14ac:dyDescent="0.3">
      <c r="A197" s="14">
        <f t="shared" si="76"/>
        <v>113010013</v>
      </c>
      <c r="B197" s="13">
        <v>11</v>
      </c>
      <c r="C197" s="12">
        <f t="shared" si="77"/>
        <v>3</v>
      </c>
      <c r="D197" s="13">
        <v>1</v>
      </c>
      <c r="E197" s="13">
        <v>0</v>
      </c>
      <c r="F197" s="12">
        <f t="shared" si="78"/>
        <v>13</v>
      </c>
      <c r="H197" s="9">
        <v>3</v>
      </c>
      <c r="I197" s="9">
        <v>13</v>
      </c>
      <c r="K197" s="56" t="s">
        <v>537</v>
      </c>
      <c r="L197" s="9">
        <v>1</v>
      </c>
      <c r="M197" s="9">
        <v>15</v>
      </c>
      <c r="R197" s="9" t="s">
        <v>776</v>
      </c>
      <c r="U197" s="9">
        <f ca="1">IFERROR(OFFSET(ITEM_RES!$A$5,MATCH(BUILDING!T197,ITEM_RES!$J$5:$J$229,0)-1,0),0)</f>
        <v>0</v>
      </c>
      <c r="X197" s="9">
        <f ca="1">IFERROR(OFFSET(ITEM_RES!$A$5,MATCH(BUILDING!W197,ITEM_RES!$J$5:$J$229,0)-1,0),0)</f>
        <v>0</v>
      </c>
      <c r="Z197" s="9" t="s">
        <v>551</v>
      </c>
      <c r="AA197" s="9">
        <v>13</v>
      </c>
      <c r="AC197" s="9">
        <v>14000</v>
      </c>
      <c r="AE197" s="56">
        <f t="shared" si="79"/>
        <v>7350</v>
      </c>
      <c r="AF197" s="10">
        <f t="shared" si="85"/>
        <v>13650</v>
      </c>
      <c r="AH197" s="11">
        <f t="shared" si="80"/>
        <v>65</v>
      </c>
      <c r="AI197" s="10">
        <v>65</v>
      </c>
      <c r="AJ197" s="11">
        <f t="shared" si="81"/>
        <v>350</v>
      </c>
      <c r="AK197" s="10">
        <v>350</v>
      </c>
      <c r="AL197" s="11">
        <f t="shared" si="82"/>
        <v>350</v>
      </c>
      <c r="AM197" s="10">
        <v>350</v>
      </c>
      <c r="AN197" s="56">
        <f t="shared" si="83"/>
        <v>2</v>
      </c>
      <c r="AP197" s="11">
        <f ca="1">IFERROR(OFFSET(ITEM_RES!$A$1,MATCH(AQ197,ITEM_RES!$J:$J,0)-1,0),0)</f>
        <v>211020801</v>
      </c>
      <c r="AQ197" s="10" t="s">
        <v>409</v>
      </c>
      <c r="AR197" s="11">
        <v>1750</v>
      </c>
      <c r="AU197" s="11">
        <f ca="1">IFERROR(OFFSET(ITEM_RES!$A$1,MATCH(AV197,ITEM_RES!$J:$J,0)-1,0),0)</f>
        <v>211020901</v>
      </c>
      <c r="AV197" s="10" t="s">
        <v>410</v>
      </c>
      <c r="AW197" s="11">
        <v>1750</v>
      </c>
      <c r="AZ197" s="11">
        <f ca="1">IFERROR(OFFSET(ITEM_RES!$A$1,MATCH(BA197,ITEM_RES!$J:$J,0)-1,0),0)</f>
        <v>0</v>
      </c>
      <c r="BE197" s="11">
        <f ca="1">IFERROR(OFFSET(ITEM_RES!$A$1,MATCH(BF197,ITEM_RES!$J:$J,0)-1,0),0)</f>
        <v>0</v>
      </c>
      <c r="BJ197" s="11">
        <f ca="1">IFERROR(OFFSET(ITEM_RES!$A$1,MATCH(BK197,ITEM_RES!$J:$J,0)-1,0),0)</f>
        <v>0</v>
      </c>
      <c r="BL197" s="11">
        <f t="shared" si="84"/>
        <v>0</v>
      </c>
    </row>
    <row r="198" spans="1:65" x14ac:dyDescent="0.3">
      <c r="A198" s="14">
        <f t="shared" si="76"/>
        <v>113010014</v>
      </c>
      <c r="B198" s="13">
        <v>11</v>
      </c>
      <c r="C198" s="12">
        <f t="shared" si="77"/>
        <v>3</v>
      </c>
      <c r="D198" s="13">
        <v>1</v>
      </c>
      <c r="E198" s="13">
        <v>0</v>
      </c>
      <c r="F198" s="12">
        <f t="shared" si="78"/>
        <v>14</v>
      </c>
      <c r="H198" s="9">
        <v>3</v>
      </c>
      <c r="I198" s="9">
        <v>14</v>
      </c>
      <c r="K198" s="56" t="s">
        <v>537</v>
      </c>
      <c r="L198" s="9">
        <v>1</v>
      </c>
      <c r="M198" s="9">
        <v>15</v>
      </c>
      <c r="R198" s="9" t="s">
        <v>776</v>
      </c>
      <c r="U198" s="9">
        <f ca="1">IFERROR(OFFSET(ITEM_RES!$A$5,MATCH(BUILDING!T198,ITEM_RES!$J$5:$J$229,0)-1,0),0)</f>
        <v>0</v>
      </c>
      <c r="X198" s="9">
        <f ca="1">IFERROR(OFFSET(ITEM_RES!$A$5,MATCH(BUILDING!W198,ITEM_RES!$J$5:$J$229,0)-1,0),0)</f>
        <v>0</v>
      </c>
      <c r="Z198" s="9" t="s">
        <v>551</v>
      </c>
      <c r="AA198" s="9">
        <v>14</v>
      </c>
      <c r="AC198" s="9">
        <v>18000</v>
      </c>
      <c r="AE198" s="56">
        <f t="shared" si="79"/>
        <v>9450</v>
      </c>
      <c r="AF198" s="10">
        <f t="shared" si="85"/>
        <v>16800</v>
      </c>
      <c r="AH198" s="11">
        <f t="shared" si="80"/>
        <v>70</v>
      </c>
      <c r="AI198" s="10">
        <v>70</v>
      </c>
      <c r="AJ198" s="11">
        <f t="shared" si="81"/>
        <v>450</v>
      </c>
      <c r="AK198" s="10">
        <v>450</v>
      </c>
      <c r="AL198" s="11">
        <f t="shared" si="82"/>
        <v>450</v>
      </c>
      <c r="AM198" s="10">
        <v>450</v>
      </c>
      <c r="AN198" s="56">
        <f t="shared" si="83"/>
        <v>2</v>
      </c>
      <c r="AP198" s="11">
        <f ca="1">IFERROR(OFFSET(ITEM_RES!$A$1,MATCH(AQ198,ITEM_RES!$J:$J,0)-1,0),0)</f>
        <v>211020801</v>
      </c>
      <c r="AQ198" s="10" t="s">
        <v>409</v>
      </c>
      <c r="AR198" s="11">
        <v>2250</v>
      </c>
      <c r="AU198" s="11">
        <f ca="1">IFERROR(OFFSET(ITEM_RES!$A$1,MATCH(AV198,ITEM_RES!$J:$J,0)-1,0),0)</f>
        <v>211020901</v>
      </c>
      <c r="AV198" s="10" t="s">
        <v>410</v>
      </c>
      <c r="AW198" s="11">
        <v>2250</v>
      </c>
      <c r="AZ198" s="11">
        <f ca="1">IFERROR(OFFSET(ITEM_RES!$A$1,MATCH(BA198,ITEM_RES!$J:$J,0)-1,0),0)</f>
        <v>0</v>
      </c>
      <c r="BE198" s="11">
        <f ca="1">IFERROR(OFFSET(ITEM_RES!$A$1,MATCH(BF198,ITEM_RES!$J:$J,0)-1,0),0)</f>
        <v>0</v>
      </c>
      <c r="BJ198" s="11">
        <f ca="1">IFERROR(OFFSET(ITEM_RES!$A$1,MATCH(BK198,ITEM_RES!$J:$J,0)-1,0),0)</f>
        <v>0</v>
      </c>
      <c r="BL198" s="11">
        <f t="shared" si="84"/>
        <v>0</v>
      </c>
    </row>
    <row r="199" spans="1:65" x14ac:dyDescent="0.3">
      <c r="A199" s="14">
        <f t="shared" si="76"/>
        <v>113010015</v>
      </c>
      <c r="B199" s="13">
        <v>11</v>
      </c>
      <c r="C199" s="12">
        <f t="shared" si="77"/>
        <v>3</v>
      </c>
      <c r="D199" s="13">
        <v>1</v>
      </c>
      <c r="E199" s="13">
        <v>0</v>
      </c>
      <c r="F199" s="12">
        <f t="shared" si="78"/>
        <v>15</v>
      </c>
      <c r="H199" s="9">
        <v>3</v>
      </c>
      <c r="I199" s="9">
        <v>15</v>
      </c>
      <c r="K199" s="56" t="s">
        <v>537</v>
      </c>
      <c r="L199" s="9">
        <v>1</v>
      </c>
      <c r="M199" s="9">
        <v>15</v>
      </c>
      <c r="R199" s="9" t="s">
        <v>776</v>
      </c>
      <c r="U199" s="9">
        <f ca="1">IFERROR(OFFSET(ITEM_RES!$A$5,MATCH(BUILDING!T199,ITEM_RES!$J$5:$J$229,0)-1,0),0)</f>
        <v>0</v>
      </c>
      <c r="X199" s="9">
        <f ca="1">IFERROR(OFFSET(ITEM_RES!$A$5,MATCH(BUILDING!W199,ITEM_RES!$J$5:$J$229,0)-1,0),0)</f>
        <v>0</v>
      </c>
      <c r="Z199" s="9" t="s">
        <v>551</v>
      </c>
      <c r="AA199" s="9">
        <v>15</v>
      </c>
      <c r="AC199" s="9">
        <v>22000</v>
      </c>
      <c r="AE199" s="56">
        <f t="shared" si="79"/>
        <v>11550</v>
      </c>
      <c r="AF199" s="10">
        <f t="shared" si="85"/>
        <v>21000</v>
      </c>
      <c r="AH199" s="11">
        <f t="shared" si="80"/>
        <v>75</v>
      </c>
      <c r="AI199" s="10">
        <v>75</v>
      </c>
      <c r="AJ199" s="11">
        <f t="shared" si="81"/>
        <v>550</v>
      </c>
      <c r="AK199" s="10">
        <v>550</v>
      </c>
      <c r="AL199" s="11">
        <f t="shared" si="82"/>
        <v>550</v>
      </c>
      <c r="AM199" s="10">
        <v>550</v>
      </c>
      <c r="AN199" s="56">
        <f t="shared" si="83"/>
        <v>2</v>
      </c>
      <c r="AP199" s="11">
        <f ca="1">IFERROR(OFFSET(ITEM_RES!$A$1,MATCH(AQ199,ITEM_RES!$J:$J,0)-1,0),0)</f>
        <v>211020801</v>
      </c>
      <c r="AQ199" s="10" t="s">
        <v>409</v>
      </c>
      <c r="AR199" s="11">
        <v>2750</v>
      </c>
      <c r="AU199" s="11">
        <f ca="1">IFERROR(OFFSET(ITEM_RES!$A$1,MATCH(AV199,ITEM_RES!$J:$J,0)-1,0),0)</f>
        <v>211020901</v>
      </c>
      <c r="AV199" s="10" t="s">
        <v>410</v>
      </c>
      <c r="AW199" s="11">
        <v>2750</v>
      </c>
      <c r="AZ199" s="11">
        <f ca="1">IFERROR(OFFSET(ITEM_RES!$A$1,MATCH(BA199,ITEM_RES!$J:$J,0)-1,0),0)</f>
        <v>0</v>
      </c>
      <c r="BE199" s="11">
        <f ca="1">IFERROR(OFFSET(ITEM_RES!$A$1,MATCH(BF199,ITEM_RES!$J:$J,0)-1,0),0)</f>
        <v>0</v>
      </c>
      <c r="BJ199" s="11">
        <f ca="1">IFERROR(OFFSET(ITEM_RES!$A$1,MATCH(BK199,ITEM_RES!$J:$J,0)-1,0),0)</f>
        <v>0</v>
      </c>
      <c r="BL199" s="11">
        <f t="shared" si="84"/>
        <v>0</v>
      </c>
    </row>
    <row r="200" spans="1:65" x14ac:dyDescent="0.3">
      <c r="A200" s="14">
        <f t="shared" si="76"/>
        <v>113010016</v>
      </c>
      <c r="B200" s="13">
        <v>11</v>
      </c>
      <c r="C200" s="12">
        <f t="shared" si="77"/>
        <v>3</v>
      </c>
      <c r="D200" s="13">
        <v>1</v>
      </c>
      <c r="E200" s="13">
        <v>0</v>
      </c>
      <c r="F200" s="12">
        <f t="shared" si="78"/>
        <v>16</v>
      </c>
      <c r="H200" s="9">
        <v>3</v>
      </c>
      <c r="I200" s="9">
        <v>16</v>
      </c>
      <c r="K200" s="56" t="s">
        <v>537</v>
      </c>
      <c r="L200" s="9">
        <v>0</v>
      </c>
      <c r="M200" s="9">
        <v>15</v>
      </c>
      <c r="R200" s="9" t="s">
        <v>776</v>
      </c>
      <c r="U200" s="9">
        <f ca="1">IFERROR(OFFSET(ITEM_RES!$A$5,MATCH(BUILDING!T200,ITEM_RES!$J$5:$J$229,0)-1,0),0)</f>
        <v>0</v>
      </c>
      <c r="X200" s="9">
        <f ca="1">IFERROR(OFFSET(ITEM_RES!$A$5,MATCH(BUILDING!W200,ITEM_RES!$J$5:$J$229,0)-1,0),0)</f>
        <v>0</v>
      </c>
      <c r="Z200" s="9" t="s">
        <v>551</v>
      </c>
      <c r="AA200" s="9">
        <v>16</v>
      </c>
      <c r="AC200" s="9">
        <v>28000</v>
      </c>
      <c r="AE200" s="56">
        <f t="shared" si="79"/>
        <v>14700</v>
      </c>
      <c r="AF200" s="10">
        <f t="shared" si="85"/>
        <v>26250</v>
      </c>
      <c r="AH200" s="11">
        <f t="shared" si="80"/>
        <v>80</v>
      </c>
      <c r="AI200" s="10">
        <v>80</v>
      </c>
      <c r="AJ200" s="11">
        <f t="shared" si="81"/>
        <v>700</v>
      </c>
      <c r="AK200" s="10">
        <v>700</v>
      </c>
      <c r="AL200" s="11">
        <f t="shared" si="82"/>
        <v>700</v>
      </c>
      <c r="AM200" s="10">
        <v>700</v>
      </c>
      <c r="AN200" s="56">
        <f t="shared" si="83"/>
        <v>2</v>
      </c>
      <c r="AP200" s="11">
        <f ca="1">IFERROR(OFFSET(ITEM_RES!$A$1,MATCH(AQ200,ITEM_RES!$J:$J,0)-1,0),0)</f>
        <v>211020801</v>
      </c>
      <c r="AQ200" s="10" t="s">
        <v>409</v>
      </c>
      <c r="AR200" s="11">
        <v>3500</v>
      </c>
      <c r="AU200" s="11">
        <f ca="1">IFERROR(OFFSET(ITEM_RES!$A$1,MATCH(AV200,ITEM_RES!$J:$J,0)-1,0),0)</f>
        <v>211020901</v>
      </c>
      <c r="AV200" s="10" t="s">
        <v>410</v>
      </c>
      <c r="AW200" s="11">
        <v>3500</v>
      </c>
      <c r="AZ200" s="11">
        <f ca="1">IFERROR(OFFSET(ITEM_RES!$A$1,MATCH(BA200,ITEM_RES!$J:$J,0)-1,0),0)</f>
        <v>0</v>
      </c>
      <c r="BE200" s="11">
        <f ca="1">IFERROR(OFFSET(ITEM_RES!$A$1,MATCH(BF200,ITEM_RES!$J:$J,0)-1,0),0)</f>
        <v>0</v>
      </c>
      <c r="BJ200" s="11">
        <f ca="1">IFERROR(OFFSET(ITEM_RES!$A$1,MATCH(BK200,ITEM_RES!$J:$J,0)-1,0),0)</f>
        <v>0</v>
      </c>
      <c r="BL200" s="11">
        <f t="shared" si="84"/>
        <v>0</v>
      </c>
    </row>
    <row r="201" spans="1:65" x14ac:dyDescent="0.3">
      <c r="A201" s="14">
        <f t="shared" si="76"/>
        <v>113010017</v>
      </c>
      <c r="B201" s="13">
        <v>11</v>
      </c>
      <c r="C201" s="12">
        <f t="shared" si="77"/>
        <v>3</v>
      </c>
      <c r="D201" s="13">
        <v>1</v>
      </c>
      <c r="E201" s="13">
        <v>0</v>
      </c>
      <c r="F201" s="12">
        <f t="shared" si="78"/>
        <v>17</v>
      </c>
      <c r="H201" s="9">
        <v>3</v>
      </c>
      <c r="I201" s="9">
        <v>17</v>
      </c>
      <c r="K201" s="56" t="s">
        <v>537</v>
      </c>
      <c r="L201" s="9">
        <v>0</v>
      </c>
      <c r="M201" s="9">
        <v>15</v>
      </c>
      <c r="R201" s="9" t="s">
        <v>776</v>
      </c>
      <c r="U201" s="9">
        <f ca="1">IFERROR(OFFSET(ITEM_RES!$A$5,MATCH(BUILDING!T201,ITEM_RES!$J$5:$J$229,0)-1,0),0)</f>
        <v>0</v>
      </c>
      <c r="X201" s="9">
        <f ca="1">IFERROR(OFFSET(ITEM_RES!$A$5,MATCH(BUILDING!W201,ITEM_RES!$J$5:$J$229,0)-1,0),0)</f>
        <v>0</v>
      </c>
      <c r="Z201" s="9" t="s">
        <v>551</v>
      </c>
      <c r="AA201" s="9">
        <v>17</v>
      </c>
      <c r="AC201" s="9">
        <v>34000</v>
      </c>
      <c r="AE201" s="56">
        <f t="shared" si="79"/>
        <v>17850</v>
      </c>
      <c r="AF201" s="10">
        <f t="shared" si="85"/>
        <v>32550</v>
      </c>
      <c r="AH201" s="11">
        <f t="shared" si="80"/>
        <v>85</v>
      </c>
      <c r="AI201" s="10">
        <v>85</v>
      </c>
      <c r="AJ201" s="11">
        <f t="shared" si="81"/>
        <v>850</v>
      </c>
      <c r="AK201" s="10">
        <v>850</v>
      </c>
      <c r="AL201" s="11">
        <f t="shared" si="82"/>
        <v>850</v>
      </c>
      <c r="AM201" s="10">
        <v>850</v>
      </c>
      <c r="AN201" s="56">
        <f t="shared" si="83"/>
        <v>2</v>
      </c>
      <c r="AP201" s="11">
        <f ca="1">IFERROR(OFFSET(ITEM_RES!$A$1,MATCH(AQ201,ITEM_RES!$J:$J,0)-1,0),0)</f>
        <v>211020801</v>
      </c>
      <c r="AQ201" s="10" t="s">
        <v>409</v>
      </c>
      <c r="AR201" s="11">
        <v>4250</v>
      </c>
      <c r="AU201" s="11">
        <f ca="1">IFERROR(OFFSET(ITEM_RES!$A$1,MATCH(AV201,ITEM_RES!$J:$J,0)-1,0),0)</f>
        <v>211020901</v>
      </c>
      <c r="AV201" s="10" t="s">
        <v>410</v>
      </c>
      <c r="AW201" s="11">
        <v>4250</v>
      </c>
      <c r="AZ201" s="11">
        <f ca="1">IFERROR(OFFSET(ITEM_RES!$A$1,MATCH(BA201,ITEM_RES!$J:$J,0)-1,0),0)</f>
        <v>0</v>
      </c>
      <c r="BE201" s="11">
        <f ca="1">IFERROR(OFFSET(ITEM_RES!$A$1,MATCH(BF201,ITEM_RES!$J:$J,0)-1,0),0)</f>
        <v>0</v>
      </c>
      <c r="BJ201" s="11">
        <f ca="1">IFERROR(OFFSET(ITEM_RES!$A$1,MATCH(BK201,ITEM_RES!$J:$J,0)-1,0),0)</f>
        <v>0</v>
      </c>
      <c r="BL201" s="11">
        <f t="shared" si="84"/>
        <v>0</v>
      </c>
    </row>
    <row r="202" spans="1:65" x14ac:dyDescent="0.3">
      <c r="A202" s="14">
        <f t="shared" si="76"/>
        <v>113010018</v>
      </c>
      <c r="B202" s="13">
        <v>11</v>
      </c>
      <c r="C202" s="12">
        <f t="shared" si="77"/>
        <v>3</v>
      </c>
      <c r="D202" s="13">
        <v>1</v>
      </c>
      <c r="E202" s="13">
        <v>0</v>
      </c>
      <c r="F202" s="12">
        <f t="shared" si="78"/>
        <v>18</v>
      </c>
      <c r="H202" s="9">
        <v>3</v>
      </c>
      <c r="I202" s="9">
        <v>18</v>
      </c>
      <c r="K202" s="56" t="s">
        <v>537</v>
      </c>
      <c r="L202" s="9">
        <v>0</v>
      </c>
      <c r="M202" s="9">
        <v>15</v>
      </c>
      <c r="R202" s="9" t="s">
        <v>776</v>
      </c>
      <c r="U202" s="9">
        <f ca="1">IFERROR(OFFSET(ITEM_RES!$A$5,MATCH(BUILDING!T202,ITEM_RES!$J$5:$J$229,0)-1,0),0)</f>
        <v>0</v>
      </c>
      <c r="X202" s="9">
        <f ca="1">IFERROR(OFFSET(ITEM_RES!$A$5,MATCH(BUILDING!W202,ITEM_RES!$J$5:$J$229,0)-1,0),0)</f>
        <v>0</v>
      </c>
      <c r="Z202" s="9" t="s">
        <v>551</v>
      </c>
      <c r="AA202" s="9">
        <v>18</v>
      </c>
      <c r="AC202" s="9">
        <v>42000</v>
      </c>
      <c r="AE202" s="56">
        <f t="shared" si="79"/>
        <v>22050</v>
      </c>
      <c r="AF202" s="10">
        <f t="shared" si="85"/>
        <v>39900</v>
      </c>
      <c r="AH202" s="11">
        <f t="shared" si="80"/>
        <v>90</v>
      </c>
      <c r="AI202" s="10">
        <v>90</v>
      </c>
      <c r="AJ202" s="11">
        <f t="shared" si="81"/>
        <v>1050</v>
      </c>
      <c r="AK202" s="10">
        <v>1050</v>
      </c>
      <c r="AL202" s="11">
        <f t="shared" si="82"/>
        <v>1050</v>
      </c>
      <c r="AM202" s="10">
        <v>1050</v>
      </c>
      <c r="AN202" s="56">
        <f t="shared" si="83"/>
        <v>2</v>
      </c>
      <c r="AP202" s="11">
        <f ca="1">IFERROR(OFFSET(ITEM_RES!$A$1,MATCH(AQ202,ITEM_RES!$J:$J,0)-1,0),0)</f>
        <v>211020801</v>
      </c>
      <c r="AQ202" s="10" t="s">
        <v>409</v>
      </c>
      <c r="AR202" s="11">
        <v>5250</v>
      </c>
      <c r="AU202" s="11">
        <f ca="1">IFERROR(OFFSET(ITEM_RES!$A$1,MATCH(AV202,ITEM_RES!$J:$J,0)-1,0),0)</f>
        <v>211020901</v>
      </c>
      <c r="AV202" s="10" t="s">
        <v>410</v>
      </c>
      <c r="AW202" s="11">
        <v>5250</v>
      </c>
      <c r="AZ202" s="11">
        <f ca="1">IFERROR(OFFSET(ITEM_RES!$A$1,MATCH(BA202,ITEM_RES!$J:$J,0)-1,0),0)</f>
        <v>0</v>
      </c>
      <c r="BE202" s="11">
        <f ca="1">IFERROR(OFFSET(ITEM_RES!$A$1,MATCH(BF202,ITEM_RES!$J:$J,0)-1,0),0)</f>
        <v>0</v>
      </c>
      <c r="BJ202" s="11">
        <f ca="1">IFERROR(OFFSET(ITEM_RES!$A$1,MATCH(BK202,ITEM_RES!$J:$J,0)-1,0),0)</f>
        <v>0</v>
      </c>
      <c r="BL202" s="11">
        <f t="shared" si="84"/>
        <v>0</v>
      </c>
    </row>
    <row r="203" spans="1:65" x14ac:dyDescent="0.3">
      <c r="A203" s="14">
        <f t="shared" si="76"/>
        <v>113010019</v>
      </c>
      <c r="B203" s="13">
        <v>11</v>
      </c>
      <c r="C203" s="12">
        <f t="shared" si="77"/>
        <v>3</v>
      </c>
      <c r="D203" s="13">
        <v>1</v>
      </c>
      <c r="E203" s="13">
        <v>0</v>
      </c>
      <c r="F203" s="12">
        <f t="shared" si="78"/>
        <v>19</v>
      </c>
      <c r="H203" s="9">
        <v>3</v>
      </c>
      <c r="I203" s="9">
        <v>19</v>
      </c>
      <c r="K203" s="56" t="s">
        <v>537</v>
      </c>
      <c r="L203" s="9">
        <v>0</v>
      </c>
      <c r="M203" s="9">
        <v>15</v>
      </c>
      <c r="R203" s="9" t="s">
        <v>776</v>
      </c>
      <c r="U203" s="9">
        <f ca="1">IFERROR(OFFSET(ITEM_RES!$A$5,MATCH(BUILDING!T203,ITEM_RES!$J$5:$J$229,0)-1,0),0)</f>
        <v>0</v>
      </c>
      <c r="X203" s="9">
        <f ca="1">IFERROR(OFFSET(ITEM_RES!$A$5,MATCH(BUILDING!W203,ITEM_RES!$J$5:$J$229,0)-1,0),0)</f>
        <v>0</v>
      </c>
      <c r="Z203" s="9" t="s">
        <v>551</v>
      </c>
      <c r="AA203" s="9">
        <v>19</v>
      </c>
      <c r="AC203" s="9">
        <v>50000</v>
      </c>
      <c r="AE203" s="56">
        <f t="shared" si="79"/>
        <v>26250</v>
      </c>
      <c r="AF203" s="10">
        <f t="shared" si="85"/>
        <v>48300</v>
      </c>
      <c r="AH203" s="11">
        <f t="shared" si="80"/>
        <v>95</v>
      </c>
      <c r="AI203" s="10">
        <v>95</v>
      </c>
      <c r="AJ203" s="11">
        <f t="shared" si="81"/>
        <v>1250</v>
      </c>
      <c r="AK203" s="10">
        <v>1250</v>
      </c>
      <c r="AL203" s="11">
        <f t="shared" si="82"/>
        <v>1250</v>
      </c>
      <c r="AM203" s="10">
        <v>1250</v>
      </c>
      <c r="AN203" s="56">
        <f t="shared" si="83"/>
        <v>2</v>
      </c>
      <c r="AP203" s="11">
        <f ca="1">IFERROR(OFFSET(ITEM_RES!$A$1,MATCH(AQ203,ITEM_RES!$J:$J,0)-1,0),0)</f>
        <v>211020901</v>
      </c>
      <c r="AQ203" s="10" t="s">
        <v>410</v>
      </c>
      <c r="AR203" s="11">
        <v>6250</v>
      </c>
      <c r="AU203" s="11">
        <f ca="1">IFERROR(OFFSET(ITEM_RES!$A$1,MATCH(AV203,ITEM_RES!$J:$J,0)-1,0),0)</f>
        <v>211020501</v>
      </c>
      <c r="AV203" s="10" t="s">
        <v>445</v>
      </c>
      <c r="AW203" s="11">
        <v>6250</v>
      </c>
      <c r="AZ203" s="11">
        <f ca="1">IFERROR(OFFSET(ITEM_RES!$A$1,MATCH(BA203,ITEM_RES!$J:$J,0)-1,0),0)</f>
        <v>0</v>
      </c>
      <c r="BE203" s="11">
        <f ca="1">IFERROR(OFFSET(ITEM_RES!$A$1,MATCH(BF203,ITEM_RES!$J:$J,0)-1,0),0)</f>
        <v>0</v>
      </c>
      <c r="BJ203" s="11">
        <f ca="1">IFERROR(OFFSET(ITEM_RES!$A$1,MATCH(BK203,ITEM_RES!$J:$J,0)-1,0),0)</f>
        <v>0</v>
      </c>
      <c r="BL203" s="11">
        <f t="shared" si="84"/>
        <v>0</v>
      </c>
    </row>
    <row r="204" spans="1:65" ht="17.25" thickBot="1" x14ac:dyDescent="0.35">
      <c r="A204" s="14">
        <f t="shared" si="76"/>
        <v>113010020</v>
      </c>
      <c r="B204" s="13">
        <v>11</v>
      </c>
      <c r="C204" s="12">
        <f t="shared" si="77"/>
        <v>3</v>
      </c>
      <c r="D204" s="13">
        <v>1</v>
      </c>
      <c r="E204" s="13">
        <v>0</v>
      </c>
      <c r="F204" s="12">
        <f t="shared" si="78"/>
        <v>20</v>
      </c>
      <c r="H204" s="9">
        <v>3</v>
      </c>
      <c r="I204" s="9">
        <v>20</v>
      </c>
      <c r="K204" s="56" t="s">
        <v>537</v>
      </c>
      <c r="L204" s="9">
        <v>0</v>
      </c>
      <c r="M204" s="9">
        <v>15</v>
      </c>
      <c r="R204" s="9" t="s">
        <v>776</v>
      </c>
      <c r="U204" s="9">
        <f ca="1">IFERROR(OFFSET(ITEM_RES!$A$5,MATCH(BUILDING!T204,ITEM_RES!$J$5:$J$229,0)-1,0),0)</f>
        <v>0</v>
      </c>
      <c r="X204" s="9">
        <f ca="1">IFERROR(OFFSET(ITEM_RES!$A$5,MATCH(BUILDING!W204,ITEM_RES!$J$5:$J$229,0)-1,0),0)</f>
        <v>0</v>
      </c>
      <c r="Z204" s="9" t="s">
        <v>551</v>
      </c>
      <c r="AA204" s="9">
        <v>20</v>
      </c>
      <c r="AC204" s="9">
        <v>60000</v>
      </c>
      <c r="AE204" s="56">
        <f t="shared" si="79"/>
        <v>31500</v>
      </c>
      <c r="AF204" s="10">
        <f t="shared" si="85"/>
        <v>57750</v>
      </c>
      <c r="AH204" s="11">
        <f t="shared" si="80"/>
        <v>100</v>
      </c>
      <c r="AI204" s="10">
        <v>100</v>
      </c>
      <c r="AJ204" s="11">
        <f t="shared" si="81"/>
        <v>1500</v>
      </c>
      <c r="AK204" s="10">
        <v>1500</v>
      </c>
      <c r="AL204" s="11">
        <f t="shared" si="82"/>
        <v>1500</v>
      </c>
      <c r="AM204" s="10">
        <v>1500</v>
      </c>
      <c r="AN204" s="56">
        <f t="shared" si="83"/>
        <v>2</v>
      </c>
      <c r="AP204" s="11">
        <f ca="1">IFERROR(OFFSET(ITEM_RES!$A$1,MATCH(AQ204,ITEM_RES!$J:$J,0)-1,0),0)</f>
        <v>211020901</v>
      </c>
      <c r="AQ204" s="10" t="s">
        <v>538</v>
      </c>
      <c r="AR204" s="11">
        <v>7500</v>
      </c>
      <c r="AU204" s="11">
        <f ca="1">IFERROR(OFFSET(ITEM_RES!$A$1,MATCH(AV204,ITEM_RES!$J:$J,0)-1,0),0)</f>
        <v>211020501</v>
      </c>
      <c r="AV204" s="10" t="s">
        <v>445</v>
      </c>
      <c r="AW204" s="11">
        <v>7500</v>
      </c>
      <c r="AZ204" s="11">
        <f ca="1">IFERROR(OFFSET(ITEM_RES!$A$1,MATCH(BA204,ITEM_RES!$J:$J,0)-1,0),0)</f>
        <v>0</v>
      </c>
      <c r="BE204" s="11">
        <f ca="1">IFERROR(OFFSET(ITEM_RES!$A$1,MATCH(BF204,ITEM_RES!$J:$J,0)-1,0),0)</f>
        <v>0</v>
      </c>
      <c r="BJ204" s="11">
        <f ca="1">IFERROR(OFFSET(ITEM_RES!$A$1,MATCH(BK204,ITEM_RES!$J:$J,0)-1,0),0)</f>
        <v>0</v>
      </c>
      <c r="BL204" s="11">
        <f t="shared" si="84"/>
        <v>0</v>
      </c>
    </row>
    <row r="205" spans="1:65" s="15" customFormat="1" x14ac:dyDescent="0.3">
      <c r="A205" s="21">
        <f t="shared" ref="A205:A224" si="86">B205*10000000+C205*1000000+D205*10000+E205*100+F205</f>
        <v>113020001</v>
      </c>
      <c r="B205" s="20">
        <v>11</v>
      </c>
      <c r="C205" s="19">
        <f t="shared" ref="C205:C224" si="87">H205</f>
        <v>3</v>
      </c>
      <c r="D205" s="20">
        <v>2</v>
      </c>
      <c r="E205" s="20">
        <v>0</v>
      </c>
      <c r="F205" s="19">
        <f t="shared" ref="F205:F224" si="88">I205</f>
        <v>1</v>
      </c>
      <c r="G205" s="80"/>
      <c r="H205" s="16">
        <v>3</v>
      </c>
      <c r="I205" s="16">
        <v>1</v>
      </c>
      <c r="J205" s="80"/>
      <c r="K205" s="64" t="s">
        <v>606</v>
      </c>
      <c r="L205" s="16">
        <v>1</v>
      </c>
      <c r="M205" s="16">
        <v>15</v>
      </c>
      <c r="N205" s="16"/>
      <c r="O205" s="17"/>
      <c r="P205" s="17"/>
      <c r="Q205" s="18"/>
      <c r="R205" s="16" t="s">
        <v>777</v>
      </c>
      <c r="S205" s="80"/>
      <c r="T205" s="88"/>
      <c r="U205" s="16">
        <f ca="1">IFERROR(OFFSET(ITEM_RES!$A$5,MATCH(BUILDING!T205,ITEM_RES!$J$5:$J$229,0)-1,0),0)</f>
        <v>0</v>
      </c>
      <c r="V205" s="18"/>
      <c r="W205" s="88"/>
      <c r="X205" s="16">
        <f ca="1">IFERROR(OFFSET(ITEM_RES!$A$5,MATCH(BUILDING!W205,ITEM_RES!$J$5:$J$229,0)-1,0),0)</f>
        <v>0</v>
      </c>
      <c r="Y205" s="80"/>
      <c r="Z205" s="16" t="s">
        <v>607</v>
      </c>
      <c r="AA205" s="16">
        <v>1</v>
      </c>
      <c r="AB205" s="80"/>
      <c r="AC205" s="16">
        <v>0</v>
      </c>
      <c r="AD205" s="80"/>
      <c r="AE205" s="57">
        <f t="shared" ref="AE205:AE224" si="89">AK205*10+AM205+AR205+AW205+500*BB205+500*BG205+500*BL205</f>
        <v>580</v>
      </c>
      <c r="AF205" s="17">
        <f>AE205</f>
        <v>580</v>
      </c>
      <c r="AG205" s="80"/>
      <c r="AH205" s="18">
        <f t="shared" ref="AH205:AH224" si="90">ROUND(AI205,0)</f>
        <v>5</v>
      </c>
      <c r="AI205" s="17">
        <v>5</v>
      </c>
      <c r="AJ205" s="18">
        <f t="shared" ref="AJ205:AJ224" si="91">ROUND(AK205,0)</f>
        <v>5</v>
      </c>
      <c r="AK205" s="17">
        <v>5</v>
      </c>
      <c r="AL205" s="18">
        <f t="shared" ref="AL205:AL224" si="92">ROUND(AM205,0)</f>
        <v>5</v>
      </c>
      <c r="AM205" s="17">
        <v>5</v>
      </c>
      <c r="AN205" s="57">
        <f t="shared" ref="AN205:AN224" si="93">(AR205&gt;0)*1+(AW205&gt;0)*1+(BB205&gt;0)*1+(BG205&gt;0)*1+(BL205&gt;0)*1</f>
        <v>2</v>
      </c>
      <c r="AO205" s="18"/>
      <c r="AP205" s="18">
        <f ca="1">IFERROR(OFFSET(ITEM_RES!$A$1,MATCH(AQ205,ITEM_RES!$J:$J,0)-1,0),0)</f>
        <v>211020801</v>
      </c>
      <c r="AQ205" s="17" t="s">
        <v>409</v>
      </c>
      <c r="AR205" s="18">
        <v>25</v>
      </c>
      <c r="AS205" s="17"/>
      <c r="AT205" s="18"/>
      <c r="AU205" s="18">
        <f ca="1">IFERROR(OFFSET(ITEM_RES!$A$1,MATCH(AV205,ITEM_RES!$J:$J,0)-1,0),0)</f>
        <v>0</v>
      </c>
      <c r="AV205" s="17"/>
      <c r="AW205" s="18"/>
      <c r="AX205" s="17"/>
      <c r="AY205" s="18"/>
      <c r="AZ205" s="18">
        <f ca="1">IFERROR(OFFSET(ITEM_RES!$A$1,MATCH(BA205,ITEM_RES!$J:$J,0)-1,0),0)</f>
        <v>213010101</v>
      </c>
      <c r="BA205" s="17" t="s">
        <v>413</v>
      </c>
      <c r="BB205" s="18">
        <v>1</v>
      </c>
      <c r="BC205" s="17"/>
      <c r="BD205" s="18"/>
      <c r="BE205" s="18">
        <f ca="1">IFERROR(OFFSET(ITEM_RES!$A$1,MATCH(BF205,ITEM_RES!$J:$J,0)-1,0),0)</f>
        <v>0</v>
      </c>
      <c r="BF205" s="17"/>
      <c r="BG205" s="18"/>
      <c r="BH205" s="17"/>
      <c r="BI205" s="18"/>
      <c r="BJ205" s="18">
        <f ca="1">IFERROR(OFFSET(ITEM_RES!$A$1,MATCH(BK205,ITEM_RES!$J:$J,0)-1,0),0)</f>
        <v>0</v>
      </c>
      <c r="BK205" s="17"/>
      <c r="BL205" s="18">
        <f t="shared" ref="BL205:BL224" si="94">IF(BM205&lt;100,ROUND(BM205,1-LEN(ROUND(BM205,0))),ROUND(BM205,2-LEN(ROUND(BM205,0))))</f>
        <v>0</v>
      </c>
      <c r="BM205" s="17"/>
    </row>
    <row r="206" spans="1:65" x14ac:dyDescent="0.3">
      <c r="A206" s="14">
        <f t="shared" si="86"/>
        <v>113020002</v>
      </c>
      <c r="B206" s="13">
        <v>11</v>
      </c>
      <c r="C206" s="12">
        <f t="shared" si="87"/>
        <v>3</v>
      </c>
      <c r="D206" s="13">
        <v>2</v>
      </c>
      <c r="E206" s="13">
        <v>0</v>
      </c>
      <c r="F206" s="12">
        <f t="shared" si="88"/>
        <v>2</v>
      </c>
      <c r="H206" s="9">
        <v>3</v>
      </c>
      <c r="I206" s="9">
        <v>2</v>
      </c>
      <c r="K206" s="56" t="s">
        <v>606</v>
      </c>
      <c r="L206" s="9">
        <v>1</v>
      </c>
      <c r="M206" s="9">
        <v>15</v>
      </c>
      <c r="N206" s="85"/>
      <c r="R206" s="9" t="s">
        <v>777</v>
      </c>
      <c r="U206" s="9">
        <f ca="1">IFERROR(OFFSET(ITEM_RES!$A$5,MATCH(BUILDING!T206,ITEM_RES!$J$5:$J$229,0)-1,0),0)</f>
        <v>0</v>
      </c>
      <c r="X206" s="9">
        <f ca="1">IFERROR(OFFSET(ITEM_RES!$A$5,MATCH(BUILDING!W206,ITEM_RES!$J$5:$J$229,0)-1,0),0)</f>
        <v>0</v>
      </c>
      <c r="Z206" s="9" t="s">
        <v>607</v>
      </c>
      <c r="AA206" s="9">
        <v>2</v>
      </c>
      <c r="AC206" s="9">
        <v>200</v>
      </c>
      <c r="AE206" s="56">
        <f t="shared" si="89"/>
        <v>160</v>
      </c>
      <c r="AF206" s="10">
        <f>AE205+AE206</f>
        <v>740</v>
      </c>
      <c r="AH206" s="11">
        <f t="shared" si="90"/>
        <v>10</v>
      </c>
      <c r="AI206" s="10">
        <v>10</v>
      </c>
      <c r="AJ206" s="11">
        <f t="shared" si="91"/>
        <v>10</v>
      </c>
      <c r="AK206" s="10">
        <v>10</v>
      </c>
      <c r="AL206" s="11">
        <f t="shared" si="92"/>
        <v>10</v>
      </c>
      <c r="AM206" s="10">
        <v>10</v>
      </c>
      <c r="AN206" s="56">
        <f t="shared" si="93"/>
        <v>1</v>
      </c>
      <c r="AP206" s="11">
        <f ca="1">IFERROR(OFFSET(ITEM_RES!$A$1,MATCH(AQ206,ITEM_RES!$J:$J,0)-1,0),0)</f>
        <v>211020801</v>
      </c>
      <c r="AQ206" s="10" t="s">
        <v>409</v>
      </c>
      <c r="AR206" s="11">
        <v>50</v>
      </c>
      <c r="AU206" s="11">
        <f ca="1">IFERROR(OFFSET(ITEM_RES!$A$1,MATCH(AV206,ITEM_RES!$J:$J,0)-1,0),0)</f>
        <v>0</v>
      </c>
      <c r="AZ206" s="11">
        <f ca="1">IFERROR(OFFSET(ITEM_RES!$A$1,MATCH(BA206,ITEM_RES!$J:$J,0)-1,0),0)</f>
        <v>0</v>
      </c>
      <c r="BE206" s="11">
        <f ca="1">IFERROR(OFFSET(ITEM_RES!$A$1,MATCH(BF206,ITEM_RES!$J:$J,0)-1,0),0)</f>
        <v>0</v>
      </c>
      <c r="BJ206" s="11">
        <f ca="1">IFERROR(OFFSET(ITEM_RES!$A$1,MATCH(BK206,ITEM_RES!$J:$J,0)-1,0),0)</f>
        <v>0</v>
      </c>
      <c r="BL206" s="11">
        <f t="shared" si="94"/>
        <v>0</v>
      </c>
    </row>
    <row r="207" spans="1:65" x14ac:dyDescent="0.3">
      <c r="A207" s="14">
        <f t="shared" si="86"/>
        <v>113020003</v>
      </c>
      <c r="B207" s="13">
        <v>11</v>
      </c>
      <c r="C207" s="12">
        <f t="shared" si="87"/>
        <v>3</v>
      </c>
      <c r="D207" s="13">
        <v>2</v>
      </c>
      <c r="E207" s="13">
        <v>0</v>
      </c>
      <c r="F207" s="12">
        <f t="shared" si="88"/>
        <v>3</v>
      </c>
      <c r="H207" s="9">
        <v>3</v>
      </c>
      <c r="I207" s="9">
        <v>3</v>
      </c>
      <c r="K207" s="56" t="s">
        <v>606</v>
      </c>
      <c r="L207" s="9">
        <v>1</v>
      </c>
      <c r="M207" s="9">
        <v>15</v>
      </c>
      <c r="R207" s="9" t="s">
        <v>777</v>
      </c>
      <c r="U207" s="9">
        <f ca="1">IFERROR(OFFSET(ITEM_RES!$A$5,MATCH(BUILDING!T207,ITEM_RES!$J$5:$J$229,0)-1,0),0)</f>
        <v>0</v>
      </c>
      <c r="X207" s="9">
        <f ca="1">IFERROR(OFFSET(ITEM_RES!$A$5,MATCH(BUILDING!W207,ITEM_RES!$J$5:$J$229,0)-1,0),0)</f>
        <v>0</v>
      </c>
      <c r="Z207" s="9" t="s">
        <v>607</v>
      </c>
      <c r="AA207" s="9">
        <v>3</v>
      </c>
      <c r="AC207" s="9">
        <v>600</v>
      </c>
      <c r="AE207" s="56">
        <f t="shared" si="89"/>
        <v>240</v>
      </c>
      <c r="AF207" s="10">
        <f t="shared" ref="AF207:AF224" si="95">AE206+AE207</f>
        <v>400</v>
      </c>
      <c r="AH207" s="11">
        <f t="shared" si="90"/>
        <v>15</v>
      </c>
      <c r="AI207" s="10">
        <v>15</v>
      </c>
      <c r="AJ207" s="11">
        <f t="shared" si="91"/>
        <v>15</v>
      </c>
      <c r="AK207" s="10">
        <v>15</v>
      </c>
      <c r="AL207" s="11">
        <f t="shared" si="92"/>
        <v>15</v>
      </c>
      <c r="AM207" s="10">
        <v>15</v>
      </c>
      <c r="AN207" s="56">
        <f t="shared" si="93"/>
        <v>1</v>
      </c>
      <c r="AP207" s="11">
        <f ca="1">IFERROR(OFFSET(ITEM_RES!$A$1,MATCH(AQ207,ITEM_RES!$J:$J,0)-1,0),0)</f>
        <v>211020801</v>
      </c>
      <c r="AQ207" s="10" t="s">
        <v>409</v>
      </c>
      <c r="AR207" s="11">
        <v>75</v>
      </c>
      <c r="AU207" s="11">
        <f ca="1">IFERROR(OFFSET(ITEM_RES!$A$1,MATCH(AV207,ITEM_RES!$J:$J,0)-1,0),0)</f>
        <v>0</v>
      </c>
      <c r="AZ207" s="11">
        <f ca="1">IFERROR(OFFSET(ITEM_RES!$A$1,MATCH(BA207,ITEM_RES!$J:$J,0)-1,0),0)</f>
        <v>0</v>
      </c>
      <c r="BE207" s="11">
        <f ca="1">IFERROR(OFFSET(ITEM_RES!$A$1,MATCH(BF207,ITEM_RES!$J:$J,0)-1,0),0)</f>
        <v>0</v>
      </c>
      <c r="BJ207" s="11">
        <f ca="1">IFERROR(OFFSET(ITEM_RES!$A$1,MATCH(BK207,ITEM_RES!$J:$J,0)-1,0),0)</f>
        <v>0</v>
      </c>
      <c r="BL207" s="11">
        <f t="shared" si="94"/>
        <v>0</v>
      </c>
    </row>
    <row r="208" spans="1:65" x14ac:dyDescent="0.3">
      <c r="A208" s="14">
        <f t="shared" si="86"/>
        <v>113020004</v>
      </c>
      <c r="B208" s="13">
        <v>11</v>
      </c>
      <c r="C208" s="12">
        <f t="shared" si="87"/>
        <v>3</v>
      </c>
      <c r="D208" s="13">
        <v>2</v>
      </c>
      <c r="E208" s="13">
        <v>0</v>
      </c>
      <c r="F208" s="12">
        <f t="shared" si="88"/>
        <v>4</v>
      </c>
      <c r="H208" s="9">
        <v>3</v>
      </c>
      <c r="I208" s="9">
        <v>4</v>
      </c>
      <c r="K208" s="56" t="s">
        <v>606</v>
      </c>
      <c r="L208" s="9">
        <v>1</v>
      </c>
      <c r="M208" s="9">
        <v>15</v>
      </c>
      <c r="R208" s="9" t="s">
        <v>777</v>
      </c>
      <c r="U208" s="9">
        <f ca="1">IFERROR(OFFSET(ITEM_RES!$A$5,MATCH(BUILDING!T208,ITEM_RES!$J$5:$J$229,0)-1,0),0)</f>
        <v>0</v>
      </c>
      <c r="X208" s="9">
        <f ca="1">IFERROR(OFFSET(ITEM_RES!$A$5,MATCH(BUILDING!W208,ITEM_RES!$J$5:$J$229,0)-1,0),0)</f>
        <v>0</v>
      </c>
      <c r="Z208" s="9" t="s">
        <v>607</v>
      </c>
      <c r="AA208" s="9">
        <v>4</v>
      </c>
      <c r="AC208" s="9">
        <v>1000</v>
      </c>
      <c r="AE208" s="56">
        <f t="shared" si="89"/>
        <v>400</v>
      </c>
      <c r="AF208" s="10">
        <f t="shared" si="95"/>
        <v>640</v>
      </c>
      <c r="AH208" s="11">
        <f t="shared" si="90"/>
        <v>20</v>
      </c>
      <c r="AI208" s="10">
        <v>20</v>
      </c>
      <c r="AJ208" s="11">
        <f t="shared" si="91"/>
        <v>25</v>
      </c>
      <c r="AK208" s="10">
        <v>25</v>
      </c>
      <c r="AL208" s="11">
        <f t="shared" si="92"/>
        <v>25</v>
      </c>
      <c r="AM208" s="10">
        <v>25</v>
      </c>
      <c r="AN208" s="56">
        <f t="shared" si="93"/>
        <v>1</v>
      </c>
      <c r="AP208" s="11">
        <f ca="1">IFERROR(OFFSET(ITEM_RES!$A$1,MATCH(AQ208,ITEM_RES!$J:$J,0)-1,0),0)</f>
        <v>211020801</v>
      </c>
      <c r="AQ208" s="10" t="s">
        <v>409</v>
      </c>
      <c r="AR208" s="11">
        <v>125</v>
      </c>
      <c r="AU208" s="11">
        <f ca="1">IFERROR(OFFSET(ITEM_RES!$A$1,MATCH(AV208,ITEM_RES!$J:$J,0)-1,0),0)</f>
        <v>0</v>
      </c>
      <c r="AZ208" s="11">
        <f ca="1">IFERROR(OFFSET(ITEM_RES!$A$1,MATCH(BA208,ITEM_RES!$J:$J,0)-1,0),0)</f>
        <v>0</v>
      </c>
      <c r="BE208" s="11">
        <f ca="1">IFERROR(OFFSET(ITEM_RES!$A$1,MATCH(BF208,ITEM_RES!$J:$J,0)-1,0),0)</f>
        <v>0</v>
      </c>
      <c r="BJ208" s="11">
        <f ca="1">IFERROR(OFFSET(ITEM_RES!$A$1,MATCH(BK208,ITEM_RES!$J:$J,0)-1,0),0)</f>
        <v>0</v>
      </c>
      <c r="BL208" s="11">
        <f t="shared" si="94"/>
        <v>0</v>
      </c>
    </row>
    <row r="209" spans="1:64" x14ac:dyDescent="0.3">
      <c r="A209" s="14">
        <f t="shared" si="86"/>
        <v>113020005</v>
      </c>
      <c r="B209" s="13">
        <v>11</v>
      </c>
      <c r="C209" s="12">
        <f t="shared" si="87"/>
        <v>3</v>
      </c>
      <c r="D209" s="13">
        <v>2</v>
      </c>
      <c r="E209" s="13">
        <v>0</v>
      </c>
      <c r="F209" s="12">
        <f t="shared" si="88"/>
        <v>5</v>
      </c>
      <c r="H209" s="9">
        <v>3</v>
      </c>
      <c r="I209" s="9">
        <v>5</v>
      </c>
      <c r="K209" s="56" t="s">
        <v>606</v>
      </c>
      <c r="L209" s="9">
        <v>1</v>
      </c>
      <c r="M209" s="9">
        <v>15</v>
      </c>
      <c r="R209" s="9" t="s">
        <v>777</v>
      </c>
      <c r="U209" s="9">
        <f ca="1">IFERROR(OFFSET(ITEM_RES!$A$5,MATCH(BUILDING!T209,ITEM_RES!$J$5:$J$229,0)-1,0),0)</f>
        <v>0</v>
      </c>
      <c r="X209" s="9">
        <f ca="1">IFERROR(OFFSET(ITEM_RES!$A$5,MATCH(BUILDING!W209,ITEM_RES!$J$5:$J$229,0)-1,0),0)</f>
        <v>0</v>
      </c>
      <c r="Z209" s="9" t="s">
        <v>607</v>
      </c>
      <c r="AA209" s="9">
        <v>5</v>
      </c>
      <c r="AC209" s="9">
        <v>1600</v>
      </c>
      <c r="AE209" s="56">
        <f t="shared" si="89"/>
        <v>640</v>
      </c>
      <c r="AF209" s="10">
        <f t="shared" si="95"/>
        <v>1040</v>
      </c>
      <c r="AH209" s="11">
        <f t="shared" si="90"/>
        <v>25</v>
      </c>
      <c r="AI209" s="10">
        <v>25</v>
      </c>
      <c r="AJ209" s="11">
        <f t="shared" si="91"/>
        <v>40</v>
      </c>
      <c r="AK209" s="10">
        <v>40</v>
      </c>
      <c r="AL209" s="11">
        <f t="shared" si="92"/>
        <v>40</v>
      </c>
      <c r="AM209" s="10">
        <v>40</v>
      </c>
      <c r="AN209" s="56">
        <f t="shared" si="93"/>
        <v>1</v>
      </c>
      <c r="AP209" s="11">
        <f ca="1">IFERROR(OFFSET(ITEM_RES!$A$1,MATCH(AQ209,ITEM_RES!$J:$J,0)-1,0),0)</f>
        <v>211020801</v>
      </c>
      <c r="AQ209" s="10" t="s">
        <v>409</v>
      </c>
      <c r="AR209" s="11">
        <v>200</v>
      </c>
      <c r="AU209" s="11">
        <f ca="1">IFERROR(OFFSET(ITEM_RES!$A$1,MATCH(AV209,ITEM_RES!$J:$J,0)-1,0),0)</f>
        <v>0</v>
      </c>
      <c r="AZ209" s="11">
        <f ca="1">IFERROR(OFFSET(ITEM_RES!$A$1,MATCH(BA209,ITEM_RES!$J:$J,0)-1,0),0)</f>
        <v>0</v>
      </c>
      <c r="BE209" s="11">
        <f ca="1">IFERROR(OFFSET(ITEM_RES!$A$1,MATCH(BF209,ITEM_RES!$J:$J,0)-1,0),0)</f>
        <v>0</v>
      </c>
      <c r="BJ209" s="11">
        <f ca="1">IFERROR(OFFSET(ITEM_RES!$A$1,MATCH(BK209,ITEM_RES!$J:$J,0)-1,0),0)</f>
        <v>0</v>
      </c>
      <c r="BL209" s="11">
        <f t="shared" si="94"/>
        <v>0</v>
      </c>
    </row>
    <row r="210" spans="1:64" x14ac:dyDescent="0.3">
      <c r="A210" s="14">
        <f t="shared" si="86"/>
        <v>113020006</v>
      </c>
      <c r="B210" s="13">
        <v>11</v>
      </c>
      <c r="C210" s="12">
        <f t="shared" si="87"/>
        <v>3</v>
      </c>
      <c r="D210" s="13">
        <v>2</v>
      </c>
      <c r="E210" s="13">
        <v>0</v>
      </c>
      <c r="F210" s="12">
        <f t="shared" si="88"/>
        <v>6</v>
      </c>
      <c r="H210" s="9">
        <v>3</v>
      </c>
      <c r="I210" s="9">
        <v>6</v>
      </c>
      <c r="K210" s="56" t="s">
        <v>606</v>
      </c>
      <c r="L210" s="9">
        <v>1</v>
      </c>
      <c r="M210" s="9">
        <v>15</v>
      </c>
      <c r="R210" s="9" t="s">
        <v>777</v>
      </c>
      <c r="U210" s="9">
        <f ca="1">IFERROR(OFFSET(ITEM_RES!$A$5,MATCH(BUILDING!T210,ITEM_RES!$J$5:$J$229,0)-1,0),0)</f>
        <v>0</v>
      </c>
      <c r="X210" s="9">
        <f ca="1">IFERROR(OFFSET(ITEM_RES!$A$5,MATCH(BUILDING!W210,ITEM_RES!$J$5:$J$229,0)-1,0),0)</f>
        <v>0</v>
      </c>
      <c r="Z210" s="9" t="s">
        <v>607</v>
      </c>
      <c r="AA210" s="9">
        <v>6</v>
      </c>
      <c r="AC210" s="9">
        <v>2000</v>
      </c>
      <c r="AE210" s="56">
        <f t="shared" si="89"/>
        <v>800</v>
      </c>
      <c r="AF210" s="10">
        <f t="shared" si="95"/>
        <v>1440</v>
      </c>
      <c r="AH210" s="11">
        <f t="shared" si="90"/>
        <v>30</v>
      </c>
      <c r="AI210" s="10">
        <v>30</v>
      </c>
      <c r="AJ210" s="11">
        <f t="shared" si="91"/>
        <v>50</v>
      </c>
      <c r="AK210" s="10">
        <v>50</v>
      </c>
      <c r="AL210" s="11">
        <f t="shared" si="92"/>
        <v>50</v>
      </c>
      <c r="AM210" s="10">
        <v>50</v>
      </c>
      <c r="AN210" s="56">
        <f t="shared" si="93"/>
        <v>1</v>
      </c>
      <c r="AP210" s="11">
        <f ca="1">IFERROR(OFFSET(ITEM_RES!$A$1,MATCH(AQ210,ITEM_RES!$J:$J,0)-1,0),0)</f>
        <v>211020801</v>
      </c>
      <c r="AQ210" s="10" t="s">
        <v>409</v>
      </c>
      <c r="AR210" s="11">
        <v>250</v>
      </c>
      <c r="AU210" s="11">
        <f ca="1">IFERROR(OFFSET(ITEM_RES!$A$1,MATCH(AV210,ITEM_RES!$J:$J,0)-1,0),0)</f>
        <v>0</v>
      </c>
      <c r="AZ210" s="11">
        <f ca="1">IFERROR(OFFSET(ITEM_RES!$A$1,MATCH(BA210,ITEM_RES!$J:$J,0)-1,0),0)</f>
        <v>0</v>
      </c>
      <c r="BE210" s="11">
        <f ca="1">IFERROR(OFFSET(ITEM_RES!$A$1,MATCH(BF210,ITEM_RES!$J:$J,0)-1,0),0)</f>
        <v>0</v>
      </c>
      <c r="BJ210" s="11">
        <f ca="1">IFERROR(OFFSET(ITEM_RES!$A$1,MATCH(BK210,ITEM_RES!$J:$J,0)-1,0),0)</f>
        <v>0</v>
      </c>
      <c r="BL210" s="11">
        <f t="shared" si="94"/>
        <v>0</v>
      </c>
    </row>
    <row r="211" spans="1:64" x14ac:dyDescent="0.3">
      <c r="A211" s="14">
        <f t="shared" si="86"/>
        <v>113020007</v>
      </c>
      <c r="B211" s="13">
        <v>11</v>
      </c>
      <c r="C211" s="12">
        <f t="shared" si="87"/>
        <v>3</v>
      </c>
      <c r="D211" s="13">
        <v>2</v>
      </c>
      <c r="E211" s="13">
        <v>0</v>
      </c>
      <c r="F211" s="12">
        <f t="shared" si="88"/>
        <v>7</v>
      </c>
      <c r="H211" s="9">
        <v>3</v>
      </c>
      <c r="I211" s="9">
        <v>7</v>
      </c>
      <c r="K211" s="56" t="s">
        <v>606</v>
      </c>
      <c r="L211" s="9">
        <v>1</v>
      </c>
      <c r="M211" s="9">
        <v>15</v>
      </c>
      <c r="R211" s="9" t="s">
        <v>777</v>
      </c>
      <c r="U211" s="9">
        <f ca="1">IFERROR(OFFSET(ITEM_RES!$A$5,MATCH(BUILDING!T211,ITEM_RES!$J$5:$J$229,0)-1,0),0)</f>
        <v>0</v>
      </c>
      <c r="X211" s="9">
        <f ca="1">IFERROR(OFFSET(ITEM_RES!$A$5,MATCH(BUILDING!W211,ITEM_RES!$J$5:$J$229,0)-1,0),0)</f>
        <v>0</v>
      </c>
      <c r="Z211" s="9" t="s">
        <v>607</v>
      </c>
      <c r="AA211" s="9">
        <v>7</v>
      </c>
      <c r="AC211" s="9">
        <v>4000</v>
      </c>
      <c r="AE211" s="56">
        <f t="shared" si="89"/>
        <v>1600</v>
      </c>
      <c r="AF211" s="10">
        <f t="shared" si="95"/>
        <v>2400</v>
      </c>
      <c r="AH211" s="11">
        <f t="shared" si="90"/>
        <v>35</v>
      </c>
      <c r="AI211" s="10">
        <v>35</v>
      </c>
      <c r="AJ211" s="11">
        <f t="shared" si="91"/>
        <v>100</v>
      </c>
      <c r="AK211" s="10">
        <v>100</v>
      </c>
      <c r="AL211" s="11">
        <f t="shared" si="92"/>
        <v>100</v>
      </c>
      <c r="AM211" s="10">
        <v>100</v>
      </c>
      <c r="AN211" s="56">
        <f t="shared" si="93"/>
        <v>1</v>
      </c>
      <c r="AP211" s="11">
        <f ca="1">IFERROR(OFFSET(ITEM_RES!$A$1,MATCH(AQ211,ITEM_RES!$J:$J,0)-1,0),0)</f>
        <v>211020801</v>
      </c>
      <c r="AQ211" s="10" t="s">
        <v>409</v>
      </c>
      <c r="AR211" s="11">
        <v>500</v>
      </c>
      <c r="AU211" s="11">
        <f ca="1">IFERROR(OFFSET(ITEM_RES!$A$1,MATCH(AV211,ITEM_RES!$J:$J,0)-1,0),0)</f>
        <v>0</v>
      </c>
      <c r="AZ211" s="11">
        <f ca="1">IFERROR(OFFSET(ITEM_RES!$A$1,MATCH(BA211,ITEM_RES!$J:$J,0)-1,0),0)</f>
        <v>0</v>
      </c>
      <c r="BE211" s="11">
        <f ca="1">IFERROR(OFFSET(ITEM_RES!$A$1,MATCH(BF211,ITEM_RES!$J:$J,0)-1,0),0)</f>
        <v>0</v>
      </c>
      <c r="BJ211" s="11">
        <f ca="1">IFERROR(OFFSET(ITEM_RES!$A$1,MATCH(BK211,ITEM_RES!$J:$J,0)-1,0),0)</f>
        <v>0</v>
      </c>
      <c r="BL211" s="11">
        <f t="shared" si="94"/>
        <v>0</v>
      </c>
    </row>
    <row r="212" spans="1:64" x14ac:dyDescent="0.3">
      <c r="A212" s="14">
        <f t="shared" si="86"/>
        <v>113020008</v>
      </c>
      <c r="B212" s="13">
        <v>11</v>
      </c>
      <c r="C212" s="12">
        <f t="shared" si="87"/>
        <v>3</v>
      </c>
      <c r="D212" s="13">
        <v>2</v>
      </c>
      <c r="E212" s="13">
        <v>0</v>
      </c>
      <c r="F212" s="12">
        <f t="shared" si="88"/>
        <v>8</v>
      </c>
      <c r="H212" s="9">
        <v>3</v>
      </c>
      <c r="I212" s="9">
        <v>8</v>
      </c>
      <c r="K212" s="56" t="s">
        <v>606</v>
      </c>
      <c r="L212" s="9">
        <v>1</v>
      </c>
      <c r="M212" s="9">
        <v>15</v>
      </c>
      <c r="R212" s="9" t="s">
        <v>777</v>
      </c>
      <c r="U212" s="9">
        <f ca="1">IFERROR(OFFSET(ITEM_RES!$A$5,MATCH(BUILDING!T212,ITEM_RES!$J$5:$J$229,0)-1,0),0)</f>
        <v>0</v>
      </c>
      <c r="X212" s="9">
        <f ca="1">IFERROR(OFFSET(ITEM_RES!$A$5,MATCH(BUILDING!W212,ITEM_RES!$J$5:$J$229,0)-1,0),0)</f>
        <v>0</v>
      </c>
      <c r="Z212" s="9" t="s">
        <v>607</v>
      </c>
      <c r="AA212" s="9">
        <v>8</v>
      </c>
      <c r="AC212" s="9">
        <v>4000</v>
      </c>
      <c r="AE212" s="56">
        <f t="shared" si="89"/>
        <v>1600</v>
      </c>
      <c r="AF212" s="10">
        <f t="shared" si="95"/>
        <v>3200</v>
      </c>
      <c r="AH212" s="11">
        <f t="shared" si="90"/>
        <v>40</v>
      </c>
      <c r="AI212" s="10">
        <v>40</v>
      </c>
      <c r="AJ212" s="11">
        <f t="shared" si="91"/>
        <v>100</v>
      </c>
      <c r="AK212" s="10">
        <v>100</v>
      </c>
      <c r="AL212" s="11">
        <f t="shared" si="92"/>
        <v>100</v>
      </c>
      <c r="AM212" s="10">
        <v>100</v>
      </c>
      <c r="AN212" s="56">
        <f t="shared" si="93"/>
        <v>1</v>
      </c>
      <c r="AP212" s="11">
        <f ca="1">IFERROR(OFFSET(ITEM_RES!$A$1,MATCH(AQ212,ITEM_RES!$J:$J,0)-1,0),0)</f>
        <v>211020801</v>
      </c>
      <c r="AQ212" s="10" t="s">
        <v>409</v>
      </c>
      <c r="AR212" s="11">
        <v>500</v>
      </c>
      <c r="AU212" s="11">
        <f ca="1">IFERROR(OFFSET(ITEM_RES!$A$1,MATCH(AV212,ITEM_RES!$J:$J,0)-1,0),0)</f>
        <v>0</v>
      </c>
      <c r="AZ212" s="11">
        <f ca="1">IFERROR(OFFSET(ITEM_RES!$A$1,MATCH(BA212,ITEM_RES!$J:$J,0)-1,0),0)</f>
        <v>0</v>
      </c>
      <c r="BE212" s="11">
        <f ca="1">IFERROR(OFFSET(ITEM_RES!$A$1,MATCH(BF212,ITEM_RES!$J:$J,0)-1,0),0)</f>
        <v>0</v>
      </c>
      <c r="BJ212" s="11">
        <f ca="1">IFERROR(OFFSET(ITEM_RES!$A$1,MATCH(BK212,ITEM_RES!$J:$J,0)-1,0),0)</f>
        <v>0</v>
      </c>
      <c r="BL212" s="11">
        <f t="shared" si="94"/>
        <v>0</v>
      </c>
    </row>
    <row r="213" spans="1:64" x14ac:dyDescent="0.3">
      <c r="A213" s="14">
        <f t="shared" si="86"/>
        <v>113020009</v>
      </c>
      <c r="B213" s="13">
        <v>11</v>
      </c>
      <c r="C213" s="12">
        <f t="shared" si="87"/>
        <v>3</v>
      </c>
      <c r="D213" s="13">
        <v>2</v>
      </c>
      <c r="E213" s="13">
        <v>0</v>
      </c>
      <c r="F213" s="12">
        <f t="shared" si="88"/>
        <v>9</v>
      </c>
      <c r="H213" s="9">
        <v>3</v>
      </c>
      <c r="I213" s="9">
        <v>9</v>
      </c>
      <c r="K213" s="56" t="s">
        <v>606</v>
      </c>
      <c r="L213" s="9">
        <v>1</v>
      </c>
      <c r="M213" s="9">
        <v>15</v>
      </c>
      <c r="R213" s="9" t="s">
        <v>777</v>
      </c>
      <c r="U213" s="9">
        <f ca="1">IFERROR(OFFSET(ITEM_RES!$A$5,MATCH(BUILDING!T213,ITEM_RES!$J$5:$J$229,0)-1,0),0)</f>
        <v>0</v>
      </c>
      <c r="X213" s="9">
        <f ca="1">IFERROR(OFFSET(ITEM_RES!$A$5,MATCH(BUILDING!W213,ITEM_RES!$J$5:$J$229,0)-1,0),0)</f>
        <v>0</v>
      </c>
      <c r="Z213" s="9" t="s">
        <v>607</v>
      </c>
      <c r="AA213" s="9">
        <v>9</v>
      </c>
      <c r="AC213" s="9">
        <v>6000</v>
      </c>
      <c r="AE213" s="56">
        <f t="shared" si="89"/>
        <v>2400</v>
      </c>
      <c r="AF213" s="10">
        <f t="shared" si="95"/>
        <v>4000</v>
      </c>
      <c r="AH213" s="11">
        <f t="shared" si="90"/>
        <v>45</v>
      </c>
      <c r="AI213" s="10">
        <v>45</v>
      </c>
      <c r="AJ213" s="11">
        <f t="shared" si="91"/>
        <v>150</v>
      </c>
      <c r="AK213" s="10">
        <v>150</v>
      </c>
      <c r="AL213" s="11">
        <f t="shared" si="92"/>
        <v>150</v>
      </c>
      <c r="AM213" s="10">
        <v>150</v>
      </c>
      <c r="AN213" s="56">
        <f t="shared" si="93"/>
        <v>1</v>
      </c>
      <c r="AP213" s="11">
        <f ca="1">IFERROR(OFFSET(ITEM_RES!$A$1,MATCH(AQ213,ITEM_RES!$J:$J,0)-1,0),0)</f>
        <v>211020801</v>
      </c>
      <c r="AQ213" s="10" t="s">
        <v>409</v>
      </c>
      <c r="AR213" s="11">
        <v>750</v>
      </c>
      <c r="AU213" s="11">
        <f ca="1">IFERROR(OFFSET(ITEM_RES!$A$1,MATCH(AV213,ITEM_RES!$J:$J,0)-1,0),0)</f>
        <v>0</v>
      </c>
      <c r="AZ213" s="11">
        <f ca="1">IFERROR(OFFSET(ITEM_RES!$A$1,MATCH(BA213,ITEM_RES!$J:$J,0)-1,0),0)</f>
        <v>0</v>
      </c>
      <c r="BE213" s="11">
        <f ca="1">IFERROR(OFFSET(ITEM_RES!$A$1,MATCH(BF213,ITEM_RES!$J:$J,0)-1,0),0)</f>
        <v>0</v>
      </c>
      <c r="BJ213" s="11">
        <f ca="1">IFERROR(OFFSET(ITEM_RES!$A$1,MATCH(BK213,ITEM_RES!$J:$J,0)-1,0),0)</f>
        <v>0</v>
      </c>
      <c r="BL213" s="11">
        <f t="shared" si="94"/>
        <v>0</v>
      </c>
    </row>
    <row r="214" spans="1:64" x14ac:dyDescent="0.3">
      <c r="A214" s="14">
        <f t="shared" si="86"/>
        <v>113020010</v>
      </c>
      <c r="B214" s="13">
        <v>11</v>
      </c>
      <c r="C214" s="12">
        <f t="shared" si="87"/>
        <v>3</v>
      </c>
      <c r="D214" s="13">
        <v>2</v>
      </c>
      <c r="E214" s="13">
        <v>0</v>
      </c>
      <c r="F214" s="12">
        <f t="shared" si="88"/>
        <v>10</v>
      </c>
      <c r="H214" s="9">
        <v>3</v>
      </c>
      <c r="I214" s="9">
        <v>10</v>
      </c>
      <c r="K214" s="56" t="s">
        <v>606</v>
      </c>
      <c r="L214" s="9">
        <v>1</v>
      </c>
      <c r="M214" s="9">
        <v>15</v>
      </c>
      <c r="R214" s="9" t="s">
        <v>777</v>
      </c>
      <c r="U214" s="9">
        <f ca="1">IFERROR(OFFSET(ITEM_RES!$A$5,MATCH(BUILDING!T214,ITEM_RES!$J$5:$J$229,0)-1,0),0)</f>
        <v>0</v>
      </c>
      <c r="X214" s="9">
        <f ca="1">IFERROR(OFFSET(ITEM_RES!$A$5,MATCH(BUILDING!W214,ITEM_RES!$J$5:$J$229,0)-1,0),0)</f>
        <v>0</v>
      </c>
      <c r="Z214" s="9" t="s">
        <v>607</v>
      </c>
      <c r="AA214" s="9">
        <v>10</v>
      </c>
      <c r="AC214" s="9">
        <v>8000</v>
      </c>
      <c r="AE214" s="56">
        <f t="shared" si="89"/>
        <v>3700</v>
      </c>
      <c r="AF214" s="10">
        <f t="shared" si="95"/>
        <v>6100</v>
      </c>
      <c r="AH214" s="11">
        <f t="shared" si="90"/>
        <v>50</v>
      </c>
      <c r="AI214" s="10">
        <v>50</v>
      </c>
      <c r="AJ214" s="11">
        <f t="shared" si="91"/>
        <v>200</v>
      </c>
      <c r="AK214" s="10">
        <v>200</v>
      </c>
      <c r="AL214" s="11">
        <f t="shared" si="92"/>
        <v>200</v>
      </c>
      <c r="AM214" s="10">
        <v>200</v>
      </c>
      <c r="AN214" s="56">
        <f t="shared" si="93"/>
        <v>2</v>
      </c>
      <c r="AP214" s="11">
        <f ca="1">IFERROR(OFFSET(ITEM_RES!$A$1,MATCH(AQ214,ITEM_RES!$J:$J,0)-1,0),0)</f>
        <v>211020801</v>
      </c>
      <c r="AQ214" s="10" t="s">
        <v>409</v>
      </c>
      <c r="AR214" s="11">
        <v>1000</v>
      </c>
      <c r="AU214" s="11">
        <f ca="1">IFERROR(OFFSET(ITEM_RES!$A$1,MATCH(AV214,ITEM_RES!$J:$J,0)-1,0),0)</f>
        <v>0</v>
      </c>
      <c r="AZ214" s="11">
        <f ca="1">IFERROR(OFFSET(ITEM_RES!$A$1,MATCH(BA214,ITEM_RES!$J:$J,0)-1,0),0)</f>
        <v>0</v>
      </c>
      <c r="BE214" s="11">
        <f ca="1">IFERROR(OFFSET(ITEM_RES!$A$1,MATCH(BF214,ITEM_RES!$J:$J,0)-1,0),0)</f>
        <v>213010801</v>
      </c>
      <c r="BF214" s="10" t="s">
        <v>491</v>
      </c>
      <c r="BG214" s="11">
        <v>1</v>
      </c>
      <c r="BJ214" s="11">
        <f ca="1">IFERROR(OFFSET(ITEM_RES!$A$1,MATCH(BK214,ITEM_RES!$J:$J,0)-1,0),0)</f>
        <v>0</v>
      </c>
      <c r="BL214" s="11">
        <f t="shared" si="94"/>
        <v>0</v>
      </c>
    </row>
    <row r="215" spans="1:64" x14ac:dyDescent="0.3">
      <c r="A215" s="14">
        <f t="shared" si="86"/>
        <v>113020011</v>
      </c>
      <c r="B215" s="13">
        <v>11</v>
      </c>
      <c r="C215" s="12">
        <f t="shared" si="87"/>
        <v>3</v>
      </c>
      <c r="D215" s="13">
        <v>2</v>
      </c>
      <c r="E215" s="13">
        <v>0</v>
      </c>
      <c r="F215" s="12">
        <f t="shared" si="88"/>
        <v>11</v>
      </c>
      <c r="H215" s="9">
        <v>3</v>
      </c>
      <c r="I215" s="9">
        <v>11</v>
      </c>
      <c r="K215" s="56" t="s">
        <v>606</v>
      </c>
      <c r="L215" s="9">
        <v>1</v>
      </c>
      <c r="M215" s="9">
        <v>15</v>
      </c>
      <c r="R215" s="9" t="s">
        <v>777</v>
      </c>
      <c r="U215" s="9">
        <f ca="1">IFERROR(OFFSET(ITEM_RES!$A$5,MATCH(BUILDING!T215,ITEM_RES!$J$5:$J$229,0)-1,0),0)</f>
        <v>0</v>
      </c>
      <c r="X215" s="9">
        <f ca="1">IFERROR(OFFSET(ITEM_RES!$A$5,MATCH(BUILDING!W215,ITEM_RES!$J$5:$J$229,0)-1,0),0)</f>
        <v>0</v>
      </c>
      <c r="Z215" s="9" t="s">
        <v>607</v>
      </c>
      <c r="AA215" s="9">
        <v>11</v>
      </c>
      <c r="AC215" s="9">
        <v>10000</v>
      </c>
      <c r="AE215" s="56">
        <f t="shared" si="89"/>
        <v>4000</v>
      </c>
      <c r="AF215" s="10">
        <f t="shared" si="95"/>
        <v>7700</v>
      </c>
      <c r="AH215" s="11">
        <f t="shared" si="90"/>
        <v>55</v>
      </c>
      <c r="AI215" s="10">
        <v>55</v>
      </c>
      <c r="AJ215" s="11">
        <f t="shared" si="91"/>
        <v>250</v>
      </c>
      <c r="AK215" s="10">
        <v>250</v>
      </c>
      <c r="AL215" s="11">
        <f t="shared" si="92"/>
        <v>250</v>
      </c>
      <c r="AM215" s="10">
        <v>250</v>
      </c>
      <c r="AN215" s="56">
        <f t="shared" si="93"/>
        <v>1</v>
      </c>
      <c r="AP215" s="11">
        <f ca="1">IFERROR(OFFSET(ITEM_RES!$A$1,MATCH(AQ215,ITEM_RES!$J:$J,0)-1,0),0)</f>
        <v>211020801</v>
      </c>
      <c r="AQ215" s="10" t="s">
        <v>409</v>
      </c>
      <c r="AR215" s="11">
        <v>1250</v>
      </c>
      <c r="AU215" s="11">
        <f ca="1">IFERROR(OFFSET(ITEM_RES!$A$1,MATCH(AV215,ITEM_RES!$J:$J,0)-1,0),0)</f>
        <v>0</v>
      </c>
      <c r="AZ215" s="11">
        <f ca="1">IFERROR(OFFSET(ITEM_RES!$A$1,MATCH(BA215,ITEM_RES!$J:$J,0)-1,0),0)</f>
        <v>0</v>
      </c>
      <c r="BE215" s="11">
        <f ca="1">IFERROR(OFFSET(ITEM_RES!$A$1,MATCH(BF215,ITEM_RES!$J:$J,0)-1,0),0)</f>
        <v>0</v>
      </c>
      <c r="BJ215" s="11">
        <f ca="1">IFERROR(OFFSET(ITEM_RES!$A$1,MATCH(BK215,ITEM_RES!$J:$J,0)-1,0),0)</f>
        <v>0</v>
      </c>
      <c r="BL215" s="11">
        <f t="shared" si="94"/>
        <v>0</v>
      </c>
    </row>
    <row r="216" spans="1:64" x14ac:dyDescent="0.3">
      <c r="A216" s="14">
        <f t="shared" si="86"/>
        <v>113020012</v>
      </c>
      <c r="B216" s="13">
        <v>11</v>
      </c>
      <c r="C216" s="12">
        <f t="shared" si="87"/>
        <v>3</v>
      </c>
      <c r="D216" s="13">
        <v>2</v>
      </c>
      <c r="E216" s="13">
        <v>0</v>
      </c>
      <c r="F216" s="12">
        <f t="shared" si="88"/>
        <v>12</v>
      </c>
      <c r="H216" s="9">
        <v>3</v>
      </c>
      <c r="I216" s="9">
        <v>12</v>
      </c>
      <c r="K216" s="56" t="s">
        <v>606</v>
      </c>
      <c r="L216" s="9">
        <v>1</v>
      </c>
      <c r="M216" s="9">
        <v>15</v>
      </c>
      <c r="R216" s="9" t="s">
        <v>777</v>
      </c>
      <c r="U216" s="9">
        <f ca="1">IFERROR(OFFSET(ITEM_RES!$A$5,MATCH(BUILDING!T216,ITEM_RES!$J$5:$J$229,0)-1,0),0)</f>
        <v>0</v>
      </c>
      <c r="X216" s="9">
        <f ca="1">IFERROR(OFFSET(ITEM_RES!$A$5,MATCH(BUILDING!W216,ITEM_RES!$J$5:$J$229,0)-1,0),0)</f>
        <v>0</v>
      </c>
      <c r="Z216" s="9" t="s">
        <v>607</v>
      </c>
      <c r="AA216" s="9">
        <v>12</v>
      </c>
      <c r="AC216" s="9">
        <v>12000</v>
      </c>
      <c r="AE216" s="56">
        <f t="shared" si="89"/>
        <v>6300</v>
      </c>
      <c r="AF216" s="10">
        <f t="shared" si="95"/>
        <v>10300</v>
      </c>
      <c r="AH216" s="11">
        <f t="shared" si="90"/>
        <v>60</v>
      </c>
      <c r="AI216" s="10">
        <v>60</v>
      </c>
      <c r="AJ216" s="11">
        <f t="shared" si="91"/>
        <v>300</v>
      </c>
      <c r="AK216" s="10">
        <v>300</v>
      </c>
      <c r="AL216" s="11">
        <f t="shared" si="92"/>
        <v>300</v>
      </c>
      <c r="AM216" s="10">
        <v>300</v>
      </c>
      <c r="AN216" s="56">
        <f t="shared" si="93"/>
        <v>2</v>
      </c>
      <c r="AP216" s="11">
        <f ca="1">IFERROR(OFFSET(ITEM_RES!$A$1,MATCH(AQ216,ITEM_RES!$J:$J,0)-1,0),0)</f>
        <v>211020801</v>
      </c>
      <c r="AQ216" s="10" t="s">
        <v>409</v>
      </c>
      <c r="AR216" s="11">
        <v>1500</v>
      </c>
      <c r="AU216" s="11">
        <f ca="1">IFERROR(OFFSET(ITEM_RES!$A$1,MATCH(AV216,ITEM_RES!$J:$J,0)-1,0),0)</f>
        <v>211020901</v>
      </c>
      <c r="AV216" s="10" t="s">
        <v>410</v>
      </c>
      <c r="AW216" s="11">
        <v>1500</v>
      </c>
      <c r="AZ216" s="11">
        <f ca="1">IFERROR(OFFSET(ITEM_RES!$A$1,MATCH(BA216,ITEM_RES!$J:$J,0)-1,0),0)</f>
        <v>0</v>
      </c>
      <c r="BE216" s="11">
        <f ca="1">IFERROR(OFFSET(ITEM_RES!$A$1,MATCH(BF216,ITEM_RES!$J:$J,0)-1,0),0)</f>
        <v>0</v>
      </c>
      <c r="BJ216" s="11">
        <f ca="1">IFERROR(OFFSET(ITEM_RES!$A$1,MATCH(BK216,ITEM_RES!$J:$J,0)-1,0),0)</f>
        <v>0</v>
      </c>
      <c r="BL216" s="11">
        <f t="shared" si="94"/>
        <v>0</v>
      </c>
    </row>
    <row r="217" spans="1:64" x14ac:dyDescent="0.3">
      <c r="A217" s="14">
        <f t="shared" si="86"/>
        <v>113020013</v>
      </c>
      <c r="B217" s="13">
        <v>11</v>
      </c>
      <c r="C217" s="12">
        <f t="shared" si="87"/>
        <v>3</v>
      </c>
      <c r="D217" s="13">
        <v>2</v>
      </c>
      <c r="E217" s="13">
        <v>0</v>
      </c>
      <c r="F217" s="12">
        <f t="shared" si="88"/>
        <v>13</v>
      </c>
      <c r="H217" s="9">
        <v>3</v>
      </c>
      <c r="I217" s="9">
        <v>13</v>
      </c>
      <c r="K217" s="56" t="s">
        <v>606</v>
      </c>
      <c r="L217" s="9">
        <v>1</v>
      </c>
      <c r="M217" s="9">
        <v>15</v>
      </c>
      <c r="R217" s="9" t="s">
        <v>777</v>
      </c>
      <c r="U217" s="9">
        <f ca="1">IFERROR(OFFSET(ITEM_RES!$A$5,MATCH(BUILDING!T217,ITEM_RES!$J$5:$J$229,0)-1,0),0)</f>
        <v>0</v>
      </c>
      <c r="X217" s="9">
        <f ca="1">IFERROR(OFFSET(ITEM_RES!$A$5,MATCH(BUILDING!W217,ITEM_RES!$J$5:$J$229,0)-1,0),0)</f>
        <v>0</v>
      </c>
      <c r="Z217" s="9" t="s">
        <v>607</v>
      </c>
      <c r="AA217" s="9">
        <v>13</v>
      </c>
      <c r="AC217" s="9">
        <v>14000</v>
      </c>
      <c r="AE217" s="56">
        <f t="shared" si="89"/>
        <v>7350</v>
      </c>
      <c r="AF217" s="10">
        <f t="shared" si="95"/>
        <v>13650</v>
      </c>
      <c r="AH217" s="11">
        <f t="shared" si="90"/>
        <v>65</v>
      </c>
      <c r="AI217" s="10">
        <v>65</v>
      </c>
      <c r="AJ217" s="11">
        <f t="shared" si="91"/>
        <v>350</v>
      </c>
      <c r="AK217" s="10">
        <v>350</v>
      </c>
      <c r="AL217" s="11">
        <f t="shared" si="92"/>
        <v>350</v>
      </c>
      <c r="AM217" s="10">
        <v>350</v>
      </c>
      <c r="AN217" s="56">
        <f t="shared" si="93"/>
        <v>2</v>
      </c>
      <c r="AP217" s="11">
        <f ca="1">IFERROR(OFFSET(ITEM_RES!$A$1,MATCH(AQ217,ITEM_RES!$J:$J,0)-1,0),0)</f>
        <v>211020801</v>
      </c>
      <c r="AQ217" s="10" t="s">
        <v>409</v>
      </c>
      <c r="AR217" s="11">
        <v>1750</v>
      </c>
      <c r="AU217" s="11">
        <f ca="1">IFERROR(OFFSET(ITEM_RES!$A$1,MATCH(AV217,ITEM_RES!$J:$J,0)-1,0),0)</f>
        <v>211020901</v>
      </c>
      <c r="AV217" s="10" t="s">
        <v>410</v>
      </c>
      <c r="AW217" s="11">
        <v>1750</v>
      </c>
      <c r="AZ217" s="11">
        <f ca="1">IFERROR(OFFSET(ITEM_RES!$A$1,MATCH(BA217,ITEM_RES!$J:$J,0)-1,0),0)</f>
        <v>0</v>
      </c>
      <c r="BE217" s="11">
        <f ca="1">IFERROR(OFFSET(ITEM_RES!$A$1,MATCH(BF217,ITEM_RES!$J:$J,0)-1,0),0)</f>
        <v>0</v>
      </c>
      <c r="BJ217" s="11">
        <f ca="1">IFERROR(OFFSET(ITEM_RES!$A$1,MATCH(BK217,ITEM_RES!$J:$J,0)-1,0),0)</f>
        <v>0</v>
      </c>
      <c r="BL217" s="11">
        <f t="shared" si="94"/>
        <v>0</v>
      </c>
    </row>
    <row r="218" spans="1:64" x14ac:dyDescent="0.3">
      <c r="A218" s="14">
        <f t="shared" si="86"/>
        <v>113020014</v>
      </c>
      <c r="B218" s="13">
        <v>11</v>
      </c>
      <c r="C218" s="12">
        <f t="shared" si="87"/>
        <v>3</v>
      </c>
      <c r="D218" s="13">
        <v>2</v>
      </c>
      <c r="E218" s="13">
        <v>0</v>
      </c>
      <c r="F218" s="12">
        <f t="shared" si="88"/>
        <v>14</v>
      </c>
      <c r="H218" s="9">
        <v>3</v>
      </c>
      <c r="I218" s="9">
        <v>14</v>
      </c>
      <c r="K218" s="56" t="s">
        <v>606</v>
      </c>
      <c r="L218" s="9">
        <v>1</v>
      </c>
      <c r="M218" s="9">
        <v>15</v>
      </c>
      <c r="R218" s="9" t="s">
        <v>777</v>
      </c>
      <c r="U218" s="9">
        <f ca="1">IFERROR(OFFSET(ITEM_RES!$A$5,MATCH(BUILDING!T218,ITEM_RES!$J$5:$J$229,0)-1,0),0)</f>
        <v>0</v>
      </c>
      <c r="X218" s="9">
        <f ca="1">IFERROR(OFFSET(ITEM_RES!$A$5,MATCH(BUILDING!W218,ITEM_RES!$J$5:$J$229,0)-1,0),0)</f>
        <v>0</v>
      </c>
      <c r="Z218" s="9" t="s">
        <v>607</v>
      </c>
      <c r="AA218" s="9">
        <v>14</v>
      </c>
      <c r="AC218" s="9">
        <v>18000</v>
      </c>
      <c r="AE218" s="56">
        <f t="shared" si="89"/>
        <v>9450</v>
      </c>
      <c r="AF218" s="10">
        <f t="shared" si="95"/>
        <v>16800</v>
      </c>
      <c r="AH218" s="11">
        <f t="shared" si="90"/>
        <v>70</v>
      </c>
      <c r="AI218" s="10">
        <v>70</v>
      </c>
      <c r="AJ218" s="11">
        <f t="shared" si="91"/>
        <v>450</v>
      </c>
      <c r="AK218" s="10">
        <v>450</v>
      </c>
      <c r="AL218" s="11">
        <f t="shared" si="92"/>
        <v>450</v>
      </c>
      <c r="AM218" s="10">
        <v>450</v>
      </c>
      <c r="AN218" s="56">
        <f t="shared" si="93"/>
        <v>2</v>
      </c>
      <c r="AP218" s="11">
        <f ca="1">IFERROR(OFFSET(ITEM_RES!$A$1,MATCH(AQ218,ITEM_RES!$J:$J,0)-1,0),0)</f>
        <v>211020801</v>
      </c>
      <c r="AQ218" s="10" t="s">
        <v>409</v>
      </c>
      <c r="AR218" s="11">
        <v>2250</v>
      </c>
      <c r="AU218" s="11">
        <f ca="1">IFERROR(OFFSET(ITEM_RES!$A$1,MATCH(AV218,ITEM_RES!$J:$J,0)-1,0),0)</f>
        <v>211020901</v>
      </c>
      <c r="AV218" s="10" t="s">
        <v>410</v>
      </c>
      <c r="AW218" s="11">
        <v>2250</v>
      </c>
      <c r="AZ218" s="11">
        <f ca="1">IFERROR(OFFSET(ITEM_RES!$A$1,MATCH(BA218,ITEM_RES!$J:$J,0)-1,0),0)</f>
        <v>0</v>
      </c>
      <c r="BE218" s="11">
        <f ca="1">IFERROR(OFFSET(ITEM_RES!$A$1,MATCH(BF218,ITEM_RES!$J:$J,0)-1,0),0)</f>
        <v>0</v>
      </c>
      <c r="BJ218" s="11">
        <f ca="1">IFERROR(OFFSET(ITEM_RES!$A$1,MATCH(BK218,ITEM_RES!$J:$J,0)-1,0),0)</f>
        <v>0</v>
      </c>
      <c r="BL218" s="11">
        <f t="shared" si="94"/>
        <v>0</v>
      </c>
    </row>
    <row r="219" spans="1:64" x14ac:dyDescent="0.3">
      <c r="A219" s="14">
        <f t="shared" si="86"/>
        <v>113020015</v>
      </c>
      <c r="B219" s="13">
        <v>11</v>
      </c>
      <c r="C219" s="12">
        <f t="shared" si="87"/>
        <v>3</v>
      </c>
      <c r="D219" s="13">
        <v>2</v>
      </c>
      <c r="E219" s="13">
        <v>0</v>
      </c>
      <c r="F219" s="12">
        <f t="shared" si="88"/>
        <v>15</v>
      </c>
      <c r="H219" s="9">
        <v>3</v>
      </c>
      <c r="I219" s="9">
        <v>15</v>
      </c>
      <c r="K219" s="56" t="s">
        <v>606</v>
      </c>
      <c r="L219" s="9">
        <v>1</v>
      </c>
      <c r="M219" s="9">
        <v>15</v>
      </c>
      <c r="R219" s="9" t="s">
        <v>777</v>
      </c>
      <c r="U219" s="9">
        <f ca="1">IFERROR(OFFSET(ITEM_RES!$A$5,MATCH(BUILDING!T219,ITEM_RES!$J$5:$J$229,0)-1,0),0)</f>
        <v>0</v>
      </c>
      <c r="X219" s="9">
        <f ca="1">IFERROR(OFFSET(ITEM_RES!$A$5,MATCH(BUILDING!W219,ITEM_RES!$J$5:$J$229,0)-1,0),0)</f>
        <v>0</v>
      </c>
      <c r="Z219" s="9" t="s">
        <v>607</v>
      </c>
      <c r="AA219" s="9">
        <v>15</v>
      </c>
      <c r="AC219" s="9">
        <v>22000</v>
      </c>
      <c r="AE219" s="56">
        <f t="shared" si="89"/>
        <v>11550</v>
      </c>
      <c r="AF219" s="10">
        <f t="shared" si="95"/>
        <v>21000</v>
      </c>
      <c r="AH219" s="11">
        <f t="shared" si="90"/>
        <v>75</v>
      </c>
      <c r="AI219" s="10">
        <v>75</v>
      </c>
      <c r="AJ219" s="11">
        <f t="shared" si="91"/>
        <v>550</v>
      </c>
      <c r="AK219" s="10">
        <v>550</v>
      </c>
      <c r="AL219" s="11">
        <f t="shared" si="92"/>
        <v>550</v>
      </c>
      <c r="AM219" s="10">
        <v>550</v>
      </c>
      <c r="AN219" s="56">
        <f t="shared" si="93"/>
        <v>2</v>
      </c>
      <c r="AP219" s="11">
        <f ca="1">IFERROR(OFFSET(ITEM_RES!$A$1,MATCH(AQ219,ITEM_RES!$J:$J,0)-1,0),0)</f>
        <v>211020801</v>
      </c>
      <c r="AQ219" s="10" t="s">
        <v>409</v>
      </c>
      <c r="AR219" s="11">
        <v>2750</v>
      </c>
      <c r="AU219" s="11">
        <f ca="1">IFERROR(OFFSET(ITEM_RES!$A$1,MATCH(AV219,ITEM_RES!$J:$J,0)-1,0),0)</f>
        <v>211020901</v>
      </c>
      <c r="AV219" s="10" t="s">
        <v>410</v>
      </c>
      <c r="AW219" s="11">
        <v>2750</v>
      </c>
      <c r="AZ219" s="11">
        <f ca="1">IFERROR(OFFSET(ITEM_RES!$A$1,MATCH(BA219,ITEM_RES!$J:$J,0)-1,0),0)</f>
        <v>0</v>
      </c>
      <c r="BE219" s="11">
        <f ca="1">IFERROR(OFFSET(ITEM_RES!$A$1,MATCH(BF219,ITEM_RES!$J:$J,0)-1,0),0)</f>
        <v>0</v>
      </c>
      <c r="BJ219" s="11">
        <f ca="1">IFERROR(OFFSET(ITEM_RES!$A$1,MATCH(BK219,ITEM_RES!$J:$J,0)-1,0),0)</f>
        <v>0</v>
      </c>
      <c r="BL219" s="11">
        <f t="shared" si="94"/>
        <v>0</v>
      </c>
    </row>
    <row r="220" spans="1:64" x14ac:dyDescent="0.3">
      <c r="A220" s="14">
        <f t="shared" si="86"/>
        <v>113020016</v>
      </c>
      <c r="B220" s="13">
        <v>11</v>
      </c>
      <c r="C220" s="12">
        <f t="shared" si="87"/>
        <v>3</v>
      </c>
      <c r="D220" s="13">
        <v>2</v>
      </c>
      <c r="E220" s="13">
        <v>0</v>
      </c>
      <c r="F220" s="12">
        <f t="shared" si="88"/>
        <v>16</v>
      </c>
      <c r="H220" s="9">
        <v>3</v>
      </c>
      <c r="I220" s="9">
        <v>16</v>
      </c>
      <c r="K220" s="56" t="s">
        <v>606</v>
      </c>
      <c r="L220" s="9">
        <v>0</v>
      </c>
      <c r="M220" s="9">
        <v>15</v>
      </c>
      <c r="R220" s="9" t="s">
        <v>777</v>
      </c>
      <c r="U220" s="9">
        <f ca="1">IFERROR(OFFSET(ITEM_RES!$A$5,MATCH(BUILDING!T220,ITEM_RES!$J$5:$J$229,0)-1,0),0)</f>
        <v>0</v>
      </c>
      <c r="X220" s="9">
        <f ca="1">IFERROR(OFFSET(ITEM_RES!$A$5,MATCH(BUILDING!W220,ITEM_RES!$J$5:$J$229,0)-1,0),0)</f>
        <v>0</v>
      </c>
      <c r="Z220" s="9" t="s">
        <v>607</v>
      </c>
      <c r="AA220" s="9">
        <v>16</v>
      </c>
      <c r="AC220" s="9">
        <v>28000</v>
      </c>
      <c r="AE220" s="56">
        <f t="shared" si="89"/>
        <v>14700</v>
      </c>
      <c r="AF220" s="10">
        <f t="shared" si="95"/>
        <v>26250</v>
      </c>
      <c r="AH220" s="11">
        <f t="shared" si="90"/>
        <v>80</v>
      </c>
      <c r="AI220" s="10">
        <v>80</v>
      </c>
      <c r="AJ220" s="11">
        <f t="shared" si="91"/>
        <v>700</v>
      </c>
      <c r="AK220" s="10">
        <v>700</v>
      </c>
      <c r="AL220" s="11">
        <f t="shared" si="92"/>
        <v>700</v>
      </c>
      <c r="AM220" s="10">
        <v>700</v>
      </c>
      <c r="AN220" s="56">
        <f t="shared" si="93"/>
        <v>2</v>
      </c>
      <c r="AP220" s="11">
        <f ca="1">IFERROR(OFFSET(ITEM_RES!$A$1,MATCH(AQ220,ITEM_RES!$J:$J,0)-1,0),0)</f>
        <v>211020801</v>
      </c>
      <c r="AQ220" s="10" t="s">
        <v>409</v>
      </c>
      <c r="AR220" s="11">
        <v>3500</v>
      </c>
      <c r="AU220" s="11">
        <f ca="1">IFERROR(OFFSET(ITEM_RES!$A$1,MATCH(AV220,ITEM_RES!$J:$J,0)-1,0),0)</f>
        <v>211020901</v>
      </c>
      <c r="AV220" s="10" t="s">
        <v>410</v>
      </c>
      <c r="AW220" s="11">
        <v>3500</v>
      </c>
      <c r="AZ220" s="11">
        <f ca="1">IFERROR(OFFSET(ITEM_RES!$A$1,MATCH(BA220,ITEM_RES!$J:$J,0)-1,0),0)</f>
        <v>0</v>
      </c>
      <c r="BE220" s="11">
        <f ca="1">IFERROR(OFFSET(ITEM_RES!$A$1,MATCH(BF220,ITEM_RES!$J:$J,0)-1,0),0)</f>
        <v>0</v>
      </c>
      <c r="BJ220" s="11">
        <f ca="1">IFERROR(OFFSET(ITEM_RES!$A$1,MATCH(BK220,ITEM_RES!$J:$J,0)-1,0),0)</f>
        <v>0</v>
      </c>
      <c r="BL220" s="11">
        <f t="shared" si="94"/>
        <v>0</v>
      </c>
    </row>
    <row r="221" spans="1:64" x14ac:dyDescent="0.3">
      <c r="A221" s="14">
        <f t="shared" si="86"/>
        <v>113020017</v>
      </c>
      <c r="B221" s="13">
        <v>11</v>
      </c>
      <c r="C221" s="12">
        <f t="shared" si="87"/>
        <v>3</v>
      </c>
      <c r="D221" s="13">
        <v>2</v>
      </c>
      <c r="E221" s="13">
        <v>0</v>
      </c>
      <c r="F221" s="12">
        <f t="shared" si="88"/>
        <v>17</v>
      </c>
      <c r="H221" s="9">
        <v>3</v>
      </c>
      <c r="I221" s="9">
        <v>17</v>
      </c>
      <c r="K221" s="56" t="s">
        <v>606</v>
      </c>
      <c r="L221" s="9">
        <v>0</v>
      </c>
      <c r="M221" s="9">
        <v>15</v>
      </c>
      <c r="R221" s="9" t="s">
        <v>777</v>
      </c>
      <c r="U221" s="9">
        <f ca="1">IFERROR(OFFSET(ITEM_RES!$A$5,MATCH(BUILDING!T221,ITEM_RES!$J$5:$J$229,0)-1,0),0)</f>
        <v>0</v>
      </c>
      <c r="X221" s="9">
        <f ca="1">IFERROR(OFFSET(ITEM_RES!$A$5,MATCH(BUILDING!W221,ITEM_RES!$J$5:$J$229,0)-1,0),0)</f>
        <v>0</v>
      </c>
      <c r="Z221" s="9" t="s">
        <v>607</v>
      </c>
      <c r="AA221" s="9">
        <v>17</v>
      </c>
      <c r="AC221" s="9">
        <v>34000</v>
      </c>
      <c r="AE221" s="56">
        <f t="shared" si="89"/>
        <v>17850</v>
      </c>
      <c r="AF221" s="10">
        <f t="shared" si="95"/>
        <v>32550</v>
      </c>
      <c r="AH221" s="11">
        <f t="shared" si="90"/>
        <v>85</v>
      </c>
      <c r="AI221" s="10">
        <v>85</v>
      </c>
      <c r="AJ221" s="11">
        <f t="shared" si="91"/>
        <v>850</v>
      </c>
      <c r="AK221" s="10">
        <v>850</v>
      </c>
      <c r="AL221" s="11">
        <f t="shared" si="92"/>
        <v>850</v>
      </c>
      <c r="AM221" s="10">
        <v>850</v>
      </c>
      <c r="AN221" s="56">
        <f t="shared" si="93"/>
        <v>2</v>
      </c>
      <c r="AP221" s="11">
        <f ca="1">IFERROR(OFFSET(ITEM_RES!$A$1,MATCH(AQ221,ITEM_RES!$J:$J,0)-1,0),0)</f>
        <v>211020801</v>
      </c>
      <c r="AQ221" s="10" t="s">
        <v>409</v>
      </c>
      <c r="AR221" s="11">
        <v>4250</v>
      </c>
      <c r="AU221" s="11">
        <f ca="1">IFERROR(OFFSET(ITEM_RES!$A$1,MATCH(AV221,ITEM_RES!$J:$J,0)-1,0),0)</f>
        <v>211020901</v>
      </c>
      <c r="AV221" s="10" t="s">
        <v>410</v>
      </c>
      <c r="AW221" s="11">
        <v>4250</v>
      </c>
      <c r="AZ221" s="11">
        <f ca="1">IFERROR(OFFSET(ITEM_RES!$A$1,MATCH(BA221,ITEM_RES!$J:$J,0)-1,0),0)</f>
        <v>0</v>
      </c>
      <c r="BE221" s="11">
        <f ca="1">IFERROR(OFFSET(ITEM_RES!$A$1,MATCH(BF221,ITEM_RES!$J:$J,0)-1,0),0)</f>
        <v>0</v>
      </c>
      <c r="BJ221" s="11">
        <f ca="1">IFERROR(OFFSET(ITEM_RES!$A$1,MATCH(BK221,ITEM_RES!$J:$J,0)-1,0),0)</f>
        <v>0</v>
      </c>
      <c r="BL221" s="11">
        <f t="shared" si="94"/>
        <v>0</v>
      </c>
    </row>
    <row r="222" spans="1:64" x14ac:dyDescent="0.3">
      <c r="A222" s="14">
        <f t="shared" si="86"/>
        <v>113020018</v>
      </c>
      <c r="B222" s="13">
        <v>11</v>
      </c>
      <c r="C222" s="12">
        <f t="shared" si="87"/>
        <v>3</v>
      </c>
      <c r="D222" s="13">
        <v>2</v>
      </c>
      <c r="E222" s="13">
        <v>0</v>
      </c>
      <c r="F222" s="12">
        <f t="shared" si="88"/>
        <v>18</v>
      </c>
      <c r="H222" s="9">
        <v>3</v>
      </c>
      <c r="I222" s="9">
        <v>18</v>
      </c>
      <c r="K222" s="56" t="s">
        <v>606</v>
      </c>
      <c r="L222" s="9">
        <v>0</v>
      </c>
      <c r="M222" s="9">
        <v>15</v>
      </c>
      <c r="R222" s="9" t="s">
        <v>777</v>
      </c>
      <c r="U222" s="9">
        <f ca="1">IFERROR(OFFSET(ITEM_RES!$A$5,MATCH(BUILDING!T222,ITEM_RES!$J$5:$J$229,0)-1,0),0)</f>
        <v>0</v>
      </c>
      <c r="X222" s="9">
        <f ca="1">IFERROR(OFFSET(ITEM_RES!$A$5,MATCH(BUILDING!W222,ITEM_RES!$J$5:$J$229,0)-1,0),0)</f>
        <v>0</v>
      </c>
      <c r="Z222" s="9" t="s">
        <v>607</v>
      </c>
      <c r="AA222" s="9">
        <v>18</v>
      </c>
      <c r="AC222" s="9">
        <v>42000</v>
      </c>
      <c r="AE222" s="56">
        <f t="shared" si="89"/>
        <v>22050</v>
      </c>
      <c r="AF222" s="10">
        <f t="shared" si="95"/>
        <v>39900</v>
      </c>
      <c r="AH222" s="11">
        <f t="shared" si="90"/>
        <v>90</v>
      </c>
      <c r="AI222" s="10">
        <v>90</v>
      </c>
      <c r="AJ222" s="11">
        <f t="shared" si="91"/>
        <v>1050</v>
      </c>
      <c r="AK222" s="10">
        <v>1050</v>
      </c>
      <c r="AL222" s="11">
        <f t="shared" si="92"/>
        <v>1050</v>
      </c>
      <c r="AM222" s="10">
        <v>1050</v>
      </c>
      <c r="AN222" s="56">
        <f t="shared" si="93"/>
        <v>2</v>
      </c>
      <c r="AP222" s="11">
        <f ca="1">IFERROR(OFFSET(ITEM_RES!$A$1,MATCH(AQ222,ITEM_RES!$J:$J,0)-1,0),0)</f>
        <v>211020801</v>
      </c>
      <c r="AQ222" s="10" t="s">
        <v>409</v>
      </c>
      <c r="AR222" s="11">
        <v>5250</v>
      </c>
      <c r="AU222" s="11">
        <f ca="1">IFERROR(OFFSET(ITEM_RES!$A$1,MATCH(AV222,ITEM_RES!$J:$J,0)-1,0),0)</f>
        <v>211020901</v>
      </c>
      <c r="AV222" s="10" t="s">
        <v>410</v>
      </c>
      <c r="AW222" s="11">
        <v>5250</v>
      </c>
      <c r="AZ222" s="11">
        <f ca="1">IFERROR(OFFSET(ITEM_RES!$A$1,MATCH(BA222,ITEM_RES!$J:$J,0)-1,0),0)</f>
        <v>0</v>
      </c>
      <c r="BE222" s="11">
        <f ca="1">IFERROR(OFFSET(ITEM_RES!$A$1,MATCH(BF222,ITEM_RES!$J:$J,0)-1,0),0)</f>
        <v>0</v>
      </c>
      <c r="BJ222" s="11">
        <f ca="1">IFERROR(OFFSET(ITEM_RES!$A$1,MATCH(BK222,ITEM_RES!$J:$J,0)-1,0),0)</f>
        <v>0</v>
      </c>
      <c r="BL222" s="11">
        <f t="shared" si="94"/>
        <v>0</v>
      </c>
    </row>
    <row r="223" spans="1:64" x14ac:dyDescent="0.3">
      <c r="A223" s="14">
        <f t="shared" si="86"/>
        <v>113020019</v>
      </c>
      <c r="B223" s="13">
        <v>11</v>
      </c>
      <c r="C223" s="12">
        <f t="shared" si="87"/>
        <v>3</v>
      </c>
      <c r="D223" s="13">
        <v>2</v>
      </c>
      <c r="E223" s="13">
        <v>0</v>
      </c>
      <c r="F223" s="12">
        <f t="shared" si="88"/>
        <v>19</v>
      </c>
      <c r="H223" s="9">
        <v>3</v>
      </c>
      <c r="I223" s="9">
        <v>19</v>
      </c>
      <c r="K223" s="56" t="s">
        <v>606</v>
      </c>
      <c r="L223" s="9">
        <v>0</v>
      </c>
      <c r="M223" s="9">
        <v>15</v>
      </c>
      <c r="R223" s="9" t="s">
        <v>777</v>
      </c>
      <c r="U223" s="9">
        <f ca="1">IFERROR(OFFSET(ITEM_RES!$A$5,MATCH(BUILDING!T223,ITEM_RES!$J$5:$J$229,0)-1,0),0)</f>
        <v>0</v>
      </c>
      <c r="X223" s="9">
        <f ca="1">IFERROR(OFFSET(ITEM_RES!$A$5,MATCH(BUILDING!W223,ITEM_RES!$J$5:$J$229,0)-1,0),0)</f>
        <v>0</v>
      </c>
      <c r="Z223" s="9" t="s">
        <v>607</v>
      </c>
      <c r="AA223" s="9">
        <v>19</v>
      </c>
      <c r="AC223" s="9">
        <v>50000</v>
      </c>
      <c r="AE223" s="56">
        <f t="shared" si="89"/>
        <v>26250</v>
      </c>
      <c r="AF223" s="10">
        <f t="shared" si="95"/>
        <v>48300</v>
      </c>
      <c r="AH223" s="11">
        <f t="shared" si="90"/>
        <v>95</v>
      </c>
      <c r="AI223" s="10">
        <v>95</v>
      </c>
      <c r="AJ223" s="11">
        <f t="shared" si="91"/>
        <v>1250</v>
      </c>
      <c r="AK223" s="10">
        <v>1250</v>
      </c>
      <c r="AL223" s="11">
        <f t="shared" si="92"/>
        <v>1250</v>
      </c>
      <c r="AM223" s="10">
        <v>1250</v>
      </c>
      <c r="AN223" s="56">
        <f t="shared" si="93"/>
        <v>2</v>
      </c>
      <c r="AP223" s="11">
        <f ca="1">IFERROR(OFFSET(ITEM_RES!$A$1,MATCH(AQ223,ITEM_RES!$J:$J,0)-1,0),0)</f>
        <v>211020901</v>
      </c>
      <c r="AQ223" s="10" t="s">
        <v>410</v>
      </c>
      <c r="AR223" s="11">
        <v>6250</v>
      </c>
      <c r="AU223" s="11">
        <f ca="1">IFERROR(OFFSET(ITEM_RES!$A$1,MATCH(AV223,ITEM_RES!$J:$J,0)-1,0),0)</f>
        <v>211020501</v>
      </c>
      <c r="AV223" s="10" t="s">
        <v>445</v>
      </c>
      <c r="AW223" s="11">
        <v>6250</v>
      </c>
      <c r="AZ223" s="11">
        <f ca="1">IFERROR(OFFSET(ITEM_RES!$A$1,MATCH(BA223,ITEM_RES!$J:$J,0)-1,0),0)</f>
        <v>0</v>
      </c>
      <c r="BE223" s="11">
        <f ca="1">IFERROR(OFFSET(ITEM_RES!$A$1,MATCH(BF223,ITEM_RES!$J:$J,0)-1,0),0)</f>
        <v>0</v>
      </c>
      <c r="BJ223" s="11">
        <f ca="1">IFERROR(OFFSET(ITEM_RES!$A$1,MATCH(BK223,ITEM_RES!$J:$J,0)-1,0),0)</f>
        <v>0</v>
      </c>
      <c r="BL223" s="11">
        <f t="shared" si="94"/>
        <v>0</v>
      </c>
    </row>
    <row r="224" spans="1:64" ht="17.25" thickBot="1" x14ac:dyDescent="0.35">
      <c r="A224" s="14">
        <f t="shared" si="86"/>
        <v>113020020</v>
      </c>
      <c r="B224" s="13">
        <v>11</v>
      </c>
      <c r="C224" s="12">
        <f t="shared" si="87"/>
        <v>3</v>
      </c>
      <c r="D224" s="13">
        <v>2</v>
      </c>
      <c r="E224" s="13">
        <v>0</v>
      </c>
      <c r="F224" s="12">
        <f t="shared" si="88"/>
        <v>20</v>
      </c>
      <c r="H224" s="9">
        <v>3</v>
      </c>
      <c r="I224" s="9">
        <v>20</v>
      </c>
      <c r="K224" s="56" t="s">
        <v>606</v>
      </c>
      <c r="L224" s="9">
        <v>0</v>
      </c>
      <c r="M224" s="9">
        <v>15</v>
      </c>
      <c r="R224" s="9" t="s">
        <v>777</v>
      </c>
      <c r="U224" s="9">
        <f ca="1">IFERROR(OFFSET(ITEM_RES!$A$5,MATCH(BUILDING!T224,ITEM_RES!$J$5:$J$229,0)-1,0),0)</f>
        <v>0</v>
      </c>
      <c r="X224" s="9">
        <f ca="1">IFERROR(OFFSET(ITEM_RES!$A$5,MATCH(BUILDING!W224,ITEM_RES!$J$5:$J$229,0)-1,0),0)</f>
        <v>0</v>
      </c>
      <c r="Z224" s="9" t="s">
        <v>607</v>
      </c>
      <c r="AA224" s="9">
        <v>20</v>
      </c>
      <c r="AC224" s="9">
        <v>60000</v>
      </c>
      <c r="AE224" s="56">
        <f t="shared" si="89"/>
        <v>31500</v>
      </c>
      <c r="AF224" s="10">
        <f t="shared" si="95"/>
        <v>57750</v>
      </c>
      <c r="AH224" s="11">
        <f t="shared" si="90"/>
        <v>100</v>
      </c>
      <c r="AI224" s="10">
        <v>100</v>
      </c>
      <c r="AJ224" s="11">
        <f t="shared" si="91"/>
        <v>1500</v>
      </c>
      <c r="AK224" s="10">
        <v>1500</v>
      </c>
      <c r="AL224" s="11">
        <f t="shared" si="92"/>
        <v>1500</v>
      </c>
      <c r="AM224" s="10">
        <v>1500</v>
      </c>
      <c r="AN224" s="56">
        <f t="shared" si="93"/>
        <v>2</v>
      </c>
      <c r="AP224" s="11">
        <f ca="1">IFERROR(OFFSET(ITEM_RES!$A$1,MATCH(AQ224,ITEM_RES!$J:$J,0)-1,0),0)</f>
        <v>211020901</v>
      </c>
      <c r="AQ224" s="10" t="s">
        <v>410</v>
      </c>
      <c r="AR224" s="11">
        <v>7500</v>
      </c>
      <c r="AU224" s="11">
        <f ca="1">IFERROR(OFFSET(ITEM_RES!$A$1,MATCH(AV224,ITEM_RES!$J:$J,0)-1,0),0)</f>
        <v>211020501</v>
      </c>
      <c r="AV224" s="10" t="s">
        <v>445</v>
      </c>
      <c r="AW224" s="11">
        <v>7500</v>
      </c>
      <c r="AZ224" s="11">
        <f ca="1">IFERROR(OFFSET(ITEM_RES!$A$1,MATCH(BA224,ITEM_RES!$J:$J,0)-1,0),0)</f>
        <v>0</v>
      </c>
      <c r="BE224" s="11">
        <f ca="1">IFERROR(OFFSET(ITEM_RES!$A$1,MATCH(BF224,ITEM_RES!$J:$J,0)-1,0),0)</f>
        <v>0</v>
      </c>
      <c r="BJ224" s="11">
        <f ca="1">IFERROR(OFFSET(ITEM_RES!$A$1,MATCH(BK224,ITEM_RES!$J:$J,0)-1,0),0)</f>
        <v>0</v>
      </c>
      <c r="BL224" s="11">
        <f t="shared" si="94"/>
        <v>0</v>
      </c>
    </row>
    <row r="225" spans="1:65" s="15" customFormat="1" x14ac:dyDescent="0.3">
      <c r="A225" s="21">
        <f t="shared" si="70"/>
        <v>113030001</v>
      </c>
      <c r="B225" s="20">
        <v>11</v>
      </c>
      <c r="C225" s="19">
        <f t="shared" si="71"/>
        <v>3</v>
      </c>
      <c r="D225" s="20">
        <v>3</v>
      </c>
      <c r="E225" s="20">
        <v>0</v>
      </c>
      <c r="F225" s="19">
        <f t="shared" si="72"/>
        <v>1</v>
      </c>
      <c r="G225" s="80"/>
      <c r="H225" s="16">
        <v>3</v>
      </c>
      <c r="I225" s="16">
        <v>1</v>
      </c>
      <c r="J225" s="80"/>
      <c r="K225" s="64" t="s">
        <v>380</v>
      </c>
      <c r="L225" s="16">
        <v>1</v>
      </c>
      <c r="M225" s="16">
        <v>15</v>
      </c>
      <c r="N225" s="16"/>
      <c r="O225" s="17"/>
      <c r="P225" s="17"/>
      <c r="Q225" s="18"/>
      <c r="R225" s="16" t="s">
        <v>778</v>
      </c>
      <c r="S225" s="80"/>
      <c r="T225" s="88"/>
      <c r="U225" s="16">
        <f ca="1">IFERROR(OFFSET(ITEM_RES!$A$5,MATCH(BUILDING!T225,ITEM_RES!$J$5:$J$229,0)-1,0),0)</f>
        <v>0</v>
      </c>
      <c r="V225" s="18"/>
      <c r="W225" s="88"/>
      <c r="X225" s="16">
        <f ca="1">IFERROR(OFFSET(ITEM_RES!$A$5,MATCH(BUILDING!W225,ITEM_RES!$J$5:$J$229,0)-1,0),0)</f>
        <v>0</v>
      </c>
      <c r="Y225" s="80"/>
      <c r="Z225" s="16" t="s">
        <v>552</v>
      </c>
      <c r="AA225" s="16">
        <v>1</v>
      </c>
      <c r="AB225" s="80"/>
      <c r="AC225" s="16">
        <v>0</v>
      </c>
      <c r="AD225" s="80"/>
      <c r="AE225" s="57">
        <f t="shared" si="67"/>
        <v>605</v>
      </c>
      <c r="AF225" s="17">
        <f>AE225</f>
        <v>605</v>
      </c>
      <c r="AG225" s="80"/>
      <c r="AH225" s="18">
        <f t="shared" si="66"/>
        <v>5</v>
      </c>
      <c r="AI225" s="17">
        <v>5</v>
      </c>
      <c r="AJ225" s="18">
        <f t="shared" si="74"/>
        <v>5</v>
      </c>
      <c r="AK225" s="17">
        <v>5</v>
      </c>
      <c r="AL225" s="18">
        <f t="shared" si="74"/>
        <v>5</v>
      </c>
      <c r="AM225" s="17">
        <v>5</v>
      </c>
      <c r="AN225" s="57">
        <f t="shared" si="68"/>
        <v>3</v>
      </c>
      <c r="AO225" s="18"/>
      <c r="AP225" s="18">
        <f ca="1">IFERROR(OFFSET(ITEM_RES!$A$1,MATCH(AQ225,ITEM_RES!$J:$J,0)-1,0),0)</f>
        <v>211020801</v>
      </c>
      <c r="AQ225" s="17" t="s">
        <v>458</v>
      </c>
      <c r="AR225" s="18">
        <v>25</v>
      </c>
      <c r="AS225" s="17"/>
      <c r="AT225" s="18"/>
      <c r="AU225" s="18">
        <f ca="1">IFERROR(OFFSET(ITEM_RES!$A$1,MATCH(AV225,ITEM_RES!$J:$J,0)-1,0),0)</f>
        <v>211020401</v>
      </c>
      <c r="AV225" s="17" t="s">
        <v>444</v>
      </c>
      <c r="AW225" s="18">
        <v>25</v>
      </c>
      <c r="AX225" s="17"/>
      <c r="AY225" s="18"/>
      <c r="AZ225" s="18">
        <f ca="1">IFERROR(OFFSET(ITEM_RES!$A$1,MATCH(BA225,ITEM_RES!$J:$J,0)-1,0),0)</f>
        <v>213010101</v>
      </c>
      <c r="BA225" s="17" t="s">
        <v>481</v>
      </c>
      <c r="BB225" s="18">
        <v>1</v>
      </c>
      <c r="BC225" s="17"/>
      <c r="BD225" s="18"/>
      <c r="BE225" s="18">
        <f ca="1">IFERROR(OFFSET(ITEM_RES!$A$1,MATCH(BF225,ITEM_RES!$J:$J,0)-1,0),0)</f>
        <v>0</v>
      </c>
      <c r="BF225" s="17"/>
      <c r="BG225" s="18"/>
      <c r="BH225" s="17"/>
      <c r="BI225" s="18"/>
      <c r="BJ225" s="18">
        <f ca="1">IFERROR(OFFSET(ITEM_RES!$A$1,MATCH(BK225,ITEM_RES!$J:$J,0)-1,0),0)</f>
        <v>0</v>
      </c>
      <c r="BK225" s="17"/>
      <c r="BL225" s="18">
        <f t="shared" si="73"/>
        <v>0</v>
      </c>
      <c r="BM225" s="17"/>
    </row>
    <row r="226" spans="1:65" x14ac:dyDescent="0.3">
      <c r="A226" s="14">
        <f t="shared" si="70"/>
        <v>113030002</v>
      </c>
      <c r="B226" s="13">
        <v>11</v>
      </c>
      <c r="C226" s="12">
        <f t="shared" si="71"/>
        <v>3</v>
      </c>
      <c r="D226" s="13">
        <v>3</v>
      </c>
      <c r="E226" s="13">
        <v>0</v>
      </c>
      <c r="F226" s="12">
        <f t="shared" si="72"/>
        <v>2</v>
      </c>
      <c r="H226" s="9">
        <v>3</v>
      </c>
      <c r="I226" s="9">
        <v>2</v>
      </c>
      <c r="K226" s="56" t="s">
        <v>380</v>
      </c>
      <c r="L226" s="9">
        <v>1</v>
      </c>
      <c r="M226" s="9">
        <v>15</v>
      </c>
      <c r="N226" s="85"/>
      <c r="R226" s="9" t="s">
        <v>778</v>
      </c>
      <c r="U226" s="9">
        <f ca="1">IFERROR(OFFSET(ITEM_RES!$A$5,MATCH(BUILDING!T226,ITEM_RES!$J$5:$J$229,0)-1,0),0)</f>
        <v>0</v>
      </c>
      <c r="X226" s="9">
        <f ca="1">IFERROR(OFFSET(ITEM_RES!$A$5,MATCH(BUILDING!W226,ITEM_RES!$J$5:$J$229,0)-1,0),0)</f>
        <v>0</v>
      </c>
      <c r="Z226" s="9" t="s">
        <v>552</v>
      </c>
      <c r="AA226" s="9">
        <v>2</v>
      </c>
      <c r="AC226" s="9">
        <v>200</v>
      </c>
      <c r="AE226" s="56">
        <f t="shared" si="67"/>
        <v>210</v>
      </c>
      <c r="AF226" s="10">
        <f>AE225+AE226</f>
        <v>815</v>
      </c>
      <c r="AH226" s="11">
        <f t="shared" si="66"/>
        <v>10</v>
      </c>
      <c r="AI226" s="10">
        <v>10</v>
      </c>
      <c r="AJ226" s="11">
        <f t="shared" si="74"/>
        <v>10</v>
      </c>
      <c r="AK226" s="10">
        <v>10</v>
      </c>
      <c r="AL226" s="11">
        <f t="shared" si="74"/>
        <v>10</v>
      </c>
      <c r="AM226" s="10">
        <v>10</v>
      </c>
      <c r="AN226" s="56">
        <f t="shared" si="68"/>
        <v>2</v>
      </c>
      <c r="AP226" s="11">
        <f ca="1">IFERROR(OFFSET(ITEM_RES!$A$1,MATCH(AQ226,ITEM_RES!$J:$J,0)-1,0),0)</f>
        <v>211020801</v>
      </c>
      <c r="AQ226" s="10" t="s">
        <v>458</v>
      </c>
      <c r="AR226" s="11">
        <v>50</v>
      </c>
      <c r="AU226" s="11">
        <f ca="1">IFERROR(OFFSET(ITEM_RES!$A$1,MATCH(AV226,ITEM_RES!$J:$J,0)-1,0),0)</f>
        <v>211020401</v>
      </c>
      <c r="AV226" s="10" t="s">
        <v>444</v>
      </c>
      <c r="AW226" s="11">
        <v>50</v>
      </c>
      <c r="AZ226" s="11">
        <f ca="1">IFERROR(OFFSET(ITEM_RES!$A$1,MATCH(BA226,ITEM_RES!$J:$J,0)-1,0),0)</f>
        <v>0</v>
      </c>
      <c r="BE226" s="11">
        <f ca="1">IFERROR(OFFSET(ITEM_RES!$A$1,MATCH(BF226,ITEM_RES!$J:$J,0)-1,0),0)</f>
        <v>0</v>
      </c>
      <c r="BJ226" s="11">
        <f ca="1">IFERROR(OFFSET(ITEM_RES!$A$1,MATCH(BK226,ITEM_RES!$J:$J,0)-1,0),0)</f>
        <v>0</v>
      </c>
      <c r="BL226" s="11">
        <f t="shared" si="73"/>
        <v>0</v>
      </c>
    </row>
    <row r="227" spans="1:65" x14ac:dyDescent="0.3">
      <c r="A227" s="14">
        <f t="shared" si="70"/>
        <v>113030003</v>
      </c>
      <c r="B227" s="13">
        <v>11</v>
      </c>
      <c r="C227" s="12">
        <f t="shared" si="71"/>
        <v>3</v>
      </c>
      <c r="D227" s="13">
        <v>3</v>
      </c>
      <c r="E227" s="13">
        <v>0</v>
      </c>
      <c r="F227" s="12">
        <f t="shared" si="72"/>
        <v>3</v>
      </c>
      <c r="H227" s="9">
        <v>3</v>
      </c>
      <c r="I227" s="9">
        <v>3</v>
      </c>
      <c r="K227" s="56" t="s">
        <v>380</v>
      </c>
      <c r="L227" s="9">
        <v>1</v>
      </c>
      <c r="M227" s="9">
        <v>15</v>
      </c>
      <c r="R227" s="9" t="s">
        <v>778</v>
      </c>
      <c r="U227" s="9">
        <f ca="1">IFERROR(OFFSET(ITEM_RES!$A$5,MATCH(BUILDING!T227,ITEM_RES!$J$5:$J$229,0)-1,0),0)</f>
        <v>0</v>
      </c>
      <c r="X227" s="9">
        <f ca="1">IFERROR(OFFSET(ITEM_RES!$A$5,MATCH(BUILDING!W227,ITEM_RES!$J$5:$J$229,0)-1,0),0)</f>
        <v>0</v>
      </c>
      <c r="Z227" s="9" t="s">
        <v>552</v>
      </c>
      <c r="AA227" s="9">
        <v>3</v>
      </c>
      <c r="AC227" s="9">
        <v>600</v>
      </c>
      <c r="AE227" s="56">
        <f t="shared" si="67"/>
        <v>315</v>
      </c>
      <c r="AF227" s="10">
        <f t="shared" ref="AF227:AF244" si="96">AE226+AE227</f>
        <v>525</v>
      </c>
      <c r="AH227" s="11">
        <f t="shared" si="66"/>
        <v>15</v>
      </c>
      <c r="AI227" s="10">
        <v>15</v>
      </c>
      <c r="AJ227" s="11">
        <f t="shared" si="74"/>
        <v>15</v>
      </c>
      <c r="AK227" s="10">
        <v>15</v>
      </c>
      <c r="AL227" s="11">
        <f t="shared" si="74"/>
        <v>15</v>
      </c>
      <c r="AM227" s="10">
        <v>15</v>
      </c>
      <c r="AN227" s="56">
        <f t="shared" si="68"/>
        <v>2</v>
      </c>
      <c r="AP227" s="11">
        <f ca="1">IFERROR(OFFSET(ITEM_RES!$A$1,MATCH(AQ227,ITEM_RES!$J:$J,0)-1,0),0)</f>
        <v>211020801</v>
      </c>
      <c r="AQ227" s="10" t="s">
        <v>458</v>
      </c>
      <c r="AR227" s="11">
        <v>75</v>
      </c>
      <c r="AU227" s="11">
        <f ca="1">IFERROR(OFFSET(ITEM_RES!$A$1,MATCH(AV227,ITEM_RES!$J:$J,0)-1,0),0)</f>
        <v>211020401</v>
      </c>
      <c r="AV227" s="10" t="s">
        <v>444</v>
      </c>
      <c r="AW227" s="11">
        <v>75</v>
      </c>
      <c r="AZ227" s="11">
        <f ca="1">IFERROR(OFFSET(ITEM_RES!$A$1,MATCH(BA227,ITEM_RES!$J:$J,0)-1,0),0)</f>
        <v>0</v>
      </c>
      <c r="BE227" s="11">
        <f ca="1">IFERROR(OFFSET(ITEM_RES!$A$1,MATCH(BF227,ITEM_RES!$J:$J,0)-1,0),0)</f>
        <v>0</v>
      </c>
      <c r="BJ227" s="11">
        <f ca="1">IFERROR(OFFSET(ITEM_RES!$A$1,MATCH(BK227,ITEM_RES!$J:$J,0)-1,0),0)</f>
        <v>0</v>
      </c>
      <c r="BL227" s="11">
        <f t="shared" si="73"/>
        <v>0</v>
      </c>
    </row>
    <row r="228" spans="1:65" x14ac:dyDescent="0.3">
      <c r="A228" s="14">
        <f t="shared" si="70"/>
        <v>113030004</v>
      </c>
      <c r="B228" s="13">
        <v>11</v>
      </c>
      <c r="C228" s="12">
        <f t="shared" si="71"/>
        <v>3</v>
      </c>
      <c r="D228" s="13">
        <v>3</v>
      </c>
      <c r="E228" s="13">
        <v>0</v>
      </c>
      <c r="F228" s="12">
        <f t="shared" si="72"/>
        <v>4</v>
      </c>
      <c r="H228" s="9">
        <v>3</v>
      </c>
      <c r="I228" s="9">
        <v>4</v>
      </c>
      <c r="K228" s="56" t="s">
        <v>380</v>
      </c>
      <c r="L228" s="9">
        <v>1</v>
      </c>
      <c r="M228" s="9">
        <v>15</v>
      </c>
      <c r="R228" s="9" t="s">
        <v>778</v>
      </c>
      <c r="U228" s="9">
        <f ca="1">IFERROR(OFFSET(ITEM_RES!$A$5,MATCH(BUILDING!T228,ITEM_RES!$J$5:$J$229,0)-1,0),0)</f>
        <v>0</v>
      </c>
      <c r="X228" s="9">
        <f ca="1">IFERROR(OFFSET(ITEM_RES!$A$5,MATCH(BUILDING!W228,ITEM_RES!$J$5:$J$229,0)-1,0),0)</f>
        <v>0</v>
      </c>
      <c r="Z228" s="9" t="s">
        <v>552</v>
      </c>
      <c r="AA228" s="9">
        <v>4</v>
      </c>
      <c r="AC228" s="9">
        <v>1000</v>
      </c>
      <c r="AE228" s="56">
        <f t="shared" si="67"/>
        <v>525</v>
      </c>
      <c r="AF228" s="10">
        <f t="shared" si="96"/>
        <v>840</v>
      </c>
      <c r="AH228" s="11">
        <f t="shared" si="66"/>
        <v>20</v>
      </c>
      <c r="AI228" s="10">
        <v>20</v>
      </c>
      <c r="AJ228" s="11">
        <f t="shared" si="74"/>
        <v>25</v>
      </c>
      <c r="AK228" s="10">
        <v>25</v>
      </c>
      <c r="AL228" s="11">
        <f t="shared" si="74"/>
        <v>25</v>
      </c>
      <c r="AM228" s="10">
        <v>25</v>
      </c>
      <c r="AN228" s="56">
        <f t="shared" si="68"/>
        <v>2</v>
      </c>
      <c r="AP228" s="11">
        <f ca="1">IFERROR(OFFSET(ITEM_RES!$A$1,MATCH(AQ228,ITEM_RES!$J:$J,0)-1,0),0)</f>
        <v>211020801</v>
      </c>
      <c r="AQ228" s="10" t="s">
        <v>458</v>
      </c>
      <c r="AR228" s="11">
        <v>125</v>
      </c>
      <c r="AU228" s="11">
        <f ca="1">IFERROR(OFFSET(ITEM_RES!$A$1,MATCH(AV228,ITEM_RES!$J:$J,0)-1,0),0)</f>
        <v>211020401</v>
      </c>
      <c r="AV228" s="10" t="s">
        <v>444</v>
      </c>
      <c r="AW228" s="11">
        <v>125</v>
      </c>
      <c r="AZ228" s="11">
        <f ca="1">IFERROR(OFFSET(ITEM_RES!$A$1,MATCH(BA228,ITEM_RES!$J:$J,0)-1,0),0)</f>
        <v>0</v>
      </c>
      <c r="BE228" s="11">
        <f ca="1">IFERROR(OFFSET(ITEM_RES!$A$1,MATCH(BF228,ITEM_RES!$J:$J,0)-1,0),0)</f>
        <v>0</v>
      </c>
      <c r="BJ228" s="11">
        <f ca="1">IFERROR(OFFSET(ITEM_RES!$A$1,MATCH(BK228,ITEM_RES!$J:$J,0)-1,0),0)</f>
        <v>0</v>
      </c>
      <c r="BL228" s="11">
        <f t="shared" si="73"/>
        <v>0</v>
      </c>
    </row>
    <row r="229" spans="1:65" x14ac:dyDescent="0.3">
      <c r="A229" s="14">
        <f t="shared" si="70"/>
        <v>113030005</v>
      </c>
      <c r="B229" s="13">
        <v>11</v>
      </c>
      <c r="C229" s="12">
        <f t="shared" si="71"/>
        <v>3</v>
      </c>
      <c r="D229" s="13">
        <v>3</v>
      </c>
      <c r="E229" s="13">
        <v>0</v>
      </c>
      <c r="F229" s="12">
        <f t="shared" si="72"/>
        <v>5</v>
      </c>
      <c r="H229" s="9">
        <v>3</v>
      </c>
      <c r="I229" s="9">
        <v>5</v>
      </c>
      <c r="K229" s="56" t="s">
        <v>380</v>
      </c>
      <c r="L229" s="9">
        <v>1</v>
      </c>
      <c r="M229" s="9">
        <v>15</v>
      </c>
      <c r="R229" s="9" t="s">
        <v>778</v>
      </c>
      <c r="U229" s="9">
        <f ca="1">IFERROR(OFFSET(ITEM_RES!$A$5,MATCH(BUILDING!T229,ITEM_RES!$J$5:$J$229,0)-1,0),0)</f>
        <v>0</v>
      </c>
      <c r="X229" s="9">
        <f ca="1">IFERROR(OFFSET(ITEM_RES!$A$5,MATCH(BUILDING!W229,ITEM_RES!$J$5:$J$229,0)-1,0),0)</f>
        <v>0</v>
      </c>
      <c r="Z229" s="9" t="s">
        <v>552</v>
      </c>
      <c r="AA229" s="9">
        <v>5</v>
      </c>
      <c r="AC229" s="9">
        <v>1600</v>
      </c>
      <c r="AE229" s="56">
        <f t="shared" si="67"/>
        <v>840</v>
      </c>
      <c r="AF229" s="10">
        <f t="shared" si="96"/>
        <v>1365</v>
      </c>
      <c r="AH229" s="11">
        <f t="shared" si="66"/>
        <v>25</v>
      </c>
      <c r="AI229" s="10">
        <v>25</v>
      </c>
      <c r="AJ229" s="11">
        <f t="shared" si="74"/>
        <v>40</v>
      </c>
      <c r="AK229" s="10">
        <v>40</v>
      </c>
      <c r="AL229" s="11">
        <f t="shared" si="74"/>
        <v>40</v>
      </c>
      <c r="AM229" s="10">
        <v>40</v>
      </c>
      <c r="AN229" s="56">
        <f t="shared" si="68"/>
        <v>2</v>
      </c>
      <c r="AP229" s="11">
        <f ca="1">IFERROR(OFFSET(ITEM_RES!$A$1,MATCH(AQ229,ITEM_RES!$J:$J,0)-1,0),0)</f>
        <v>211020801</v>
      </c>
      <c r="AQ229" s="10" t="s">
        <v>458</v>
      </c>
      <c r="AR229" s="11">
        <v>200</v>
      </c>
      <c r="AU229" s="11">
        <f ca="1">IFERROR(OFFSET(ITEM_RES!$A$1,MATCH(AV229,ITEM_RES!$J:$J,0)-1,0),0)</f>
        <v>211020401</v>
      </c>
      <c r="AV229" s="10" t="s">
        <v>444</v>
      </c>
      <c r="AW229" s="11">
        <v>200</v>
      </c>
      <c r="AZ229" s="11">
        <f ca="1">IFERROR(OFFSET(ITEM_RES!$A$1,MATCH(BA229,ITEM_RES!$J:$J,0)-1,0),0)</f>
        <v>0</v>
      </c>
      <c r="BE229" s="11">
        <f ca="1">IFERROR(OFFSET(ITEM_RES!$A$1,MATCH(BF229,ITEM_RES!$J:$J,0)-1,0),0)</f>
        <v>0</v>
      </c>
      <c r="BJ229" s="11">
        <f ca="1">IFERROR(OFFSET(ITEM_RES!$A$1,MATCH(BK229,ITEM_RES!$J:$J,0)-1,0),0)</f>
        <v>0</v>
      </c>
      <c r="BL229" s="11">
        <f t="shared" si="73"/>
        <v>0</v>
      </c>
    </row>
    <row r="230" spans="1:65" x14ac:dyDescent="0.3">
      <c r="A230" s="14">
        <f t="shared" si="70"/>
        <v>113030006</v>
      </c>
      <c r="B230" s="13">
        <v>11</v>
      </c>
      <c r="C230" s="12">
        <f t="shared" si="71"/>
        <v>3</v>
      </c>
      <c r="D230" s="13">
        <v>3</v>
      </c>
      <c r="E230" s="13">
        <v>0</v>
      </c>
      <c r="F230" s="12">
        <f t="shared" si="72"/>
        <v>6</v>
      </c>
      <c r="H230" s="9">
        <v>3</v>
      </c>
      <c r="I230" s="9">
        <v>6</v>
      </c>
      <c r="K230" s="56" t="s">
        <v>380</v>
      </c>
      <c r="L230" s="9">
        <v>1</v>
      </c>
      <c r="M230" s="9">
        <v>15</v>
      </c>
      <c r="R230" s="9" t="s">
        <v>778</v>
      </c>
      <c r="U230" s="9">
        <f ca="1">IFERROR(OFFSET(ITEM_RES!$A$5,MATCH(BUILDING!T230,ITEM_RES!$J$5:$J$229,0)-1,0),0)</f>
        <v>0</v>
      </c>
      <c r="X230" s="9">
        <f ca="1">IFERROR(OFFSET(ITEM_RES!$A$5,MATCH(BUILDING!W230,ITEM_RES!$J$5:$J$229,0)-1,0),0)</f>
        <v>0</v>
      </c>
      <c r="Z230" s="9" t="s">
        <v>552</v>
      </c>
      <c r="AA230" s="9">
        <v>6</v>
      </c>
      <c r="AC230" s="9">
        <v>2000</v>
      </c>
      <c r="AE230" s="56">
        <f t="shared" si="67"/>
        <v>1050</v>
      </c>
      <c r="AF230" s="10">
        <f t="shared" si="96"/>
        <v>1890</v>
      </c>
      <c r="AH230" s="11">
        <f t="shared" si="66"/>
        <v>30</v>
      </c>
      <c r="AI230" s="10">
        <v>30</v>
      </c>
      <c r="AJ230" s="11">
        <f t="shared" si="74"/>
        <v>50</v>
      </c>
      <c r="AK230" s="10">
        <v>50</v>
      </c>
      <c r="AL230" s="11">
        <f t="shared" si="74"/>
        <v>50</v>
      </c>
      <c r="AM230" s="10">
        <v>50</v>
      </c>
      <c r="AN230" s="56">
        <f t="shared" si="68"/>
        <v>2</v>
      </c>
      <c r="AP230" s="11">
        <f ca="1">IFERROR(OFFSET(ITEM_RES!$A$1,MATCH(AQ230,ITEM_RES!$J:$J,0)-1,0),0)</f>
        <v>211020801</v>
      </c>
      <c r="AQ230" s="10" t="s">
        <v>458</v>
      </c>
      <c r="AR230" s="11">
        <v>250</v>
      </c>
      <c r="AU230" s="11">
        <f ca="1">IFERROR(OFFSET(ITEM_RES!$A$1,MATCH(AV230,ITEM_RES!$J:$J,0)-1,0),0)</f>
        <v>211020401</v>
      </c>
      <c r="AV230" s="10" t="s">
        <v>444</v>
      </c>
      <c r="AW230" s="11">
        <v>250</v>
      </c>
      <c r="AZ230" s="11">
        <f ca="1">IFERROR(OFFSET(ITEM_RES!$A$1,MATCH(BA230,ITEM_RES!$J:$J,0)-1,0),0)</f>
        <v>0</v>
      </c>
      <c r="BE230" s="11">
        <f ca="1">IFERROR(OFFSET(ITEM_RES!$A$1,MATCH(BF230,ITEM_RES!$J:$J,0)-1,0),0)</f>
        <v>0</v>
      </c>
      <c r="BJ230" s="11">
        <f ca="1">IFERROR(OFFSET(ITEM_RES!$A$1,MATCH(BK230,ITEM_RES!$J:$J,0)-1,0),0)</f>
        <v>0</v>
      </c>
      <c r="BL230" s="11">
        <f t="shared" si="73"/>
        <v>0</v>
      </c>
    </row>
    <row r="231" spans="1:65" x14ac:dyDescent="0.3">
      <c r="A231" s="14">
        <f t="shared" si="70"/>
        <v>113030007</v>
      </c>
      <c r="B231" s="13">
        <v>11</v>
      </c>
      <c r="C231" s="12">
        <f t="shared" si="71"/>
        <v>3</v>
      </c>
      <c r="D231" s="13">
        <v>3</v>
      </c>
      <c r="E231" s="13">
        <v>0</v>
      </c>
      <c r="F231" s="12">
        <f t="shared" si="72"/>
        <v>7</v>
      </c>
      <c r="H231" s="9">
        <v>3</v>
      </c>
      <c r="I231" s="9">
        <v>7</v>
      </c>
      <c r="K231" s="56" t="s">
        <v>380</v>
      </c>
      <c r="L231" s="9">
        <v>1</v>
      </c>
      <c r="M231" s="9">
        <v>15</v>
      </c>
      <c r="R231" s="9" t="s">
        <v>778</v>
      </c>
      <c r="U231" s="9">
        <f ca="1">IFERROR(OFFSET(ITEM_RES!$A$5,MATCH(BUILDING!T231,ITEM_RES!$J$5:$J$229,0)-1,0),0)</f>
        <v>0</v>
      </c>
      <c r="X231" s="9">
        <f ca="1">IFERROR(OFFSET(ITEM_RES!$A$5,MATCH(BUILDING!W231,ITEM_RES!$J$5:$J$229,0)-1,0),0)</f>
        <v>0</v>
      </c>
      <c r="Z231" s="9" t="s">
        <v>552</v>
      </c>
      <c r="AA231" s="9">
        <v>7</v>
      </c>
      <c r="AC231" s="9">
        <v>4000</v>
      </c>
      <c r="AE231" s="56">
        <f t="shared" si="67"/>
        <v>2100</v>
      </c>
      <c r="AF231" s="10">
        <f t="shared" si="96"/>
        <v>3150</v>
      </c>
      <c r="AH231" s="11">
        <f t="shared" si="66"/>
        <v>35</v>
      </c>
      <c r="AI231" s="10">
        <v>35</v>
      </c>
      <c r="AJ231" s="11">
        <f t="shared" si="74"/>
        <v>100</v>
      </c>
      <c r="AK231" s="10">
        <v>100</v>
      </c>
      <c r="AL231" s="11">
        <f t="shared" si="74"/>
        <v>100</v>
      </c>
      <c r="AM231" s="10">
        <v>100</v>
      </c>
      <c r="AN231" s="56">
        <f t="shared" si="68"/>
        <v>2</v>
      </c>
      <c r="AP231" s="11">
        <f ca="1">IFERROR(OFFSET(ITEM_RES!$A$1,MATCH(AQ231,ITEM_RES!$J:$J,0)-1,0),0)</f>
        <v>211020801</v>
      </c>
      <c r="AQ231" s="10" t="s">
        <v>458</v>
      </c>
      <c r="AR231" s="11">
        <v>500</v>
      </c>
      <c r="AU231" s="11">
        <f ca="1">IFERROR(OFFSET(ITEM_RES!$A$1,MATCH(AV231,ITEM_RES!$J:$J,0)-1,0),0)</f>
        <v>211020401</v>
      </c>
      <c r="AV231" s="10" t="s">
        <v>444</v>
      </c>
      <c r="AW231" s="11">
        <v>500</v>
      </c>
      <c r="AZ231" s="11">
        <f ca="1">IFERROR(OFFSET(ITEM_RES!$A$1,MATCH(BA231,ITEM_RES!$J:$J,0)-1,0),0)</f>
        <v>0</v>
      </c>
      <c r="BE231" s="11">
        <f ca="1">IFERROR(OFFSET(ITEM_RES!$A$1,MATCH(BF231,ITEM_RES!$J:$J,0)-1,0),0)</f>
        <v>0</v>
      </c>
      <c r="BJ231" s="11">
        <f ca="1">IFERROR(OFFSET(ITEM_RES!$A$1,MATCH(BK231,ITEM_RES!$J:$J,0)-1,0),0)</f>
        <v>0</v>
      </c>
      <c r="BL231" s="11">
        <f t="shared" si="73"/>
        <v>0</v>
      </c>
    </row>
    <row r="232" spans="1:65" x14ac:dyDescent="0.3">
      <c r="A232" s="14">
        <f t="shared" si="70"/>
        <v>113030008</v>
      </c>
      <c r="B232" s="13">
        <v>11</v>
      </c>
      <c r="C232" s="12">
        <f t="shared" si="71"/>
        <v>3</v>
      </c>
      <c r="D232" s="13">
        <v>3</v>
      </c>
      <c r="E232" s="13">
        <v>0</v>
      </c>
      <c r="F232" s="12">
        <f t="shared" si="72"/>
        <v>8</v>
      </c>
      <c r="H232" s="9">
        <v>3</v>
      </c>
      <c r="I232" s="9">
        <v>8</v>
      </c>
      <c r="K232" s="56" t="s">
        <v>380</v>
      </c>
      <c r="L232" s="9">
        <v>1</v>
      </c>
      <c r="M232" s="9">
        <v>15</v>
      </c>
      <c r="R232" s="9" t="s">
        <v>778</v>
      </c>
      <c r="U232" s="9">
        <f ca="1">IFERROR(OFFSET(ITEM_RES!$A$5,MATCH(BUILDING!T232,ITEM_RES!$J$5:$J$229,0)-1,0),0)</f>
        <v>0</v>
      </c>
      <c r="X232" s="9">
        <f ca="1">IFERROR(OFFSET(ITEM_RES!$A$5,MATCH(BUILDING!W232,ITEM_RES!$J$5:$J$229,0)-1,0),0)</f>
        <v>0</v>
      </c>
      <c r="Z232" s="9" t="s">
        <v>552</v>
      </c>
      <c r="AA232" s="9">
        <v>8</v>
      </c>
      <c r="AC232" s="9">
        <v>4000</v>
      </c>
      <c r="AE232" s="56">
        <f t="shared" si="67"/>
        <v>2100</v>
      </c>
      <c r="AF232" s="10">
        <f t="shared" si="96"/>
        <v>4200</v>
      </c>
      <c r="AH232" s="11">
        <f t="shared" si="66"/>
        <v>40</v>
      </c>
      <c r="AI232" s="10">
        <v>40</v>
      </c>
      <c r="AJ232" s="11">
        <f t="shared" si="74"/>
        <v>100</v>
      </c>
      <c r="AK232" s="10">
        <v>100</v>
      </c>
      <c r="AL232" s="11">
        <f t="shared" si="74"/>
        <v>100</v>
      </c>
      <c r="AM232" s="10">
        <v>100</v>
      </c>
      <c r="AN232" s="56">
        <f t="shared" si="68"/>
        <v>2</v>
      </c>
      <c r="AP232" s="11">
        <f ca="1">IFERROR(OFFSET(ITEM_RES!$A$1,MATCH(AQ232,ITEM_RES!$J:$J,0)-1,0),0)</f>
        <v>211020801</v>
      </c>
      <c r="AQ232" s="10" t="s">
        <v>458</v>
      </c>
      <c r="AR232" s="11">
        <v>500</v>
      </c>
      <c r="AU232" s="11">
        <f ca="1">IFERROR(OFFSET(ITEM_RES!$A$1,MATCH(AV232,ITEM_RES!$J:$J,0)-1,0),0)</f>
        <v>211020401</v>
      </c>
      <c r="AV232" s="10" t="s">
        <v>444</v>
      </c>
      <c r="AW232" s="11">
        <v>500</v>
      </c>
      <c r="AZ232" s="11">
        <f ca="1">IFERROR(OFFSET(ITEM_RES!$A$1,MATCH(BA232,ITEM_RES!$J:$J,0)-1,0),0)</f>
        <v>0</v>
      </c>
      <c r="BE232" s="11">
        <f ca="1">IFERROR(OFFSET(ITEM_RES!$A$1,MATCH(BF232,ITEM_RES!$J:$J,0)-1,0),0)</f>
        <v>0</v>
      </c>
      <c r="BJ232" s="11">
        <f ca="1">IFERROR(OFFSET(ITEM_RES!$A$1,MATCH(BK232,ITEM_RES!$J:$J,0)-1,0),0)</f>
        <v>0</v>
      </c>
      <c r="BL232" s="11">
        <f t="shared" si="73"/>
        <v>0</v>
      </c>
    </row>
    <row r="233" spans="1:65" x14ac:dyDescent="0.3">
      <c r="A233" s="14">
        <f t="shared" si="70"/>
        <v>113030009</v>
      </c>
      <c r="B233" s="13">
        <v>11</v>
      </c>
      <c r="C233" s="12">
        <f t="shared" si="71"/>
        <v>3</v>
      </c>
      <c r="D233" s="13">
        <v>3</v>
      </c>
      <c r="E233" s="13">
        <v>0</v>
      </c>
      <c r="F233" s="12">
        <f t="shared" si="72"/>
        <v>9</v>
      </c>
      <c r="H233" s="9">
        <v>3</v>
      </c>
      <c r="I233" s="9">
        <v>9</v>
      </c>
      <c r="K233" s="56" t="s">
        <v>380</v>
      </c>
      <c r="L233" s="9">
        <v>1</v>
      </c>
      <c r="M233" s="9">
        <v>15</v>
      </c>
      <c r="R233" s="9" t="s">
        <v>778</v>
      </c>
      <c r="U233" s="9">
        <f ca="1">IFERROR(OFFSET(ITEM_RES!$A$5,MATCH(BUILDING!T233,ITEM_RES!$J$5:$J$229,0)-1,0),0)</f>
        <v>0</v>
      </c>
      <c r="X233" s="9">
        <f ca="1">IFERROR(OFFSET(ITEM_RES!$A$5,MATCH(BUILDING!W233,ITEM_RES!$J$5:$J$229,0)-1,0),0)</f>
        <v>0</v>
      </c>
      <c r="Z233" s="9" t="s">
        <v>552</v>
      </c>
      <c r="AA233" s="9">
        <v>9</v>
      </c>
      <c r="AC233" s="9">
        <v>6000</v>
      </c>
      <c r="AE233" s="56">
        <f t="shared" si="67"/>
        <v>3150</v>
      </c>
      <c r="AF233" s="10">
        <f t="shared" si="96"/>
        <v>5250</v>
      </c>
      <c r="AH233" s="11">
        <f t="shared" si="66"/>
        <v>45</v>
      </c>
      <c r="AI233" s="10">
        <v>45</v>
      </c>
      <c r="AJ233" s="11">
        <f t="shared" si="74"/>
        <v>150</v>
      </c>
      <c r="AK233" s="10">
        <v>150</v>
      </c>
      <c r="AL233" s="11">
        <f t="shared" si="74"/>
        <v>150</v>
      </c>
      <c r="AM233" s="10">
        <v>150</v>
      </c>
      <c r="AN233" s="56">
        <f t="shared" si="68"/>
        <v>2</v>
      </c>
      <c r="AP233" s="11">
        <f ca="1">IFERROR(OFFSET(ITEM_RES!$A$1,MATCH(AQ233,ITEM_RES!$J:$J,0)-1,0),0)</f>
        <v>211020801</v>
      </c>
      <c r="AQ233" s="10" t="s">
        <v>458</v>
      </c>
      <c r="AR233" s="11">
        <v>750</v>
      </c>
      <c r="AU233" s="11">
        <f ca="1">IFERROR(OFFSET(ITEM_RES!$A$1,MATCH(AV233,ITEM_RES!$J:$J,0)-1,0),0)</f>
        <v>211020401</v>
      </c>
      <c r="AV233" s="10" t="s">
        <v>444</v>
      </c>
      <c r="AW233" s="11">
        <v>750</v>
      </c>
      <c r="AZ233" s="11">
        <f ca="1">IFERROR(OFFSET(ITEM_RES!$A$1,MATCH(BA233,ITEM_RES!$J:$J,0)-1,0),0)</f>
        <v>0</v>
      </c>
      <c r="BE233" s="11">
        <f ca="1">IFERROR(OFFSET(ITEM_RES!$A$1,MATCH(BF233,ITEM_RES!$J:$J,0)-1,0),0)</f>
        <v>0</v>
      </c>
      <c r="BJ233" s="11">
        <f ca="1">IFERROR(OFFSET(ITEM_RES!$A$1,MATCH(BK233,ITEM_RES!$J:$J,0)-1,0),0)</f>
        <v>0</v>
      </c>
      <c r="BL233" s="11">
        <f t="shared" si="73"/>
        <v>0</v>
      </c>
    </row>
    <row r="234" spans="1:65" x14ac:dyDescent="0.3">
      <c r="A234" s="14">
        <f t="shared" si="70"/>
        <v>113030010</v>
      </c>
      <c r="B234" s="13">
        <v>11</v>
      </c>
      <c r="C234" s="12">
        <f t="shared" si="71"/>
        <v>3</v>
      </c>
      <c r="D234" s="13">
        <v>3</v>
      </c>
      <c r="E234" s="13">
        <v>0</v>
      </c>
      <c r="F234" s="12">
        <f t="shared" si="72"/>
        <v>10</v>
      </c>
      <c r="H234" s="9">
        <v>3</v>
      </c>
      <c r="I234" s="9">
        <v>10</v>
      </c>
      <c r="K234" s="56" t="s">
        <v>380</v>
      </c>
      <c r="L234" s="9">
        <v>1</v>
      </c>
      <c r="M234" s="9">
        <v>15</v>
      </c>
      <c r="R234" s="9" t="s">
        <v>778</v>
      </c>
      <c r="U234" s="9">
        <f ca="1">IFERROR(OFFSET(ITEM_RES!$A$5,MATCH(BUILDING!T234,ITEM_RES!$J$5:$J$229,0)-1,0),0)</f>
        <v>0</v>
      </c>
      <c r="X234" s="9">
        <f ca="1">IFERROR(OFFSET(ITEM_RES!$A$5,MATCH(BUILDING!W234,ITEM_RES!$J$5:$J$229,0)-1,0),0)</f>
        <v>0</v>
      </c>
      <c r="Z234" s="9" t="s">
        <v>552</v>
      </c>
      <c r="AA234" s="9">
        <v>10</v>
      </c>
      <c r="AC234" s="9">
        <v>8000</v>
      </c>
      <c r="AE234" s="56">
        <f t="shared" si="67"/>
        <v>4700</v>
      </c>
      <c r="AF234" s="10">
        <f t="shared" si="96"/>
        <v>7850</v>
      </c>
      <c r="AH234" s="11">
        <f t="shared" si="66"/>
        <v>50</v>
      </c>
      <c r="AI234" s="10">
        <v>50</v>
      </c>
      <c r="AJ234" s="11">
        <f t="shared" si="74"/>
        <v>200</v>
      </c>
      <c r="AK234" s="10">
        <v>200</v>
      </c>
      <c r="AL234" s="11">
        <f t="shared" si="74"/>
        <v>200</v>
      </c>
      <c r="AM234" s="10">
        <v>200</v>
      </c>
      <c r="AN234" s="56">
        <f t="shared" si="68"/>
        <v>3</v>
      </c>
      <c r="AP234" s="11">
        <f ca="1">IFERROR(OFFSET(ITEM_RES!$A$1,MATCH(AQ234,ITEM_RES!$J:$J,0)-1,0),0)</f>
        <v>211020801</v>
      </c>
      <c r="AQ234" s="10" t="s">
        <v>458</v>
      </c>
      <c r="AR234" s="11">
        <v>1000</v>
      </c>
      <c r="AU234" s="11">
        <f ca="1">IFERROR(OFFSET(ITEM_RES!$A$1,MATCH(AV234,ITEM_RES!$J:$J,0)-1,0),0)</f>
        <v>211020401</v>
      </c>
      <c r="AV234" s="10" t="s">
        <v>444</v>
      </c>
      <c r="AW234" s="11">
        <v>1000</v>
      </c>
      <c r="AZ234" s="11">
        <f ca="1">IFERROR(OFFSET(ITEM_RES!$A$1,MATCH(BA234,ITEM_RES!$J:$J,0)-1,0),0)</f>
        <v>0</v>
      </c>
      <c r="BE234" s="11">
        <f ca="1">IFERROR(OFFSET(ITEM_RES!$A$1,MATCH(BF234,ITEM_RES!$J:$J,0)-1,0),0)</f>
        <v>213010901</v>
      </c>
      <c r="BF234" s="10" t="s">
        <v>539</v>
      </c>
      <c r="BG234" s="11">
        <v>1</v>
      </c>
      <c r="BJ234" s="11">
        <f ca="1">IFERROR(OFFSET(ITEM_RES!$A$1,MATCH(BK234,ITEM_RES!$J:$J,0)-1,0),0)</f>
        <v>0</v>
      </c>
      <c r="BL234" s="11">
        <f t="shared" si="73"/>
        <v>0</v>
      </c>
    </row>
    <row r="235" spans="1:65" x14ac:dyDescent="0.3">
      <c r="A235" s="14">
        <f t="shared" si="70"/>
        <v>113030011</v>
      </c>
      <c r="B235" s="13">
        <v>11</v>
      </c>
      <c r="C235" s="12">
        <f t="shared" si="71"/>
        <v>3</v>
      </c>
      <c r="D235" s="13">
        <v>3</v>
      </c>
      <c r="E235" s="13">
        <v>0</v>
      </c>
      <c r="F235" s="12">
        <f t="shared" si="72"/>
        <v>11</v>
      </c>
      <c r="H235" s="9">
        <v>3</v>
      </c>
      <c r="I235" s="9">
        <v>11</v>
      </c>
      <c r="K235" s="56" t="s">
        <v>380</v>
      </c>
      <c r="L235" s="9">
        <v>1</v>
      </c>
      <c r="M235" s="9">
        <v>15</v>
      </c>
      <c r="R235" s="9" t="s">
        <v>778</v>
      </c>
      <c r="U235" s="9">
        <f ca="1">IFERROR(OFFSET(ITEM_RES!$A$5,MATCH(BUILDING!T235,ITEM_RES!$J$5:$J$229,0)-1,0),0)</f>
        <v>0</v>
      </c>
      <c r="X235" s="9">
        <f ca="1">IFERROR(OFFSET(ITEM_RES!$A$5,MATCH(BUILDING!W235,ITEM_RES!$J$5:$J$229,0)-1,0),0)</f>
        <v>0</v>
      </c>
      <c r="Z235" s="9" t="s">
        <v>552</v>
      </c>
      <c r="AA235" s="9">
        <v>11</v>
      </c>
      <c r="AC235" s="9">
        <v>10000</v>
      </c>
      <c r="AE235" s="56">
        <f t="shared" si="67"/>
        <v>5250</v>
      </c>
      <c r="AF235" s="10">
        <f t="shared" si="96"/>
        <v>9950</v>
      </c>
      <c r="AH235" s="11">
        <f t="shared" si="66"/>
        <v>55</v>
      </c>
      <c r="AI235" s="10">
        <v>55</v>
      </c>
      <c r="AJ235" s="11">
        <f t="shared" si="74"/>
        <v>250</v>
      </c>
      <c r="AK235" s="10">
        <v>250</v>
      </c>
      <c r="AL235" s="11">
        <f t="shared" si="74"/>
        <v>250</v>
      </c>
      <c r="AM235" s="10">
        <v>250</v>
      </c>
      <c r="AN235" s="56">
        <f t="shared" si="68"/>
        <v>2</v>
      </c>
      <c r="AP235" s="11">
        <f ca="1">IFERROR(OFFSET(ITEM_RES!$A$1,MATCH(AQ235,ITEM_RES!$J:$J,0)-1,0),0)</f>
        <v>211020901</v>
      </c>
      <c r="AQ235" s="10" t="s">
        <v>471</v>
      </c>
      <c r="AR235" s="11">
        <v>1250</v>
      </c>
      <c r="AU235" s="11">
        <f ca="1">IFERROR(OFFSET(ITEM_RES!$A$1,MATCH(AV235,ITEM_RES!$J:$J,0)-1,0),0)</f>
        <v>211020401</v>
      </c>
      <c r="AV235" s="10" t="s">
        <v>444</v>
      </c>
      <c r="AW235" s="11">
        <v>1250</v>
      </c>
      <c r="AZ235" s="11">
        <f ca="1">IFERROR(OFFSET(ITEM_RES!$A$1,MATCH(BA235,ITEM_RES!$J:$J,0)-1,0),0)</f>
        <v>0</v>
      </c>
      <c r="BE235" s="11">
        <f ca="1">IFERROR(OFFSET(ITEM_RES!$A$1,MATCH(BF235,ITEM_RES!$J:$J,0)-1,0),0)</f>
        <v>0</v>
      </c>
      <c r="BJ235" s="11">
        <f ca="1">IFERROR(OFFSET(ITEM_RES!$A$1,MATCH(BK235,ITEM_RES!$J:$J,0)-1,0),0)</f>
        <v>0</v>
      </c>
      <c r="BL235" s="11">
        <f t="shared" si="73"/>
        <v>0</v>
      </c>
    </row>
    <row r="236" spans="1:65" x14ac:dyDescent="0.3">
      <c r="A236" s="14">
        <f t="shared" si="70"/>
        <v>113030012</v>
      </c>
      <c r="B236" s="13">
        <v>11</v>
      </c>
      <c r="C236" s="12">
        <f t="shared" si="71"/>
        <v>3</v>
      </c>
      <c r="D236" s="13">
        <v>3</v>
      </c>
      <c r="E236" s="13">
        <v>0</v>
      </c>
      <c r="F236" s="12">
        <f t="shared" si="72"/>
        <v>12</v>
      </c>
      <c r="H236" s="9">
        <v>3</v>
      </c>
      <c r="I236" s="9">
        <v>12</v>
      </c>
      <c r="K236" s="56" t="s">
        <v>380</v>
      </c>
      <c r="L236" s="9">
        <v>1</v>
      </c>
      <c r="M236" s="9">
        <v>15</v>
      </c>
      <c r="R236" s="9" t="s">
        <v>779</v>
      </c>
      <c r="U236" s="9">
        <f ca="1">IFERROR(OFFSET(ITEM_RES!$A$5,MATCH(BUILDING!T236,ITEM_RES!$J$5:$J$229,0)-1,0),0)</f>
        <v>0</v>
      </c>
      <c r="X236" s="9">
        <f ca="1">IFERROR(OFFSET(ITEM_RES!$A$5,MATCH(BUILDING!W236,ITEM_RES!$J$5:$J$229,0)-1,0),0)</f>
        <v>0</v>
      </c>
      <c r="Z236" s="9" t="s">
        <v>552</v>
      </c>
      <c r="AA236" s="9">
        <v>12</v>
      </c>
      <c r="AC236" s="9">
        <v>12000</v>
      </c>
      <c r="AE236" s="56">
        <f t="shared" si="67"/>
        <v>6300</v>
      </c>
      <c r="AF236" s="10">
        <f t="shared" si="96"/>
        <v>11550</v>
      </c>
      <c r="AH236" s="11">
        <f t="shared" si="66"/>
        <v>60</v>
      </c>
      <c r="AI236" s="10">
        <v>60</v>
      </c>
      <c r="AJ236" s="11">
        <f t="shared" si="74"/>
        <v>300</v>
      </c>
      <c r="AK236" s="10">
        <v>300</v>
      </c>
      <c r="AL236" s="11">
        <f t="shared" si="74"/>
        <v>300</v>
      </c>
      <c r="AM236" s="10">
        <v>300</v>
      </c>
      <c r="AN236" s="56">
        <f t="shared" si="68"/>
        <v>2</v>
      </c>
      <c r="AP236" s="11">
        <f ca="1">IFERROR(OFFSET(ITEM_RES!$A$1,MATCH(AQ236,ITEM_RES!$J:$J,0)-1,0),0)</f>
        <v>211020901</v>
      </c>
      <c r="AQ236" s="10" t="s">
        <v>471</v>
      </c>
      <c r="AR236" s="11">
        <v>1500</v>
      </c>
      <c r="AU236" s="11">
        <f ca="1">IFERROR(OFFSET(ITEM_RES!$A$1,MATCH(AV236,ITEM_RES!$J:$J,0)-1,0),0)</f>
        <v>211020401</v>
      </c>
      <c r="AV236" s="10" t="s">
        <v>444</v>
      </c>
      <c r="AW236" s="11">
        <v>1500</v>
      </c>
      <c r="AZ236" s="11">
        <f ca="1">IFERROR(OFFSET(ITEM_RES!$A$1,MATCH(BA236,ITEM_RES!$J:$J,0)-1,0),0)</f>
        <v>0</v>
      </c>
      <c r="BE236" s="11">
        <f ca="1">IFERROR(OFFSET(ITEM_RES!$A$1,MATCH(BF236,ITEM_RES!$J:$J,0)-1,0),0)</f>
        <v>0</v>
      </c>
      <c r="BJ236" s="11">
        <f ca="1">IFERROR(OFFSET(ITEM_RES!$A$1,MATCH(BK236,ITEM_RES!$J:$J,0)-1,0),0)</f>
        <v>0</v>
      </c>
      <c r="BL236" s="11">
        <f t="shared" si="73"/>
        <v>0</v>
      </c>
    </row>
    <row r="237" spans="1:65" x14ac:dyDescent="0.3">
      <c r="A237" s="14">
        <f t="shared" si="70"/>
        <v>113030013</v>
      </c>
      <c r="B237" s="13">
        <v>11</v>
      </c>
      <c r="C237" s="12">
        <f t="shared" si="71"/>
        <v>3</v>
      </c>
      <c r="D237" s="13">
        <v>3</v>
      </c>
      <c r="E237" s="13">
        <v>0</v>
      </c>
      <c r="F237" s="12">
        <f t="shared" si="72"/>
        <v>13</v>
      </c>
      <c r="H237" s="9">
        <v>3</v>
      </c>
      <c r="I237" s="9">
        <v>13</v>
      </c>
      <c r="K237" s="56" t="s">
        <v>380</v>
      </c>
      <c r="L237" s="9">
        <v>1</v>
      </c>
      <c r="M237" s="9">
        <v>15</v>
      </c>
      <c r="R237" s="9" t="s">
        <v>779</v>
      </c>
      <c r="U237" s="9">
        <f ca="1">IFERROR(OFFSET(ITEM_RES!$A$5,MATCH(BUILDING!T237,ITEM_RES!$J$5:$J$229,0)-1,0),0)</f>
        <v>0</v>
      </c>
      <c r="X237" s="9">
        <f ca="1">IFERROR(OFFSET(ITEM_RES!$A$5,MATCH(BUILDING!W237,ITEM_RES!$J$5:$J$229,0)-1,0),0)</f>
        <v>0</v>
      </c>
      <c r="Z237" s="9" t="s">
        <v>552</v>
      </c>
      <c r="AA237" s="9">
        <v>13</v>
      </c>
      <c r="AC237" s="9">
        <v>14000</v>
      </c>
      <c r="AE237" s="56">
        <f t="shared" si="67"/>
        <v>7350</v>
      </c>
      <c r="AF237" s="10">
        <f t="shared" si="96"/>
        <v>13650</v>
      </c>
      <c r="AH237" s="11">
        <f t="shared" ref="AH237:AH300" si="97">ROUND(AI237,0)</f>
        <v>65</v>
      </c>
      <c r="AI237" s="10">
        <v>65</v>
      </c>
      <c r="AJ237" s="11">
        <f t="shared" si="74"/>
        <v>350</v>
      </c>
      <c r="AK237" s="10">
        <v>350</v>
      </c>
      <c r="AL237" s="11">
        <f t="shared" si="74"/>
        <v>350</v>
      </c>
      <c r="AM237" s="10">
        <v>350</v>
      </c>
      <c r="AN237" s="56">
        <f t="shared" si="68"/>
        <v>2</v>
      </c>
      <c r="AP237" s="11">
        <f ca="1">IFERROR(OFFSET(ITEM_RES!$A$1,MATCH(AQ237,ITEM_RES!$J:$J,0)-1,0),0)</f>
        <v>211020901</v>
      </c>
      <c r="AQ237" s="10" t="s">
        <v>471</v>
      </c>
      <c r="AR237" s="11">
        <v>1750</v>
      </c>
      <c r="AU237" s="11">
        <f ca="1">IFERROR(OFFSET(ITEM_RES!$A$1,MATCH(AV237,ITEM_RES!$J:$J,0)-1,0),0)</f>
        <v>211020401</v>
      </c>
      <c r="AV237" s="10" t="s">
        <v>444</v>
      </c>
      <c r="AW237" s="11">
        <v>1750</v>
      </c>
      <c r="AZ237" s="11">
        <f ca="1">IFERROR(OFFSET(ITEM_RES!$A$1,MATCH(BA237,ITEM_RES!$J:$J,0)-1,0),0)</f>
        <v>0</v>
      </c>
      <c r="BE237" s="11">
        <f ca="1">IFERROR(OFFSET(ITEM_RES!$A$1,MATCH(BF237,ITEM_RES!$J:$J,0)-1,0),0)</f>
        <v>0</v>
      </c>
      <c r="BJ237" s="11">
        <f ca="1">IFERROR(OFFSET(ITEM_RES!$A$1,MATCH(BK237,ITEM_RES!$J:$J,0)-1,0),0)</f>
        <v>0</v>
      </c>
      <c r="BL237" s="11">
        <f t="shared" si="73"/>
        <v>0</v>
      </c>
    </row>
    <row r="238" spans="1:65" x14ac:dyDescent="0.3">
      <c r="A238" s="14">
        <f t="shared" si="70"/>
        <v>113030014</v>
      </c>
      <c r="B238" s="13">
        <v>11</v>
      </c>
      <c r="C238" s="12">
        <f t="shared" si="71"/>
        <v>3</v>
      </c>
      <c r="D238" s="13">
        <v>3</v>
      </c>
      <c r="E238" s="13">
        <v>0</v>
      </c>
      <c r="F238" s="12">
        <f t="shared" si="72"/>
        <v>14</v>
      </c>
      <c r="H238" s="9">
        <v>3</v>
      </c>
      <c r="I238" s="9">
        <v>14</v>
      </c>
      <c r="K238" s="56" t="s">
        <v>380</v>
      </c>
      <c r="L238" s="9">
        <v>1</v>
      </c>
      <c r="M238" s="9">
        <v>15</v>
      </c>
      <c r="R238" s="9" t="s">
        <v>779</v>
      </c>
      <c r="U238" s="9">
        <f ca="1">IFERROR(OFFSET(ITEM_RES!$A$5,MATCH(BUILDING!T238,ITEM_RES!$J$5:$J$229,0)-1,0),0)</f>
        <v>0</v>
      </c>
      <c r="X238" s="9">
        <f ca="1">IFERROR(OFFSET(ITEM_RES!$A$5,MATCH(BUILDING!W238,ITEM_RES!$J$5:$J$229,0)-1,0),0)</f>
        <v>0</v>
      </c>
      <c r="Z238" s="9" t="s">
        <v>552</v>
      </c>
      <c r="AA238" s="9">
        <v>14</v>
      </c>
      <c r="AC238" s="9">
        <v>18000</v>
      </c>
      <c r="AE238" s="56">
        <f t="shared" ref="AE238:AE301" si="98">AK238*10+AM238+AR238+AW238+500*BB238+500*BG238+500*BL238</f>
        <v>9450</v>
      </c>
      <c r="AF238" s="10">
        <f t="shared" si="96"/>
        <v>16800</v>
      </c>
      <c r="AH238" s="11">
        <f t="shared" si="97"/>
        <v>70</v>
      </c>
      <c r="AI238" s="10">
        <v>70</v>
      </c>
      <c r="AJ238" s="11">
        <f t="shared" si="74"/>
        <v>450</v>
      </c>
      <c r="AK238" s="10">
        <v>450</v>
      </c>
      <c r="AL238" s="11">
        <f t="shared" si="74"/>
        <v>450</v>
      </c>
      <c r="AM238" s="10">
        <v>450</v>
      </c>
      <c r="AN238" s="56">
        <f t="shared" ref="AN238:AN301" si="99">(AR238&gt;0)*1+(AW238&gt;0)*1+(BB238&gt;0)*1+(BG238&gt;0)*1+(BL238&gt;0)*1</f>
        <v>2</v>
      </c>
      <c r="AP238" s="11">
        <f ca="1">IFERROR(OFFSET(ITEM_RES!$A$1,MATCH(AQ238,ITEM_RES!$J:$J,0)-1,0),0)</f>
        <v>211020901</v>
      </c>
      <c r="AQ238" s="10" t="s">
        <v>471</v>
      </c>
      <c r="AR238" s="11">
        <v>2250</v>
      </c>
      <c r="AU238" s="11">
        <f ca="1">IFERROR(OFFSET(ITEM_RES!$A$1,MATCH(AV238,ITEM_RES!$J:$J,0)-1,0),0)</f>
        <v>211020401</v>
      </c>
      <c r="AV238" s="10" t="s">
        <v>444</v>
      </c>
      <c r="AW238" s="11">
        <v>2250</v>
      </c>
      <c r="AZ238" s="11">
        <f ca="1">IFERROR(OFFSET(ITEM_RES!$A$1,MATCH(BA238,ITEM_RES!$J:$J,0)-1,0),0)</f>
        <v>0</v>
      </c>
      <c r="BE238" s="11">
        <f ca="1">IFERROR(OFFSET(ITEM_RES!$A$1,MATCH(BF238,ITEM_RES!$J:$J,0)-1,0),0)</f>
        <v>0</v>
      </c>
      <c r="BJ238" s="11">
        <f ca="1">IFERROR(OFFSET(ITEM_RES!$A$1,MATCH(BK238,ITEM_RES!$J:$J,0)-1,0),0)</f>
        <v>0</v>
      </c>
      <c r="BL238" s="11">
        <f t="shared" si="73"/>
        <v>0</v>
      </c>
    </row>
    <row r="239" spans="1:65" x14ac:dyDescent="0.3">
      <c r="A239" s="14">
        <f t="shared" si="70"/>
        <v>113030015</v>
      </c>
      <c r="B239" s="13">
        <v>11</v>
      </c>
      <c r="C239" s="12">
        <f t="shared" si="71"/>
        <v>3</v>
      </c>
      <c r="D239" s="13">
        <v>3</v>
      </c>
      <c r="E239" s="13">
        <v>0</v>
      </c>
      <c r="F239" s="12">
        <f t="shared" si="72"/>
        <v>15</v>
      </c>
      <c r="H239" s="9">
        <v>3</v>
      </c>
      <c r="I239" s="9">
        <v>15</v>
      </c>
      <c r="K239" s="56" t="s">
        <v>380</v>
      </c>
      <c r="L239" s="9">
        <v>1</v>
      </c>
      <c r="M239" s="9">
        <v>15</v>
      </c>
      <c r="R239" s="9" t="s">
        <v>779</v>
      </c>
      <c r="U239" s="9">
        <f ca="1">IFERROR(OFFSET(ITEM_RES!$A$5,MATCH(BUILDING!T239,ITEM_RES!$J$5:$J$229,0)-1,0),0)</f>
        <v>0</v>
      </c>
      <c r="X239" s="9">
        <f ca="1">IFERROR(OFFSET(ITEM_RES!$A$5,MATCH(BUILDING!W239,ITEM_RES!$J$5:$J$229,0)-1,0),0)</f>
        <v>0</v>
      </c>
      <c r="Z239" s="9" t="s">
        <v>552</v>
      </c>
      <c r="AA239" s="9">
        <v>15</v>
      </c>
      <c r="AC239" s="9">
        <v>22000</v>
      </c>
      <c r="AE239" s="56">
        <f t="shared" si="98"/>
        <v>11550</v>
      </c>
      <c r="AF239" s="10">
        <f t="shared" si="96"/>
        <v>21000</v>
      </c>
      <c r="AH239" s="11">
        <f t="shared" si="97"/>
        <v>75</v>
      </c>
      <c r="AI239" s="10">
        <v>75</v>
      </c>
      <c r="AJ239" s="11">
        <f t="shared" si="74"/>
        <v>550</v>
      </c>
      <c r="AK239" s="10">
        <v>550</v>
      </c>
      <c r="AL239" s="11">
        <f t="shared" si="74"/>
        <v>550</v>
      </c>
      <c r="AM239" s="10">
        <v>550</v>
      </c>
      <c r="AN239" s="56">
        <f t="shared" si="99"/>
        <v>2</v>
      </c>
      <c r="AP239" s="11">
        <f ca="1">IFERROR(OFFSET(ITEM_RES!$A$1,MATCH(AQ239,ITEM_RES!$J:$J,0)-1,0),0)</f>
        <v>211020901</v>
      </c>
      <c r="AQ239" s="10" t="s">
        <v>471</v>
      </c>
      <c r="AR239" s="11">
        <v>2750</v>
      </c>
      <c r="AU239" s="11">
        <f ca="1">IFERROR(OFFSET(ITEM_RES!$A$1,MATCH(AV239,ITEM_RES!$J:$J,0)-1,0),0)</f>
        <v>211020401</v>
      </c>
      <c r="AV239" s="10" t="s">
        <v>459</v>
      </c>
      <c r="AW239" s="11">
        <v>2750</v>
      </c>
      <c r="AZ239" s="11">
        <f ca="1">IFERROR(OFFSET(ITEM_RES!$A$1,MATCH(BA239,ITEM_RES!$J:$J,0)-1,0),0)</f>
        <v>0</v>
      </c>
      <c r="BE239" s="11">
        <f ca="1">IFERROR(OFFSET(ITEM_RES!$A$1,MATCH(BF239,ITEM_RES!$J:$J,0)-1,0),0)</f>
        <v>0</v>
      </c>
      <c r="BJ239" s="11">
        <f ca="1">IFERROR(OFFSET(ITEM_RES!$A$1,MATCH(BK239,ITEM_RES!$J:$J,0)-1,0),0)</f>
        <v>0</v>
      </c>
      <c r="BL239" s="11">
        <f t="shared" si="73"/>
        <v>0</v>
      </c>
    </row>
    <row r="240" spans="1:65" x14ac:dyDescent="0.3">
      <c r="A240" s="14">
        <f t="shared" si="70"/>
        <v>113030016</v>
      </c>
      <c r="B240" s="13">
        <v>11</v>
      </c>
      <c r="C240" s="12">
        <f t="shared" si="71"/>
        <v>3</v>
      </c>
      <c r="D240" s="13">
        <v>3</v>
      </c>
      <c r="E240" s="13">
        <v>0</v>
      </c>
      <c r="F240" s="12">
        <f t="shared" si="72"/>
        <v>16</v>
      </c>
      <c r="H240" s="9">
        <v>3</v>
      </c>
      <c r="I240" s="9">
        <v>16</v>
      </c>
      <c r="K240" s="56" t="s">
        <v>380</v>
      </c>
      <c r="L240" s="9">
        <v>0</v>
      </c>
      <c r="M240" s="9">
        <v>15</v>
      </c>
      <c r="R240" s="9" t="s">
        <v>779</v>
      </c>
      <c r="U240" s="9">
        <f ca="1">IFERROR(OFFSET(ITEM_RES!$A$5,MATCH(BUILDING!T240,ITEM_RES!$J$5:$J$229,0)-1,0),0)</f>
        <v>0</v>
      </c>
      <c r="X240" s="9">
        <f ca="1">IFERROR(OFFSET(ITEM_RES!$A$5,MATCH(BUILDING!W240,ITEM_RES!$J$5:$J$229,0)-1,0),0)</f>
        <v>0</v>
      </c>
      <c r="Z240" s="9" t="s">
        <v>552</v>
      </c>
      <c r="AA240" s="9">
        <v>16</v>
      </c>
      <c r="AC240" s="9">
        <v>28000</v>
      </c>
      <c r="AE240" s="56">
        <f t="shared" si="98"/>
        <v>14700</v>
      </c>
      <c r="AF240" s="10">
        <f t="shared" si="96"/>
        <v>26250</v>
      </c>
      <c r="AH240" s="11">
        <f t="shared" si="97"/>
        <v>80</v>
      </c>
      <c r="AI240" s="10">
        <v>80</v>
      </c>
      <c r="AJ240" s="11">
        <f t="shared" si="74"/>
        <v>700</v>
      </c>
      <c r="AK240" s="10">
        <v>700</v>
      </c>
      <c r="AL240" s="11">
        <f t="shared" si="74"/>
        <v>700</v>
      </c>
      <c r="AM240" s="10">
        <v>700</v>
      </c>
      <c r="AN240" s="56">
        <f t="shared" si="99"/>
        <v>2</v>
      </c>
      <c r="AP240" s="11">
        <f ca="1">IFERROR(OFFSET(ITEM_RES!$A$1,MATCH(AQ240,ITEM_RES!$J:$J,0)-1,0),0)</f>
        <v>211020901</v>
      </c>
      <c r="AQ240" s="10" t="s">
        <v>471</v>
      </c>
      <c r="AR240" s="11">
        <v>3500</v>
      </c>
      <c r="AU240" s="11">
        <f ca="1">IFERROR(OFFSET(ITEM_RES!$A$1,MATCH(AV240,ITEM_RES!$J:$J,0)-1,0),0)</f>
        <v>211020501</v>
      </c>
      <c r="AV240" s="10" t="s">
        <v>455</v>
      </c>
      <c r="AW240" s="11">
        <v>3500</v>
      </c>
      <c r="AZ240" s="11">
        <f ca="1">IFERROR(OFFSET(ITEM_RES!$A$1,MATCH(BA240,ITEM_RES!$J:$J,0)-1,0),0)</f>
        <v>0</v>
      </c>
      <c r="BE240" s="11">
        <f ca="1">IFERROR(OFFSET(ITEM_RES!$A$1,MATCH(BF240,ITEM_RES!$J:$J,0)-1,0),0)</f>
        <v>0</v>
      </c>
      <c r="BJ240" s="11">
        <f ca="1">IFERROR(OFFSET(ITEM_RES!$A$1,MATCH(BK240,ITEM_RES!$J:$J,0)-1,0),0)</f>
        <v>0</v>
      </c>
      <c r="BL240" s="11">
        <f t="shared" si="73"/>
        <v>0</v>
      </c>
    </row>
    <row r="241" spans="1:65" x14ac:dyDescent="0.3">
      <c r="A241" s="14">
        <f t="shared" si="70"/>
        <v>113030017</v>
      </c>
      <c r="B241" s="13">
        <v>11</v>
      </c>
      <c r="C241" s="12">
        <f t="shared" si="71"/>
        <v>3</v>
      </c>
      <c r="D241" s="13">
        <v>3</v>
      </c>
      <c r="E241" s="13">
        <v>0</v>
      </c>
      <c r="F241" s="12">
        <f t="shared" si="72"/>
        <v>17</v>
      </c>
      <c r="H241" s="9">
        <v>3</v>
      </c>
      <c r="I241" s="9">
        <v>17</v>
      </c>
      <c r="K241" s="56" t="s">
        <v>380</v>
      </c>
      <c r="L241" s="9">
        <v>0</v>
      </c>
      <c r="M241" s="9">
        <v>15</v>
      </c>
      <c r="R241" s="9" t="s">
        <v>779</v>
      </c>
      <c r="U241" s="9">
        <f ca="1">IFERROR(OFFSET(ITEM_RES!$A$5,MATCH(BUILDING!T241,ITEM_RES!$J$5:$J$229,0)-1,0),0)</f>
        <v>0</v>
      </c>
      <c r="X241" s="9">
        <f ca="1">IFERROR(OFFSET(ITEM_RES!$A$5,MATCH(BUILDING!W241,ITEM_RES!$J$5:$J$229,0)-1,0),0)</f>
        <v>0</v>
      </c>
      <c r="Z241" s="9" t="s">
        <v>552</v>
      </c>
      <c r="AA241" s="9">
        <v>17</v>
      </c>
      <c r="AC241" s="9">
        <v>34000</v>
      </c>
      <c r="AE241" s="56">
        <f t="shared" si="98"/>
        <v>17850</v>
      </c>
      <c r="AF241" s="10">
        <f t="shared" si="96"/>
        <v>32550</v>
      </c>
      <c r="AH241" s="11">
        <f t="shared" si="97"/>
        <v>85</v>
      </c>
      <c r="AI241" s="10">
        <v>85</v>
      </c>
      <c r="AJ241" s="11">
        <f t="shared" si="74"/>
        <v>850</v>
      </c>
      <c r="AK241" s="10">
        <v>850</v>
      </c>
      <c r="AL241" s="11">
        <f t="shared" si="74"/>
        <v>850</v>
      </c>
      <c r="AM241" s="10">
        <v>850</v>
      </c>
      <c r="AN241" s="56">
        <f t="shared" si="99"/>
        <v>2</v>
      </c>
      <c r="AP241" s="11">
        <f ca="1">IFERROR(OFFSET(ITEM_RES!$A$1,MATCH(AQ241,ITEM_RES!$J:$J,0)-1,0),0)</f>
        <v>211020901</v>
      </c>
      <c r="AQ241" s="10" t="s">
        <v>471</v>
      </c>
      <c r="AR241" s="11">
        <v>4250</v>
      </c>
      <c r="AU241" s="11">
        <f ca="1">IFERROR(OFFSET(ITEM_RES!$A$1,MATCH(AV241,ITEM_RES!$J:$J,0)-1,0),0)</f>
        <v>211020501</v>
      </c>
      <c r="AV241" s="10" t="s">
        <v>445</v>
      </c>
      <c r="AW241" s="11">
        <v>4250</v>
      </c>
      <c r="AZ241" s="11">
        <f ca="1">IFERROR(OFFSET(ITEM_RES!$A$1,MATCH(BA241,ITEM_RES!$J:$J,0)-1,0),0)</f>
        <v>0</v>
      </c>
      <c r="BE241" s="11">
        <f ca="1">IFERROR(OFFSET(ITEM_RES!$A$1,MATCH(BF241,ITEM_RES!$J:$J,0)-1,0),0)</f>
        <v>0</v>
      </c>
      <c r="BJ241" s="11">
        <f ca="1">IFERROR(OFFSET(ITEM_RES!$A$1,MATCH(BK241,ITEM_RES!$J:$J,0)-1,0),0)</f>
        <v>0</v>
      </c>
      <c r="BL241" s="11">
        <f t="shared" si="73"/>
        <v>0</v>
      </c>
    </row>
    <row r="242" spans="1:65" x14ac:dyDescent="0.3">
      <c r="A242" s="14">
        <f t="shared" si="70"/>
        <v>113030018</v>
      </c>
      <c r="B242" s="13">
        <v>11</v>
      </c>
      <c r="C242" s="12">
        <f t="shared" si="71"/>
        <v>3</v>
      </c>
      <c r="D242" s="13">
        <v>3</v>
      </c>
      <c r="E242" s="13">
        <v>0</v>
      </c>
      <c r="F242" s="12">
        <f t="shared" si="72"/>
        <v>18</v>
      </c>
      <c r="H242" s="9">
        <v>3</v>
      </c>
      <c r="I242" s="9">
        <v>18</v>
      </c>
      <c r="K242" s="56" t="s">
        <v>380</v>
      </c>
      <c r="L242" s="9">
        <v>0</v>
      </c>
      <c r="M242" s="9">
        <v>15</v>
      </c>
      <c r="R242" s="9" t="s">
        <v>779</v>
      </c>
      <c r="U242" s="9">
        <f ca="1">IFERROR(OFFSET(ITEM_RES!$A$5,MATCH(BUILDING!T242,ITEM_RES!$J$5:$J$229,0)-1,0),0)</f>
        <v>0</v>
      </c>
      <c r="X242" s="9">
        <f ca="1">IFERROR(OFFSET(ITEM_RES!$A$5,MATCH(BUILDING!W242,ITEM_RES!$J$5:$J$229,0)-1,0),0)</f>
        <v>0</v>
      </c>
      <c r="Z242" s="9" t="s">
        <v>552</v>
      </c>
      <c r="AA242" s="9">
        <v>18</v>
      </c>
      <c r="AC242" s="9">
        <v>42000</v>
      </c>
      <c r="AE242" s="56">
        <f t="shared" si="98"/>
        <v>22050</v>
      </c>
      <c r="AF242" s="10">
        <f t="shared" si="96"/>
        <v>39900</v>
      </c>
      <c r="AH242" s="11">
        <f t="shared" si="97"/>
        <v>90</v>
      </c>
      <c r="AI242" s="10">
        <v>90</v>
      </c>
      <c r="AJ242" s="11">
        <f t="shared" si="74"/>
        <v>1050</v>
      </c>
      <c r="AK242" s="10">
        <v>1050</v>
      </c>
      <c r="AL242" s="11">
        <f t="shared" si="74"/>
        <v>1050</v>
      </c>
      <c r="AM242" s="10">
        <v>1050</v>
      </c>
      <c r="AN242" s="56">
        <f t="shared" si="99"/>
        <v>2</v>
      </c>
      <c r="AP242" s="11">
        <f ca="1">IFERROR(OFFSET(ITEM_RES!$A$1,MATCH(AQ242,ITEM_RES!$J:$J,0)-1,0),0)</f>
        <v>211020901</v>
      </c>
      <c r="AQ242" s="10" t="s">
        <v>471</v>
      </c>
      <c r="AR242" s="11">
        <v>5250</v>
      </c>
      <c r="AU242" s="11">
        <f ca="1">IFERROR(OFFSET(ITEM_RES!$A$1,MATCH(AV242,ITEM_RES!$J:$J,0)-1,0),0)</f>
        <v>211020501</v>
      </c>
      <c r="AV242" s="10" t="s">
        <v>445</v>
      </c>
      <c r="AW242" s="11">
        <v>5250</v>
      </c>
      <c r="AZ242" s="11">
        <f ca="1">IFERROR(OFFSET(ITEM_RES!$A$1,MATCH(BA242,ITEM_RES!$J:$J,0)-1,0),0)</f>
        <v>0</v>
      </c>
      <c r="BE242" s="11">
        <f ca="1">IFERROR(OFFSET(ITEM_RES!$A$1,MATCH(BF242,ITEM_RES!$J:$J,0)-1,0),0)</f>
        <v>0</v>
      </c>
      <c r="BJ242" s="11">
        <f ca="1">IFERROR(OFFSET(ITEM_RES!$A$1,MATCH(BK242,ITEM_RES!$J:$J,0)-1,0),0)</f>
        <v>0</v>
      </c>
      <c r="BL242" s="11">
        <f t="shared" si="73"/>
        <v>0</v>
      </c>
    </row>
    <row r="243" spans="1:65" x14ac:dyDescent="0.3">
      <c r="A243" s="14">
        <f t="shared" si="70"/>
        <v>113030019</v>
      </c>
      <c r="B243" s="13">
        <v>11</v>
      </c>
      <c r="C243" s="12">
        <f t="shared" si="71"/>
        <v>3</v>
      </c>
      <c r="D243" s="13">
        <v>3</v>
      </c>
      <c r="E243" s="13">
        <v>0</v>
      </c>
      <c r="F243" s="12">
        <f t="shared" si="72"/>
        <v>19</v>
      </c>
      <c r="H243" s="9">
        <v>3</v>
      </c>
      <c r="I243" s="9">
        <v>19</v>
      </c>
      <c r="K243" s="56" t="s">
        <v>380</v>
      </c>
      <c r="L243" s="9">
        <v>0</v>
      </c>
      <c r="M243" s="9">
        <v>15</v>
      </c>
      <c r="R243" s="9" t="s">
        <v>779</v>
      </c>
      <c r="U243" s="9">
        <f ca="1">IFERROR(OFFSET(ITEM_RES!$A$5,MATCH(BUILDING!T243,ITEM_RES!$J$5:$J$229,0)-1,0),0)</f>
        <v>0</v>
      </c>
      <c r="X243" s="9">
        <f ca="1">IFERROR(OFFSET(ITEM_RES!$A$5,MATCH(BUILDING!W243,ITEM_RES!$J$5:$J$229,0)-1,0),0)</f>
        <v>0</v>
      </c>
      <c r="Z243" s="9" t="s">
        <v>552</v>
      </c>
      <c r="AA243" s="9">
        <v>19</v>
      </c>
      <c r="AC243" s="9">
        <v>50000</v>
      </c>
      <c r="AE243" s="56">
        <f t="shared" si="98"/>
        <v>26250</v>
      </c>
      <c r="AF243" s="10">
        <f t="shared" si="96"/>
        <v>48300</v>
      </c>
      <c r="AH243" s="11">
        <f t="shared" si="97"/>
        <v>95</v>
      </c>
      <c r="AI243" s="10">
        <v>95</v>
      </c>
      <c r="AJ243" s="11">
        <f t="shared" si="74"/>
        <v>1250</v>
      </c>
      <c r="AK243" s="10">
        <v>1250</v>
      </c>
      <c r="AL243" s="11">
        <f t="shared" si="74"/>
        <v>1250</v>
      </c>
      <c r="AM243" s="10">
        <v>1250</v>
      </c>
      <c r="AN243" s="56">
        <f t="shared" si="99"/>
        <v>2</v>
      </c>
      <c r="AP243" s="11">
        <f ca="1">IFERROR(OFFSET(ITEM_RES!$A$1,MATCH(AQ243,ITEM_RES!$J:$J,0)-1,0),0)</f>
        <v>211020901</v>
      </c>
      <c r="AQ243" s="10" t="s">
        <v>471</v>
      </c>
      <c r="AR243" s="11">
        <v>6250</v>
      </c>
      <c r="AU243" s="11">
        <f ca="1">IFERROR(OFFSET(ITEM_RES!$A$1,MATCH(AV243,ITEM_RES!$J:$J,0)-1,0),0)</f>
        <v>211020501</v>
      </c>
      <c r="AV243" s="10" t="s">
        <v>445</v>
      </c>
      <c r="AW243" s="11">
        <v>6250</v>
      </c>
      <c r="AZ243" s="11">
        <f ca="1">IFERROR(OFFSET(ITEM_RES!$A$1,MATCH(BA243,ITEM_RES!$J:$J,0)-1,0),0)</f>
        <v>0</v>
      </c>
      <c r="BE243" s="11">
        <f ca="1">IFERROR(OFFSET(ITEM_RES!$A$1,MATCH(BF243,ITEM_RES!$J:$J,0)-1,0),0)</f>
        <v>0</v>
      </c>
      <c r="BJ243" s="11">
        <f ca="1">IFERROR(OFFSET(ITEM_RES!$A$1,MATCH(BK243,ITEM_RES!$J:$J,0)-1,0),0)</f>
        <v>0</v>
      </c>
      <c r="BL243" s="11">
        <f t="shared" si="73"/>
        <v>0</v>
      </c>
    </row>
    <row r="244" spans="1:65" ht="17.25" thickBot="1" x14ac:dyDescent="0.35">
      <c r="A244" s="14">
        <f t="shared" si="70"/>
        <v>113030020</v>
      </c>
      <c r="B244" s="13">
        <v>11</v>
      </c>
      <c r="C244" s="12">
        <f t="shared" si="71"/>
        <v>3</v>
      </c>
      <c r="D244" s="13">
        <v>3</v>
      </c>
      <c r="E244" s="13">
        <v>0</v>
      </c>
      <c r="F244" s="12">
        <f t="shared" si="72"/>
        <v>20</v>
      </c>
      <c r="H244" s="9">
        <v>3</v>
      </c>
      <c r="I244" s="9">
        <v>20</v>
      </c>
      <c r="K244" s="56" t="s">
        <v>380</v>
      </c>
      <c r="L244" s="9">
        <v>0</v>
      </c>
      <c r="M244" s="9">
        <v>15</v>
      </c>
      <c r="R244" s="9" t="s">
        <v>779</v>
      </c>
      <c r="U244" s="9">
        <f ca="1">IFERROR(OFFSET(ITEM_RES!$A$5,MATCH(BUILDING!T244,ITEM_RES!$J$5:$J$229,0)-1,0),0)</f>
        <v>0</v>
      </c>
      <c r="X244" s="9">
        <f ca="1">IFERROR(OFFSET(ITEM_RES!$A$5,MATCH(BUILDING!W244,ITEM_RES!$J$5:$J$229,0)-1,0),0)</f>
        <v>0</v>
      </c>
      <c r="Z244" s="9" t="s">
        <v>552</v>
      </c>
      <c r="AA244" s="9">
        <v>20</v>
      </c>
      <c r="AC244" s="9">
        <v>60000</v>
      </c>
      <c r="AE244" s="56">
        <f t="shared" si="98"/>
        <v>31500</v>
      </c>
      <c r="AF244" s="10">
        <f t="shared" si="96"/>
        <v>57750</v>
      </c>
      <c r="AH244" s="11">
        <f t="shared" si="97"/>
        <v>100</v>
      </c>
      <c r="AI244" s="10">
        <v>100</v>
      </c>
      <c r="AJ244" s="11">
        <f t="shared" si="74"/>
        <v>1500</v>
      </c>
      <c r="AK244" s="10">
        <v>1500</v>
      </c>
      <c r="AL244" s="11">
        <f t="shared" si="74"/>
        <v>1500</v>
      </c>
      <c r="AM244" s="10">
        <v>1500</v>
      </c>
      <c r="AN244" s="56">
        <f t="shared" si="99"/>
        <v>2</v>
      </c>
      <c r="AP244" s="11">
        <f ca="1">IFERROR(OFFSET(ITEM_RES!$A$1,MATCH(AQ244,ITEM_RES!$J:$J,0)-1,0),0)</f>
        <v>211020901</v>
      </c>
      <c r="AQ244" s="10" t="s">
        <v>471</v>
      </c>
      <c r="AR244" s="11">
        <v>7500</v>
      </c>
      <c r="AU244" s="11">
        <f ca="1">IFERROR(OFFSET(ITEM_RES!$A$1,MATCH(AV244,ITEM_RES!$J:$J,0)-1,0),0)</f>
        <v>211020501</v>
      </c>
      <c r="AV244" s="10" t="s">
        <v>445</v>
      </c>
      <c r="AW244" s="11">
        <v>7500</v>
      </c>
      <c r="AZ244" s="11">
        <f ca="1">IFERROR(OFFSET(ITEM_RES!$A$1,MATCH(BA244,ITEM_RES!$J:$J,0)-1,0),0)</f>
        <v>0</v>
      </c>
      <c r="BE244" s="11">
        <f ca="1">IFERROR(OFFSET(ITEM_RES!$A$1,MATCH(BF244,ITEM_RES!$J:$J,0)-1,0),0)</f>
        <v>0</v>
      </c>
      <c r="BJ244" s="11">
        <f ca="1">IFERROR(OFFSET(ITEM_RES!$A$1,MATCH(BK244,ITEM_RES!$J:$J,0)-1,0),0)</f>
        <v>0</v>
      </c>
      <c r="BL244" s="11">
        <f t="shared" si="73"/>
        <v>0</v>
      </c>
    </row>
    <row r="245" spans="1:65" s="15" customFormat="1" x14ac:dyDescent="0.3">
      <c r="A245" s="21">
        <f t="shared" si="70"/>
        <v>113040001</v>
      </c>
      <c r="B245" s="20">
        <v>11</v>
      </c>
      <c r="C245" s="19">
        <f t="shared" si="71"/>
        <v>3</v>
      </c>
      <c r="D245" s="20">
        <v>4</v>
      </c>
      <c r="E245" s="20">
        <v>0</v>
      </c>
      <c r="F245" s="19">
        <f t="shared" si="72"/>
        <v>1</v>
      </c>
      <c r="G245" s="80"/>
      <c r="H245" s="16">
        <v>3</v>
      </c>
      <c r="I245" s="16">
        <v>1</v>
      </c>
      <c r="J245" s="80"/>
      <c r="K245" s="64" t="s">
        <v>388</v>
      </c>
      <c r="L245" s="16">
        <v>1</v>
      </c>
      <c r="M245" s="16">
        <v>15</v>
      </c>
      <c r="N245" s="16"/>
      <c r="O245" s="17"/>
      <c r="P245" s="17"/>
      <c r="Q245" s="18"/>
      <c r="R245" s="16" t="s">
        <v>780</v>
      </c>
      <c r="S245" s="80"/>
      <c r="T245" s="88"/>
      <c r="U245" s="16">
        <f ca="1">IFERROR(OFFSET(ITEM_RES!$A$5,MATCH(BUILDING!T245,ITEM_RES!$J$5:$J$229,0)-1,0),0)</f>
        <v>0</v>
      </c>
      <c r="V245" s="18"/>
      <c r="W245" s="88"/>
      <c r="X245" s="16">
        <f ca="1">IFERROR(OFFSET(ITEM_RES!$A$5,MATCH(BUILDING!W245,ITEM_RES!$J$5:$J$229,0)-1,0),0)</f>
        <v>0</v>
      </c>
      <c r="Y245" s="80"/>
      <c r="Z245" s="16" t="s">
        <v>553</v>
      </c>
      <c r="AA245" s="16">
        <v>1</v>
      </c>
      <c r="AB245" s="80"/>
      <c r="AC245" s="16">
        <v>0</v>
      </c>
      <c r="AD245" s="80"/>
      <c r="AE245" s="57">
        <f t="shared" si="98"/>
        <v>580</v>
      </c>
      <c r="AF245" s="17">
        <f>AE245</f>
        <v>580</v>
      </c>
      <c r="AG245" s="80"/>
      <c r="AH245" s="18">
        <f t="shared" si="97"/>
        <v>5</v>
      </c>
      <c r="AI245" s="17">
        <v>5</v>
      </c>
      <c r="AJ245" s="18">
        <f t="shared" si="74"/>
        <v>5</v>
      </c>
      <c r="AK245" s="17">
        <v>5</v>
      </c>
      <c r="AL245" s="18">
        <f t="shared" si="74"/>
        <v>5</v>
      </c>
      <c r="AM245" s="17">
        <v>5</v>
      </c>
      <c r="AN245" s="57">
        <f t="shared" si="99"/>
        <v>2</v>
      </c>
      <c r="AO245" s="18"/>
      <c r="AP245" s="18">
        <f ca="1">IFERROR(OFFSET(ITEM_RES!$A$1,MATCH(AQ245,ITEM_RES!$J:$J,0)-1,0),0)</f>
        <v>211020801</v>
      </c>
      <c r="AQ245" s="17" t="s">
        <v>458</v>
      </c>
      <c r="AR245" s="18">
        <v>25</v>
      </c>
      <c r="AS245" s="17"/>
      <c r="AT245" s="18"/>
      <c r="AU245" s="18">
        <f ca="1">IFERROR(OFFSET(ITEM_RES!$A$1,MATCH(AV245,ITEM_RES!$J:$J,0)-1,0),0)</f>
        <v>0</v>
      </c>
      <c r="AV245" s="17"/>
      <c r="AW245" s="18"/>
      <c r="AX245" s="17"/>
      <c r="AY245" s="18"/>
      <c r="AZ245" s="18">
        <f ca="1">IFERROR(OFFSET(ITEM_RES!$A$1,MATCH(BA245,ITEM_RES!$J:$J,0)-1,0),0)</f>
        <v>213010101</v>
      </c>
      <c r="BA245" s="17" t="s">
        <v>481</v>
      </c>
      <c r="BB245" s="18">
        <v>1</v>
      </c>
      <c r="BC245" s="17"/>
      <c r="BD245" s="18"/>
      <c r="BE245" s="18">
        <f ca="1">IFERROR(OFFSET(ITEM_RES!$A$1,MATCH(BF245,ITEM_RES!$J:$J,0)-1,0),0)</f>
        <v>0</v>
      </c>
      <c r="BF245" s="17"/>
      <c r="BG245" s="18"/>
      <c r="BH245" s="17"/>
      <c r="BI245" s="18"/>
      <c r="BJ245" s="18">
        <f ca="1">IFERROR(OFFSET(ITEM_RES!$A$1,MATCH(BK245,ITEM_RES!$J:$J,0)-1,0),0)</f>
        <v>0</v>
      </c>
      <c r="BK245" s="17"/>
      <c r="BL245" s="18">
        <f t="shared" si="73"/>
        <v>0</v>
      </c>
      <c r="BM245" s="17"/>
    </row>
    <row r="246" spans="1:65" x14ac:dyDescent="0.3">
      <c r="A246" s="14">
        <f t="shared" si="70"/>
        <v>113040002</v>
      </c>
      <c r="B246" s="13">
        <v>11</v>
      </c>
      <c r="C246" s="12">
        <f t="shared" si="71"/>
        <v>3</v>
      </c>
      <c r="D246" s="13">
        <v>4</v>
      </c>
      <c r="E246" s="13">
        <v>0</v>
      </c>
      <c r="F246" s="12">
        <f t="shared" si="72"/>
        <v>2</v>
      </c>
      <c r="H246" s="9">
        <v>3</v>
      </c>
      <c r="I246" s="9">
        <v>2</v>
      </c>
      <c r="K246" s="56" t="s">
        <v>388</v>
      </c>
      <c r="L246" s="9">
        <v>1</v>
      </c>
      <c r="M246" s="9">
        <v>15</v>
      </c>
      <c r="N246" s="85"/>
      <c r="R246" s="9" t="s">
        <v>780</v>
      </c>
      <c r="U246" s="9">
        <f ca="1">IFERROR(OFFSET(ITEM_RES!$A$5,MATCH(BUILDING!T246,ITEM_RES!$J$5:$J$229,0)-1,0),0)</f>
        <v>0</v>
      </c>
      <c r="X246" s="9">
        <f ca="1">IFERROR(OFFSET(ITEM_RES!$A$5,MATCH(BUILDING!W246,ITEM_RES!$J$5:$J$229,0)-1,0),0)</f>
        <v>0</v>
      </c>
      <c r="Z246" s="9" t="s">
        <v>553</v>
      </c>
      <c r="AA246" s="9">
        <v>2</v>
      </c>
      <c r="AC246" s="9">
        <v>200</v>
      </c>
      <c r="AE246" s="56">
        <f t="shared" si="98"/>
        <v>160</v>
      </c>
      <c r="AF246" s="10">
        <f>AE245+AE246</f>
        <v>740</v>
      </c>
      <c r="AH246" s="11">
        <f t="shared" si="97"/>
        <v>10</v>
      </c>
      <c r="AI246" s="10">
        <v>10</v>
      </c>
      <c r="AJ246" s="11">
        <f t="shared" si="74"/>
        <v>10</v>
      </c>
      <c r="AK246" s="10">
        <v>10</v>
      </c>
      <c r="AL246" s="11">
        <f t="shared" si="74"/>
        <v>10</v>
      </c>
      <c r="AM246" s="10">
        <v>10</v>
      </c>
      <c r="AN246" s="56">
        <f t="shared" si="99"/>
        <v>1</v>
      </c>
      <c r="AP246" s="11">
        <f ca="1">IFERROR(OFFSET(ITEM_RES!$A$1,MATCH(AQ246,ITEM_RES!$J:$J,0)-1,0),0)</f>
        <v>211020801</v>
      </c>
      <c r="AQ246" s="10" t="s">
        <v>458</v>
      </c>
      <c r="AR246" s="11">
        <v>50</v>
      </c>
      <c r="AU246" s="11">
        <f ca="1">IFERROR(OFFSET(ITEM_RES!$A$1,MATCH(AV246,ITEM_RES!$J:$J,0)-1,0),0)</f>
        <v>0</v>
      </c>
      <c r="AZ246" s="11">
        <f ca="1">IFERROR(OFFSET(ITEM_RES!$A$1,MATCH(BA246,ITEM_RES!$J:$J,0)-1,0),0)</f>
        <v>0</v>
      </c>
      <c r="BE246" s="11">
        <f ca="1">IFERROR(OFFSET(ITEM_RES!$A$1,MATCH(BF246,ITEM_RES!$J:$J,0)-1,0),0)</f>
        <v>0</v>
      </c>
      <c r="BJ246" s="11">
        <f ca="1">IFERROR(OFFSET(ITEM_RES!$A$1,MATCH(BK246,ITEM_RES!$J:$J,0)-1,0),0)</f>
        <v>0</v>
      </c>
      <c r="BL246" s="11">
        <f t="shared" si="73"/>
        <v>0</v>
      </c>
    </row>
    <row r="247" spans="1:65" x14ac:dyDescent="0.3">
      <c r="A247" s="14">
        <f t="shared" si="70"/>
        <v>113040003</v>
      </c>
      <c r="B247" s="13">
        <v>11</v>
      </c>
      <c r="C247" s="12">
        <f t="shared" si="71"/>
        <v>3</v>
      </c>
      <c r="D247" s="13">
        <v>4</v>
      </c>
      <c r="E247" s="13">
        <v>0</v>
      </c>
      <c r="F247" s="12">
        <f t="shared" si="72"/>
        <v>3</v>
      </c>
      <c r="H247" s="9">
        <v>3</v>
      </c>
      <c r="I247" s="9">
        <v>3</v>
      </c>
      <c r="K247" s="56" t="s">
        <v>388</v>
      </c>
      <c r="L247" s="9">
        <v>1</v>
      </c>
      <c r="M247" s="9">
        <v>15</v>
      </c>
      <c r="R247" s="9" t="s">
        <v>780</v>
      </c>
      <c r="U247" s="9">
        <f ca="1">IFERROR(OFFSET(ITEM_RES!$A$5,MATCH(BUILDING!T247,ITEM_RES!$J$5:$J$229,0)-1,0),0)</f>
        <v>0</v>
      </c>
      <c r="X247" s="9">
        <f ca="1">IFERROR(OFFSET(ITEM_RES!$A$5,MATCH(BUILDING!W247,ITEM_RES!$J$5:$J$229,0)-1,0),0)</f>
        <v>0</v>
      </c>
      <c r="Z247" s="9" t="s">
        <v>553</v>
      </c>
      <c r="AA247" s="9">
        <v>3</v>
      </c>
      <c r="AC247" s="9">
        <v>600</v>
      </c>
      <c r="AE247" s="56">
        <f t="shared" si="98"/>
        <v>240</v>
      </c>
      <c r="AF247" s="10">
        <f t="shared" ref="AF247:AF264" si="100">AE246+AE247</f>
        <v>400</v>
      </c>
      <c r="AH247" s="11">
        <f t="shared" si="97"/>
        <v>15</v>
      </c>
      <c r="AI247" s="10">
        <v>15</v>
      </c>
      <c r="AJ247" s="11">
        <f t="shared" si="74"/>
        <v>15</v>
      </c>
      <c r="AK247" s="10">
        <v>15</v>
      </c>
      <c r="AL247" s="11">
        <f t="shared" si="74"/>
        <v>15</v>
      </c>
      <c r="AM247" s="10">
        <v>15</v>
      </c>
      <c r="AN247" s="56">
        <f t="shared" si="99"/>
        <v>1</v>
      </c>
      <c r="AP247" s="11">
        <f ca="1">IFERROR(OFFSET(ITEM_RES!$A$1,MATCH(AQ247,ITEM_RES!$J:$J,0)-1,0),0)</f>
        <v>211020801</v>
      </c>
      <c r="AQ247" s="10" t="s">
        <v>458</v>
      </c>
      <c r="AR247" s="11">
        <v>75</v>
      </c>
      <c r="AU247" s="11">
        <f ca="1">IFERROR(OFFSET(ITEM_RES!$A$1,MATCH(AV247,ITEM_RES!$J:$J,0)-1,0),0)</f>
        <v>0</v>
      </c>
      <c r="AZ247" s="11">
        <f ca="1">IFERROR(OFFSET(ITEM_RES!$A$1,MATCH(BA247,ITEM_RES!$J:$J,0)-1,0),0)</f>
        <v>0</v>
      </c>
      <c r="BE247" s="11">
        <f ca="1">IFERROR(OFFSET(ITEM_RES!$A$1,MATCH(BF247,ITEM_RES!$J:$J,0)-1,0),0)</f>
        <v>0</v>
      </c>
      <c r="BJ247" s="11">
        <f ca="1">IFERROR(OFFSET(ITEM_RES!$A$1,MATCH(BK247,ITEM_RES!$J:$J,0)-1,0),0)</f>
        <v>0</v>
      </c>
      <c r="BL247" s="11">
        <f t="shared" si="73"/>
        <v>0</v>
      </c>
    </row>
    <row r="248" spans="1:65" x14ac:dyDescent="0.3">
      <c r="A248" s="14">
        <f t="shared" si="70"/>
        <v>113040004</v>
      </c>
      <c r="B248" s="13">
        <v>11</v>
      </c>
      <c r="C248" s="12">
        <f t="shared" si="71"/>
        <v>3</v>
      </c>
      <c r="D248" s="13">
        <v>4</v>
      </c>
      <c r="E248" s="13">
        <v>0</v>
      </c>
      <c r="F248" s="12">
        <f t="shared" si="72"/>
        <v>4</v>
      </c>
      <c r="H248" s="9">
        <v>3</v>
      </c>
      <c r="I248" s="9">
        <v>4</v>
      </c>
      <c r="K248" s="56" t="s">
        <v>388</v>
      </c>
      <c r="L248" s="9">
        <v>1</v>
      </c>
      <c r="M248" s="9">
        <v>15</v>
      </c>
      <c r="R248" s="9" t="s">
        <v>780</v>
      </c>
      <c r="U248" s="9">
        <f ca="1">IFERROR(OFFSET(ITEM_RES!$A$5,MATCH(BUILDING!T248,ITEM_RES!$J$5:$J$229,0)-1,0),0)</f>
        <v>0</v>
      </c>
      <c r="X248" s="9">
        <f ca="1">IFERROR(OFFSET(ITEM_RES!$A$5,MATCH(BUILDING!W248,ITEM_RES!$J$5:$J$229,0)-1,0),0)</f>
        <v>0</v>
      </c>
      <c r="Z248" s="9" t="s">
        <v>553</v>
      </c>
      <c r="AA248" s="9">
        <v>4</v>
      </c>
      <c r="AC248" s="9">
        <v>1000</v>
      </c>
      <c r="AE248" s="56">
        <f t="shared" si="98"/>
        <v>400</v>
      </c>
      <c r="AF248" s="10">
        <f t="shared" si="100"/>
        <v>640</v>
      </c>
      <c r="AH248" s="11">
        <f t="shared" si="97"/>
        <v>20</v>
      </c>
      <c r="AI248" s="10">
        <v>20</v>
      </c>
      <c r="AJ248" s="11">
        <f t="shared" si="74"/>
        <v>25</v>
      </c>
      <c r="AK248" s="10">
        <v>25</v>
      </c>
      <c r="AL248" s="11">
        <f t="shared" si="74"/>
        <v>25</v>
      </c>
      <c r="AM248" s="10">
        <v>25</v>
      </c>
      <c r="AN248" s="56">
        <f t="shared" si="99"/>
        <v>1</v>
      </c>
      <c r="AP248" s="11">
        <f ca="1">IFERROR(OFFSET(ITEM_RES!$A$1,MATCH(AQ248,ITEM_RES!$J:$J,0)-1,0),0)</f>
        <v>211020801</v>
      </c>
      <c r="AQ248" s="10" t="s">
        <v>458</v>
      </c>
      <c r="AR248" s="11">
        <v>125</v>
      </c>
      <c r="AU248" s="11">
        <f ca="1">IFERROR(OFFSET(ITEM_RES!$A$1,MATCH(AV248,ITEM_RES!$J:$J,0)-1,0),0)</f>
        <v>0</v>
      </c>
      <c r="AZ248" s="11">
        <f ca="1">IFERROR(OFFSET(ITEM_RES!$A$1,MATCH(BA248,ITEM_RES!$J:$J,0)-1,0),0)</f>
        <v>0</v>
      </c>
      <c r="BE248" s="11">
        <f ca="1">IFERROR(OFFSET(ITEM_RES!$A$1,MATCH(BF248,ITEM_RES!$J:$J,0)-1,0),0)</f>
        <v>0</v>
      </c>
      <c r="BJ248" s="11">
        <f ca="1">IFERROR(OFFSET(ITEM_RES!$A$1,MATCH(BK248,ITEM_RES!$J:$J,0)-1,0),0)</f>
        <v>0</v>
      </c>
      <c r="BL248" s="11">
        <f t="shared" si="73"/>
        <v>0</v>
      </c>
    </row>
    <row r="249" spans="1:65" x14ac:dyDescent="0.3">
      <c r="A249" s="14">
        <f t="shared" si="70"/>
        <v>113040005</v>
      </c>
      <c r="B249" s="13">
        <v>11</v>
      </c>
      <c r="C249" s="12">
        <f t="shared" si="71"/>
        <v>3</v>
      </c>
      <c r="D249" s="13">
        <v>4</v>
      </c>
      <c r="E249" s="13">
        <v>0</v>
      </c>
      <c r="F249" s="12">
        <f t="shared" si="72"/>
        <v>5</v>
      </c>
      <c r="H249" s="9">
        <v>3</v>
      </c>
      <c r="I249" s="9">
        <v>5</v>
      </c>
      <c r="K249" s="56" t="s">
        <v>388</v>
      </c>
      <c r="L249" s="9">
        <v>1</v>
      </c>
      <c r="M249" s="9">
        <v>15</v>
      </c>
      <c r="R249" s="9" t="s">
        <v>780</v>
      </c>
      <c r="U249" s="9">
        <f ca="1">IFERROR(OFFSET(ITEM_RES!$A$5,MATCH(BUILDING!T249,ITEM_RES!$J$5:$J$229,0)-1,0),0)</f>
        <v>0</v>
      </c>
      <c r="X249" s="9">
        <f ca="1">IFERROR(OFFSET(ITEM_RES!$A$5,MATCH(BUILDING!W249,ITEM_RES!$J$5:$J$229,0)-1,0),0)</f>
        <v>0</v>
      </c>
      <c r="Z249" s="9" t="s">
        <v>553</v>
      </c>
      <c r="AA249" s="9">
        <v>5</v>
      </c>
      <c r="AC249" s="9">
        <v>1600</v>
      </c>
      <c r="AE249" s="56">
        <f t="shared" si="98"/>
        <v>640</v>
      </c>
      <c r="AF249" s="10">
        <f t="shared" si="100"/>
        <v>1040</v>
      </c>
      <c r="AH249" s="11">
        <f t="shared" si="97"/>
        <v>25</v>
      </c>
      <c r="AI249" s="10">
        <v>25</v>
      </c>
      <c r="AJ249" s="11">
        <f t="shared" si="74"/>
        <v>40</v>
      </c>
      <c r="AK249" s="10">
        <v>40</v>
      </c>
      <c r="AL249" s="11">
        <f t="shared" si="74"/>
        <v>40</v>
      </c>
      <c r="AM249" s="10">
        <v>40</v>
      </c>
      <c r="AN249" s="56">
        <f t="shared" si="99"/>
        <v>1</v>
      </c>
      <c r="AP249" s="11">
        <f ca="1">IFERROR(OFFSET(ITEM_RES!$A$1,MATCH(AQ249,ITEM_RES!$J:$J,0)-1,0),0)</f>
        <v>211020801</v>
      </c>
      <c r="AQ249" s="10" t="s">
        <v>458</v>
      </c>
      <c r="AR249" s="11">
        <v>200</v>
      </c>
      <c r="AU249" s="11">
        <f ca="1">IFERROR(OFFSET(ITEM_RES!$A$1,MATCH(AV249,ITEM_RES!$J:$J,0)-1,0),0)</f>
        <v>0</v>
      </c>
      <c r="AZ249" s="11">
        <f ca="1">IFERROR(OFFSET(ITEM_RES!$A$1,MATCH(BA249,ITEM_RES!$J:$J,0)-1,0),0)</f>
        <v>0</v>
      </c>
      <c r="BE249" s="11">
        <f ca="1">IFERROR(OFFSET(ITEM_RES!$A$1,MATCH(BF249,ITEM_RES!$J:$J,0)-1,0),0)</f>
        <v>0</v>
      </c>
      <c r="BJ249" s="11">
        <f ca="1">IFERROR(OFFSET(ITEM_RES!$A$1,MATCH(BK249,ITEM_RES!$J:$J,0)-1,0),0)</f>
        <v>0</v>
      </c>
      <c r="BL249" s="11">
        <f t="shared" si="73"/>
        <v>0</v>
      </c>
    </row>
    <row r="250" spans="1:65" x14ac:dyDescent="0.3">
      <c r="A250" s="14">
        <f t="shared" si="70"/>
        <v>113040006</v>
      </c>
      <c r="B250" s="13">
        <v>11</v>
      </c>
      <c r="C250" s="12">
        <f t="shared" si="71"/>
        <v>3</v>
      </c>
      <c r="D250" s="13">
        <v>4</v>
      </c>
      <c r="E250" s="13">
        <v>0</v>
      </c>
      <c r="F250" s="12">
        <f t="shared" si="72"/>
        <v>6</v>
      </c>
      <c r="H250" s="9">
        <v>3</v>
      </c>
      <c r="I250" s="9">
        <v>6</v>
      </c>
      <c r="K250" s="56" t="s">
        <v>388</v>
      </c>
      <c r="L250" s="9">
        <v>1</v>
      </c>
      <c r="M250" s="9">
        <v>15</v>
      </c>
      <c r="R250" s="9" t="s">
        <v>780</v>
      </c>
      <c r="U250" s="9">
        <f ca="1">IFERROR(OFFSET(ITEM_RES!$A$5,MATCH(BUILDING!T250,ITEM_RES!$J$5:$J$229,0)-1,0),0)</f>
        <v>0</v>
      </c>
      <c r="X250" s="9">
        <f ca="1">IFERROR(OFFSET(ITEM_RES!$A$5,MATCH(BUILDING!W250,ITEM_RES!$J$5:$J$229,0)-1,0),0)</f>
        <v>0</v>
      </c>
      <c r="Z250" s="9" t="s">
        <v>553</v>
      </c>
      <c r="AA250" s="9">
        <v>6</v>
      </c>
      <c r="AC250" s="9">
        <v>2000</v>
      </c>
      <c r="AE250" s="56">
        <f t="shared" si="98"/>
        <v>800</v>
      </c>
      <c r="AF250" s="10">
        <f t="shared" si="100"/>
        <v>1440</v>
      </c>
      <c r="AH250" s="11">
        <f t="shared" si="97"/>
        <v>30</v>
      </c>
      <c r="AI250" s="10">
        <v>30</v>
      </c>
      <c r="AJ250" s="11">
        <f t="shared" si="74"/>
        <v>50</v>
      </c>
      <c r="AK250" s="10">
        <v>50</v>
      </c>
      <c r="AL250" s="11">
        <f t="shared" si="74"/>
        <v>50</v>
      </c>
      <c r="AM250" s="10">
        <v>50</v>
      </c>
      <c r="AN250" s="56">
        <f t="shared" si="99"/>
        <v>1</v>
      </c>
      <c r="AP250" s="11">
        <f ca="1">IFERROR(OFFSET(ITEM_RES!$A$1,MATCH(AQ250,ITEM_RES!$J:$J,0)-1,0),0)</f>
        <v>211020801</v>
      </c>
      <c r="AQ250" s="10" t="s">
        <v>458</v>
      </c>
      <c r="AR250" s="11">
        <v>250</v>
      </c>
      <c r="AU250" s="11">
        <f ca="1">IFERROR(OFFSET(ITEM_RES!$A$1,MATCH(AV250,ITEM_RES!$J:$J,0)-1,0),0)</f>
        <v>0</v>
      </c>
      <c r="AZ250" s="11">
        <f ca="1">IFERROR(OFFSET(ITEM_RES!$A$1,MATCH(BA250,ITEM_RES!$J:$J,0)-1,0),0)</f>
        <v>0</v>
      </c>
      <c r="BE250" s="11">
        <f ca="1">IFERROR(OFFSET(ITEM_RES!$A$1,MATCH(BF250,ITEM_RES!$J:$J,0)-1,0),0)</f>
        <v>0</v>
      </c>
      <c r="BJ250" s="11">
        <f ca="1">IFERROR(OFFSET(ITEM_RES!$A$1,MATCH(BK250,ITEM_RES!$J:$J,0)-1,0),0)</f>
        <v>0</v>
      </c>
      <c r="BL250" s="11">
        <f t="shared" si="73"/>
        <v>0</v>
      </c>
    </row>
    <row r="251" spans="1:65" x14ac:dyDescent="0.3">
      <c r="A251" s="14">
        <f t="shared" si="70"/>
        <v>113040007</v>
      </c>
      <c r="B251" s="13">
        <v>11</v>
      </c>
      <c r="C251" s="12">
        <f t="shared" si="71"/>
        <v>3</v>
      </c>
      <c r="D251" s="13">
        <v>4</v>
      </c>
      <c r="E251" s="13">
        <v>0</v>
      </c>
      <c r="F251" s="12">
        <f t="shared" si="72"/>
        <v>7</v>
      </c>
      <c r="H251" s="9">
        <v>3</v>
      </c>
      <c r="I251" s="9">
        <v>7</v>
      </c>
      <c r="K251" s="56" t="s">
        <v>388</v>
      </c>
      <c r="L251" s="9">
        <v>1</v>
      </c>
      <c r="M251" s="9">
        <v>15</v>
      </c>
      <c r="R251" s="9" t="s">
        <v>780</v>
      </c>
      <c r="U251" s="9">
        <f ca="1">IFERROR(OFFSET(ITEM_RES!$A$5,MATCH(BUILDING!T251,ITEM_RES!$J$5:$J$229,0)-1,0),0)</f>
        <v>0</v>
      </c>
      <c r="X251" s="9">
        <f ca="1">IFERROR(OFFSET(ITEM_RES!$A$5,MATCH(BUILDING!W251,ITEM_RES!$J$5:$J$229,0)-1,0),0)</f>
        <v>0</v>
      </c>
      <c r="Z251" s="9" t="s">
        <v>553</v>
      </c>
      <c r="AA251" s="9">
        <v>7</v>
      </c>
      <c r="AC251" s="9">
        <v>4000</v>
      </c>
      <c r="AE251" s="56">
        <f t="shared" si="98"/>
        <v>1600</v>
      </c>
      <c r="AF251" s="10">
        <f t="shared" si="100"/>
        <v>2400</v>
      </c>
      <c r="AH251" s="11">
        <f t="shared" si="97"/>
        <v>35</v>
      </c>
      <c r="AI251" s="10">
        <v>35</v>
      </c>
      <c r="AJ251" s="11">
        <f t="shared" si="74"/>
        <v>100</v>
      </c>
      <c r="AK251" s="10">
        <v>100</v>
      </c>
      <c r="AL251" s="11">
        <f t="shared" si="74"/>
        <v>100</v>
      </c>
      <c r="AM251" s="10">
        <v>100</v>
      </c>
      <c r="AN251" s="56">
        <f t="shared" si="99"/>
        <v>1</v>
      </c>
      <c r="AP251" s="11">
        <f ca="1">IFERROR(OFFSET(ITEM_RES!$A$1,MATCH(AQ251,ITEM_RES!$J:$J,0)-1,0),0)</f>
        <v>211020801</v>
      </c>
      <c r="AQ251" s="10" t="s">
        <v>458</v>
      </c>
      <c r="AR251" s="11">
        <v>500</v>
      </c>
      <c r="AU251" s="11">
        <f ca="1">IFERROR(OFFSET(ITEM_RES!$A$1,MATCH(AV251,ITEM_RES!$J:$J,0)-1,0),0)</f>
        <v>0</v>
      </c>
      <c r="AZ251" s="11">
        <f ca="1">IFERROR(OFFSET(ITEM_RES!$A$1,MATCH(BA251,ITEM_RES!$J:$J,0)-1,0),0)</f>
        <v>0</v>
      </c>
      <c r="BE251" s="11">
        <f ca="1">IFERROR(OFFSET(ITEM_RES!$A$1,MATCH(BF251,ITEM_RES!$J:$J,0)-1,0),0)</f>
        <v>0</v>
      </c>
      <c r="BJ251" s="11">
        <f ca="1">IFERROR(OFFSET(ITEM_RES!$A$1,MATCH(BK251,ITEM_RES!$J:$J,0)-1,0),0)</f>
        <v>0</v>
      </c>
      <c r="BL251" s="11">
        <f t="shared" si="73"/>
        <v>0</v>
      </c>
    </row>
    <row r="252" spans="1:65" x14ac:dyDescent="0.3">
      <c r="A252" s="14">
        <f t="shared" si="70"/>
        <v>113040008</v>
      </c>
      <c r="B252" s="13">
        <v>11</v>
      </c>
      <c r="C252" s="12">
        <f t="shared" si="71"/>
        <v>3</v>
      </c>
      <c r="D252" s="13">
        <v>4</v>
      </c>
      <c r="E252" s="13">
        <v>0</v>
      </c>
      <c r="F252" s="12">
        <f t="shared" si="72"/>
        <v>8</v>
      </c>
      <c r="H252" s="9">
        <v>3</v>
      </c>
      <c r="I252" s="9">
        <v>8</v>
      </c>
      <c r="K252" s="56" t="s">
        <v>388</v>
      </c>
      <c r="L252" s="9">
        <v>1</v>
      </c>
      <c r="M252" s="9">
        <v>15</v>
      </c>
      <c r="R252" s="9" t="s">
        <v>780</v>
      </c>
      <c r="U252" s="9">
        <f ca="1">IFERROR(OFFSET(ITEM_RES!$A$5,MATCH(BUILDING!T252,ITEM_RES!$J$5:$J$229,0)-1,0),0)</f>
        <v>0</v>
      </c>
      <c r="X252" s="9">
        <f ca="1">IFERROR(OFFSET(ITEM_RES!$A$5,MATCH(BUILDING!W252,ITEM_RES!$J$5:$J$229,0)-1,0),0)</f>
        <v>0</v>
      </c>
      <c r="Z252" s="9" t="s">
        <v>553</v>
      </c>
      <c r="AA252" s="9">
        <v>8</v>
      </c>
      <c r="AC252" s="9">
        <v>4000</v>
      </c>
      <c r="AE252" s="56">
        <f t="shared" si="98"/>
        <v>1600</v>
      </c>
      <c r="AF252" s="10">
        <f t="shared" si="100"/>
        <v>3200</v>
      </c>
      <c r="AH252" s="11">
        <f t="shared" si="97"/>
        <v>40</v>
      </c>
      <c r="AI252" s="10">
        <v>40</v>
      </c>
      <c r="AJ252" s="11">
        <f t="shared" si="74"/>
        <v>100</v>
      </c>
      <c r="AK252" s="10">
        <v>100</v>
      </c>
      <c r="AL252" s="11">
        <f t="shared" si="74"/>
        <v>100</v>
      </c>
      <c r="AM252" s="10">
        <v>100</v>
      </c>
      <c r="AN252" s="56">
        <f t="shared" si="99"/>
        <v>1</v>
      </c>
      <c r="AP252" s="11">
        <f ca="1">IFERROR(OFFSET(ITEM_RES!$A$1,MATCH(AQ252,ITEM_RES!$J:$J,0)-1,0),0)</f>
        <v>211020801</v>
      </c>
      <c r="AQ252" s="10" t="s">
        <v>458</v>
      </c>
      <c r="AR252" s="11">
        <v>500</v>
      </c>
      <c r="AU252" s="11">
        <f ca="1">IFERROR(OFFSET(ITEM_RES!$A$1,MATCH(AV252,ITEM_RES!$J:$J,0)-1,0),0)</f>
        <v>0</v>
      </c>
      <c r="AZ252" s="11">
        <f ca="1">IFERROR(OFFSET(ITEM_RES!$A$1,MATCH(BA252,ITEM_RES!$J:$J,0)-1,0),0)</f>
        <v>0</v>
      </c>
      <c r="BE252" s="11">
        <f ca="1">IFERROR(OFFSET(ITEM_RES!$A$1,MATCH(BF252,ITEM_RES!$J:$J,0)-1,0),0)</f>
        <v>0</v>
      </c>
      <c r="BJ252" s="11">
        <f ca="1">IFERROR(OFFSET(ITEM_RES!$A$1,MATCH(BK252,ITEM_RES!$J:$J,0)-1,0),0)</f>
        <v>0</v>
      </c>
      <c r="BL252" s="11">
        <f t="shared" si="73"/>
        <v>0</v>
      </c>
    </row>
    <row r="253" spans="1:65" x14ac:dyDescent="0.3">
      <c r="A253" s="14">
        <f t="shared" si="70"/>
        <v>113040009</v>
      </c>
      <c r="B253" s="13">
        <v>11</v>
      </c>
      <c r="C253" s="12">
        <f t="shared" si="71"/>
        <v>3</v>
      </c>
      <c r="D253" s="13">
        <v>4</v>
      </c>
      <c r="E253" s="13">
        <v>0</v>
      </c>
      <c r="F253" s="12">
        <f t="shared" si="72"/>
        <v>9</v>
      </c>
      <c r="H253" s="9">
        <v>3</v>
      </c>
      <c r="I253" s="9">
        <v>9</v>
      </c>
      <c r="K253" s="56" t="s">
        <v>388</v>
      </c>
      <c r="L253" s="9">
        <v>1</v>
      </c>
      <c r="M253" s="9">
        <v>15</v>
      </c>
      <c r="R253" s="9" t="s">
        <v>780</v>
      </c>
      <c r="U253" s="9">
        <f ca="1">IFERROR(OFFSET(ITEM_RES!$A$5,MATCH(BUILDING!T253,ITEM_RES!$J$5:$J$229,0)-1,0),0)</f>
        <v>0</v>
      </c>
      <c r="X253" s="9">
        <f ca="1">IFERROR(OFFSET(ITEM_RES!$A$5,MATCH(BUILDING!W253,ITEM_RES!$J$5:$J$229,0)-1,0),0)</f>
        <v>0</v>
      </c>
      <c r="Z253" s="9" t="s">
        <v>553</v>
      </c>
      <c r="AA253" s="9">
        <v>9</v>
      </c>
      <c r="AC253" s="9">
        <v>6000</v>
      </c>
      <c r="AE253" s="56">
        <f t="shared" si="98"/>
        <v>2400</v>
      </c>
      <c r="AF253" s="10">
        <f t="shared" si="100"/>
        <v>4000</v>
      </c>
      <c r="AH253" s="11">
        <f t="shared" si="97"/>
        <v>45</v>
      </c>
      <c r="AI253" s="10">
        <v>45</v>
      </c>
      <c r="AJ253" s="11">
        <f t="shared" si="74"/>
        <v>150</v>
      </c>
      <c r="AK253" s="10">
        <v>150</v>
      </c>
      <c r="AL253" s="11">
        <f t="shared" si="74"/>
        <v>150</v>
      </c>
      <c r="AM253" s="10">
        <v>150</v>
      </c>
      <c r="AN253" s="56">
        <f t="shared" si="99"/>
        <v>1</v>
      </c>
      <c r="AP253" s="11">
        <f ca="1">IFERROR(OFFSET(ITEM_RES!$A$1,MATCH(AQ253,ITEM_RES!$J:$J,0)-1,0),0)</f>
        <v>211020801</v>
      </c>
      <c r="AQ253" s="10" t="s">
        <v>458</v>
      </c>
      <c r="AR253" s="11">
        <v>750</v>
      </c>
      <c r="AU253" s="11">
        <f ca="1">IFERROR(OFFSET(ITEM_RES!$A$1,MATCH(AV253,ITEM_RES!$J:$J,0)-1,0),0)</f>
        <v>0</v>
      </c>
      <c r="AZ253" s="11">
        <f ca="1">IFERROR(OFFSET(ITEM_RES!$A$1,MATCH(BA253,ITEM_RES!$J:$J,0)-1,0),0)</f>
        <v>0</v>
      </c>
      <c r="BE253" s="11">
        <f ca="1">IFERROR(OFFSET(ITEM_RES!$A$1,MATCH(BF253,ITEM_RES!$J:$J,0)-1,0),0)</f>
        <v>0</v>
      </c>
      <c r="BJ253" s="11">
        <f ca="1">IFERROR(OFFSET(ITEM_RES!$A$1,MATCH(BK253,ITEM_RES!$J:$J,0)-1,0),0)</f>
        <v>0</v>
      </c>
      <c r="BL253" s="11">
        <f t="shared" si="73"/>
        <v>0</v>
      </c>
    </row>
    <row r="254" spans="1:65" x14ac:dyDescent="0.3">
      <c r="A254" s="14">
        <f t="shared" si="70"/>
        <v>113040010</v>
      </c>
      <c r="B254" s="13">
        <v>11</v>
      </c>
      <c r="C254" s="12">
        <f t="shared" si="71"/>
        <v>3</v>
      </c>
      <c r="D254" s="13">
        <v>4</v>
      </c>
      <c r="E254" s="13">
        <v>0</v>
      </c>
      <c r="F254" s="12">
        <f t="shared" si="72"/>
        <v>10</v>
      </c>
      <c r="H254" s="9">
        <v>3</v>
      </c>
      <c r="I254" s="9">
        <v>10</v>
      </c>
      <c r="K254" s="56" t="s">
        <v>388</v>
      </c>
      <c r="L254" s="9">
        <v>1</v>
      </c>
      <c r="M254" s="9">
        <v>15</v>
      </c>
      <c r="R254" s="9" t="s">
        <v>780</v>
      </c>
      <c r="U254" s="9">
        <f ca="1">IFERROR(OFFSET(ITEM_RES!$A$5,MATCH(BUILDING!T254,ITEM_RES!$J$5:$J$229,0)-1,0),0)</f>
        <v>0</v>
      </c>
      <c r="X254" s="9">
        <f ca="1">IFERROR(OFFSET(ITEM_RES!$A$5,MATCH(BUILDING!W254,ITEM_RES!$J$5:$J$229,0)-1,0),0)</f>
        <v>0</v>
      </c>
      <c r="Z254" s="9" t="s">
        <v>553</v>
      </c>
      <c r="AA254" s="9">
        <v>10</v>
      </c>
      <c r="AC254" s="9">
        <v>8000</v>
      </c>
      <c r="AE254" s="56">
        <f t="shared" si="98"/>
        <v>3700</v>
      </c>
      <c r="AF254" s="10">
        <f t="shared" si="100"/>
        <v>6100</v>
      </c>
      <c r="AH254" s="11">
        <f t="shared" si="97"/>
        <v>50</v>
      </c>
      <c r="AI254" s="10">
        <v>50</v>
      </c>
      <c r="AJ254" s="11">
        <f t="shared" si="74"/>
        <v>200</v>
      </c>
      <c r="AK254" s="10">
        <v>200</v>
      </c>
      <c r="AL254" s="11">
        <f t="shared" si="74"/>
        <v>200</v>
      </c>
      <c r="AM254" s="10">
        <v>200</v>
      </c>
      <c r="AN254" s="56">
        <f t="shared" si="99"/>
        <v>2</v>
      </c>
      <c r="AP254" s="11">
        <f ca="1">IFERROR(OFFSET(ITEM_RES!$A$1,MATCH(AQ254,ITEM_RES!$J:$J,0)-1,0),0)</f>
        <v>211020801</v>
      </c>
      <c r="AQ254" s="10" t="s">
        <v>458</v>
      </c>
      <c r="AR254" s="11">
        <v>1000</v>
      </c>
      <c r="AU254" s="11">
        <f ca="1">IFERROR(OFFSET(ITEM_RES!$A$1,MATCH(AV254,ITEM_RES!$J:$J,0)-1,0),0)</f>
        <v>0</v>
      </c>
      <c r="AZ254" s="11">
        <f ca="1">IFERROR(OFFSET(ITEM_RES!$A$1,MATCH(BA254,ITEM_RES!$J:$J,0)-1,0),0)</f>
        <v>0</v>
      </c>
      <c r="BE254" s="11">
        <f ca="1">IFERROR(OFFSET(ITEM_RES!$A$1,MATCH(BF254,ITEM_RES!$J:$J,0)-1,0),0)</f>
        <v>213010901</v>
      </c>
      <c r="BF254" s="10" t="s">
        <v>493</v>
      </c>
      <c r="BG254" s="11">
        <v>1</v>
      </c>
      <c r="BJ254" s="11">
        <f ca="1">IFERROR(OFFSET(ITEM_RES!$A$1,MATCH(BK254,ITEM_RES!$J:$J,0)-1,0),0)</f>
        <v>0</v>
      </c>
      <c r="BL254" s="11">
        <f t="shared" si="73"/>
        <v>0</v>
      </c>
    </row>
    <row r="255" spans="1:65" x14ac:dyDescent="0.3">
      <c r="A255" s="14">
        <f t="shared" si="70"/>
        <v>113040011</v>
      </c>
      <c r="B255" s="13">
        <v>11</v>
      </c>
      <c r="C255" s="12">
        <f t="shared" si="71"/>
        <v>3</v>
      </c>
      <c r="D255" s="13">
        <v>4</v>
      </c>
      <c r="E255" s="13">
        <v>0</v>
      </c>
      <c r="F255" s="12">
        <f t="shared" si="72"/>
        <v>11</v>
      </c>
      <c r="H255" s="9">
        <v>3</v>
      </c>
      <c r="I255" s="9">
        <v>11</v>
      </c>
      <c r="K255" s="56" t="s">
        <v>388</v>
      </c>
      <c r="L255" s="9">
        <v>1</v>
      </c>
      <c r="M255" s="9">
        <v>15</v>
      </c>
      <c r="R255" s="9" t="s">
        <v>780</v>
      </c>
      <c r="U255" s="9">
        <f ca="1">IFERROR(OFFSET(ITEM_RES!$A$5,MATCH(BUILDING!T255,ITEM_RES!$J$5:$J$229,0)-1,0),0)</f>
        <v>0</v>
      </c>
      <c r="X255" s="9">
        <f ca="1">IFERROR(OFFSET(ITEM_RES!$A$5,MATCH(BUILDING!W255,ITEM_RES!$J$5:$J$229,0)-1,0),0)</f>
        <v>0</v>
      </c>
      <c r="Z255" s="9" t="s">
        <v>553</v>
      </c>
      <c r="AA255" s="9">
        <v>11</v>
      </c>
      <c r="AC255" s="9">
        <v>10000</v>
      </c>
      <c r="AE255" s="56">
        <f t="shared" si="98"/>
        <v>4000</v>
      </c>
      <c r="AF255" s="10">
        <f t="shared" si="100"/>
        <v>7700</v>
      </c>
      <c r="AH255" s="11">
        <f t="shared" si="97"/>
        <v>55</v>
      </c>
      <c r="AI255" s="10">
        <v>55</v>
      </c>
      <c r="AJ255" s="11">
        <f t="shared" si="74"/>
        <v>250</v>
      </c>
      <c r="AK255" s="10">
        <v>250</v>
      </c>
      <c r="AL255" s="11">
        <f t="shared" si="74"/>
        <v>250</v>
      </c>
      <c r="AM255" s="10">
        <v>250</v>
      </c>
      <c r="AN255" s="56">
        <f t="shared" si="99"/>
        <v>1</v>
      </c>
      <c r="AP255" s="11">
        <f ca="1">IFERROR(OFFSET(ITEM_RES!$A$1,MATCH(AQ255,ITEM_RES!$J:$J,0)-1,0),0)</f>
        <v>211020801</v>
      </c>
      <c r="AQ255" s="10" t="s">
        <v>458</v>
      </c>
      <c r="AR255" s="11">
        <v>1250</v>
      </c>
      <c r="AU255" s="11">
        <f ca="1">IFERROR(OFFSET(ITEM_RES!$A$1,MATCH(AV255,ITEM_RES!$J:$J,0)-1,0),0)</f>
        <v>0</v>
      </c>
      <c r="AZ255" s="11">
        <f ca="1">IFERROR(OFFSET(ITEM_RES!$A$1,MATCH(BA255,ITEM_RES!$J:$J,0)-1,0),0)</f>
        <v>0</v>
      </c>
      <c r="BE255" s="11">
        <f ca="1">IFERROR(OFFSET(ITEM_RES!$A$1,MATCH(BF255,ITEM_RES!$J:$J,0)-1,0),0)</f>
        <v>0</v>
      </c>
      <c r="BJ255" s="11">
        <f ca="1">IFERROR(OFFSET(ITEM_RES!$A$1,MATCH(BK255,ITEM_RES!$J:$J,0)-1,0),0)</f>
        <v>0</v>
      </c>
      <c r="BL255" s="11">
        <f t="shared" si="73"/>
        <v>0</v>
      </c>
    </row>
    <row r="256" spans="1:65" x14ac:dyDescent="0.3">
      <c r="A256" s="14">
        <f t="shared" si="70"/>
        <v>113040012</v>
      </c>
      <c r="B256" s="13">
        <v>11</v>
      </c>
      <c r="C256" s="12">
        <f t="shared" si="71"/>
        <v>3</v>
      </c>
      <c r="D256" s="13">
        <v>4</v>
      </c>
      <c r="E256" s="13">
        <v>0</v>
      </c>
      <c r="F256" s="12">
        <f t="shared" si="72"/>
        <v>12</v>
      </c>
      <c r="H256" s="9">
        <v>3</v>
      </c>
      <c r="I256" s="9">
        <v>12</v>
      </c>
      <c r="K256" s="56" t="s">
        <v>388</v>
      </c>
      <c r="L256" s="9">
        <v>1</v>
      </c>
      <c r="M256" s="9">
        <v>15</v>
      </c>
      <c r="R256" s="9" t="s">
        <v>780</v>
      </c>
      <c r="U256" s="9">
        <f ca="1">IFERROR(OFFSET(ITEM_RES!$A$5,MATCH(BUILDING!T256,ITEM_RES!$J$5:$J$229,0)-1,0),0)</f>
        <v>0</v>
      </c>
      <c r="X256" s="9">
        <f ca="1">IFERROR(OFFSET(ITEM_RES!$A$5,MATCH(BUILDING!W256,ITEM_RES!$J$5:$J$229,0)-1,0),0)</f>
        <v>0</v>
      </c>
      <c r="Z256" s="9" t="s">
        <v>553</v>
      </c>
      <c r="AA256" s="9">
        <v>12</v>
      </c>
      <c r="AC256" s="9">
        <v>12000</v>
      </c>
      <c r="AE256" s="56">
        <f t="shared" si="98"/>
        <v>4800</v>
      </c>
      <c r="AF256" s="10">
        <f t="shared" si="100"/>
        <v>8800</v>
      </c>
      <c r="AH256" s="11">
        <f t="shared" si="97"/>
        <v>60</v>
      </c>
      <c r="AI256" s="10">
        <v>60</v>
      </c>
      <c r="AJ256" s="11">
        <f t="shared" si="74"/>
        <v>300</v>
      </c>
      <c r="AK256" s="10">
        <v>300</v>
      </c>
      <c r="AL256" s="11">
        <f t="shared" si="74"/>
        <v>300</v>
      </c>
      <c r="AM256" s="10">
        <v>300</v>
      </c>
      <c r="AN256" s="56">
        <f t="shared" si="99"/>
        <v>1</v>
      </c>
      <c r="AP256" s="11">
        <f ca="1">IFERROR(OFFSET(ITEM_RES!$A$1,MATCH(AQ256,ITEM_RES!$J:$J,0)-1,0),0)</f>
        <v>211020801</v>
      </c>
      <c r="AQ256" s="10" t="s">
        <v>458</v>
      </c>
      <c r="AR256" s="11">
        <v>1500</v>
      </c>
      <c r="AU256" s="11">
        <f ca="1">IFERROR(OFFSET(ITEM_RES!$A$1,MATCH(AV256,ITEM_RES!$J:$J,0)-1,0),0)</f>
        <v>0</v>
      </c>
      <c r="AZ256" s="11">
        <f ca="1">IFERROR(OFFSET(ITEM_RES!$A$1,MATCH(BA256,ITEM_RES!$J:$J,0)-1,0),0)</f>
        <v>0</v>
      </c>
      <c r="BE256" s="11">
        <f ca="1">IFERROR(OFFSET(ITEM_RES!$A$1,MATCH(BF256,ITEM_RES!$J:$J,0)-1,0),0)</f>
        <v>0</v>
      </c>
      <c r="BJ256" s="11">
        <f ca="1">IFERROR(OFFSET(ITEM_RES!$A$1,MATCH(BK256,ITEM_RES!$J:$J,0)-1,0),0)</f>
        <v>0</v>
      </c>
      <c r="BL256" s="11">
        <f t="shared" si="73"/>
        <v>0</v>
      </c>
    </row>
    <row r="257" spans="1:65" x14ac:dyDescent="0.3">
      <c r="A257" s="14">
        <f t="shared" ref="A257:A320" si="101">B257*10000000+C257*1000000+D257*10000+E257*100+F257</f>
        <v>113040013</v>
      </c>
      <c r="B257" s="13">
        <v>11</v>
      </c>
      <c r="C257" s="12">
        <f t="shared" ref="C257:C320" si="102">H257</f>
        <v>3</v>
      </c>
      <c r="D257" s="13">
        <v>4</v>
      </c>
      <c r="E257" s="13">
        <v>0</v>
      </c>
      <c r="F257" s="12">
        <f t="shared" ref="F257:F320" si="103">I257</f>
        <v>13</v>
      </c>
      <c r="H257" s="9">
        <v>3</v>
      </c>
      <c r="I257" s="9">
        <v>13</v>
      </c>
      <c r="K257" s="56" t="s">
        <v>388</v>
      </c>
      <c r="L257" s="9">
        <v>1</v>
      </c>
      <c r="M257" s="9">
        <v>15</v>
      </c>
      <c r="R257" s="9" t="s">
        <v>780</v>
      </c>
      <c r="U257" s="9">
        <f ca="1">IFERROR(OFFSET(ITEM_RES!$A$5,MATCH(BUILDING!T257,ITEM_RES!$J$5:$J$229,0)-1,0),0)</f>
        <v>0</v>
      </c>
      <c r="X257" s="9">
        <f ca="1">IFERROR(OFFSET(ITEM_RES!$A$5,MATCH(BUILDING!W257,ITEM_RES!$J$5:$J$229,0)-1,0),0)</f>
        <v>0</v>
      </c>
      <c r="Z257" s="9" t="s">
        <v>553</v>
      </c>
      <c r="AA257" s="9">
        <v>13</v>
      </c>
      <c r="AC257" s="9">
        <v>14000</v>
      </c>
      <c r="AE257" s="56">
        <f t="shared" si="98"/>
        <v>5600</v>
      </c>
      <c r="AF257" s="10">
        <f t="shared" si="100"/>
        <v>10400</v>
      </c>
      <c r="AH257" s="11">
        <f t="shared" si="97"/>
        <v>65</v>
      </c>
      <c r="AI257" s="10">
        <v>65</v>
      </c>
      <c r="AJ257" s="11">
        <f t="shared" si="74"/>
        <v>350</v>
      </c>
      <c r="AK257" s="10">
        <v>350</v>
      </c>
      <c r="AL257" s="11">
        <f t="shared" si="74"/>
        <v>350</v>
      </c>
      <c r="AM257" s="10">
        <v>350</v>
      </c>
      <c r="AN257" s="56">
        <f t="shared" si="99"/>
        <v>1</v>
      </c>
      <c r="AP257" s="11">
        <f ca="1">IFERROR(OFFSET(ITEM_RES!$A$1,MATCH(AQ257,ITEM_RES!$J:$J,0)-1,0),0)</f>
        <v>211020901</v>
      </c>
      <c r="AQ257" s="10" t="s">
        <v>471</v>
      </c>
      <c r="AR257" s="11">
        <v>1750</v>
      </c>
      <c r="AU257" s="11">
        <f ca="1">IFERROR(OFFSET(ITEM_RES!$A$1,MATCH(AV257,ITEM_RES!$J:$J,0)-1,0),0)</f>
        <v>0</v>
      </c>
      <c r="AZ257" s="11">
        <f ca="1">IFERROR(OFFSET(ITEM_RES!$A$1,MATCH(BA257,ITEM_RES!$J:$J,0)-1,0),0)</f>
        <v>0</v>
      </c>
      <c r="BE257" s="11">
        <f ca="1">IFERROR(OFFSET(ITEM_RES!$A$1,MATCH(BF257,ITEM_RES!$J:$J,0)-1,0),0)</f>
        <v>0</v>
      </c>
      <c r="BJ257" s="11">
        <f ca="1">IFERROR(OFFSET(ITEM_RES!$A$1,MATCH(BK257,ITEM_RES!$J:$J,0)-1,0),0)</f>
        <v>0</v>
      </c>
      <c r="BL257" s="11">
        <f t="shared" ref="BL257:BL284" si="104">IF(BM257&lt;100,ROUND(BM257,1-LEN(ROUND(BM257,0))),ROUND(BM257,2-LEN(ROUND(BM257,0))))</f>
        <v>0</v>
      </c>
    </row>
    <row r="258" spans="1:65" x14ac:dyDescent="0.3">
      <c r="A258" s="14">
        <f t="shared" si="101"/>
        <v>113040014</v>
      </c>
      <c r="B258" s="13">
        <v>11</v>
      </c>
      <c r="C258" s="12">
        <f t="shared" si="102"/>
        <v>3</v>
      </c>
      <c r="D258" s="13">
        <v>4</v>
      </c>
      <c r="E258" s="13">
        <v>0</v>
      </c>
      <c r="F258" s="12">
        <f t="shared" si="103"/>
        <v>14</v>
      </c>
      <c r="H258" s="9">
        <v>3</v>
      </c>
      <c r="I258" s="9">
        <v>14</v>
      </c>
      <c r="K258" s="56" t="s">
        <v>388</v>
      </c>
      <c r="L258" s="9">
        <v>1</v>
      </c>
      <c r="M258" s="9">
        <v>15</v>
      </c>
      <c r="R258" s="9" t="s">
        <v>780</v>
      </c>
      <c r="U258" s="9">
        <f ca="1">IFERROR(OFFSET(ITEM_RES!$A$5,MATCH(BUILDING!T258,ITEM_RES!$J$5:$J$229,0)-1,0),0)</f>
        <v>0</v>
      </c>
      <c r="X258" s="9">
        <f ca="1">IFERROR(OFFSET(ITEM_RES!$A$5,MATCH(BUILDING!W258,ITEM_RES!$J$5:$J$229,0)-1,0),0)</f>
        <v>0</v>
      </c>
      <c r="Z258" s="9" t="s">
        <v>553</v>
      </c>
      <c r="AA258" s="9">
        <v>14</v>
      </c>
      <c r="AC258" s="9">
        <v>18000</v>
      </c>
      <c r="AE258" s="56">
        <f t="shared" si="98"/>
        <v>7200</v>
      </c>
      <c r="AF258" s="10">
        <f t="shared" si="100"/>
        <v>12800</v>
      </c>
      <c r="AH258" s="11">
        <f t="shared" si="97"/>
        <v>70</v>
      </c>
      <c r="AI258" s="10">
        <v>70</v>
      </c>
      <c r="AJ258" s="11">
        <f t="shared" ref="AJ258:AL321" si="105">ROUND(AK258,0)</f>
        <v>450</v>
      </c>
      <c r="AK258" s="10">
        <v>450</v>
      </c>
      <c r="AL258" s="11">
        <f t="shared" si="105"/>
        <v>450</v>
      </c>
      <c r="AM258" s="10">
        <v>450</v>
      </c>
      <c r="AN258" s="56">
        <f t="shared" si="99"/>
        <v>1</v>
      </c>
      <c r="AP258" s="11">
        <f ca="1">IFERROR(OFFSET(ITEM_RES!$A$1,MATCH(AQ258,ITEM_RES!$J:$J,0)-1,0),0)</f>
        <v>211020901</v>
      </c>
      <c r="AQ258" s="10" t="s">
        <v>471</v>
      </c>
      <c r="AR258" s="11">
        <v>2250</v>
      </c>
      <c r="AU258" s="11">
        <f ca="1">IFERROR(OFFSET(ITEM_RES!$A$1,MATCH(AV258,ITEM_RES!$J:$J,0)-1,0),0)</f>
        <v>0</v>
      </c>
      <c r="AZ258" s="11">
        <f ca="1">IFERROR(OFFSET(ITEM_RES!$A$1,MATCH(BA258,ITEM_RES!$J:$J,0)-1,0),0)</f>
        <v>0</v>
      </c>
      <c r="BE258" s="11">
        <f ca="1">IFERROR(OFFSET(ITEM_RES!$A$1,MATCH(BF258,ITEM_RES!$J:$J,0)-1,0),0)</f>
        <v>0</v>
      </c>
      <c r="BJ258" s="11">
        <f ca="1">IFERROR(OFFSET(ITEM_RES!$A$1,MATCH(BK258,ITEM_RES!$J:$J,0)-1,0),0)</f>
        <v>0</v>
      </c>
      <c r="BL258" s="11">
        <f t="shared" si="104"/>
        <v>0</v>
      </c>
    </row>
    <row r="259" spans="1:65" x14ac:dyDescent="0.3">
      <c r="A259" s="14">
        <f t="shared" si="101"/>
        <v>113040015</v>
      </c>
      <c r="B259" s="13">
        <v>11</v>
      </c>
      <c r="C259" s="12">
        <f t="shared" si="102"/>
        <v>3</v>
      </c>
      <c r="D259" s="13">
        <v>4</v>
      </c>
      <c r="E259" s="13">
        <v>0</v>
      </c>
      <c r="F259" s="12">
        <f t="shared" si="103"/>
        <v>15</v>
      </c>
      <c r="H259" s="9">
        <v>3</v>
      </c>
      <c r="I259" s="9">
        <v>15</v>
      </c>
      <c r="K259" s="56" t="s">
        <v>388</v>
      </c>
      <c r="L259" s="9">
        <v>1</v>
      </c>
      <c r="M259" s="9">
        <v>15</v>
      </c>
      <c r="R259" s="9" t="s">
        <v>780</v>
      </c>
      <c r="U259" s="9">
        <f ca="1">IFERROR(OFFSET(ITEM_RES!$A$5,MATCH(BUILDING!T259,ITEM_RES!$J$5:$J$229,0)-1,0),0)</f>
        <v>0</v>
      </c>
      <c r="X259" s="9">
        <f ca="1">IFERROR(OFFSET(ITEM_RES!$A$5,MATCH(BUILDING!W259,ITEM_RES!$J$5:$J$229,0)-1,0),0)</f>
        <v>0</v>
      </c>
      <c r="Z259" s="9" t="s">
        <v>553</v>
      </c>
      <c r="AA259" s="9">
        <v>15</v>
      </c>
      <c r="AC259" s="9">
        <v>22000</v>
      </c>
      <c r="AE259" s="56">
        <f t="shared" si="98"/>
        <v>8800</v>
      </c>
      <c r="AF259" s="10">
        <f t="shared" si="100"/>
        <v>16000</v>
      </c>
      <c r="AH259" s="11">
        <f t="shared" si="97"/>
        <v>75</v>
      </c>
      <c r="AI259" s="10">
        <v>75</v>
      </c>
      <c r="AJ259" s="11">
        <f t="shared" si="105"/>
        <v>550</v>
      </c>
      <c r="AK259" s="10">
        <v>550</v>
      </c>
      <c r="AL259" s="11">
        <f t="shared" si="105"/>
        <v>550</v>
      </c>
      <c r="AM259" s="10">
        <v>550</v>
      </c>
      <c r="AN259" s="56">
        <f t="shared" si="99"/>
        <v>1</v>
      </c>
      <c r="AP259" s="11">
        <f ca="1">IFERROR(OFFSET(ITEM_RES!$A$1,MATCH(AQ259,ITEM_RES!$J:$J,0)-1,0),0)</f>
        <v>211020901</v>
      </c>
      <c r="AQ259" s="10" t="s">
        <v>471</v>
      </c>
      <c r="AR259" s="11">
        <v>2750</v>
      </c>
      <c r="AU259" s="11">
        <f ca="1">IFERROR(OFFSET(ITEM_RES!$A$1,MATCH(AV259,ITEM_RES!$J:$J,0)-1,0),0)</f>
        <v>0</v>
      </c>
      <c r="AZ259" s="11">
        <f ca="1">IFERROR(OFFSET(ITEM_RES!$A$1,MATCH(BA259,ITEM_RES!$J:$J,0)-1,0),0)</f>
        <v>0</v>
      </c>
      <c r="BE259" s="11">
        <f ca="1">IFERROR(OFFSET(ITEM_RES!$A$1,MATCH(BF259,ITEM_RES!$J:$J,0)-1,0),0)</f>
        <v>0</v>
      </c>
      <c r="BJ259" s="11">
        <f ca="1">IFERROR(OFFSET(ITEM_RES!$A$1,MATCH(BK259,ITEM_RES!$J:$J,0)-1,0),0)</f>
        <v>0</v>
      </c>
      <c r="BL259" s="11">
        <f t="shared" si="104"/>
        <v>0</v>
      </c>
    </row>
    <row r="260" spans="1:65" x14ac:dyDescent="0.3">
      <c r="A260" s="14">
        <f t="shared" si="101"/>
        <v>113040016</v>
      </c>
      <c r="B260" s="13">
        <v>11</v>
      </c>
      <c r="C260" s="12">
        <f t="shared" si="102"/>
        <v>3</v>
      </c>
      <c r="D260" s="13">
        <v>4</v>
      </c>
      <c r="E260" s="13">
        <v>0</v>
      </c>
      <c r="F260" s="12">
        <f t="shared" si="103"/>
        <v>16</v>
      </c>
      <c r="H260" s="9">
        <v>3</v>
      </c>
      <c r="I260" s="9">
        <v>16</v>
      </c>
      <c r="K260" s="56" t="s">
        <v>388</v>
      </c>
      <c r="L260" s="9">
        <v>0</v>
      </c>
      <c r="M260" s="9">
        <v>15</v>
      </c>
      <c r="R260" s="9" t="s">
        <v>780</v>
      </c>
      <c r="U260" s="9">
        <f ca="1">IFERROR(OFFSET(ITEM_RES!$A$5,MATCH(BUILDING!T260,ITEM_RES!$J$5:$J$229,0)-1,0),0)</f>
        <v>0</v>
      </c>
      <c r="X260" s="9">
        <f ca="1">IFERROR(OFFSET(ITEM_RES!$A$5,MATCH(BUILDING!W260,ITEM_RES!$J$5:$J$229,0)-1,0),0)</f>
        <v>0</v>
      </c>
      <c r="Z260" s="9" t="s">
        <v>553</v>
      </c>
      <c r="AA260" s="9">
        <v>16</v>
      </c>
      <c r="AC260" s="9">
        <v>28000</v>
      </c>
      <c r="AE260" s="56">
        <f t="shared" si="98"/>
        <v>11200</v>
      </c>
      <c r="AF260" s="10">
        <f t="shared" si="100"/>
        <v>20000</v>
      </c>
      <c r="AH260" s="11">
        <f t="shared" si="97"/>
        <v>80</v>
      </c>
      <c r="AI260" s="10">
        <v>80</v>
      </c>
      <c r="AJ260" s="11">
        <f t="shared" si="105"/>
        <v>700</v>
      </c>
      <c r="AK260" s="10">
        <v>700</v>
      </c>
      <c r="AL260" s="11">
        <f t="shared" si="105"/>
        <v>700</v>
      </c>
      <c r="AM260" s="10">
        <v>700</v>
      </c>
      <c r="AN260" s="56">
        <f t="shared" si="99"/>
        <v>1</v>
      </c>
      <c r="AP260" s="11">
        <f ca="1">IFERROR(OFFSET(ITEM_RES!$A$1,MATCH(AQ260,ITEM_RES!$J:$J,0)-1,0),0)</f>
        <v>211020901</v>
      </c>
      <c r="AQ260" s="10" t="s">
        <v>471</v>
      </c>
      <c r="AR260" s="11">
        <v>3500</v>
      </c>
      <c r="AU260" s="11">
        <f ca="1">IFERROR(OFFSET(ITEM_RES!$A$1,MATCH(AV260,ITEM_RES!$J:$J,0)-1,0),0)</f>
        <v>0</v>
      </c>
      <c r="AZ260" s="11">
        <f ca="1">IFERROR(OFFSET(ITEM_RES!$A$1,MATCH(BA260,ITEM_RES!$J:$J,0)-1,0),0)</f>
        <v>0</v>
      </c>
      <c r="BE260" s="11">
        <f ca="1">IFERROR(OFFSET(ITEM_RES!$A$1,MATCH(BF260,ITEM_RES!$J:$J,0)-1,0),0)</f>
        <v>0</v>
      </c>
      <c r="BJ260" s="11">
        <f ca="1">IFERROR(OFFSET(ITEM_RES!$A$1,MATCH(BK260,ITEM_RES!$J:$J,0)-1,0),0)</f>
        <v>0</v>
      </c>
      <c r="BL260" s="11">
        <f t="shared" si="104"/>
        <v>0</v>
      </c>
    </row>
    <row r="261" spans="1:65" x14ac:dyDescent="0.3">
      <c r="A261" s="14">
        <f t="shared" si="101"/>
        <v>113040017</v>
      </c>
      <c r="B261" s="13">
        <v>11</v>
      </c>
      <c r="C261" s="12">
        <f t="shared" si="102"/>
        <v>3</v>
      </c>
      <c r="D261" s="13">
        <v>4</v>
      </c>
      <c r="E261" s="13">
        <v>0</v>
      </c>
      <c r="F261" s="12">
        <f t="shared" si="103"/>
        <v>17</v>
      </c>
      <c r="H261" s="9">
        <v>3</v>
      </c>
      <c r="I261" s="9">
        <v>17</v>
      </c>
      <c r="K261" s="56" t="s">
        <v>388</v>
      </c>
      <c r="L261" s="9">
        <v>0</v>
      </c>
      <c r="M261" s="9">
        <v>15</v>
      </c>
      <c r="R261" s="9" t="s">
        <v>780</v>
      </c>
      <c r="U261" s="9">
        <f ca="1">IFERROR(OFFSET(ITEM_RES!$A$5,MATCH(BUILDING!T261,ITEM_RES!$J$5:$J$229,0)-1,0),0)</f>
        <v>0</v>
      </c>
      <c r="X261" s="9">
        <f ca="1">IFERROR(OFFSET(ITEM_RES!$A$5,MATCH(BUILDING!W261,ITEM_RES!$J$5:$J$229,0)-1,0),0)</f>
        <v>0</v>
      </c>
      <c r="Z261" s="9" t="s">
        <v>553</v>
      </c>
      <c r="AA261" s="9">
        <v>17</v>
      </c>
      <c r="AC261" s="9">
        <v>34000</v>
      </c>
      <c r="AE261" s="56">
        <f t="shared" si="98"/>
        <v>13600</v>
      </c>
      <c r="AF261" s="10">
        <f t="shared" si="100"/>
        <v>24800</v>
      </c>
      <c r="AH261" s="11">
        <f t="shared" si="97"/>
        <v>85</v>
      </c>
      <c r="AI261" s="10">
        <v>85</v>
      </c>
      <c r="AJ261" s="11">
        <f t="shared" si="105"/>
        <v>850</v>
      </c>
      <c r="AK261" s="10">
        <v>850</v>
      </c>
      <c r="AL261" s="11">
        <f t="shared" si="105"/>
        <v>850</v>
      </c>
      <c r="AM261" s="10">
        <v>850</v>
      </c>
      <c r="AN261" s="56">
        <f t="shared" si="99"/>
        <v>1</v>
      </c>
      <c r="AP261" s="11">
        <f ca="1">IFERROR(OFFSET(ITEM_RES!$A$1,MATCH(AQ261,ITEM_RES!$J:$J,0)-1,0),0)</f>
        <v>211020901</v>
      </c>
      <c r="AQ261" s="10" t="s">
        <v>471</v>
      </c>
      <c r="AR261" s="11">
        <v>4250</v>
      </c>
      <c r="AU261" s="11">
        <f ca="1">IFERROR(OFFSET(ITEM_RES!$A$1,MATCH(AV261,ITEM_RES!$J:$J,0)-1,0),0)</f>
        <v>0</v>
      </c>
      <c r="AZ261" s="11">
        <f ca="1">IFERROR(OFFSET(ITEM_RES!$A$1,MATCH(BA261,ITEM_RES!$J:$J,0)-1,0),0)</f>
        <v>0</v>
      </c>
      <c r="BE261" s="11">
        <f ca="1">IFERROR(OFFSET(ITEM_RES!$A$1,MATCH(BF261,ITEM_RES!$J:$J,0)-1,0),0)</f>
        <v>0</v>
      </c>
      <c r="BJ261" s="11">
        <f ca="1">IFERROR(OFFSET(ITEM_RES!$A$1,MATCH(BK261,ITEM_RES!$J:$J,0)-1,0),0)</f>
        <v>0</v>
      </c>
      <c r="BL261" s="11">
        <f t="shared" si="104"/>
        <v>0</v>
      </c>
    </row>
    <row r="262" spans="1:65" x14ac:dyDescent="0.3">
      <c r="A262" s="14">
        <f t="shared" si="101"/>
        <v>113040018</v>
      </c>
      <c r="B262" s="13">
        <v>11</v>
      </c>
      <c r="C262" s="12">
        <f t="shared" si="102"/>
        <v>3</v>
      </c>
      <c r="D262" s="13">
        <v>4</v>
      </c>
      <c r="E262" s="13">
        <v>0</v>
      </c>
      <c r="F262" s="12">
        <f t="shared" si="103"/>
        <v>18</v>
      </c>
      <c r="H262" s="9">
        <v>3</v>
      </c>
      <c r="I262" s="9">
        <v>18</v>
      </c>
      <c r="K262" s="56" t="s">
        <v>388</v>
      </c>
      <c r="L262" s="9">
        <v>0</v>
      </c>
      <c r="M262" s="9">
        <v>15</v>
      </c>
      <c r="R262" s="9" t="s">
        <v>780</v>
      </c>
      <c r="U262" s="9">
        <f ca="1">IFERROR(OFFSET(ITEM_RES!$A$5,MATCH(BUILDING!T262,ITEM_RES!$J$5:$J$229,0)-1,0),0)</f>
        <v>0</v>
      </c>
      <c r="X262" s="9">
        <f ca="1">IFERROR(OFFSET(ITEM_RES!$A$5,MATCH(BUILDING!W262,ITEM_RES!$J$5:$J$229,0)-1,0),0)</f>
        <v>0</v>
      </c>
      <c r="Z262" s="9" t="s">
        <v>553</v>
      </c>
      <c r="AA262" s="9">
        <v>18</v>
      </c>
      <c r="AC262" s="9">
        <v>42000</v>
      </c>
      <c r="AE262" s="56">
        <f t="shared" si="98"/>
        <v>16800</v>
      </c>
      <c r="AF262" s="10">
        <f t="shared" si="100"/>
        <v>30400</v>
      </c>
      <c r="AH262" s="11">
        <f t="shared" si="97"/>
        <v>90</v>
      </c>
      <c r="AI262" s="10">
        <v>90</v>
      </c>
      <c r="AJ262" s="11">
        <f t="shared" si="105"/>
        <v>1050</v>
      </c>
      <c r="AK262" s="10">
        <v>1050</v>
      </c>
      <c r="AL262" s="11">
        <f t="shared" si="105"/>
        <v>1050</v>
      </c>
      <c r="AM262" s="10">
        <v>1050</v>
      </c>
      <c r="AN262" s="56">
        <f t="shared" si="99"/>
        <v>1</v>
      </c>
      <c r="AP262" s="11">
        <f ca="1">IFERROR(OFFSET(ITEM_RES!$A$1,MATCH(AQ262,ITEM_RES!$J:$J,0)-1,0),0)</f>
        <v>211020901</v>
      </c>
      <c r="AQ262" s="10" t="s">
        <v>471</v>
      </c>
      <c r="AR262" s="11">
        <v>5250</v>
      </c>
      <c r="AU262" s="11">
        <f ca="1">IFERROR(OFFSET(ITEM_RES!$A$1,MATCH(AV262,ITEM_RES!$J:$J,0)-1,0),0)</f>
        <v>0</v>
      </c>
      <c r="AZ262" s="11">
        <f ca="1">IFERROR(OFFSET(ITEM_RES!$A$1,MATCH(BA262,ITEM_RES!$J:$J,0)-1,0),0)</f>
        <v>0</v>
      </c>
      <c r="BE262" s="11">
        <f ca="1">IFERROR(OFFSET(ITEM_RES!$A$1,MATCH(BF262,ITEM_RES!$J:$J,0)-1,0),0)</f>
        <v>0</v>
      </c>
      <c r="BJ262" s="11">
        <f ca="1">IFERROR(OFFSET(ITEM_RES!$A$1,MATCH(BK262,ITEM_RES!$J:$J,0)-1,0),0)</f>
        <v>0</v>
      </c>
      <c r="BL262" s="11">
        <f t="shared" si="104"/>
        <v>0</v>
      </c>
    </row>
    <row r="263" spans="1:65" x14ac:dyDescent="0.3">
      <c r="A263" s="14">
        <f t="shared" si="101"/>
        <v>113040019</v>
      </c>
      <c r="B263" s="13">
        <v>11</v>
      </c>
      <c r="C263" s="12">
        <f t="shared" si="102"/>
        <v>3</v>
      </c>
      <c r="D263" s="13">
        <v>4</v>
      </c>
      <c r="E263" s="13">
        <v>0</v>
      </c>
      <c r="F263" s="12">
        <f t="shared" si="103"/>
        <v>19</v>
      </c>
      <c r="H263" s="9">
        <v>3</v>
      </c>
      <c r="I263" s="9">
        <v>19</v>
      </c>
      <c r="K263" s="56" t="s">
        <v>388</v>
      </c>
      <c r="L263" s="9">
        <v>0</v>
      </c>
      <c r="M263" s="9">
        <v>15</v>
      </c>
      <c r="R263" s="9" t="s">
        <v>780</v>
      </c>
      <c r="U263" s="9">
        <f ca="1">IFERROR(OFFSET(ITEM_RES!$A$5,MATCH(BUILDING!T263,ITEM_RES!$J$5:$J$229,0)-1,0),0)</f>
        <v>0</v>
      </c>
      <c r="X263" s="9">
        <f ca="1">IFERROR(OFFSET(ITEM_RES!$A$5,MATCH(BUILDING!W263,ITEM_RES!$J$5:$J$229,0)-1,0),0)</f>
        <v>0</v>
      </c>
      <c r="Z263" s="9" t="s">
        <v>553</v>
      </c>
      <c r="AA263" s="9">
        <v>19</v>
      </c>
      <c r="AC263" s="9">
        <v>50000</v>
      </c>
      <c r="AE263" s="56">
        <f t="shared" si="98"/>
        <v>20000</v>
      </c>
      <c r="AF263" s="10">
        <f t="shared" si="100"/>
        <v>36800</v>
      </c>
      <c r="AH263" s="11">
        <f t="shared" si="97"/>
        <v>95</v>
      </c>
      <c r="AI263" s="10">
        <v>95</v>
      </c>
      <c r="AJ263" s="11">
        <f t="shared" si="105"/>
        <v>1250</v>
      </c>
      <c r="AK263" s="10">
        <v>1250</v>
      </c>
      <c r="AL263" s="11">
        <f t="shared" si="105"/>
        <v>1250</v>
      </c>
      <c r="AM263" s="10">
        <v>1250</v>
      </c>
      <c r="AN263" s="56">
        <f t="shared" si="99"/>
        <v>1</v>
      </c>
      <c r="AP263" s="11">
        <f ca="1">IFERROR(OFFSET(ITEM_RES!$A$1,MATCH(AQ263,ITEM_RES!$J:$J,0)-1,0),0)</f>
        <v>211020901</v>
      </c>
      <c r="AQ263" s="10" t="s">
        <v>471</v>
      </c>
      <c r="AR263" s="11">
        <v>6250</v>
      </c>
      <c r="AU263" s="11">
        <f ca="1">IFERROR(OFFSET(ITEM_RES!$A$1,MATCH(AV263,ITEM_RES!$J:$J,0)-1,0),0)</f>
        <v>0</v>
      </c>
      <c r="AZ263" s="11">
        <f ca="1">IFERROR(OFFSET(ITEM_RES!$A$1,MATCH(BA263,ITEM_RES!$J:$J,0)-1,0),0)</f>
        <v>0</v>
      </c>
      <c r="BE263" s="11">
        <f ca="1">IFERROR(OFFSET(ITEM_RES!$A$1,MATCH(BF263,ITEM_RES!$J:$J,0)-1,0),0)</f>
        <v>0</v>
      </c>
      <c r="BJ263" s="11">
        <f ca="1">IFERROR(OFFSET(ITEM_RES!$A$1,MATCH(BK263,ITEM_RES!$J:$J,0)-1,0),0)</f>
        <v>0</v>
      </c>
      <c r="BL263" s="11">
        <f t="shared" si="104"/>
        <v>0</v>
      </c>
    </row>
    <row r="264" spans="1:65" ht="17.25" thickBot="1" x14ac:dyDescent="0.35">
      <c r="A264" s="14">
        <f t="shared" si="101"/>
        <v>113040020</v>
      </c>
      <c r="B264" s="13">
        <v>11</v>
      </c>
      <c r="C264" s="12">
        <f t="shared" si="102"/>
        <v>3</v>
      </c>
      <c r="D264" s="13">
        <v>4</v>
      </c>
      <c r="E264" s="13">
        <v>0</v>
      </c>
      <c r="F264" s="12">
        <f t="shared" si="103"/>
        <v>20</v>
      </c>
      <c r="H264" s="9">
        <v>3</v>
      </c>
      <c r="I264" s="9">
        <v>20</v>
      </c>
      <c r="K264" s="56" t="s">
        <v>388</v>
      </c>
      <c r="L264" s="9">
        <v>0</v>
      </c>
      <c r="M264" s="9">
        <v>15</v>
      </c>
      <c r="R264" s="9" t="s">
        <v>780</v>
      </c>
      <c r="U264" s="9">
        <f ca="1">IFERROR(OFFSET(ITEM_RES!$A$5,MATCH(BUILDING!T264,ITEM_RES!$J$5:$J$229,0)-1,0),0)</f>
        <v>0</v>
      </c>
      <c r="X264" s="9">
        <f ca="1">IFERROR(OFFSET(ITEM_RES!$A$5,MATCH(BUILDING!W264,ITEM_RES!$J$5:$J$229,0)-1,0),0)</f>
        <v>0</v>
      </c>
      <c r="Z264" s="9" t="s">
        <v>553</v>
      </c>
      <c r="AA264" s="9">
        <v>20</v>
      </c>
      <c r="AC264" s="9">
        <v>60000</v>
      </c>
      <c r="AE264" s="56">
        <f t="shared" si="98"/>
        <v>24000</v>
      </c>
      <c r="AF264" s="10">
        <f t="shared" si="100"/>
        <v>44000</v>
      </c>
      <c r="AH264" s="11">
        <f t="shared" si="97"/>
        <v>100</v>
      </c>
      <c r="AI264" s="10">
        <v>100</v>
      </c>
      <c r="AJ264" s="11">
        <f t="shared" si="105"/>
        <v>1500</v>
      </c>
      <c r="AK264" s="10">
        <v>1500</v>
      </c>
      <c r="AL264" s="11">
        <f t="shared" si="105"/>
        <v>1500</v>
      </c>
      <c r="AM264" s="10">
        <v>1500</v>
      </c>
      <c r="AN264" s="56">
        <f t="shared" si="99"/>
        <v>1</v>
      </c>
      <c r="AP264" s="11">
        <f ca="1">IFERROR(OFFSET(ITEM_RES!$A$1,MATCH(AQ264,ITEM_RES!$J:$J,0)-1,0),0)</f>
        <v>211020901</v>
      </c>
      <c r="AQ264" s="10" t="s">
        <v>471</v>
      </c>
      <c r="AR264" s="11">
        <v>7500</v>
      </c>
      <c r="AU264" s="11">
        <f ca="1">IFERROR(OFFSET(ITEM_RES!$A$1,MATCH(AV264,ITEM_RES!$J:$J,0)-1,0),0)</f>
        <v>0</v>
      </c>
      <c r="AZ264" s="11">
        <f ca="1">IFERROR(OFFSET(ITEM_RES!$A$1,MATCH(BA264,ITEM_RES!$J:$J,0)-1,0),0)</f>
        <v>0</v>
      </c>
      <c r="BE264" s="11">
        <f ca="1">IFERROR(OFFSET(ITEM_RES!$A$1,MATCH(BF264,ITEM_RES!$J:$J,0)-1,0),0)</f>
        <v>0</v>
      </c>
      <c r="BJ264" s="11">
        <f ca="1">IFERROR(OFFSET(ITEM_RES!$A$1,MATCH(BK264,ITEM_RES!$J:$J,0)-1,0),0)</f>
        <v>0</v>
      </c>
      <c r="BL264" s="11">
        <f t="shared" si="104"/>
        <v>0</v>
      </c>
    </row>
    <row r="265" spans="1:65" s="15" customFormat="1" x14ac:dyDescent="0.3">
      <c r="A265" s="21">
        <f t="shared" si="101"/>
        <v>113050001</v>
      </c>
      <c r="B265" s="20">
        <v>11</v>
      </c>
      <c r="C265" s="19">
        <f t="shared" si="102"/>
        <v>3</v>
      </c>
      <c r="D265" s="20">
        <v>5</v>
      </c>
      <c r="E265" s="20">
        <v>0</v>
      </c>
      <c r="F265" s="19">
        <f t="shared" si="103"/>
        <v>1</v>
      </c>
      <c r="G265" s="80"/>
      <c r="H265" s="16">
        <v>3</v>
      </c>
      <c r="I265" s="16">
        <v>1</v>
      </c>
      <c r="J265" s="80"/>
      <c r="K265" s="16" t="s">
        <v>367</v>
      </c>
      <c r="L265" s="16">
        <v>1</v>
      </c>
      <c r="M265" s="16">
        <v>15</v>
      </c>
      <c r="N265" s="16"/>
      <c r="O265" s="17"/>
      <c r="P265" s="17"/>
      <c r="Q265" s="18"/>
      <c r="R265" s="16" t="s">
        <v>781</v>
      </c>
      <c r="S265" s="80"/>
      <c r="T265" s="88"/>
      <c r="U265" s="16">
        <f ca="1">IFERROR(OFFSET(ITEM_RES!$A$5,MATCH(BUILDING!T265,ITEM_RES!$J$5:$J$229,0)-1,0),0)</f>
        <v>0</v>
      </c>
      <c r="V265" s="18"/>
      <c r="W265" s="88"/>
      <c r="X265" s="16">
        <f ca="1">IFERROR(OFFSET(ITEM_RES!$A$5,MATCH(BUILDING!W265,ITEM_RES!$J$5:$J$229,0)-1,0),0)</f>
        <v>0</v>
      </c>
      <c r="Y265" s="80"/>
      <c r="Z265" s="16" t="s">
        <v>554</v>
      </c>
      <c r="AA265" s="16">
        <v>1</v>
      </c>
      <c r="AB265" s="80"/>
      <c r="AC265" s="16">
        <v>0</v>
      </c>
      <c r="AD265" s="80"/>
      <c r="AE265" s="57">
        <f t="shared" si="98"/>
        <v>605</v>
      </c>
      <c r="AF265" s="17">
        <f>AE265</f>
        <v>605</v>
      </c>
      <c r="AG265" s="80"/>
      <c r="AH265" s="18">
        <f t="shared" si="97"/>
        <v>5</v>
      </c>
      <c r="AI265" s="17">
        <v>5</v>
      </c>
      <c r="AJ265" s="18">
        <f t="shared" si="105"/>
        <v>5</v>
      </c>
      <c r="AK265" s="17">
        <v>5</v>
      </c>
      <c r="AL265" s="18">
        <f t="shared" si="105"/>
        <v>5</v>
      </c>
      <c r="AM265" s="17">
        <v>5</v>
      </c>
      <c r="AN265" s="57">
        <f t="shared" si="99"/>
        <v>3</v>
      </c>
      <c r="AO265" s="18"/>
      <c r="AP265" s="18">
        <f ca="1">IFERROR(OFFSET(ITEM_RES!$A$1,MATCH(AQ265,ITEM_RES!$J:$J,0)-1,0),0)</f>
        <v>211020801</v>
      </c>
      <c r="AQ265" s="17" t="s">
        <v>458</v>
      </c>
      <c r="AR265" s="18">
        <v>25</v>
      </c>
      <c r="AS265" s="17"/>
      <c r="AT265" s="18"/>
      <c r="AU265" s="18">
        <f ca="1">IFERROR(OFFSET(ITEM_RES!$A$1,MATCH(AV265,ITEM_RES!$J:$J,0)-1,0),0)</f>
        <v>211020401</v>
      </c>
      <c r="AV265" s="17" t="s">
        <v>444</v>
      </c>
      <c r="AW265" s="18">
        <v>25</v>
      </c>
      <c r="AX265" s="17"/>
      <c r="AY265" s="18"/>
      <c r="AZ265" s="18">
        <f ca="1">IFERROR(OFFSET(ITEM_RES!$A$1,MATCH(BA265,ITEM_RES!$J:$J,0)-1,0),0)</f>
        <v>213010101</v>
      </c>
      <c r="BA265" s="17" t="s">
        <v>481</v>
      </c>
      <c r="BB265" s="18">
        <v>1</v>
      </c>
      <c r="BC265" s="17"/>
      <c r="BD265" s="18"/>
      <c r="BE265" s="18">
        <f ca="1">IFERROR(OFFSET(ITEM_RES!$A$1,MATCH(BF265,ITEM_RES!$J:$J,0)-1,0),0)</f>
        <v>0</v>
      </c>
      <c r="BF265" s="17"/>
      <c r="BG265" s="18"/>
      <c r="BH265" s="17"/>
      <c r="BI265" s="18"/>
      <c r="BJ265" s="18">
        <f ca="1">IFERROR(OFFSET(ITEM_RES!$A$1,MATCH(BK265,ITEM_RES!$J:$J,0)-1,0),0)</f>
        <v>0</v>
      </c>
      <c r="BK265" s="17"/>
      <c r="BL265" s="18">
        <f t="shared" si="104"/>
        <v>0</v>
      </c>
      <c r="BM265" s="17"/>
    </row>
    <row r="266" spans="1:65" x14ac:dyDescent="0.3">
      <c r="A266" s="14">
        <f t="shared" si="101"/>
        <v>113050002</v>
      </c>
      <c r="B266" s="13">
        <v>11</v>
      </c>
      <c r="C266" s="12">
        <f t="shared" si="102"/>
        <v>3</v>
      </c>
      <c r="D266" s="13">
        <v>5</v>
      </c>
      <c r="E266" s="13">
        <v>0</v>
      </c>
      <c r="F266" s="12">
        <f t="shared" si="103"/>
        <v>2</v>
      </c>
      <c r="H266" s="9">
        <v>3</v>
      </c>
      <c r="I266" s="9">
        <v>2</v>
      </c>
      <c r="K266" s="9" t="s">
        <v>367</v>
      </c>
      <c r="L266" s="9">
        <v>1</v>
      </c>
      <c r="M266" s="9">
        <v>15</v>
      </c>
      <c r="R266" s="9" t="s">
        <v>781</v>
      </c>
      <c r="U266" s="9">
        <f ca="1">IFERROR(OFFSET(ITEM_RES!$A$5,MATCH(BUILDING!T266,ITEM_RES!$J$5:$J$229,0)-1,0),0)</f>
        <v>0</v>
      </c>
      <c r="X266" s="9">
        <f ca="1">IFERROR(OFFSET(ITEM_RES!$A$5,MATCH(BUILDING!W266,ITEM_RES!$J$5:$J$229,0)-1,0),0)</f>
        <v>0</v>
      </c>
      <c r="Z266" s="9" t="s">
        <v>554</v>
      </c>
      <c r="AA266" s="9">
        <v>2</v>
      </c>
      <c r="AC266" s="9">
        <v>800</v>
      </c>
      <c r="AE266" s="56">
        <f t="shared" si="98"/>
        <v>210</v>
      </c>
      <c r="AF266" s="10">
        <f>AE265+AE266</f>
        <v>815</v>
      </c>
      <c r="AH266" s="11">
        <f t="shared" si="97"/>
        <v>10</v>
      </c>
      <c r="AI266" s="10">
        <v>10</v>
      </c>
      <c r="AJ266" s="11">
        <f t="shared" si="105"/>
        <v>10</v>
      </c>
      <c r="AK266" s="10">
        <v>10</v>
      </c>
      <c r="AL266" s="11">
        <f t="shared" si="105"/>
        <v>10</v>
      </c>
      <c r="AM266" s="10">
        <v>10</v>
      </c>
      <c r="AN266" s="56">
        <f t="shared" si="99"/>
        <v>2</v>
      </c>
      <c r="AP266" s="11">
        <f ca="1">IFERROR(OFFSET(ITEM_RES!$A$1,MATCH(AQ266,ITEM_RES!$J:$J,0)-1,0),0)</f>
        <v>211020801</v>
      </c>
      <c r="AQ266" s="10" t="s">
        <v>458</v>
      </c>
      <c r="AR266" s="11">
        <v>50</v>
      </c>
      <c r="AU266" s="11">
        <f ca="1">IFERROR(OFFSET(ITEM_RES!$A$1,MATCH(AV266,ITEM_RES!$J:$J,0)-1,0),0)</f>
        <v>211020401</v>
      </c>
      <c r="AV266" s="10" t="s">
        <v>444</v>
      </c>
      <c r="AW266" s="11">
        <v>50</v>
      </c>
      <c r="AZ266" s="11">
        <f ca="1">IFERROR(OFFSET(ITEM_RES!$A$1,MATCH(BA266,ITEM_RES!$J:$J,0)-1,0),0)</f>
        <v>0</v>
      </c>
      <c r="BE266" s="11">
        <f ca="1">IFERROR(OFFSET(ITEM_RES!$A$1,MATCH(BF266,ITEM_RES!$J:$J,0)-1,0),0)</f>
        <v>0</v>
      </c>
      <c r="BJ266" s="11">
        <f ca="1">IFERROR(OFFSET(ITEM_RES!$A$1,MATCH(BK266,ITEM_RES!$J:$J,0)-1,0),0)</f>
        <v>0</v>
      </c>
      <c r="BL266" s="11">
        <f t="shared" si="104"/>
        <v>0</v>
      </c>
    </row>
    <row r="267" spans="1:65" x14ac:dyDescent="0.3">
      <c r="A267" s="14">
        <f t="shared" si="101"/>
        <v>113050003</v>
      </c>
      <c r="B267" s="13">
        <v>11</v>
      </c>
      <c r="C267" s="12">
        <f t="shared" si="102"/>
        <v>3</v>
      </c>
      <c r="D267" s="13">
        <v>5</v>
      </c>
      <c r="E267" s="13">
        <v>0</v>
      </c>
      <c r="F267" s="12">
        <f t="shared" si="103"/>
        <v>3</v>
      </c>
      <c r="H267" s="9">
        <v>3</v>
      </c>
      <c r="I267" s="9">
        <v>3</v>
      </c>
      <c r="K267" s="9" t="s">
        <v>367</v>
      </c>
      <c r="L267" s="9">
        <v>1</v>
      </c>
      <c r="M267" s="9">
        <v>15</v>
      </c>
      <c r="R267" s="9" t="s">
        <v>781</v>
      </c>
      <c r="U267" s="9">
        <f ca="1">IFERROR(OFFSET(ITEM_RES!$A$5,MATCH(BUILDING!T267,ITEM_RES!$J$5:$J$229,0)-1,0),0)</f>
        <v>0</v>
      </c>
      <c r="X267" s="9">
        <f ca="1">IFERROR(OFFSET(ITEM_RES!$A$5,MATCH(BUILDING!W267,ITEM_RES!$J$5:$J$229,0)-1,0),0)</f>
        <v>0</v>
      </c>
      <c r="Z267" s="9" t="s">
        <v>554</v>
      </c>
      <c r="AA267" s="9">
        <v>3</v>
      </c>
      <c r="AC267" s="9">
        <v>1200</v>
      </c>
      <c r="AE267" s="56">
        <f t="shared" si="98"/>
        <v>315</v>
      </c>
      <c r="AF267" s="10">
        <f t="shared" ref="AF267:AF284" si="106">AE266+AE267</f>
        <v>525</v>
      </c>
      <c r="AH267" s="11">
        <f t="shared" si="97"/>
        <v>15</v>
      </c>
      <c r="AI267" s="10">
        <v>15</v>
      </c>
      <c r="AJ267" s="11">
        <f t="shared" si="105"/>
        <v>15</v>
      </c>
      <c r="AK267" s="10">
        <v>15</v>
      </c>
      <c r="AL267" s="11">
        <f t="shared" si="105"/>
        <v>15</v>
      </c>
      <c r="AM267" s="10">
        <v>15</v>
      </c>
      <c r="AN267" s="56">
        <f t="shared" si="99"/>
        <v>2</v>
      </c>
      <c r="AP267" s="11">
        <f ca="1">IFERROR(OFFSET(ITEM_RES!$A$1,MATCH(AQ267,ITEM_RES!$J:$J,0)-1,0),0)</f>
        <v>211020801</v>
      </c>
      <c r="AQ267" s="10" t="s">
        <v>458</v>
      </c>
      <c r="AR267" s="11">
        <v>75</v>
      </c>
      <c r="AU267" s="11">
        <f ca="1">IFERROR(OFFSET(ITEM_RES!$A$1,MATCH(AV267,ITEM_RES!$J:$J,0)-1,0),0)</f>
        <v>211020401</v>
      </c>
      <c r="AV267" s="10" t="s">
        <v>444</v>
      </c>
      <c r="AW267" s="11">
        <v>75</v>
      </c>
      <c r="AZ267" s="11">
        <f ca="1">IFERROR(OFFSET(ITEM_RES!$A$1,MATCH(BA267,ITEM_RES!$J:$J,0)-1,0),0)</f>
        <v>0</v>
      </c>
      <c r="BE267" s="11">
        <f ca="1">IFERROR(OFFSET(ITEM_RES!$A$1,MATCH(BF267,ITEM_RES!$J:$J,0)-1,0),0)</f>
        <v>0</v>
      </c>
      <c r="BJ267" s="11">
        <f ca="1">IFERROR(OFFSET(ITEM_RES!$A$1,MATCH(BK267,ITEM_RES!$J:$J,0)-1,0),0)</f>
        <v>0</v>
      </c>
      <c r="BL267" s="11">
        <f t="shared" si="104"/>
        <v>0</v>
      </c>
    </row>
    <row r="268" spans="1:65" x14ac:dyDescent="0.3">
      <c r="A268" s="14">
        <f t="shared" si="101"/>
        <v>113050004</v>
      </c>
      <c r="B268" s="13">
        <v>11</v>
      </c>
      <c r="C268" s="12">
        <f t="shared" si="102"/>
        <v>3</v>
      </c>
      <c r="D268" s="13">
        <v>5</v>
      </c>
      <c r="E268" s="13">
        <v>0</v>
      </c>
      <c r="F268" s="12">
        <f t="shared" si="103"/>
        <v>4</v>
      </c>
      <c r="H268" s="9">
        <v>3</v>
      </c>
      <c r="I268" s="9">
        <v>4</v>
      </c>
      <c r="K268" s="9" t="s">
        <v>367</v>
      </c>
      <c r="L268" s="9">
        <v>1</v>
      </c>
      <c r="M268" s="9">
        <v>15</v>
      </c>
      <c r="R268" s="9" t="s">
        <v>781</v>
      </c>
      <c r="U268" s="9">
        <f ca="1">IFERROR(OFFSET(ITEM_RES!$A$5,MATCH(BUILDING!T268,ITEM_RES!$J$5:$J$229,0)-1,0),0)</f>
        <v>0</v>
      </c>
      <c r="X268" s="9">
        <f ca="1">IFERROR(OFFSET(ITEM_RES!$A$5,MATCH(BUILDING!W268,ITEM_RES!$J$5:$J$229,0)-1,0),0)</f>
        <v>0</v>
      </c>
      <c r="Z268" s="9" t="s">
        <v>554</v>
      </c>
      <c r="AA268" s="9">
        <v>4</v>
      </c>
      <c r="AC268" s="9">
        <v>2000</v>
      </c>
      <c r="AE268" s="56">
        <f t="shared" si="98"/>
        <v>525</v>
      </c>
      <c r="AF268" s="10">
        <f t="shared" si="106"/>
        <v>840</v>
      </c>
      <c r="AH268" s="11">
        <f t="shared" si="97"/>
        <v>20</v>
      </c>
      <c r="AI268" s="10">
        <v>20</v>
      </c>
      <c r="AJ268" s="11">
        <f t="shared" si="105"/>
        <v>25</v>
      </c>
      <c r="AK268" s="10">
        <v>25</v>
      </c>
      <c r="AL268" s="11">
        <f t="shared" si="105"/>
        <v>25</v>
      </c>
      <c r="AM268" s="10">
        <v>25</v>
      </c>
      <c r="AN268" s="56">
        <f t="shared" si="99"/>
        <v>2</v>
      </c>
      <c r="AP268" s="11">
        <f ca="1">IFERROR(OFFSET(ITEM_RES!$A$1,MATCH(AQ268,ITEM_RES!$J:$J,0)-1,0),0)</f>
        <v>211020801</v>
      </c>
      <c r="AQ268" s="10" t="s">
        <v>458</v>
      </c>
      <c r="AR268" s="11">
        <v>125</v>
      </c>
      <c r="AU268" s="11">
        <f ca="1">IFERROR(OFFSET(ITEM_RES!$A$1,MATCH(AV268,ITEM_RES!$J:$J,0)-1,0),0)</f>
        <v>211020401</v>
      </c>
      <c r="AV268" s="10" t="s">
        <v>444</v>
      </c>
      <c r="AW268" s="11">
        <v>125</v>
      </c>
      <c r="AZ268" s="11">
        <f ca="1">IFERROR(OFFSET(ITEM_RES!$A$1,MATCH(BA268,ITEM_RES!$J:$J,0)-1,0),0)</f>
        <v>0</v>
      </c>
      <c r="BE268" s="11">
        <f ca="1">IFERROR(OFFSET(ITEM_RES!$A$1,MATCH(BF268,ITEM_RES!$J:$J,0)-1,0),0)</f>
        <v>0</v>
      </c>
      <c r="BJ268" s="11">
        <f ca="1">IFERROR(OFFSET(ITEM_RES!$A$1,MATCH(BK268,ITEM_RES!$J:$J,0)-1,0),0)</f>
        <v>0</v>
      </c>
      <c r="BL268" s="11">
        <f t="shared" si="104"/>
        <v>0</v>
      </c>
    </row>
    <row r="269" spans="1:65" x14ac:dyDescent="0.3">
      <c r="A269" s="14">
        <f t="shared" si="101"/>
        <v>113050005</v>
      </c>
      <c r="B269" s="13">
        <v>11</v>
      </c>
      <c r="C269" s="12">
        <f t="shared" si="102"/>
        <v>3</v>
      </c>
      <c r="D269" s="13">
        <v>5</v>
      </c>
      <c r="E269" s="13">
        <v>0</v>
      </c>
      <c r="F269" s="12">
        <f t="shared" si="103"/>
        <v>5</v>
      </c>
      <c r="H269" s="9">
        <v>3</v>
      </c>
      <c r="I269" s="9">
        <v>5</v>
      </c>
      <c r="K269" s="9" t="s">
        <v>367</v>
      </c>
      <c r="L269" s="9">
        <v>1</v>
      </c>
      <c r="M269" s="9">
        <v>15</v>
      </c>
      <c r="R269" s="9" t="s">
        <v>781</v>
      </c>
      <c r="U269" s="9">
        <f ca="1">IFERROR(OFFSET(ITEM_RES!$A$5,MATCH(BUILDING!T269,ITEM_RES!$J$5:$J$229,0)-1,0),0)</f>
        <v>0</v>
      </c>
      <c r="X269" s="9">
        <f ca="1">IFERROR(OFFSET(ITEM_RES!$A$5,MATCH(BUILDING!W269,ITEM_RES!$J$5:$J$229,0)-1,0),0)</f>
        <v>0</v>
      </c>
      <c r="Z269" s="9" t="s">
        <v>554</v>
      </c>
      <c r="AA269" s="9">
        <v>5</v>
      </c>
      <c r="AC269" s="9">
        <v>3200</v>
      </c>
      <c r="AE269" s="56">
        <f t="shared" si="98"/>
        <v>840</v>
      </c>
      <c r="AF269" s="10">
        <f t="shared" si="106"/>
        <v>1365</v>
      </c>
      <c r="AH269" s="11">
        <f t="shared" si="97"/>
        <v>25</v>
      </c>
      <c r="AI269" s="10">
        <v>25</v>
      </c>
      <c r="AJ269" s="11">
        <f t="shared" si="105"/>
        <v>40</v>
      </c>
      <c r="AK269" s="10">
        <v>40</v>
      </c>
      <c r="AL269" s="11">
        <f t="shared" si="105"/>
        <v>40</v>
      </c>
      <c r="AM269" s="10">
        <v>40</v>
      </c>
      <c r="AN269" s="56">
        <f t="shared" si="99"/>
        <v>2</v>
      </c>
      <c r="AP269" s="11">
        <f ca="1">IFERROR(OFFSET(ITEM_RES!$A$1,MATCH(AQ269,ITEM_RES!$J:$J,0)-1,0),0)</f>
        <v>211020801</v>
      </c>
      <c r="AQ269" s="10" t="s">
        <v>458</v>
      </c>
      <c r="AR269" s="11">
        <v>200</v>
      </c>
      <c r="AU269" s="11">
        <f ca="1">IFERROR(OFFSET(ITEM_RES!$A$1,MATCH(AV269,ITEM_RES!$J:$J,0)-1,0),0)</f>
        <v>211020401</v>
      </c>
      <c r="AV269" s="10" t="s">
        <v>444</v>
      </c>
      <c r="AW269" s="11">
        <v>200</v>
      </c>
      <c r="AZ269" s="11">
        <f ca="1">IFERROR(OFFSET(ITEM_RES!$A$1,MATCH(BA269,ITEM_RES!$J:$J,0)-1,0),0)</f>
        <v>0</v>
      </c>
      <c r="BE269" s="11">
        <f ca="1">IFERROR(OFFSET(ITEM_RES!$A$1,MATCH(BF269,ITEM_RES!$J:$J,0)-1,0),0)</f>
        <v>0</v>
      </c>
      <c r="BJ269" s="11">
        <f ca="1">IFERROR(OFFSET(ITEM_RES!$A$1,MATCH(BK269,ITEM_RES!$J:$J,0)-1,0),0)</f>
        <v>0</v>
      </c>
      <c r="BL269" s="11">
        <f t="shared" si="104"/>
        <v>0</v>
      </c>
    </row>
    <row r="270" spans="1:65" x14ac:dyDescent="0.3">
      <c r="A270" s="14">
        <f t="shared" si="101"/>
        <v>113050006</v>
      </c>
      <c r="B270" s="13">
        <v>11</v>
      </c>
      <c r="C270" s="12">
        <f t="shared" si="102"/>
        <v>3</v>
      </c>
      <c r="D270" s="13">
        <v>5</v>
      </c>
      <c r="E270" s="13">
        <v>0</v>
      </c>
      <c r="F270" s="12">
        <f t="shared" si="103"/>
        <v>6</v>
      </c>
      <c r="H270" s="9">
        <v>3</v>
      </c>
      <c r="I270" s="9">
        <v>6</v>
      </c>
      <c r="K270" s="9" t="s">
        <v>367</v>
      </c>
      <c r="L270" s="9">
        <v>1</v>
      </c>
      <c r="M270" s="9">
        <v>15</v>
      </c>
      <c r="R270" s="9" t="s">
        <v>781</v>
      </c>
      <c r="U270" s="9">
        <f ca="1">IFERROR(OFFSET(ITEM_RES!$A$5,MATCH(BUILDING!T270,ITEM_RES!$J$5:$J$229,0)-1,0),0)</f>
        <v>0</v>
      </c>
      <c r="X270" s="9">
        <f ca="1">IFERROR(OFFSET(ITEM_RES!$A$5,MATCH(BUILDING!W270,ITEM_RES!$J$5:$J$229,0)-1,0),0)</f>
        <v>0</v>
      </c>
      <c r="Z270" s="9" t="s">
        <v>554</v>
      </c>
      <c r="AA270" s="9">
        <v>6</v>
      </c>
      <c r="AC270" s="9">
        <v>4000</v>
      </c>
      <c r="AE270" s="56">
        <f t="shared" si="98"/>
        <v>1050</v>
      </c>
      <c r="AF270" s="10">
        <f t="shared" si="106"/>
        <v>1890</v>
      </c>
      <c r="AH270" s="11">
        <f t="shared" si="97"/>
        <v>30</v>
      </c>
      <c r="AI270" s="10">
        <v>30</v>
      </c>
      <c r="AJ270" s="11">
        <f t="shared" si="105"/>
        <v>50</v>
      </c>
      <c r="AK270" s="10">
        <v>50</v>
      </c>
      <c r="AL270" s="11">
        <f t="shared" si="105"/>
        <v>50</v>
      </c>
      <c r="AM270" s="10">
        <v>50</v>
      </c>
      <c r="AN270" s="56">
        <f t="shared" si="99"/>
        <v>2</v>
      </c>
      <c r="AP270" s="11">
        <f ca="1">IFERROR(OFFSET(ITEM_RES!$A$1,MATCH(AQ270,ITEM_RES!$J:$J,0)-1,0),0)</f>
        <v>211020801</v>
      </c>
      <c r="AQ270" s="10" t="s">
        <v>458</v>
      </c>
      <c r="AR270" s="11">
        <v>250</v>
      </c>
      <c r="AU270" s="11">
        <f ca="1">IFERROR(OFFSET(ITEM_RES!$A$1,MATCH(AV270,ITEM_RES!$J:$J,0)-1,0),0)</f>
        <v>211020401</v>
      </c>
      <c r="AV270" s="10" t="s">
        <v>444</v>
      </c>
      <c r="AW270" s="11">
        <v>250</v>
      </c>
      <c r="AZ270" s="11">
        <f ca="1">IFERROR(OFFSET(ITEM_RES!$A$1,MATCH(BA270,ITEM_RES!$J:$J,0)-1,0),0)</f>
        <v>0</v>
      </c>
      <c r="BE270" s="11">
        <f ca="1">IFERROR(OFFSET(ITEM_RES!$A$1,MATCH(BF270,ITEM_RES!$J:$J,0)-1,0),0)</f>
        <v>0</v>
      </c>
      <c r="BJ270" s="11">
        <f ca="1">IFERROR(OFFSET(ITEM_RES!$A$1,MATCH(BK270,ITEM_RES!$J:$J,0)-1,0),0)</f>
        <v>0</v>
      </c>
      <c r="BL270" s="11">
        <f t="shared" si="104"/>
        <v>0</v>
      </c>
    </row>
    <row r="271" spans="1:65" x14ac:dyDescent="0.3">
      <c r="A271" s="14">
        <f t="shared" si="101"/>
        <v>113050007</v>
      </c>
      <c r="B271" s="13">
        <v>11</v>
      </c>
      <c r="C271" s="12">
        <f t="shared" si="102"/>
        <v>3</v>
      </c>
      <c r="D271" s="13">
        <v>5</v>
      </c>
      <c r="E271" s="13">
        <v>0</v>
      </c>
      <c r="F271" s="12">
        <f t="shared" si="103"/>
        <v>7</v>
      </c>
      <c r="H271" s="9">
        <v>3</v>
      </c>
      <c r="I271" s="9">
        <v>7</v>
      </c>
      <c r="K271" s="9" t="s">
        <v>367</v>
      </c>
      <c r="L271" s="9">
        <v>1</v>
      </c>
      <c r="M271" s="9">
        <v>15</v>
      </c>
      <c r="R271" s="9" t="s">
        <v>781</v>
      </c>
      <c r="U271" s="9">
        <f ca="1">IFERROR(OFFSET(ITEM_RES!$A$5,MATCH(BUILDING!T271,ITEM_RES!$J$5:$J$229,0)-1,0),0)</f>
        <v>0</v>
      </c>
      <c r="X271" s="9">
        <f ca="1">IFERROR(OFFSET(ITEM_RES!$A$5,MATCH(BUILDING!W271,ITEM_RES!$J$5:$J$229,0)-1,0),0)</f>
        <v>0</v>
      </c>
      <c r="Z271" s="9" t="s">
        <v>554</v>
      </c>
      <c r="AA271" s="9">
        <v>7</v>
      </c>
      <c r="AC271" s="9">
        <v>8000</v>
      </c>
      <c r="AE271" s="56">
        <f t="shared" si="98"/>
        <v>2100</v>
      </c>
      <c r="AF271" s="10">
        <f t="shared" si="106"/>
        <v>3150</v>
      </c>
      <c r="AH271" s="11">
        <f t="shared" si="97"/>
        <v>35</v>
      </c>
      <c r="AI271" s="10">
        <v>35</v>
      </c>
      <c r="AJ271" s="11">
        <f t="shared" si="105"/>
        <v>100</v>
      </c>
      <c r="AK271" s="10">
        <v>100</v>
      </c>
      <c r="AL271" s="11">
        <f t="shared" si="105"/>
        <v>100</v>
      </c>
      <c r="AM271" s="10">
        <v>100</v>
      </c>
      <c r="AN271" s="56">
        <f t="shared" si="99"/>
        <v>2</v>
      </c>
      <c r="AP271" s="11">
        <f ca="1">IFERROR(OFFSET(ITEM_RES!$A$1,MATCH(AQ271,ITEM_RES!$J:$J,0)-1,0),0)</f>
        <v>211020801</v>
      </c>
      <c r="AQ271" s="10" t="s">
        <v>458</v>
      </c>
      <c r="AR271" s="11">
        <v>500</v>
      </c>
      <c r="AU271" s="11">
        <f ca="1">IFERROR(OFFSET(ITEM_RES!$A$1,MATCH(AV271,ITEM_RES!$J:$J,0)-1,0),0)</f>
        <v>211020401</v>
      </c>
      <c r="AV271" s="10" t="s">
        <v>444</v>
      </c>
      <c r="AW271" s="11">
        <v>500</v>
      </c>
      <c r="AZ271" s="11">
        <f ca="1">IFERROR(OFFSET(ITEM_RES!$A$1,MATCH(BA271,ITEM_RES!$J:$J,0)-1,0),0)</f>
        <v>0</v>
      </c>
      <c r="BE271" s="11">
        <f ca="1">IFERROR(OFFSET(ITEM_RES!$A$1,MATCH(BF271,ITEM_RES!$J:$J,0)-1,0),0)</f>
        <v>0</v>
      </c>
      <c r="BJ271" s="11">
        <f ca="1">IFERROR(OFFSET(ITEM_RES!$A$1,MATCH(BK271,ITEM_RES!$J:$J,0)-1,0),0)</f>
        <v>0</v>
      </c>
      <c r="BL271" s="11">
        <f t="shared" si="104"/>
        <v>0</v>
      </c>
    </row>
    <row r="272" spans="1:65" x14ac:dyDescent="0.3">
      <c r="A272" s="14">
        <f t="shared" si="101"/>
        <v>113050008</v>
      </c>
      <c r="B272" s="13">
        <v>11</v>
      </c>
      <c r="C272" s="12">
        <f t="shared" si="102"/>
        <v>3</v>
      </c>
      <c r="D272" s="13">
        <v>5</v>
      </c>
      <c r="E272" s="13">
        <v>0</v>
      </c>
      <c r="F272" s="12">
        <f t="shared" si="103"/>
        <v>8</v>
      </c>
      <c r="H272" s="9">
        <v>3</v>
      </c>
      <c r="I272" s="9">
        <v>8</v>
      </c>
      <c r="K272" s="9" t="s">
        <v>367</v>
      </c>
      <c r="L272" s="9">
        <v>1</v>
      </c>
      <c r="M272" s="9">
        <v>15</v>
      </c>
      <c r="R272" s="9" t="s">
        <v>781</v>
      </c>
      <c r="U272" s="9">
        <f ca="1">IFERROR(OFFSET(ITEM_RES!$A$5,MATCH(BUILDING!T272,ITEM_RES!$J$5:$J$229,0)-1,0),0)</f>
        <v>0</v>
      </c>
      <c r="X272" s="9">
        <f ca="1">IFERROR(OFFSET(ITEM_RES!$A$5,MATCH(BUILDING!W272,ITEM_RES!$J$5:$J$229,0)-1,0),0)</f>
        <v>0</v>
      </c>
      <c r="Z272" s="9" t="s">
        <v>554</v>
      </c>
      <c r="AA272" s="9">
        <v>8</v>
      </c>
      <c r="AC272" s="9">
        <v>8000</v>
      </c>
      <c r="AE272" s="56">
        <f t="shared" si="98"/>
        <v>2600</v>
      </c>
      <c r="AF272" s="10">
        <f t="shared" si="106"/>
        <v>4700</v>
      </c>
      <c r="AH272" s="11">
        <f t="shared" si="97"/>
        <v>40</v>
      </c>
      <c r="AI272" s="10">
        <v>40</v>
      </c>
      <c r="AJ272" s="11">
        <f t="shared" si="105"/>
        <v>100</v>
      </c>
      <c r="AK272" s="10">
        <v>100</v>
      </c>
      <c r="AL272" s="11">
        <f t="shared" si="105"/>
        <v>100</v>
      </c>
      <c r="AM272" s="10">
        <v>100</v>
      </c>
      <c r="AN272" s="56">
        <f t="shared" si="99"/>
        <v>3</v>
      </c>
      <c r="AP272" s="11">
        <f ca="1">IFERROR(OFFSET(ITEM_RES!$A$1,MATCH(AQ272,ITEM_RES!$J:$J,0)-1,0),0)</f>
        <v>211020801</v>
      </c>
      <c r="AQ272" s="10" t="s">
        <v>458</v>
      </c>
      <c r="AR272" s="11">
        <v>500</v>
      </c>
      <c r="AU272" s="11">
        <f ca="1">IFERROR(OFFSET(ITEM_RES!$A$1,MATCH(AV272,ITEM_RES!$J:$J,0)-1,0),0)</f>
        <v>211020401</v>
      </c>
      <c r="AV272" s="10" t="s">
        <v>444</v>
      </c>
      <c r="AW272" s="11">
        <v>500</v>
      </c>
      <c r="AZ272" s="11">
        <f ca="1">IFERROR(OFFSET(ITEM_RES!$A$1,MATCH(BA272,ITEM_RES!$J:$J,0)-1,0),0)</f>
        <v>0</v>
      </c>
      <c r="BE272" s="11">
        <f ca="1">IFERROR(OFFSET(ITEM_RES!$A$1,MATCH(BF272,ITEM_RES!$J:$J,0)-1,0),0)</f>
        <v>213010901</v>
      </c>
      <c r="BF272" s="10" t="s">
        <v>493</v>
      </c>
      <c r="BG272" s="11">
        <v>1</v>
      </c>
      <c r="BJ272" s="11">
        <f ca="1">IFERROR(OFFSET(ITEM_RES!$A$1,MATCH(BK272,ITEM_RES!$J:$J,0)-1,0),0)</f>
        <v>0</v>
      </c>
      <c r="BL272" s="11">
        <f t="shared" si="104"/>
        <v>0</v>
      </c>
    </row>
    <row r="273" spans="1:65" x14ac:dyDescent="0.3">
      <c r="A273" s="14">
        <f t="shared" si="101"/>
        <v>113050009</v>
      </c>
      <c r="B273" s="13">
        <v>11</v>
      </c>
      <c r="C273" s="12">
        <f t="shared" si="102"/>
        <v>3</v>
      </c>
      <c r="D273" s="13">
        <v>5</v>
      </c>
      <c r="E273" s="13">
        <v>0</v>
      </c>
      <c r="F273" s="12">
        <f t="shared" si="103"/>
        <v>9</v>
      </c>
      <c r="H273" s="9">
        <v>3</v>
      </c>
      <c r="I273" s="9">
        <v>9</v>
      </c>
      <c r="K273" s="9" t="s">
        <v>367</v>
      </c>
      <c r="L273" s="9">
        <v>1</v>
      </c>
      <c r="M273" s="9">
        <v>15</v>
      </c>
      <c r="R273" s="9" t="s">
        <v>781</v>
      </c>
      <c r="U273" s="9">
        <f ca="1">IFERROR(OFFSET(ITEM_RES!$A$5,MATCH(BUILDING!T273,ITEM_RES!$J$5:$J$229,0)-1,0),0)</f>
        <v>0</v>
      </c>
      <c r="X273" s="9">
        <f ca="1">IFERROR(OFFSET(ITEM_RES!$A$5,MATCH(BUILDING!W273,ITEM_RES!$J$5:$J$229,0)-1,0),0)</f>
        <v>0</v>
      </c>
      <c r="Z273" s="9" t="s">
        <v>554</v>
      </c>
      <c r="AA273" s="9">
        <v>9</v>
      </c>
      <c r="AC273" s="9">
        <v>12000</v>
      </c>
      <c r="AE273" s="56">
        <f t="shared" si="98"/>
        <v>3150</v>
      </c>
      <c r="AF273" s="10">
        <f t="shared" si="106"/>
        <v>5750</v>
      </c>
      <c r="AH273" s="11">
        <f t="shared" si="97"/>
        <v>45</v>
      </c>
      <c r="AI273" s="10">
        <v>45</v>
      </c>
      <c r="AJ273" s="11">
        <f t="shared" si="105"/>
        <v>150</v>
      </c>
      <c r="AK273" s="10">
        <v>150</v>
      </c>
      <c r="AL273" s="11">
        <f t="shared" si="105"/>
        <v>150</v>
      </c>
      <c r="AM273" s="10">
        <v>150</v>
      </c>
      <c r="AN273" s="56">
        <f t="shared" si="99"/>
        <v>2</v>
      </c>
      <c r="AP273" s="11">
        <f ca="1">IFERROR(OFFSET(ITEM_RES!$A$1,MATCH(AQ273,ITEM_RES!$J:$J,0)-1,0),0)</f>
        <v>211020801</v>
      </c>
      <c r="AQ273" s="10" t="s">
        <v>458</v>
      </c>
      <c r="AR273" s="11">
        <v>750</v>
      </c>
      <c r="AU273" s="11">
        <f ca="1">IFERROR(OFFSET(ITEM_RES!$A$1,MATCH(AV273,ITEM_RES!$J:$J,0)-1,0),0)</f>
        <v>211020401</v>
      </c>
      <c r="AV273" s="10" t="s">
        <v>444</v>
      </c>
      <c r="AW273" s="11">
        <v>750</v>
      </c>
      <c r="AZ273" s="11">
        <f ca="1">IFERROR(OFFSET(ITEM_RES!$A$1,MATCH(BA273,ITEM_RES!$J:$J,0)-1,0),0)</f>
        <v>0</v>
      </c>
      <c r="BE273" s="11">
        <f ca="1">IFERROR(OFFSET(ITEM_RES!$A$1,MATCH(BF273,ITEM_RES!$J:$J,0)-1,0),0)</f>
        <v>0</v>
      </c>
      <c r="BJ273" s="11">
        <f ca="1">IFERROR(OFFSET(ITEM_RES!$A$1,MATCH(BK273,ITEM_RES!$J:$J,0)-1,0),0)</f>
        <v>0</v>
      </c>
      <c r="BL273" s="11">
        <f t="shared" si="104"/>
        <v>0</v>
      </c>
    </row>
    <row r="274" spans="1:65" x14ac:dyDescent="0.3">
      <c r="A274" s="14">
        <f t="shared" si="101"/>
        <v>113050010</v>
      </c>
      <c r="B274" s="13">
        <v>11</v>
      </c>
      <c r="C274" s="12">
        <f t="shared" si="102"/>
        <v>3</v>
      </c>
      <c r="D274" s="13">
        <v>5</v>
      </c>
      <c r="E274" s="13">
        <v>0</v>
      </c>
      <c r="F274" s="12">
        <f t="shared" si="103"/>
        <v>10</v>
      </c>
      <c r="H274" s="9">
        <v>3</v>
      </c>
      <c r="I274" s="9">
        <v>10</v>
      </c>
      <c r="K274" s="9" t="s">
        <v>367</v>
      </c>
      <c r="L274" s="9">
        <v>1</v>
      </c>
      <c r="M274" s="9">
        <v>15</v>
      </c>
      <c r="R274" s="9" t="s">
        <v>781</v>
      </c>
      <c r="U274" s="9">
        <f ca="1">IFERROR(OFFSET(ITEM_RES!$A$5,MATCH(BUILDING!T274,ITEM_RES!$J$5:$J$229,0)-1,0),0)</f>
        <v>0</v>
      </c>
      <c r="X274" s="9">
        <f ca="1">IFERROR(OFFSET(ITEM_RES!$A$5,MATCH(BUILDING!W274,ITEM_RES!$J$5:$J$229,0)-1,0),0)</f>
        <v>0</v>
      </c>
      <c r="Z274" s="9" t="s">
        <v>554</v>
      </c>
      <c r="AA274" s="9">
        <v>10</v>
      </c>
      <c r="AC274" s="9">
        <v>16000</v>
      </c>
      <c r="AE274" s="56">
        <f t="shared" si="98"/>
        <v>4200</v>
      </c>
      <c r="AF274" s="10">
        <f t="shared" si="106"/>
        <v>7350</v>
      </c>
      <c r="AH274" s="11">
        <f t="shared" si="97"/>
        <v>50</v>
      </c>
      <c r="AI274" s="10">
        <v>50</v>
      </c>
      <c r="AJ274" s="11">
        <f t="shared" si="105"/>
        <v>200</v>
      </c>
      <c r="AK274" s="10">
        <v>200</v>
      </c>
      <c r="AL274" s="11">
        <f t="shared" si="105"/>
        <v>200</v>
      </c>
      <c r="AM274" s="10">
        <v>200</v>
      </c>
      <c r="AN274" s="56">
        <f t="shared" si="99"/>
        <v>2</v>
      </c>
      <c r="AP274" s="11">
        <f ca="1">IFERROR(OFFSET(ITEM_RES!$A$1,MATCH(AQ274,ITEM_RES!$J:$J,0)-1,0),0)</f>
        <v>211020801</v>
      </c>
      <c r="AQ274" s="10" t="s">
        <v>458</v>
      </c>
      <c r="AR274" s="11">
        <v>1000</v>
      </c>
      <c r="AU274" s="11">
        <f ca="1">IFERROR(OFFSET(ITEM_RES!$A$1,MATCH(AV274,ITEM_RES!$J:$J,0)-1,0),0)</f>
        <v>211020401</v>
      </c>
      <c r="AV274" s="10" t="s">
        <v>444</v>
      </c>
      <c r="AW274" s="11">
        <v>1000</v>
      </c>
      <c r="AZ274" s="11">
        <f ca="1">IFERROR(OFFSET(ITEM_RES!$A$1,MATCH(BA274,ITEM_RES!$J:$J,0)-1,0),0)</f>
        <v>0</v>
      </c>
      <c r="BE274" s="11">
        <f ca="1">IFERROR(OFFSET(ITEM_RES!$A$1,MATCH(BF274,ITEM_RES!$J:$J,0)-1,0),0)</f>
        <v>0</v>
      </c>
      <c r="BJ274" s="11">
        <f ca="1">IFERROR(OFFSET(ITEM_RES!$A$1,MATCH(BK274,ITEM_RES!$J:$J,0)-1,0),0)</f>
        <v>0</v>
      </c>
      <c r="BL274" s="11">
        <f t="shared" si="104"/>
        <v>0</v>
      </c>
    </row>
    <row r="275" spans="1:65" x14ac:dyDescent="0.3">
      <c r="A275" s="14">
        <f t="shared" si="101"/>
        <v>113050011</v>
      </c>
      <c r="B275" s="13">
        <v>11</v>
      </c>
      <c r="C275" s="12">
        <f t="shared" si="102"/>
        <v>3</v>
      </c>
      <c r="D275" s="13">
        <v>5</v>
      </c>
      <c r="E275" s="13">
        <v>0</v>
      </c>
      <c r="F275" s="12">
        <f t="shared" si="103"/>
        <v>11</v>
      </c>
      <c r="H275" s="9">
        <v>3</v>
      </c>
      <c r="I275" s="9">
        <v>11</v>
      </c>
      <c r="K275" s="9" t="s">
        <v>367</v>
      </c>
      <c r="L275" s="9">
        <v>1</v>
      </c>
      <c r="M275" s="9">
        <v>15</v>
      </c>
      <c r="R275" s="9" t="s">
        <v>781</v>
      </c>
      <c r="U275" s="9">
        <f ca="1">IFERROR(OFFSET(ITEM_RES!$A$5,MATCH(BUILDING!T275,ITEM_RES!$J$5:$J$229,0)-1,0),0)</f>
        <v>0</v>
      </c>
      <c r="X275" s="9">
        <f ca="1">IFERROR(OFFSET(ITEM_RES!$A$5,MATCH(BUILDING!W275,ITEM_RES!$J$5:$J$229,0)-1,0),0)</f>
        <v>0</v>
      </c>
      <c r="Z275" s="9" t="s">
        <v>554</v>
      </c>
      <c r="AA275" s="9">
        <v>11</v>
      </c>
      <c r="AC275" s="9">
        <v>20000</v>
      </c>
      <c r="AE275" s="56">
        <f t="shared" si="98"/>
        <v>5250</v>
      </c>
      <c r="AF275" s="10">
        <f t="shared" si="106"/>
        <v>9450</v>
      </c>
      <c r="AH275" s="11">
        <f t="shared" si="97"/>
        <v>55</v>
      </c>
      <c r="AI275" s="10">
        <v>55</v>
      </c>
      <c r="AJ275" s="11">
        <f t="shared" si="105"/>
        <v>250</v>
      </c>
      <c r="AK275" s="10">
        <v>250</v>
      </c>
      <c r="AL275" s="11">
        <f t="shared" si="105"/>
        <v>250</v>
      </c>
      <c r="AM275" s="10">
        <v>250</v>
      </c>
      <c r="AN275" s="56">
        <f t="shared" si="99"/>
        <v>2</v>
      </c>
      <c r="AP275" s="11">
        <f ca="1">IFERROR(OFFSET(ITEM_RES!$A$1,MATCH(AQ275,ITEM_RES!$J:$J,0)-1,0),0)</f>
        <v>211020801</v>
      </c>
      <c r="AQ275" s="10" t="s">
        <v>458</v>
      </c>
      <c r="AR275" s="11">
        <v>1250</v>
      </c>
      <c r="AU275" s="11">
        <f ca="1">IFERROR(OFFSET(ITEM_RES!$A$1,MATCH(AV275,ITEM_RES!$J:$J,0)-1,0),0)</f>
        <v>211020401</v>
      </c>
      <c r="AV275" s="10" t="s">
        <v>444</v>
      </c>
      <c r="AW275" s="11">
        <v>1250</v>
      </c>
      <c r="AZ275" s="11">
        <f ca="1">IFERROR(OFFSET(ITEM_RES!$A$1,MATCH(BA275,ITEM_RES!$J:$J,0)-1,0),0)</f>
        <v>0</v>
      </c>
      <c r="BE275" s="11">
        <f ca="1">IFERROR(OFFSET(ITEM_RES!$A$1,MATCH(BF275,ITEM_RES!$J:$J,0)-1,0),0)</f>
        <v>0</v>
      </c>
      <c r="BJ275" s="11">
        <f ca="1">IFERROR(OFFSET(ITEM_RES!$A$1,MATCH(BK275,ITEM_RES!$J:$J,0)-1,0),0)</f>
        <v>0</v>
      </c>
      <c r="BL275" s="11">
        <f t="shared" si="104"/>
        <v>0</v>
      </c>
    </row>
    <row r="276" spans="1:65" x14ac:dyDescent="0.3">
      <c r="A276" s="14">
        <f t="shared" si="101"/>
        <v>113050012</v>
      </c>
      <c r="B276" s="13">
        <v>11</v>
      </c>
      <c r="C276" s="12">
        <f t="shared" si="102"/>
        <v>3</v>
      </c>
      <c r="D276" s="13">
        <v>5</v>
      </c>
      <c r="E276" s="13">
        <v>0</v>
      </c>
      <c r="F276" s="12">
        <f t="shared" si="103"/>
        <v>12</v>
      </c>
      <c r="H276" s="9">
        <v>3</v>
      </c>
      <c r="I276" s="9">
        <v>12</v>
      </c>
      <c r="K276" s="9" t="s">
        <v>367</v>
      </c>
      <c r="L276" s="9">
        <v>1</v>
      </c>
      <c r="M276" s="9">
        <v>15</v>
      </c>
      <c r="R276" s="9" t="s">
        <v>781</v>
      </c>
      <c r="U276" s="9">
        <f ca="1">IFERROR(OFFSET(ITEM_RES!$A$5,MATCH(BUILDING!T276,ITEM_RES!$J$5:$J$229,0)-1,0),0)</f>
        <v>0</v>
      </c>
      <c r="X276" s="9">
        <f ca="1">IFERROR(OFFSET(ITEM_RES!$A$5,MATCH(BUILDING!W276,ITEM_RES!$J$5:$J$229,0)-1,0),0)</f>
        <v>0</v>
      </c>
      <c r="Z276" s="9" t="s">
        <v>554</v>
      </c>
      <c r="AA276" s="9">
        <v>12</v>
      </c>
      <c r="AC276" s="9">
        <v>24000</v>
      </c>
      <c r="AE276" s="56">
        <f t="shared" si="98"/>
        <v>6300</v>
      </c>
      <c r="AF276" s="10">
        <f t="shared" si="106"/>
        <v>11550</v>
      </c>
      <c r="AH276" s="11">
        <f t="shared" si="97"/>
        <v>60</v>
      </c>
      <c r="AI276" s="10">
        <v>60</v>
      </c>
      <c r="AJ276" s="11">
        <f t="shared" si="105"/>
        <v>300</v>
      </c>
      <c r="AK276" s="10">
        <v>300</v>
      </c>
      <c r="AL276" s="11">
        <f t="shared" si="105"/>
        <v>300</v>
      </c>
      <c r="AM276" s="10">
        <v>300</v>
      </c>
      <c r="AN276" s="56">
        <f t="shared" si="99"/>
        <v>2</v>
      </c>
      <c r="AP276" s="11">
        <f ca="1">IFERROR(OFFSET(ITEM_RES!$A$1,MATCH(AQ276,ITEM_RES!$J:$J,0)-1,0),0)</f>
        <v>211020801</v>
      </c>
      <c r="AQ276" s="10" t="s">
        <v>458</v>
      </c>
      <c r="AR276" s="11">
        <v>1500</v>
      </c>
      <c r="AU276" s="11">
        <f ca="1">IFERROR(OFFSET(ITEM_RES!$A$1,MATCH(AV276,ITEM_RES!$J:$J,0)-1,0),0)</f>
        <v>211020401</v>
      </c>
      <c r="AV276" s="10" t="s">
        <v>444</v>
      </c>
      <c r="AW276" s="11">
        <v>1500</v>
      </c>
      <c r="AZ276" s="11">
        <f ca="1">IFERROR(OFFSET(ITEM_RES!$A$1,MATCH(BA276,ITEM_RES!$J:$J,0)-1,0),0)</f>
        <v>0</v>
      </c>
      <c r="BE276" s="11">
        <f ca="1">IFERROR(OFFSET(ITEM_RES!$A$1,MATCH(BF276,ITEM_RES!$J:$J,0)-1,0),0)</f>
        <v>0</v>
      </c>
      <c r="BJ276" s="11">
        <f ca="1">IFERROR(OFFSET(ITEM_RES!$A$1,MATCH(BK276,ITEM_RES!$J:$J,0)-1,0),0)</f>
        <v>0</v>
      </c>
      <c r="BL276" s="11">
        <f t="shared" si="104"/>
        <v>0</v>
      </c>
    </row>
    <row r="277" spans="1:65" x14ac:dyDescent="0.3">
      <c r="A277" s="14">
        <f t="shared" si="101"/>
        <v>113050013</v>
      </c>
      <c r="B277" s="13">
        <v>11</v>
      </c>
      <c r="C277" s="12">
        <f t="shared" si="102"/>
        <v>3</v>
      </c>
      <c r="D277" s="13">
        <v>5</v>
      </c>
      <c r="E277" s="13">
        <v>0</v>
      </c>
      <c r="F277" s="12">
        <f t="shared" si="103"/>
        <v>13</v>
      </c>
      <c r="H277" s="9">
        <v>3</v>
      </c>
      <c r="I277" s="9">
        <v>13</v>
      </c>
      <c r="K277" s="9" t="s">
        <v>367</v>
      </c>
      <c r="L277" s="9">
        <v>1</v>
      </c>
      <c r="M277" s="9">
        <v>15</v>
      </c>
      <c r="R277" s="9" t="s">
        <v>781</v>
      </c>
      <c r="U277" s="9">
        <f ca="1">IFERROR(OFFSET(ITEM_RES!$A$5,MATCH(BUILDING!T277,ITEM_RES!$J$5:$J$229,0)-1,0),0)</f>
        <v>0</v>
      </c>
      <c r="X277" s="9">
        <f ca="1">IFERROR(OFFSET(ITEM_RES!$A$5,MATCH(BUILDING!W277,ITEM_RES!$J$5:$J$229,0)-1,0),0)</f>
        <v>0</v>
      </c>
      <c r="Z277" s="9" t="s">
        <v>554</v>
      </c>
      <c r="AA277" s="9">
        <v>13</v>
      </c>
      <c r="AC277" s="9">
        <v>28000</v>
      </c>
      <c r="AE277" s="56">
        <f t="shared" si="98"/>
        <v>7350</v>
      </c>
      <c r="AF277" s="10">
        <f t="shared" si="106"/>
        <v>13650</v>
      </c>
      <c r="AH277" s="11">
        <f t="shared" si="97"/>
        <v>65</v>
      </c>
      <c r="AI277" s="10">
        <v>65</v>
      </c>
      <c r="AJ277" s="11">
        <f t="shared" si="105"/>
        <v>350</v>
      </c>
      <c r="AK277" s="10">
        <v>350</v>
      </c>
      <c r="AL277" s="11">
        <f t="shared" si="105"/>
        <v>350</v>
      </c>
      <c r="AM277" s="10">
        <v>350</v>
      </c>
      <c r="AN277" s="56">
        <f t="shared" si="99"/>
        <v>2</v>
      </c>
      <c r="AP277" s="11">
        <f ca="1">IFERROR(OFFSET(ITEM_RES!$A$1,MATCH(AQ277,ITEM_RES!$J:$J,0)-1,0),0)</f>
        <v>211020801</v>
      </c>
      <c r="AQ277" s="10" t="s">
        <v>458</v>
      </c>
      <c r="AR277" s="11">
        <v>1750</v>
      </c>
      <c r="AU277" s="11">
        <f ca="1">IFERROR(OFFSET(ITEM_RES!$A$1,MATCH(AV277,ITEM_RES!$J:$J,0)-1,0),0)</f>
        <v>211020401</v>
      </c>
      <c r="AV277" s="10" t="s">
        <v>444</v>
      </c>
      <c r="AW277" s="11">
        <v>1750</v>
      </c>
      <c r="AZ277" s="11">
        <f ca="1">IFERROR(OFFSET(ITEM_RES!$A$1,MATCH(BA277,ITEM_RES!$J:$J,0)-1,0),0)</f>
        <v>0</v>
      </c>
      <c r="BE277" s="11">
        <f ca="1">IFERROR(OFFSET(ITEM_RES!$A$1,MATCH(BF277,ITEM_RES!$J:$J,0)-1,0),0)</f>
        <v>0</v>
      </c>
      <c r="BJ277" s="11">
        <f ca="1">IFERROR(OFFSET(ITEM_RES!$A$1,MATCH(BK277,ITEM_RES!$J:$J,0)-1,0),0)</f>
        <v>0</v>
      </c>
      <c r="BL277" s="11">
        <f t="shared" si="104"/>
        <v>0</v>
      </c>
    </row>
    <row r="278" spans="1:65" x14ac:dyDescent="0.3">
      <c r="A278" s="14">
        <f t="shared" si="101"/>
        <v>113050014</v>
      </c>
      <c r="B278" s="13">
        <v>11</v>
      </c>
      <c r="C278" s="12">
        <f t="shared" si="102"/>
        <v>3</v>
      </c>
      <c r="D278" s="13">
        <v>5</v>
      </c>
      <c r="E278" s="13">
        <v>0</v>
      </c>
      <c r="F278" s="12">
        <f t="shared" si="103"/>
        <v>14</v>
      </c>
      <c r="H278" s="9">
        <v>3</v>
      </c>
      <c r="I278" s="9">
        <v>14</v>
      </c>
      <c r="K278" s="9" t="s">
        <v>367</v>
      </c>
      <c r="L278" s="9">
        <v>1</v>
      </c>
      <c r="M278" s="9">
        <v>15</v>
      </c>
      <c r="R278" s="9" t="s">
        <v>781</v>
      </c>
      <c r="U278" s="9">
        <f ca="1">IFERROR(OFFSET(ITEM_RES!$A$5,MATCH(BUILDING!T278,ITEM_RES!$J$5:$J$229,0)-1,0),0)</f>
        <v>0</v>
      </c>
      <c r="X278" s="9">
        <f ca="1">IFERROR(OFFSET(ITEM_RES!$A$5,MATCH(BUILDING!W278,ITEM_RES!$J$5:$J$229,0)-1,0),0)</f>
        <v>0</v>
      </c>
      <c r="Z278" s="9" t="s">
        <v>554</v>
      </c>
      <c r="AA278" s="9">
        <v>14</v>
      </c>
      <c r="AC278" s="9">
        <v>36000</v>
      </c>
      <c r="AE278" s="56">
        <f t="shared" si="98"/>
        <v>9450</v>
      </c>
      <c r="AF278" s="10">
        <f t="shared" si="106"/>
        <v>16800</v>
      </c>
      <c r="AH278" s="11">
        <f t="shared" si="97"/>
        <v>70</v>
      </c>
      <c r="AI278" s="10">
        <v>70</v>
      </c>
      <c r="AJ278" s="11">
        <f t="shared" si="105"/>
        <v>450</v>
      </c>
      <c r="AK278" s="10">
        <v>450</v>
      </c>
      <c r="AL278" s="11">
        <f t="shared" si="105"/>
        <v>450</v>
      </c>
      <c r="AM278" s="10">
        <v>450</v>
      </c>
      <c r="AN278" s="56">
        <f t="shared" si="99"/>
        <v>2</v>
      </c>
      <c r="AP278" s="11">
        <f ca="1">IFERROR(OFFSET(ITEM_RES!$A$1,MATCH(AQ278,ITEM_RES!$J:$J,0)-1,0),0)</f>
        <v>211020801</v>
      </c>
      <c r="AQ278" s="10" t="s">
        <v>458</v>
      </c>
      <c r="AR278" s="11">
        <v>2250</v>
      </c>
      <c r="AU278" s="11">
        <f ca="1">IFERROR(OFFSET(ITEM_RES!$A$1,MATCH(AV278,ITEM_RES!$J:$J,0)-1,0),0)</f>
        <v>211020401</v>
      </c>
      <c r="AV278" s="10" t="s">
        <v>444</v>
      </c>
      <c r="AW278" s="11">
        <v>2250</v>
      </c>
      <c r="AZ278" s="11">
        <f ca="1">IFERROR(OFFSET(ITEM_RES!$A$1,MATCH(BA278,ITEM_RES!$J:$J,0)-1,0),0)</f>
        <v>0</v>
      </c>
      <c r="BE278" s="11">
        <f ca="1">IFERROR(OFFSET(ITEM_RES!$A$1,MATCH(BF278,ITEM_RES!$J:$J,0)-1,0),0)</f>
        <v>0</v>
      </c>
      <c r="BJ278" s="11">
        <f ca="1">IFERROR(OFFSET(ITEM_RES!$A$1,MATCH(BK278,ITEM_RES!$J:$J,0)-1,0),0)</f>
        <v>0</v>
      </c>
      <c r="BL278" s="11">
        <f t="shared" si="104"/>
        <v>0</v>
      </c>
    </row>
    <row r="279" spans="1:65" x14ac:dyDescent="0.3">
      <c r="A279" s="14">
        <f t="shared" si="101"/>
        <v>113050015</v>
      </c>
      <c r="B279" s="13">
        <v>11</v>
      </c>
      <c r="C279" s="12">
        <f t="shared" si="102"/>
        <v>3</v>
      </c>
      <c r="D279" s="13">
        <v>5</v>
      </c>
      <c r="E279" s="13">
        <v>0</v>
      </c>
      <c r="F279" s="12">
        <f t="shared" si="103"/>
        <v>15</v>
      </c>
      <c r="H279" s="9">
        <v>3</v>
      </c>
      <c r="I279" s="9">
        <v>15</v>
      </c>
      <c r="K279" s="9" t="s">
        <v>367</v>
      </c>
      <c r="L279" s="9">
        <v>1</v>
      </c>
      <c r="M279" s="9">
        <v>15</v>
      </c>
      <c r="R279" s="9" t="s">
        <v>781</v>
      </c>
      <c r="U279" s="9">
        <f ca="1">IFERROR(OFFSET(ITEM_RES!$A$5,MATCH(BUILDING!T279,ITEM_RES!$J$5:$J$229,0)-1,0),0)</f>
        <v>0</v>
      </c>
      <c r="X279" s="9">
        <f ca="1">IFERROR(OFFSET(ITEM_RES!$A$5,MATCH(BUILDING!W279,ITEM_RES!$J$5:$J$229,0)-1,0),0)</f>
        <v>0</v>
      </c>
      <c r="Z279" s="9" t="s">
        <v>554</v>
      </c>
      <c r="AA279" s="9">
        <v>15</v>
      </c>
      <c r="AC279" s="9">
        <v>44000</v>
      </c>
      <c r="AE279" s="56">
        <f t="shared" si="98"/>
        <v>11550</v>
      </c>
      <c r="AF279" s="10">
        <f t="shared" si="106"/>
        <v>21000</v>
      </c>
      <c r="AH279" s="11">
        <f t="shared" si="97"/>
        <v>75</v>
      </c>
      <c r="AI279" s="10">
        <v>75</v>
      </c>
      <c r="AJ279" s="11">
        <f t="shared" si="105"/>
        <v>550</v>
      </c>
      <c r="AK279" s="10">
        <v>550</v>
      </c>
      <c r="AL279" s="11">
        <f t="shared" si="105"/>
        <v>550</v>
      </c>
      <c r="AM279" s="10">
        <v>550</v>
      </c>
      <c r="AN279" s="56">
        <f t="shared" si="99"/>
        <v>2</v>
      </c>
      <c r="AP279" s="11">
        <f ca="1">IFERROR(OFFSET(ITEM_RES!$A$1,MATCH(AQ279,ITEM_RES!$J:$J,0)-1,0),0)</f>
        <v>211020801</v>
      </c>
      <c r="AQ279" s="10" t="s">
        <v>458</v>
      </c>
      <c r="AR279" s="11">
        <v>2750</v>
      </c>
      <c r="AU279" s="11">
        <f ca="1">IFERROR(OFFSET(ITEM_RES!$A$1,MATCH(AV279,ITEM_RES!$J:$J,0)-1,0),0)</f>
        <v>211020401</v>
      </c>
      <c r="AV279" s="10" t="s">
        <v>459</v>
      </c>
      <c r="AW279" s="11">
        <v>2750</v>
      </c>
      <c r="AZ279" s="11">
        <f ca="1">IFERROR(OFFSET(ITEM_RES!$A$1,MATCH(BA279,ITEM_RES!$J:$J,0)-1,0),0)</f>
        <v>0</v>
      </c>
      <c r="BE279" s="11">
        <f ca="1">IFERROR(OFFSET(ITEM_RES!$A$1,MATCH(BF279,ITEM_RES!$J:$J,0)-1,0),0)</f>
        <v>0</v>
      </c>
      <c r="BJ279" s="11">
        <f ca="1">IFERROR(OFFSET(ITEM_RES!$A$1,MATCH(BK279,ITEM_RES!$J:$J,0)-1,0),0)</f>
        <v>0</v>
      </c>
      <c r="BL279" s="11">
        <f t="shared" si="104"/>
        <v>0</v>
      </c>
    </row>
    <row r="280" spans="1:65" x14ac:dyDescent="0.3">
      <c r="A280" s="14">
        <f t="shared" si="101"/>
        <v>113050016</v>
      </c>
      <c r="B280" s="13">
        <v>11</v>
      </c>
      <c r="C280" s="12">
        <f t="shared" si="102"/>
        <v>3</v>
      </c>
      <c r="D280" s="13">
        <v>5</v>
      </c>
      <c r="E280" s="13">
        <v>0</v>
      </c>
      <c r="F280" s="12">
        <f t="shared" si="103"/>
        <v>16</v>
      </c>
      <c r="H280" s="9">
        <v>3</v>
      </c>
      <c r="I280" s="9">
        <v>16</v>
      </c>
      <c r="K280" s="9" t="s">
        <v>367</v>
      </c>
      <c r="L280" s="9">
        <v>0</v>
      </c>
      <c r="M280" s="9">
        <v>15</v>
      </c>
      <c r="R280" s="9" t="s">
        <v>781</v>
      </c>
      <c r="U280" s="9">
        <f ca="1">IFERROR(OFFSET(ITEM_RES!$A$5,MATCH(BUILDING!T280,ITEM_RES!$J$5:$J$229,0)-1,0),0)</f>
        <v>0</v>
      </c>
      <c r="X280" s="9">
        <f ca="1">IFERROR(OFFSET(ITEM_RES!$A$5,MATCH(BUILDING!W280,ITEM_RES!$J$5:$J$229,0)-1,0),0)</f>
        <v>0</v>
      </c>
      <c r="Z280" s="9" t="s">
        <v>554</v>
      </c>
      <c r="AA280" s="9">
        <v>16</v>
      </c>
      <c r="AC280" s="9">
        <v>56000</v>
      </c>
      <c r="AE280" s="56">
        <f t="shared" si="98"/>
        <v>14700</v>
      </c>
      <c r="AF280" s="10">
        <f t="shared" si="106"/>
        <v>26250</v>
      </c>
      <c r="AH280" s="11">
        <f t="shared" si="97"/>
        <v>80</v>
      </c>
      <c r="AI280" s="10">
        <v>80</v>
      </c>
      <c r="AJ280" s="11">
        <f t="shared" si="105"/>
        <v>700</v>
      </c>
      <c r="AK280" s="10">
        <v>700</v>
      </c>
      <c r="AL280" s="11">
        <f t="shared" si="105"/>
        <v>700</v>
      </c>
      <c r="AM280" s="10">
        <v>700</v>
      </c>
      <c r="AN280" s="56">
        <f t="shared" si="99"/>
        <v>2</v>
      </c>
      <c r="AP280" s="11">
        <f ca="1">IFERROR(OFFSET(ITEM_RES!$A$1,MATCH(AQ280,ITEM_RES!$J:$J,0)-1,0),0)</f>
        <v>211020801</v>
      </c>
      <c r="AQ280" s="10" t="s">
        <v>458</v>
      </c>
      <c r="AR280" s="11">
        <v>3500</v>
      </c>
      <c r="AU280" s="11">
        <f ca="1">IFERROR(OFFSET(ITEM_RES!$A$1,MATCH(AV280,ITEM_RES!$J:$J,0)-1,0),0)</f>
        <v>211020401</v>
      </c>
      <c r="AV280" s="10" t="s">
        <v>459</v>
      </c>
      <c r="AW280" s="11">
        <v>3500</v>
      </c>
      <c r="AZ280" s="11">
        <f ca="1">IFERROR(OFFSET(ITEM_RES!$A$1,MATCH(BA280,ITEM_RES!$J:$J,0)-1,0),0)</f>
        <v>0</v>
      </c>
      <c r="BE280" s="11">
        <f ca="1">IFERROR(OFFSET(ITEM_RES!$A$1,MATCH(BF280,ITEM_RES!$J:$J,0)-1,0),0)</f>
        <v>0</v>
      </c>
      <c r="BJ280" s="11">
        <f ca="1">IFERROR(OFFSET(ITEM_RES!$A$1,MATCH(BK280,ITEM_RES!$J:$J,0)-1,0),0)</f>
        <v>0</v>
      </c>
      <c r="BL280" s="11">
        <f t="shared" si="104"/>
        <v>0</v>
      </c>
    </row>
    <row r="281" spans="1:65" x14ac:dyDescent="0.3">
      <c r="A281" s="14">
        <f t="shared" si="101"/>
        <v>113050017</v>
      </c>
      <c r="B281" s="13">
        <v>11</v>
      </c>
      <c r="C281" s="12">
        <f t="shared" si="102"/>
        <v>3</v>
      </c>
      <c r="D281" s="13">
        <v>5</v>
      </c>
      <c r="E281" s="13">
        <v>0</v>
      </c>
      <c r="F281" s="12">
        <f t="shared" si="103"/>
        <v>17</v>
      </c>
      <c r="H281" s="9">
        <v>3</v>
      </c>
      <c r="I281" s="9">
        <v>17</v>
      </c>
      <c r="K281" s="9" t="s">
        <v>367</v>
      </c>
      <c r="L281" s="9">
        <v>0</v>
      </c>
      <c r="M281" s="9">
        <v>15</v>
      </c>
      <c r="R281" s="9" t="s">
        <v>781</v>
      </c>
      <c r="U281" s="9">
        <f ca="1">IFERROR(OFFSET(ITEM_RES!$A$5,MATCH(BUILDING!T281,ITEM_RES!$J$5:$J$229,0)-1,0),0)</f>
        <v>0</v>
      </c>
      <c r="X281" s="9">
        <f ca="1">IFERROR(OFFSET(ITEM_RES!$A$5,MATCH(BUILDING!W281,ITEM_RES!$J$5:$J$229,0)-1,0),0)</f>
        <v>0</v>
      </c>
      <c r="Z281" s="9" t="s">
        <v>554</v>
      </c>
      <c r="AA281" s="9">
        <v>17</v>
      </c>
      <c r="AC281" s="9">
        <v>68000</v>
      </c>
      <c r="AE281" s="56">
        <f t="shared" si="98"/>
        <v>17850</v>
      </c>
      <c r="AF281" s="10">
        <f t="shared" si="106"/>
        <v>32550</v>
      </c>
      <c r="AH281" s="11">
        <f t="shared" si="97"/>
        <v>85</v>
      </c>
      <c r="AI281" s="10">
        <v>85</v>
      </c>
      <c r="AJ281" s="11">
        <f t="shared" si="105"/>
        <v>850</v>
      </c>
      <c r="AK281" s="10">
        <v>850</v>
      </c>
      <c r="AL281" s="11">
        <f t="shared" si="105"/>
        <v>850</v>
      </c>
      <c r="AM281" s="10">
        <v>850</v>
      </c>
      <c r="AN281" s="56">
        <f t="shared" si="99"/>
        <v>2</v>
      </c>
      <c r="AP281" s="11">
        <f ca="1">IFERROR(OFFSET(ITEM_RES!$A$1,MATCH(AQ281,ITEM_RES!$J:$J,0)-1,0),0)</f>
        <v>211020901</v>
      </c>
      <c r="AQ281" s="10" t="s">
        <v>470</v>
      </c>
      <c r="AR281" s="11">
        <v>4250</v>
      </c>
      <c r="AU281" s="11">
        <f ca="1">IFERROR(OFFSET(ITEM_RES!$A$1,MATCH(AV281,ITEM_RES!$J:$J,0)-1,0),0)</f>
        <v>211020401</v>
      </c>
      <c r="AV281" s="10" t="s">
        <v>459</v>
      </c>
      <c r="AW281" s="11">
        <v>4250</v>
      </c>
      <c r="AZ281" s="11">
        <f ca="1">IFERROR(OFFSET(ITEM_RES!$A$1,MATCH(BA281,ITEM_RES!$J:$J,0)-1,0),0)</f>
        <v>0</v>
      </c>
      <c r="BE281" s="11">
        <f ca="1">IFERROR(OFFSET(ITEM_RES!$A$1,MATCH(BF281,ITEM_RES!$J:$J,0)-1,0),0)</f>
        <v>0</v>
      </c>
      <c r="BJ281" s="11">
        <f ca="1">IFERROR(OFFSET(ITEM_RES!$A$1,MATCH(BK281,ITEM_RES!$J:$J,0)-1,0),0)</f>
        <v>0</v>
      </c>
      <c r="BL281" s="11">
        <f t="shared" si="104"/>
        <v>0</v>
      </c>
    </row>
    <row r="282" spans="1:65" x14ac:dyDescent="0.3">
      <c r="A282" s="14">
        <f t="shared" si="101"/>
        <v>113050018</v>
      </c>
      <c r="B282" s="13">
        <v>11</v>
      </c>
      <c r="C282" s="12">
        <f t="shared" si="102"/>
        <v>3</v>
      </c>
      <c r="D282" s="13">
        <v>5</v>
      </c>
      <c r="E282" s="13">
        <v>0</v>
      </c>
      <c r="F282" s="12">
        <f t="shared" si="103"/>
        <v>18</v>
      </c>
      <c r="H282" s="9">
        <v>3</v>
      </c>
      <c r="I282" s="9">
        <v>18</v>
      </c>
      <c r="K282" s="9" t="s">
        <v>367</v>
      </c>
      <c r="L282" s="9">
        <v>0</v>
      </c>
      <c r="M282" s="9">
        <v>15</v>
      </c>
      <c r="R282" s="9" t="s">
        <v>781</v>
      </c>
      <c r="U282" s="9">
        <f ca="1">IFERROR(OFFSET(ITEM_RES!$A$5,MATCH(BUILDING!T282,ITEM_RES!$J$5:$J$229,0)-1,0),0)</f>
        <v>0</v>
      </c>
      <c r="X282" s="9">
        <f ca="1">IFERROR(OFFSET(ITEM_RES!$A$5,MATCH(BUILDING!W282,ITEM_RES!$J$5:$J$229,0)-1,0),0)</f>
        <v>0</v>
      </c>
      <c r="Z282" s="9" t="s">
        <v>554</v>
      </c>
      <c r="AA282" s="9">
        <v>18</v>
      </c>
      <c r="AC282" s="9">
        <v>84000</v>
      </c>
      <c r="AE282" s="56">
        <f t="shared" si="98"/>
        <v>22050</v>
      </c>
      <c r="AF282" s="10">
        <f t="shared" si="106"/>
        <v>39900</v>
      </c>
      <c r="AH282" s="11">
        <f t="shared" si="97"/>
        <v>90</v>
      </c>
      <c r="AI282" s="10">
        <v>90</v>
      </c>
      <c r="AJ282" s="11">
        <f t="shared" si="105"/>
        <v>1050</v>
      </c>
      <c r="AK282" s="10">
        <v>1050</v>
      </c>
      <c r="AL282" s="11">
        <f t="shared" si="105"/>
        <v>1050</v>
      </c>
      <c r="AM282" s="10">
        <v>1050</v>
      </c>
      <c r="AN282" s="56">
        <f t="shared" si="99"/>
        <v>2</v>
      </c>
      <c r="AP282" s="11">
        <f ca="1">IFERROR(OFFSET(ITEM_RES!$A$1,MATCH(AQ282,ITEM_RES!$J:$J,0)-1,0),0)</f>
        <v>211020901</v>
      </c>
      <c r="AQ282" s="10" t="s">
        <v>470</v>
      </c>
      <c r="AR282" s="11">
        <v>5250</v>
      </c>
      <c r="AU282" s="11">
        <f ca="1">IFERROR(OFFSET(ITEM_RES!$A$1,MATCH(AV282,ITEM_RES!$J:$J,0)-1,0),0)</f>
        <v>211020501</v>
      </c>
      <c r="AV282" s="10" t="s">
        <v>445</v>
      </c>
      <c r="AW282" s="11">
        <v>5250</v>
      </c>
      <c r="AZ282" s="11">
        <f ca="1">IFERROR(OFFSET(ITEM_RES!$A$1,MATCH(BA282,ITEM_RES!$J:$J,0)-1,0),0)</f>
        <v>0</v>
      </c>
      <c r="BE282" s="11">
        <f ca="1">IFERROR(OFFSET(ITEM_RES!$A$1,MATCH(BF282,ITEM_RES!$J:$J,0)-1,0),0)</f>
        <v>0</v>
      </c>
      <c r="BJ282" s="11">
        <f ca="1">IFERROR(OFFSET(ITEM_RES!$A$1,MATCH(BK282,ITEM_RES!$J:$J,0)-1,0),0)</f>
        <v>0</v>
      </c>
      <c r="BL282" s="11">
        <f t="shared" si="104"/>
        <v>0</v>
      </c>
    </row>
    <row r="283" spans="1:65" x14ac:dyDescent="0.3">
      <c r="A283" s="14">
        <f t="shared" si="101"/>
        <v>113050019</v>
      </c>
      <c r="B283" s="13">
        <v>11</v>
      </c>
      <c r="C283" s="12">
        <f t="shared" si="102"/>
        <v>3</v>
      </c>
      <c r="D283" s="13">
        <v>5</v>
      </c>
      <c r="E283" s="13">
        <v>0</v>
      </c>
      <c r="F283" s="12">
        <f t="shared" si="103"/>
        <v>19</v>
      </c>
      <c r="H283" s="9">
        <v>3</v>
      </c>
      <c r="I283" s="9">
        <v>19</v>
      </c>
      <c r="K283" s="9" t="s">
        <v>367</v>
      </c>
      <c r="L283" s="9">
        <v>0</v>
      </c>
      <c r="M283" s="9">
        <v>15</v>
      </c>
      <c r="R283" s="9" t="s">
        <v>781</v>
      </c>
      <c r="U283" s="9">
        <f ca="1">IFERROR(OFFSET(ITEM_RES!$A$5,MATCH(BUILDING!T283,ITEM_RES!$J$5:$J$229,0)-1,0),0)</f>
        <v>0</v>
      </c>
      <c r="X283" s="9">
        <f ca="1">IFERROR(OFFSET(ITEM_RES!$A$5,MATCH(BUILDING!W283,ITEM_RES!$J$5:$J$229,0)-1,0),0)</f>
        <v>0</v>
      </c>
      <c r="Z283" s="9" t="s">
        <v>554</v>
      </c>
      <c r="AA283" s="9">
        <v>19</v>
      </c>
      <c r="AC283" s="9">
        <v>100000</v>
      </c>
      <c r="AE283" s="56">
        <f t="shared" si="98"/>
        <v>26250</v>
      </c>
      <c r="AF283" s="10">
        <f t="shared" si="106"/>
        <v>48300</v>
      </c>
      <c r="AH283" s="11">
        <f t="shared" si="97"/>
        <v>95</v>
      </c>
      <c r="AI283" s="10">
        <v>95</v>
      </c>
      <c r="AJ283" s="11">
        <f t="shared" si="105"/>
        <v>1250</v>
      </c>
      <c r="AK283" s="10">
        <v>1250</v>
      </c>
      <c r="AL283" s="11">
        <f t="shared" si="105"/>
        <v>1250</v>
      </c>
      <c r="AM283" s="10">
        <v>1250</v>
      </c>
      <c r="AN283" s="56">
        <f t="shared" si="99"/>
        <v>2</v>
      </c>
      <c r="AP283" s="11">
        <f ca="1">IFERROR(OFFSET(ITEM_RES!$A$1,MATCH(AQ283,ITEM_RES!$J:$J,0)-1,0),0)</f>
        <v>211020901</v>
      </c>
      <c r="AQ283" s="10" t="s">
        <v>470</v>
      </c>
      <c r="AR283" s="11">
        <v>6250</v>
      </c>
      <c r="AU283" s="11">
        <f ca="1">IFERROR(OFFSET(ITEM_RES!$A$1,MATCH(AV283,ITEM_RES!$J:$J,0)-1,0),0)</f>
        <v>211020501</v>
      </c>
      <c r="AV283" s="10" t="s">
        <v>445</v>
      </c>
      <c r="AW283" s="11">
        <v>6250</v>
      </c>
      <c r="AZ283" s="11">
        <f ca="1">IFERROR(OFFSET(ITEM_RES!$A$1,MATCH(BA283,ITEM_RES!$J:$J,0)-1,0),0)</f>
        <v>0</v>
      </c>
      <c r="BE283" s="11">
        <f ca="1">IFERROR(OFFSET(ITEM_RES!$A$1,MATCH(BF283,ITEM_RES!$J:$J,0)-1,0),0)</f>
        <v>0</v>
      </c>
      <c r="BJ283" s="11">
        <f ca="1">IFERROR(OFFSET(ITEM_RES!$A$1,MATCH(BK283,ITEM_RES!$J:$J,0)-1,0),0)</f>
        <v>0</v>
      </c>
      <c r="BL283" s="11">
        <f t="shared" si="104"/>
        <v>0</v>
      </c>
    </row>
    <row r="284" spans="1:65" ht="17.25" thickBot="1" x14ac:dyDescent="0.35">
      <c r="A284" s="14">
        <f t="shared" si="101"/>
        <v>113050020</v>
      </c>
      <c r="B284" s="13">
        <v>11</v>
      </c>
      <c r="C284" s="12">
        <f t="shared" si="102"/>
        <v>3</v>
      </c>
      <c r="D284" s="13">
        <v>5</v>
      </c>
      <c r="E284" s="13">
        <v>0</v>
      </c>
      <c r="F284" s="12">
        <f t="shared" si="103"/>
        <v>20</v>
      </c>
      <c r="H284" s="9">
        <v>3</v>
      </c>
      <c r="I284" s="9">
        <v>20</v>
      </c>
      <c r="K284" s="9" t="s">
        <v>367</v>
      </c>
      <c r="L284" s="9">
        <v>0</v>
      </c>
      <c r="M284" s="9">
        <v>15</v>
      </c>
      <c r="R284" s="9" t="s">
        <v>781</v>
      </c>
      <c r="U284" s="9">
        <f ca="1">IFERROR(OFFSET(ITEM_RES!$A$5,MATCH(BUILDING!T284,ITEM_RES!$J$5:$J$229,0)-1,0),0)</f>
        <v>0</v>
      </c>
      <c r="X284" s="9">
        <f ca="1">IFERROR(OFFSET(ITEM_RES!$A$5,MATCH(BUILDING!W284,ITEM_RES!$J$5:$J$229,0)-1,0),0)</f>
        <v>0</v>
      </c>
      <c r="Z284" s="9" t="s">
        <v>554</v>
      </c>
      <c r="AA284" s="9">
        <v>20</v>
      </c>
      <c r="AC284" s="9">
        <v>120000</v>
      </c>
      <c r="AE284" s="56">
        <f t="shared" si="98"/>
        <v>31500</v>
      </c>
      <c r="AF284" s="10">
        <f t="shared" si="106"/>
        <v>57750</v>
      </c>
      <c r="AH284" s="11">
        <f t="shared" si="97"/>
        <v>100</v>
      </c>
      <c r="AI284" s="10">
        <v>100</v>
      </c>
      <c r="AJ284" s="11">
        <f t="shared" si="105"/>
        <v>1500</v>
      </c>
      <c r="AK284" s="10">
        <v>1500</v>
      </c>
      <c r="AL284" s="11">
        <f t="shared" si="105"/>
        <v>1500</v>
      </c>
      <c r="AM284" s="10">
        <v>1500</v>
      </c>
      <c r="AN284" s="56">
        <f t="shared" si="99"/>
        <v>2</v>
      </c>
      <c r="AP284" s="11">
        <f ca="1">IFERROR(OFFSET(ITEM_RES!$A$1,MATCH(AQ284,ITEM_RES!$J:$J,0)-1,0),0)</f>
        <v>211020901</v>
      </c>
      <c r="AQ284" s="10" t="s">
        <v>470</v>
      </c>
      <c r="AR284" s="11">
        <v>7500</v>
      </c>
      <c r="AU284" s="11">
        <f ca="1">IFERROR(OFFSET(ITEM_RES!$A$1,MATCH(AV284,ITEM_RES!$J:$J,0)-1,0),0)</f>
        <v>211020501</v>
      </c>
      <c r="AV284" s="10" t="s">
        <v>445</v>
      </c>
      <c r="AW284" s="11">
        <v>7500</v>
      </c>
      <c r="AZ284" s="11">
        <f ca="1">IFERROR(OFFSET(ITEM_RES!$A$1,MATCH(BA284,ITEM_RES!$J:$J,0)-1,0),0)</f>
        <v>0</v>
      </c>
      <c r="BE284" s="11">
        <f ca="1">IFERROR(OFFSET(ITEM_RES!$A$1,MATCH(BF284,ITEM_RES!$J:$J,0)-1,0),0)</f>
        <v>0</v>
      </c>
      <c r="BJ284" s="11">
        <f ca="1">IFERROR(OFFSET(ITEM_RES!$A$1,MATCH(BK284,ITEM_RES!$J:$J,0)-1,0),0)</f>
        <v>0</v>
      </c>
      <c r="BL284" s="11">
        <f t="shared" si="104"/>
        <v>0</v>
      </c>
    </row>
    <row r="285" spans="1:65" s="15" customFormat="1" x14ac:dyDescent="0.3">
      <c r="A285" s="21">
        <f t="shared" si="101"/>
        <v>111070001</v>
      </c>
      <c r="B285" s="20">
        <v>11</v>
      </c>
      <c r="C285" s="19">
        <f t="shared" si="102"/>
        <v>1</v>
      </c>
      <c r="D285" s="20">
        <v>7</v>
      </c>
      <c r="E285" s="20">
        <v>0</v>
      </c>
      <c r="F285" s="19">
        <f t="shared" si="103"/>
        <v>1</v>
      </c>
      <c r="G285" s="80"/>
      <c r="H285" s="16">
        <v>1</v>
      </c>
      <c r="I285" s="16">
        <v>1</v>
      </c>
      <c r="J285" s="80"/>
      <c r="K285" s="16" t="s">
        <v>783</v>
      </c>
      <c r="L285" s="16">
        <v>1</v>
      </c>
      <c r="M285" s="16">
        <v>15</v>
      </c>
      <c r="N285" s="16"/>
      <c r="O285" s="17"/>
      <c r="P285" s="17"/>
      <c r="Q285" s="18"/>
      <c r="R285" s="16" t="s">
        <v>782</v>
      </c>
      <c r="S285" s="80"/>
      <c r="T285" s="88"/>
      <c r="U285" s="16">
        <f ca="1">IFERROR(OFFSET(ITEM_RES!$A$5,MATCH(BUILDING!T285,ITEM_RES!$J$5:$J$229,0)-1,0),0)</f>
        <v>0</v>
      </c>
      <c r="V285" s="18"/>
      <c r="W285" s="88"/>
      <c r="X285" s="16">
        <f ca="1">IFERROR(OFFSET(ITEM_RES!$A$5,MATCH(BUILDING!W285,ITEM_RES!$J$5:$J$229,0)-1,0),0)</f>
        <v>0</v>
      </c>
      <c r="Y285" s="80"/>
      <c r="Z285" s="16" t="s">
        <v>555</v>
      </c>
      <c r="AA285" s="16">
        <v>1</v>
      </c>
      <c r="AB285" s="80"/>
      <c r="AC285" s="16">
        <v>0</v>
      </c>
      <c r="AD285" s="80"/>
      <c r="AE285" s="57">
        <f t="shared" si="98"/>
        <v>580</v>
      </c>
      <c r="AF285" s="17">
        <f>AE285</f>
        <v>580</v>
      </c>
      <c r="AG285" s="80"/>
      <c r="AH285" s="18">
        <f t="shared" si="97"/>
        <v>5</v>
      </c>
      <c r="AI285" s="17">
        <v>5</v>
      </c>
      <c r="AJ285" s="18">
        <f t="shared" si="105"/>
        <v>5</v>
      </c>
      <c r="AK285" s="17">
        <v>5</v>
      </c>
      <c r="AL285" s="18">
        <f t="shared" si="105"/>
        <v>5</v>
      </c>
      <c r="AM285" s="17">
        <v>5</v>
      </c>
      <c r="AN285" s="57">
        <f t="shared" si="99"/>
        <v>2</v>
      </c>
      <c r="AO285" s="18"/>
      <c r="AP285" s="18">
        <f ca="1">IFERROR(OFFSET(ITEM_RES!$A$1,MATCH(AQ285,ITEM_RES!$J:$J,0)-1,0),0)</f>
        <v>211020801</v>
      </c>
      <c r="AQ285" s="17" t="s">
        <v>458</v>
      </c>
      <c r="AR285" s="18">
        <v>25</v>
      </c>
      <c r="AS285" s="17"/>
      <c r="AT285" s="18"/>
      <c r="AU285" s="18">
        <f ca="1">IFERROR(OFFSET(ITEM_RES!$A$1,MATCH(AV285,ITEM_RES!$J:$J,0)-1,0),0)</f>
        <v>0</v>
      </c>
      <c r="AV285" s="17"/>
      <c r="AW285" s="18"/>
      <c r="AX285" s="17"/>
      <c r="AY285" s="18"/>
      <c r="AZ285" s="18">
        <f ca="1">IFERROR(OFFSET(ITEM_RES!$A$1,MATCH(BA285,ITEM_RES!$J:$J,0)-1,0),0)</f>
        <v>213010101</v>
      </c>
      <c r="BA285" s="17" t="s">
        <v>481</v>
      </c>
      <c r="BB285" s="18">
        <v>1</v>
      </c>
      <c r="BC285" s="17"/>
      <c r="BD285" s="18"/>
      <c r="BE285" s="18">
        <f ca="1">IFERROR(OFFSET(ITEM_RES!$A$1,MATCH(BF285,ITEM_RES!$J:$J,0)-1,0),0)</f>
        <v>0</v>
      </c>
      <c r="BF285" s="17"/>
      <c r="BG285" s="18"/>
      <c r="BH285" s="17"/>
      <c r="BI285" s="18"/>
      <c r="BJ285" s="18">
        <f ca="1">IFERROR(OFFSET(ITEM_RES!$A$1,MATCH(BK285,ITEM_RES!$J:$J,0)-1,0),0)</f>
        <v>0</v>
      </c>
      <c r="BK285" s="17"/>
      <c r="BL285" s="18"/>
      <c r="BM285" s="17"/>
    </row>
    <row r="286" spans="1:65" x14ac:dyDescent="0.3">
      <c r="A286" s="14">
        <f t="shared" si="101"/>
        <v>111070002</v>
      </c>
      <c r="B286" s="13">
        <v>11</v>
      </c>
      <c r="C286" s="12">
        <f t="shared" si="102"/>
        <v>1</v>
      </c>
      <c r="D286" s="13">
        <v>7</v>
      </c>
      <c r="E286" s="13">
        <v>0</v>
      </c>
      <c r="F286" s="12">
        <f t="shared" si="103"/>
        <v>2</v>
      </c>
      <c r="H286" s="9">
        <v>1</v>
      </c>
      <c r="I286" s="9">
        <v>2</v>
      </c>
      <c r="K286" s="9" t="s">
        <v>783</v>
      </c>
      <c r="L286" s="9">
        <v>1</v>
      </c>
      <c r="M286" s="9">
        <v>15</v>
      </c>
      <c r="R286" s="9" t="s">
        <v>782</v>
      </c>
      <c r="U286" s="9">
        <f ca="1">IFERROR(OFFSET(ITEM_RES!$A$5,MATCH(BUILDING!T286,ITEM_RES!$J$5:$J$229,0)-1,0),0)</f>
        <v>0</v>
      </c>
      <c r="X286" s="9">
        <f ca="1">IFERROR(OFFSET(ITEM_RES!$A$5,MATCH(BUILDING!W286,ITEM_RES!$J$5:$J$229,0)-1,0),0)</f>
        <v>0</v>
      </c>
      <c r="Z286" s="9" t="s">
        <v>555</v>
      </c>
      <c r="AA286" s="9">
        <v>2</v>
      </c>
      <c r="AC286" s="9">
        <v>200</v>
      </c>
      <c r="AE286" s="56">
        <f t="shared" si="98"/>
        <v>160</v>
      </c>
      <c r="AF286" s="10">
        <f>AE285+AE286</f>
        <v>740</v>
      </c>
      <c r="AH286" s="11">
        <f t="shared" si="97"/>
        <v>10</v>
      </c>
      <c r="AI286" s="10">
        <v>10</v>
      </c>
      <c r="AJ286" s="11">
        <f t="shared" si="105"/>
        <v>10</v>
      </c>
      <c r="AK286" s="10">
        <v>10</v>
      </c>
      <c r="AL286" s="11">
        <f t="shared" si="105"/>
        <v>10</v>
      </c>
      <c r="AM286" s="10">
        <v>10</v>
      </c>
      <c r="AN286" s="56">
        <f t="shared" si="99"/>
        <v>1</v>
      </c>
      <c r="AP286" s="11">
        <f ca="1">IFERROR(OFFSET(ITEM_RES!$A$1,MATCH(AQ286,ITEM_RES!$J:$J,0)-1,0),0)</f>
        <v>211020801</v>
      </c>
      <c r="AQ286" s="10" t="s">
        <v>458</v>
      </c>
      <c r="AR286" s="11">
        <v>50</v>
      </c>
      <c r="AU286" s="11">
        <f ca="1">IFERROR(OFFSET(ITEM_RES!$A$1,MATCH(AV286,ITEM_RES!$J:$J,0)-1,0),0)</f>
        <v>0</v>
      </c>
      <c r="AZ286" s="11">
        <f ca="1">IFERROR(OFFSET(ITEM_RES!$A$1,MATCH(BA286,ITEM_RES!$J:$J,0)-1,0),0)</f>
        <v>0</v>
      </c>
      <c r="BE286" s="11">
        <f ca="1">IFERROR(OFFSET(ITEM_RES!$A$1,MATCH(BF286,ITEM_RES!$J:$J,0)-1,0),0)</f>
        <v>0</v>
      </c>
      <c r="BJ286" s="11">
        <f ca="1">IFERROR(OFFSET(ITEM_RES!$A$1,MATCH(BK286,ITEM_RES!$J:$J,0)-1,0),0)</f>
        <v>0</v>
      </c>
    </row>
    <row r="287" spans="1:65" x14ac:dyDescent="0.3">
      <c r="A287" s="14">
        <f t="shared" si="101"/>
        <v>111070003</v>
      </c>
      <c r="B287" s="13">
        <v>11</v>
      </c>
      <c r="C287" s="12">
        <f t="shared" si="102"/>
        <v>1</v>
      </c>
      <c r="D287" s="13">
        <v>7</v>
      </c>
      <c r="E287" s="13">
        <v>0</v>
      </c>
      <c r="F287" s="12">
        <f t="shared" si="103"/>
        <v>3</v>
      </c>
      <c r="H287" s="9">
        <v>1</v>
      </c>
      <c r="I287" s="9">
        <v>3</v>
      </c>
      <c r="K287" s="9" t="s">
        <v>783</v>
      </c>
      <c r="L287" s="9">
        <v>1</v>
      </c>
      <c r="M287" s="9">
        <v>15</v>
      </c>
      <c r="R287" s="9" t="s">
        <v>782</v>
      </c>
      <c r="U287" s="9">
        <f ca="1">IFERROR(OFFSET(ITEM_RES!$A$5,MATCH(BUILDING!T287,ITEM_RES!$J$5:$J$229,0)-1,0),0)</f>
        <v>0</v>
      </c>
      <c r="X287" s="9">
        <f ca="1">IFERROR(OFFSET(ITEM_RES!$A$5,MATCH(BUILDING!W287,ITEM_RES!$J$5:$J$229,0)-1,0),0)</f>
        <v>0</v>
      </c>
      <c r="Z287" s="9" t="s">
        <v>555</v>
      </c>
      <c r="AA287" s="9">
        <v>3</v>
      </c>
      <c r="AC287" s="9">
        <v>600</v>
      </c>
      <c r="AE287" s="56">
        <f t="shared" si="98"/>
        <v>240</v>
      </c>
      <c r="AF287" s="10">
        <f t="shared" ref="AF287:AF304" si="107">AE286+AE287</f>
        <v>400</v>
      </c>
      <c r="AH287" s="11">
        <f t="shared" si="97"/>
        <v>15</v>
      </c>
      <c r="AI287" s="10">
        <v>15</v>
      </c>
      <c r="AJ287" s="11">
        <f t="shared" si="105"/>
        <v>15</v>
      </c>
      <c r="AK287" s="10">
        <v>15</v>
      </c>
      <c r="AL287" s="11">
        <f t="shared" si="105"/>
        <v>15</v>
      </c>
      <c r="AM287" s="10">
        <v>15</v>
      </c>
      <c r="AN287" s="56">
        <f t="shared" si="99"/>
        <v>1</v>
      </c>
      <c r="AP287" s="11">
        <f ca="1">IFERROR(OFFSET(ITEM_RES!$A$1,MATCH(AQ287,ITEM_RES!$J:$J,0)-1,0),0)</f>
        <v>211020801</v>
      </c>
      <c r="AQ287" s="10" t="s">
        <v>458</v>
      </c>
      <c r="AR287" s="11">
        <v>75</v>
      </c>
      <c r="AU287" s="11">
        <f ca="1">IFERROR(OFFSET(ITEM_RES!$A$1,MATCH(AV287,ITEM_RES!$J:$J,0)-1,0),0)</f>
        <v>0</v>
      </c>
      <c r="AZ287" s="11">
        <f ca="1">IFERROR(OFFSET(ITEM_RES!$A$1,MATCH(BA287,ITEM_RES!$J:$J,0)-1,0),0)</f>
        <v>0</v>
      </c>
      <c r="BE287" s="11">
        <f ca="1">IFERROR(OFFSET(ITEM_RES!$A$1,MATCH(BF287,ITEM_RES!$J:$J,0)-1,0),0)</f>
        <v>0</v>
      </c>
      <c r="BJ287" s="11">
        <f ca="1">IFERROR(OFFSET(ITEM_RES!$A$1,MATCH(BK287,ITEM_RES!$J:$J,0)-1,0),0)</f>
        <v>0</v>
      </c>
    </row>
    <row r="288" spans="1:65" x14ac:dyDescent="0.3">
      <c r="A288" s="14">
        <f t="shared" si="101"/>
        <v>111070004</v>
      </c>
      <c r="B288" s="13">
        <v>11</v>
      </c>
      <c r="C288" s="12">
        <f t="shared" si="102"/>
        <v>1</v>
      </c>
      <c r="D288" s="13">
        <v>7</v>
      </c>
      <c r="E288" s="13">
        <v>0</v>
      </c>
      <c r="F288" s="12">
        <f t="shared" si="103"/>
        <v>4</v>
      </c>
      <c r="H288" s="9">
        <v>1</v>
      </c>
      <c r="I288" s="9">
        <v>4</v>
      </c>
      <c r="K288" s="9" t="s">
        <v>783</v>
      </c>
      <c r="L288" s="9">
        <v>1</v>
      </c>
      <c r="M288" s="9">
        <v>15</v>
      </c>
      <c r="R288" s="9" t="s">
        <v>782</v>
      </c>
      <c r="U288" s="9">
        <f ca="1">IFERROR(OFFSET(ITEM_RES!$A$5,MATCH(BUILDING!T288,ITEM_RES!$J$5:$J$229,0)-1,0),0)</f>
        <v>0</v>
      </c>
      <c r="X288" s="9">
        <f ca="1">IFERROR(OFFSET(ITEM_RES!$A$5,MATCH(BUILDING!W288,ITEM_RES!$J$5:$J$229,0)-1,0),0)</f>
        <v>0</v>
      </c>
      <c r="Z288" s="9" t="s">
        <v>555</v>
      </c>
      <c r="AA288" s="9">
        <v>4</v>
      </c>
      <c r="AC288" s="9">
        <v>1000</v>
      </c>
      <c r="AE288" s="56">
        <f t="shared" si="98"/>
        <v>400</v>
      </c>
      <c r="AF288" s="10">
        <f t="shared" si="107"/>
        <v>640</v>
      </c>
      <c r="AH288" s="11">
        <f t="shared" si="97"/>
        <v>20</v>
      </c>
      <c r="AI288" s="10">
        <v>20</v>
      </c>
      <c r="AJ288" s="11">
        <f t="shared" si="105"/>
        <v>25</v>
      </c>
      <c r="AK288" s="10">
        <v>25</v>
      </c>
      <c r="AL288" s="11">
        <f t="shared" si="105"/>
        <v>25</v>
      </c>
      <c r="AM288" s="10">
        <v>25</v>
      </c>
      <c r="AN288" s="56">
        <f t="shared" si="99"/>
        <v>1</v>
      </c>
      <c r="AP288" s="11">
        <f ca="1">IFERROR(OFFSET(ITEM_RES!$A$1,MATCH(AQ288,ITEM_RES!$J:$J,0)-1,0),0)</f>
        <v>211020801</v>
      </c>
      <c r="AQ288" s="10" t="s">
        <v>458</v>
      </c>
      <c r="AR288" s="11">
        <v>125</v>
      </c>
      <c r="AU288" s="11">
        <f ca="1">IFERROR(OFFSET(ITEM_RES!$A$1,MATCH(AV288,ITEM_RES!$J:$J,0)-1,0),0)</f>
        <v>0</v>
      </c>
      <c r="AZ288" s="11">
        <f ca="1">IFERROR(OFFSET(ITEM_RES!$A$1,MATCH(BA288,ITEM_RES!$J:$J,0)-1,0),0)</f>
        <v>0</v>
      </c>
      <c r="BE288" s="11">
        <f ca="1">IFERROR(OFFSET(ITEM_RES!$A$1,MATCH(BF288,ITEM_RES!$J:$J,0)-1,0),0)</f>
        <v>0</v>
      </c>
      <c r="BJ288" s="11">
        <f ca="1">IFERROR(OFFSET(ITEM_RES!$A$1,MATCH(BK288,ITEM_RES!$J:$J,0)-1,0),0)</f>
        <v>0</v>
      </c>
    </row>
    <row r="289" spans="1:62" x14ac:dyDescent="0.3">
      <c r="A289" s="14">
        <f t="shared" si="101"/>
        <v>111070005</v>
      </c>
      <c r="B289" s="13">
        <v>11</v>
      </c>
      <c r="C289" s="12">
        <f t="shared" si="102"/>
        <v>1</v>
      </c>
      <c r="D289" s="13">
        <v>7</v>
      </c>
      <c r="E289" s="13">
        <v>0</v>
      </c>
      <c r="F289" s="12">
        <f t="shared" si="103"/>
        <v>5</v>
      </c>
      <c r="H289" s="9">
        <v>1</v>
      </c>
      <c r="I289" s="9">
        <v>5</v>
      </c>
      <c r="K289" s="9" t="s">
        <v>783</v>
      </c>
      <c r="L289" s="9">
        <v>1</v>
      </c>
      <c r="M289" s="9">
        <v>15</v>
      </c>
      <c r="R289" s="9" t="s">
        <v>782</v>
      </c>
      <c r="U289" s="9">
        <f ca="1">IFERROR(OFFSET(ITEM_RES!$A$5,MATCH(BUILDING!T289,ITEM_RES!$J$5:$J$229,0)-1,0),0)</f>
        <v>0</v>
      </c>
      <c r="X289" s="9">
        <f ca="1">IFERROR(OFFSET(ITEM_RES!$A$5,MATCH(BUILDING!W289,ITEM_RES!$J$5:$J$229,0)-1,0),0)</f>
        <v>0</v>
      </c>
      <c r="Z289" s="9" t="s">
        <v>555</v>
      </c>
      <c r="AA289" s="9">
        <v>5</v>
      </c>
      <c r="AC289" s="9">
        <v>1600</v>
      </c>
      <c r="AE289" s="56">
        <f t="shared" si="98"/>
        <v>640</v>
      </c>
      <c r="AF289" s="10">
        <f t="shared" si="107"/>
        <v>1040</v>
      </c>
      <c r="AH289" s="11">
        <f t="shared" si="97"/>
        <v>25</v>
      </c>
      <c r="AI289" s="10">
        <v>25</v>
      </c>
      <c r="AJ289" s="11">
        <f t="shared" si="105"/>
        <v>40</v>
      </c>
      <c r="AK289" s="10">
        <v>40</v>
      </c>
      <c r="AL289" s="11">
        <f t="shared" si="105"/>
        <v>40</v>
      </c>
      <c r="AM289" s="10">
        <v>40</v>
      </c>
      <c r="AN289" s="56">
        <f t="shared" si="99"/>
        <v>1</v>
      </c>
      <c r="AP289" s="11">
        <f ca="1">IFERROR(OFFSET(ITEM_RES!$A$1,MATCH(AQ289,ITEM_RES!$J:$J,0)-1,0),0)</f>
        <v>211020801</v>
      </c>
      <c r="AQ289" s="10" t="s">
        <v>458</v>
      </c>
      <c r="AR289" s="11">
        <v>200</v>
      </c>
      <c r="AU289" s="11">
        <f ca="1">IFERROR(OFFSET(ITEM_RES!$A$1,MATCH(AV289,ITEM_RES!$J:$J,0)-1,0),0)</f>
        <v>0</v>
      </c>
      <c r="AZ289" s="11">
        <f ca="1">IFERROR(OFFSET(ITEM_RES!$A$1,MATCH(BA289,ITEM_RES!$J:$J,0)-1,0),0)</f>
        <v>0</v>
      </c>
      <c r="BE289" s="11">
        <f ca="1">IFERROR(OFFSET(ITEM_RES!$A$1,MATCH(BF289,ITEM_RES!$J:$J,0)-1,0),0)</f>
        <v>0</v>
      </c>
      <c r="BJ289" s="11">
        <f ca="1">IFERROR(OFFSET(ITEM_RES!$A$1,MATCH(BK289,ITEM_RES!$J:$J,0)-1,0),0)</f>
        <v>0</v>
      </c>
    </row>
    <row r="290" spans="1:62" x14ac:dyDescent="0.3">
      <c r="A290" s="14">
        <f t="shared" si="101"/>
        <v>111070006</v>
      </c>
      <c r="B290" s="13">
        <v>11</v>
      </c>
      <c r="C290" s="12">
        <f t="shared" si="102"/>
        <v>1</v>
      </c>
      <c r="D290" s="13">
        <v>7</v>
      </c>
      <c r="E290" s="13">
        <v>0</v>
      </c>
      <c r="F290" s="12">
        <f t="shared" si="103"/>
        <v>6</v>
      </c>
      <c r="H290" s="9">
        <v>1</v>
      </c>
      <c r="I290" s="9">
        <v>6</v>
      </c>
      <c r="K290" s="9" t="s">
        <v>783</v>
      </c>
      <c r="L290" s="9">
        <v>1</v>
      </c>
      <c r="M290" s="9">
        <v>15</v>
      </c>
      <c r="R290" s="9" t="s">
        <v>782</v>
      </c>
      <c r="U290" s="9">
        <f ca="1">IFERROR(OFFSET(ITEM_RES!$A$5,MATCH(BUILDING!T290,ITEM_RES!$J$5:$J$229,0)-1,0),0)</f>
        <v>0</v>
      </c>
      <c r="X290" s="9">
        <f ca="1">IFERROR(OFFSET(ITEM_RES!$A$5,MATCH(BUILDING!W290,ITEM_RES!$J$5:$J$229,0)-1,0),0)</f>
        <v>0</v>
      </c>
      <c r="Z290" s="9" t="s">
        <v>555</v>
      </c>
      <c r="AA290" s="9">
        <v>6</v>
      </c>
      <c r="AC290" s="9">
        <v>2000</v>
      </c>
      <c r="AE290" s="56">
        <f t="shared" si="98"/>
        <v>800</v>
      </c>
      <c r="AF290" s="10">
        <f t="shared" si="107"/>
        <v>1440</v>
      </c>
      <c r="AH290" s="11">
        <f t="shared" si="97"/>
        <v>30</v>
      </c>
      <c r="AI290" s="10">
        <v>30</v>
      </c>
      <c r="AJ290" s="11">
        <f t="shared" si="105"/>
        <v>50</v>
      </c>
      <c r="AK290" s="10">
        <v>50</v>
      </c>
      <c r="AL290" s="11">
        <f t="shared" si="105"/>
        <v>50</v>
      </c>
      <c r="AM290" s="10">
        <v>50</v>
      </c>
      <c r="AN290" s="56">
        <f t="shared" si="99"/>
        <v>1</v>
      </c>
      <c r="AP290" s="11">
        <f ca="1">IFERROR(OFFSET(ITEM_RES!$A$1,MATCH(AQ290,ITEM_RES!$J:$J,0)-1,0),0)</f>
        <v>211020801</v>
      </c>
      <c r="AQ290" s="10" t="s">
        <v>458</v>
      </c>
      <c r="AR290" s="11">
        <v>250</v>
      </c>
      <c r="AU290" s="11">
        <f ca="1">IFERROR(OFFSET(ITEM_RES!$A$1,MATCH(AV290,ITEM_RES!$J:$J,0)-1,0),0)</f>
        <v>0</v>
      </c>
      <c r="AZ290" s="11">
        <f ca="1">IFERROR(OFFSET(ITEM_RES!$A$1,MATCH(BA290,ITEM_RES!$J:$J,0)-1,0),0)</f>
        <v>0</v>
      </c>
      <c r="BE290" s="11">
        <f ca="1">IFERROR(OFFSET(ITEM_RES!$A$1,MATCH(BF290,ITEM_RES!$J:$J,0)-1,0),0)</f>
        <v>0</v>
      </c>
      <c r="BJ290" s="11">
        <f ca="1">IFERROR(OFFSET(ITEM_RES!$A$1,MATCH(BK290,ITEM_RES!$J:$J,0)-1,0),0)</f>
        <v>0</v>
      </c>
    </row>
    <row r="291" spans="1:62" x14ac:dyDescent="0.3">
      <c r="A291" s="14">
        <f t="shared" si="101"/>
        <v>111070007</v>
      </c>
      <c r="B291" s="13">
        <v>11</v>
      </c>
      <c r="C291" s="12">
        <f t="shared" si="102"/>
        <v>1</v>
      </c>
      <c r="D291" s="13">
        <v>7</v>
      </c>
      <c r="E291" s="13">
        <v>0</v>
      </c>
      <c r="F291" s="12">
        <f t="shared" si="103"/>
        <v>7</v>
      </c>
      <c r="H291" s="9">
        <v>1</v>
      </c>
      <c r="I291" s="9">
        <v>7</v>
      </c>
      <c r="K291" s="9" t="s">
        <v>783</v>
      </c>
      <c r="L291" s="9">
        <v>1</v>
      </c>
      <c r="M291" s="9">
        <v>15</v>
      </c>
      <c r="R291" s="9" t="s">
        <v>782</v>
      </c>
      <c r="U291" s="9">
        <f ca="1">IFERROR(OFFSET(ITEM_RES!$A$5,MATCH(BUILDING!T291,ITEM_RES!$J$5:$J$229,0)-1,0),0)</f>
        <v>0</v>
      </c>
      <c r="X291" s="9">
        <f ca="1">IFERROR(OFFSET(ITEM_RES!$A$5,MATCH(BUILDING!W291,ITEM_RES!$J$5:$J$229,0)-1,0),0)</f>
        <v>0</v>
      </c>
      <c r="Z291" s="9" t="s">
        <v>555</v>
      </c>
      <c r="AA291" s="9">
        <v>7</v>
      </c>
      <c r="AC291" s="9">
        <v>4000</v>
      </c>
      <c r="AE291" s="56">
        <f t="shared" si="98"/>
        <v>1600</v>
      </c>
      <c r="AF291" s="10">
        <f t="shared" si="107"/>
        <v>2400</v>
      </c>
      <c r="AH291" s="11">
        <f t="shared" si="97"/>
        <v>35</v>
      </c>
      <c r="AI291" s="10">
        <v>35</v>
      </c>
      <c r="AJ291" s="11">
        <f t="shared" si="105"/>
        <v>100</v>
      </c>
      <c r="AK291" s="10">
        <v>100</v>
      </c>
      <c r="AL291" s="11">
        <f t="shared" si="105"/>
        <v>100</v>
      </c>
      <c r="AM291" s="10">
        <v>100</v>
      </c>
      <c r="AN291" s="56">
        <f t="shared" si="99"/>
        <v>1</v>
      </c>
      <c r="AP291" s="11">
        <f ca="1">IFERROR(OFFSET(ITEM_RES!$A$1,MATCH(AQ291,ITEM_RES!$J:$J,0)-1,0),0)</f>
        <v>211020801</v>
      </c>
      <c r="AQ291" s="10" t="s">
        <v>458</v>
      </c>
      <c r="AR291" s="11">
        <v>500</v>
      </c>
      <c r="AU291" s="11">
        <f ca="1">IFERROR(OFFSET(ITEM_RES!$A$1,MATCH(AV291,ITEM_RES!$J:$J,0)-1,0),0)</f>
        <v>0</v>
      </c>
      <c r="AZ291" s="11">
        <f ca="1">IFERROR(OFFSET(ITEM_RES!$A$1,MATCH(BA291,ITEM_RES!$J:$J,0)-1,0),0)</f>
        <v>0</v>
      </c>
      <c r="BE291" s="11">
        <f ca="1">IFERROR(OFFSET(ITEM_RES!$A$1,MATCH(BF291,ITEM_RES!$J:$J,0)-1,0),0)</f>
        <v>0</v>
      </c>
      <c r="BJ291" s="11">
        <f ca="1">IFERROR(OFFSET(ITEM_RES!$A$1,MATCH(BK291,ITEM_RES!$J:$J,0)-1,0),0)</f>
        <v>0</v>
      </c>
    </row>
    <row r="292" spans="1:62" x14ac:dyDescent="0.3">
      <c r="A292" s="14">
        <f t="shared" si="101"/>
        <v>111070008</v>
      </c>
      <c r="B292" s="13">
        <v>11</v>
      </c>
      <c r="C292" s="12">
        <f t="shared" si="102"/>
        <v>1</v>
      </c>
      <c r="D292" s="13">
        <v>7</v>
      </c>
      <c r="E292" s="13">
        <v>0</v>
      </c>
      <c r="F292" s="12">
        <f t="shared" si="103"/>
        <v>8</v>
      </c>
      <c r="H292" s="9">
        <v>1</v>
      </c>
      <c r="I292" s="9">
        <v>8</v>
      </c>
      <c r="K292" s="9" t="s">
        <v>783</v>
      </c>
      <c r="L292" s="9">
        <v>1</v>
      </c>
      <c r="M292" s="9">
        <v>15</v>
      </c>
      <c r="R292" s="9" t="s">
        <v>782</v>
      </c>
      <c r="U292" s="9">
        <f ca="1">IFERROR(OFFSET(ITEM_RES!$A$5,MATCH(BUILDING!T292,ITEM_RES!$J$5:$J$229,0)-1,0),0)</f>
        <v>0</v>
      </c>
      <c r="X292" s="9">
        <f ca="1">IFERROR(OFFSET(ITEM_RES!$A$5,MATCH(BUILDING!W292,ITEM_RES!$J$5:$J$229,0)-1,0),0)</f>
        <v>0</v>
      </c>
      <c r="Z292" s="9" t="s">
        <v>555</v>
      </c>
      <c r="AA292" s="9">
        <v>8</v>
      </c>
      <c r="AC292" s="9">
        <v>4000</v>
      </c>
      <c r="AE292" s="56">
        <f t="shared" si="98"/>
        <v>1600</v>
      </c>
      <c r="AF292" s="10">
        <f t="shared" si="107"/>
        <v>3200</v>
      </c>
      <c r="AH292" s="11">
        <f t="shared" si="97"/>
        <v>40</v>
      </c>
      <c r="AI292" s="10">
        <v>40</v>
      </c>
      <c r="AJ292" s="11">
        <f t="shared" si="105"/>
        <v>100</v>
      </c>
      <c r="AK292" s="10">
        <v>100</v>
      </c>
      <c r="AL292" s="11">
        <f t="shared" si="105"/>
        <v>100</v>
      </c>
      <c r="AM292" s="10">
        <v>100</v>
      </c>
      <c r="AN292" s="56">
        <f t="shared" si="99"/>
        <v>1</v>
      </c>
      <c r="AP292" s="11">
        <f ca="1">IFERROR(OFFSET(ITEM_RES!$A$1,MATCH(AQ292,ITEM_RES!$J:$J,0)-1,0),0)</f>
        <v>211020801</v>
      </c>
      <c r="AQ292" s="10" t="s">
        <v>458</v>
      </c>
      <c r="AR292" s="11">
        <v>500</v>
      </c>
      <c r="AU292" s="11">
        <f ca="1">IFERROR(OFFSET(ITEM_RES!$A$1,MATCH(AV292,ITEM_RES!$J:$J,0)-1,0),0)</f>
        <v>0</v>
      </c>
      <c r="AZ292" s="11">
        <f ca="1">IFERROR(OFFSET(ITEM_RES!$A$1,MATCH(BA292,ITEM_RES!$J:$J,0)-1,0),0)</f>
        <v>0</v>
      </c>
      <c r="BE292" s="11">
        <f ca="1">IFERROR(OFFSET(ITEM_RES!$A$1,MATCH(BF292,ITEM_RES!$J:$J,0)-1,0),0)</f>
        <v>0</v>
      </c>
      <c r="BJ292" s="11">
        <f ca="1">IFERROR(OFFSET(ITEM_RES!$A$1,MATCH(BK292,ITEM_RES!$J:$J,0)-1,0),0)</f>
        <v>0</v>
      </c>
    </row>
    <row r="293" spans="1:62" x14ac:dyDescent="0.3">
      <c r="A293" s="14">
        <f t="shared" si="101"/>
        <v>111070009</v>
      </c>
      <c r="B293" s="13">
        <v>11</v>
      </c>
      <c r="C293" s="12">
        <f t="shared" si="102"/>
        <v>1</v>
      </c>
      <c r="D293" s="13">
        <v>7</v>
      </c>
      <c r="E293" s="13">
        <v>0</v>
      </c>
      <c r="F293" s="12">
        <f t="shared" si="103"/>
        <v>9</v>
      </c>
      <c r="H293" s="9">
        <v>1</v>
      </c>
      <c r="I293" s="9">
        <v>9</v>
      </c>
      <c r="K293" s="9" t="s">
        <v>783</v>
      </c>
      <c r="L293" s="9">
        <v>1</v>
      </c>
      <c r="M293" s="9">
        <v>15</v>
      </c>
      <c r="R293" s="9" t="s">
        <v>782</v>
      </c>
      <c r="U293" s="9">
        <f ca="1">IFERROR(OFFSET(ITEM_RES!$A$5,MATCH(BUILDING!T293,ITEM_RES!$J$5:$J$229,0)-1,0),0)</f>
        <v>0</v>
      </c>
      <c r="X293" s="9">
        <f ca="1">IFERROR(OFFSET(ITEM_RES!$A$5,MATCH(BUILDING!W293,ITEM_RES!$J$5:$J$229,0)-1,0),0)</f>
        <v>0</v>
      </c>
      <c r="Z293" s="9" t="s">
        <v>555</v>
      </c>
      <c r="AA293" s="9">
        <v>9</v>
      </c>
      <c r="AC293" s="9">
        <v>6000</v>
      </c>
      <c r="AE293" s="56">
        <f t="shared" si="98"/>
        <v>2400</v>
      </c>
      <c r="AF293" s="10">
        <f t="shared" si="107"/>
        <v>4000</v>
      </c>
      <c r="AH293" s="11">
        <f t="shared" si="97"/>
        <v>45</v>
      </c>
      <c r="AI293" s="10">
        <v>45</v>
      </c>
      <c r="AJ293" s="11">
        <f t="shared" si="105"/>
        <v>150</v>
      </c>
      <c r="AK293" s="10">
        <v>150</v>
      </c>
      <c r="AL293" s="11">
        <f t="shared" si="105"/>
        <v>150</v>
      </c>
      <c r="AM293" s="10">
        <v>150</v>
      </c>
      <c r="AN293" s="56">
        <f t="shared" si="99"/>
        <v>1</v>
      </c>
      <c r="AP293" s="11">
        <f ca="1">IFERROR(OFFSET(ITEM_RES!$A$1,MATCH(AQ293,ITEM_RES!$J:$J,0)-1,0),0)</f>
        <v>211020801</v>
      </c>
      <c r="AQ293" s="10" t="s">
        <v>458</v>
      </c>
      <c r="AR293" s="11">
        <v>750</v>
      </c>
      <c r="AU293" s="11">
        <f ca="1">IFERROR(OFFSET(ITEM_RES!$A$1,MATCH(AV293,ITEM_RES!$J:$J,0)-1,0),0)</f>
        <v>0</v>
      </c>
      <c r="AZ293" s="11">
        <f ca="1">IFERROR(OFFSET(ITEM_RES!$A$1,MATCH(BA293,ITEM_RES!$J:$J,0)-1,0),0)</f>
        <v>0</v>
      </c>
      <c r="BE293" s="11">
        <f ca="1">IFERROR(OFFSET(ITEM_RES!$A$1,MATCH(BF293,ITEM_RES!$J:$J,0)-1,0),0)</f>
        <v>0</v>
      </c>
      <c r="BJ293" s="11">
        <f ca="1">IFERROR(OFFSET(ITEM_RES!$A$1,MATCH(BK293,ITEM_RES!$J:$J,0)-1,0),0)</f>
        <v>0</v>
      </c>
    </row>
    <row r="294" spans="1:62" x14ac:dyDescent="0.3">
      <c r="A294" s="14">
        <f t="shared" si="101"/>
        <v>111070010</v>
      </c>
      <c r="B294" s="13">
        <v>11</v>
      </c>
      <c r="C294" s="12">
        <f t="shared" si="102"/>
        <v>1</v>
      </c>
      <c r="D294" s="13">
        <v>7</v>
      </c>
      <c r="E294" s="13">
        <v>0</v>
      </c>
      <c r="F294" s="12">
        <f t="shared" si="103"/>
        <v>10</v>
      </c>
      <c r="H294" s="9">
        <v>1</v>
      </c>
      <c r="I294" s="9">
        <v>10</v>
      </c>
      <c r="K294" s="9" t="s">
        <v>783</v>
      </c>
      <c r="L294" s="9">
        <v>1</v>
      </c>
      <c r="M294" s="9">
        <v>15</v>
      </c>
      <c r="R294" s="9" t="s">
        <v>782</v>
      </c>
      <c r="U294" s="9">
        <f ca="1">IFERROR(OFFSET(ITEM_RES!$A$5,MATCH(BUILDING!T294,ITEM_RES!$J$5:$J$229,0)-1,0),0)</f>
        <v>0</v>
      </c>
      <c r="X294" s="9">
        <f ca="1">IFERROR(OFFSET(ITEM_RES!$A$5,MATCH(BUILDING!W294,ITEM_RES!$J$5:$J$229,0)-1,0),0)</f>
        <v>0</v>
      </c>
      <c r="Z294" s="9" t="s">
        <v>555</v>
      </c>
      <c r="AA294" s="9">
        <v>10</v>
      </c>
      <c r="AC294" s="9">
        <v>8000</v>
      </c>
      <c r="AE294" s="56">
        <f t="shared" si="98"/>
        <v>3200</v>
      </c>
      <c r="AF294" s="10">
        <f t="shared" si="107"/>
        <v>5600</v>
      </c>
      <c r="AH294" s="11">
        <f t="shared" si="97"/>
        <v>50</v>
      </c>
      <c r="AI294" s="10">
        <v>50</v>
      </c>
      <c r="AJ294" s="11">
        <f t="shared" si="105"/>
        <v>200</v>
      </c>
      <c r="AK294" s="10">
        <v>200</v>
      </c>
      <c r="AL294" s="11">
        <f t="shared" si="105"/>
        <v>200</v>
      </c>
      <c r="AM294" s="10">
        <v>200</v>
      </c>
      <c r="AN294" s="56">
        <f t="shared" si="99"/>
        <v>1</v>
      </c>
      <c r="AP294" s="11">
        <f ca="1">IFERROR(OFFSET(ITEM_RES!$A$1,MATCH(AQ294,ITEM_RES!$J:$J,0)-1,0),0)</f>
        <v>211020801</v>
      </c>
      <c r="AQ294" s="10" t="s">
        <v>458</v>
      </c>
      <c r="AR294" s="11">
        <v>1000</v>
      </c>
      <c r="AU294" s="11">
        <f ca="1">IFERROR(OFFSET(ITEM_RES!$A$1,MATCH(AV294,ITEM_RES!$J:$J,0)-1,0),0)</f>
        <v>0</v>
      </c>
      <c r="AZ294" s="11">
        <f ca="1">IFERROR(OFFSET(ITEM_RES!$A$1,MATCH(BA294,ITEM_RES!$J:$J,0)-1,0),0)</f>
        <v>0</v>
      </c>
      <c r="BE294" s="11">
        <f ca="1">IFERROR(OFFSET(ITEM_RES!$A$1,MATCH(BF294,ITEM_RES!$J:$J,0)-1,0),0)</f>
        <v>0</v>
      </c>
      <c r="BJ294" s="11">
        <f ca="1">IFERROR(OFFSET(ITEM_RES!$A$1,MATCH(BK294,ITEM_RES!$J:$J,0)-1,0),0)</f>
        <v>0</v>
      </c>
    </row>
    <row r="295" spans="1:62" x14ac:dyDescent="0.3">
      <c r="A295" s="14">
        <f t="shared" si="101"/>
        <v>111070011</v>
      </c>
      <c r="B295" s="13">
        <v>11</v>
      </c>
      <c r="C295" s="12">
        <f t="shared" si="102"/>
        <v>1</v>
      </c>
      <c r="D295" s="13">
        <v>7</v>
      </c>
      <c r="E295" s="13">
        <v>0</v>
      </c>
      <c r="F295" s="12">
        <f t="shared" si="103"/>
        <v>11</v>
      </c>
      <c r="H295" s="9">
        <v>1</v>
      </c>
      <c r="I295" s="9">
        <v>11</v>
      </c>
      <c r="K295" s="9" t="s">
        <v>783</v>
      </c>
      <c r="L295" s="9">
        <v>1</v>
      </c>
      <c r="M295" s="9">
        <v>15</v>
      </c>
      <c r="R295" s="9" t="s">
        <v>782</v>
      </c>
      <c r="U295" s="9">
        <f ca="1">IFERROR(OFFSET(ITEM_RES!$A$5,MATCH(BUILDING!T295,ITEM_RES!$J$5:$J$229,0)-1,0),0)</f>
        <v>0</v>
      </c>
      <c r="X295" s="9">
        <f ca="1">IFERROR(OFFSET(ITEM_RES!$A$5,MATCH(BUILDING!W295,ITEM_RES!$J$5:$J$229,0)-1,0),0)</f>
        <v>0</v>
      </c>
      <c r="Z295" s="9" t="s">
        <v>555</v>
      </c>
      <c r="AA295" s="9">
        <v>11</v>
      </c>
      <c r="AC295" s="9">
        <v>10000</v>
      </c>
      <c r="AE295" s="56">
        <f t="shared" si="98"/>
        <v>4000</v>
      </c>
      <c r="AF295" s="10">
        <f t="shared" si="107"/>
        <v>7200</v>
      </c>
      <c r="AH295" s="11">
        <f t="shared" si="97"/>
        <v>55</v>
      </c>
      <c r="AI295" s="10">
        <v>55</v>
      </c>
      <c r="AJ295" s="11">
        <f t="shared" si="105"/>
        <v>250</v>
      </c>
      <c r="AK295" s="10">
        <v>250</v>
      </c>
      <c r="AL295" s="11">
        <f t="shared" si="105"/>
        <v>250</v>
      </c>
      <c r="AM295" s="10">
        <v>250</v>
      </c>
      <c r="AN295" s="56">
        <f t="shared" si="99"/>
        <v>1</v>
      </c>
      <c r="AP295" s="11">
        <f ca="1">IFERROR(OFFSET(ITEM_RES!$A$1,MATCH(AQ295,ITEM_RES!$J:$J,0)-1,0),0)</f>
        <v>211020801</v>
      </c>
      <c r="AQ295" s="10" t="s">
        <v>458</v>
      </c>
      <c r="AR295" s="11">
        <v>1250</v>
      </c>
      <c r="AU295" s="11">
        <f ca="1">IFERROR(OFFSET(ITEM_RES!$A$1,MATCH(AV295,ITEM_RES!$J:$J,0)-1,0),0)</f>
        <v>0</v>
      </c>
      <c r="AZ295" s="11">
        <f ca="1">IFERROR(OFFSET(ITEM_RES!$A$1,MATCH(BA295,ITEM_RES!$J:$J,0)-1,0),0)</f>
        <v>0</v>
      </c>
      <c r="BE295" s="11">
        <f ca="1">IFERROR(OFFSET(ITEM_RES!$A$1,MATCH(BF295,ITEM_RES!$J:$J,0)-1,0),0)</f>
        <v>0</v>
      </c>
      <c r="BJ295" s="11">
        <f ca="1">IFERROR(OFFSET(ITEM_RES!$A$1,MATCH(BK295,ITEM_RES!$J:$J,0)-1,0),0)</f>
        <v>0</v>
      </c>
    </row>
    <row r="296" spans="1:62" x14ac:dyDescent="0.3">
      <c r="A296" s="14">
        <f t="shared" si="101"/>
        <v>111070012</v>
      </c>
      <c r="B296" s="13">
        <v>11</v>
      </c>
      <c r="C296" s="12">
        <f t="shared" si="102"/>
        <v>1</v>
      </c>
      <c r="D296" s="13">
        <v>7</v>
      </c>
      <c r="E296" s="13">
        <v>0</v>
      </c>
      <c r="F296" s="12">
        <f t="shared" si="103"/>
        <v>12</v>
      </c>
      <c r="H296" s="9">
        <v>1</v>
      </c>
      <c r="I296" s="9">
        <v>12</v>
      </c>
      <c r="K296" s="9" t="s">
        <v>783</v>
      </c>
      <c r="L296" s="9">
        <v>1</v>
      </c>
      <c r="M296" s="9">
        <v>15</v>
      </c>
      <c r="R296" s="9" t="s">
        <v>782</v>
      </c>
      <c r="U296" s="9">
        <f ca="1">IFERROR(OFFSET(ITEM_RES!$A$5,MATCH(BUILDING!T296,ITEM_RES!$J$5:$J$229,0)-1,0),0)</f>
        <v>0</v>
      </c>
      <c r="X296" s="9">
        <f ca="1">IFERROR(OFFSET(ITEM_RES!$A$5,MATCH(BUILDING!W296,ITEM_RES!$J$5:$J$229,0)-1,0),0)</f>
        <v>0</v>
      </c>
      <c r="Z296" s="9" t="s">
        <v>555</v>
      </c>
      <c r="AA296" s="9">
        <v>12</v>
      </c>
      <c r="AC296" s="9">
        <v>12000</v>
      </c>
      <c r="AE296" s="56">
        <f t="shared" si="98"/>
        <v>4800</v>
      </c>
      <c r="AF296" s="10">
        <f t="shared" si="107"/>
        <v>8800</v>
      </c>
      <c r="AH296" s="11">
        <f t="shared" si="97"/>
        <v>60</v>
      </c>
      <c r="AI296" s="10">
        <v>60</v>
      </c>
      <c r="AJ296" s="11">
        <f t="shared" si="105"/>
        <v>300</v>
      </c>
      <c r="AK296" s="10">
        <v>300</v>
      </c>
      <c r="AL296" s="11">
        <f t="shared" si="105"/>
        <v>300</v>
      </c>
      <c r="AM296" s="10">
        <v>300</v>
      </c>
      <c r="AN296" s="56">
        <f t="shared" si="99"/>
        <v>1</v>
      </c>
      <c r="AP296" s="11">
        <f ca="1">IFERROR(OFFSET(ITEM_RES!$A$1,MATCH(AQ296,ITEM_RES!$J:$J,0)-1,0),0)</f>
        <v>211020801</v>
      </c>
      <c r="AQ296" s="10" t="s">
        <v>458</v>
      </c>
      <c r="AR296" s="11">
        <v>1500</v>
      </c>
      <c r="AU296" s="11">
        <f ca="1">IFERROR(OFFSET(ITEM_RES!$A$1,MATCH(AV296,ITEM_RES!$J:$J,0)-1,0),0)</f>
        <v>0</v>
      </c>
      <c r="AZ296" s="11">
        <f ca="1">IFERROR(OFFSET(ITEM_RES!$A$1,MATCH(BA296,ITEM_RES!$J:$J,0)-1,0),0)</f>
        <v>0</v>
      </c>
      <c r="BE296" s="11">
        <f ca="1">IFERROR(OFFSET(ITEM_RES!$A$1,MATCH(BF296,ITEM_RES!$J:$J,0)-1,0),0)</f>
        <v>0</v>
      </c>
      <c r="BJ296" s="11">
        <f ca="1">IFERROR(OFFSET(ITEM_RES!$A$1,MATCH(BK296,ITEM_RES!$J:$J,0)-1,0),0)</f>
        <v>0</v>
      </c>
    </row>
    <row r="297" spans="1:62" x14ac:dyDescent="0.3">
      <c r="A297" s="14">
        <f t="shared" si="101"/>
        <v>111070013</v>
      </c>
      <c r="B297" s="13">
        <v>11</v>
      </c>
      <c r="C297" s="12">
        <f t="shared" si="102"/>
        <v>1</v>
      </c>
      <c r="D297" s="13">
        <v>7</v>
      </c>
      <c r="E297" s="13">
        <v>0</v>
      </c>
      <c r="F297" s="12">
        <f t="shared" si="103"/>
        <v>13</v>
      </c>
      <c r="H297" s="9">
        <v>1</v>
      </c>
      <c r="I297" s="9">
        <v>13</v>
      </c>
      <c r="K297" s="9" t="s">
        <v>783</v>
      </c>
      <c r="L297" s="9">
        <v>1</v>
      </c>
      <c r="M297" s="9">
        <v>15</v>
      </c>
      <c r="R297" s="9" t="s">
        <v>782</v>
      </c>
      <c r="U297" s="9">
        <f ca="1">IFERROR(OFFSET(ITEM_RES!$A$5,MATCH(BUILDING!T297,ITEM_RES!$J$5:$J$229,0)-1,0),0)</f>
        <v>0</v>
      </c>
      <c r="X297" s="9">
        <f ca="1">IFERROR(OFFSET(ITEM_RES!$A$5,MATCH(BUILDING!W297,ITEM_RES!$J$5:$J$229,0)-1,0),0)</f>
        <v>0</v>
      </c>
      <c r="Z297" s="9" t="s">
        <v>555</v>
      </c>
      <c r="AA297" s="9">
        <v>13</v>
      </c>
      <c r="AC297" s="9">
        <v>14000</v>
      </c>
      <c r="AE297" s="56">
        <f t="shared" si="98"/>
        <v>5600</v>
      </c>
      <c r="AF297" s="10">
        <f t="shared" si="107"/>
        <v>10400</v>
      </c>
      <c r="AH297" s="11">
        <f t="shared" si="97"/>
        <v>65</v>
      </c>
      <c r="AI297" s="10">
        <v>65</v>
      </c>
      <c r="AJ297" s="11">
        <f t="shared" si="105"/>
        <v>350</v>
      </c>
      <c r="AK297" s="10">
        <v>350</v>
      </c>
      <c r="AL297" s="11">
        <f t="shared" si="105"/>
        <v>350</v>
      </c>
      <c r="AM297" s="10">
        <v>350</v>
      </c>
      <c r="AN297" s="56">
        <f t="shared" si="99"/>
        <v>1</v>
      </c>
      <c r="AP297" s="11">
        <f ca="1">IFERROR(OFFSET(ITEM_RES!$A$1,MATCH(AQ297,ITEM_RES!$J:$J,0)-1,0),0)</f>
        <v>211020801</v>
      </c>
      <c r="AQ297" s="10" t="s">
        <v>458</v>
      </c>
      <c r="AR297" s="11">
        <v>1750</v>
      </c>
      <c r="AU297" s="11">
        <f ca="1">IFERROR(OFFSET(ITEM_RES!$A$1,MATCH(AV297,ITEM_RES!$J:$J,0)-1,0),0)</f>
        <v>0</v>
      </c>
      <c r="AZ297" s="11">
        <f ca="1">IFERROR(OFFSET(ITEM_RES!$A$1,MATCH(BA297,ITEM_RES!$J:$J,0)-1,0),0)</f>
        <v>0</v>
      </c>
      <c r="BE297" s="11">
        <f ca="1">IFERROR(OFFSET(ITEM_RES!$A$1,MATCH(BF297,ITEM_RES!$J:$J,0)-1,0),0)</f>
        <v>0</v>
      </c>
      <c r="BJ297" s="11">
        <f ca="1">IFERROR(OFFSET(ITEM_RES!$A$1,MATCH(BK297,ITEM_RES!$J:$J,0)-1,0),0)</f>
        <v>0</v>
      </c>
    </row>
    <row r="298" spans="1:62" x14ac:dyDescent="0.3">
      <c r="A298" s="14">
        <f t="shared" si="101"/>
        <v>111070014</v>
      </c>
      <c r="B298" s="13">
        <v>11</v>
      </c>
      <c r="C298" s="12">
        <f t="shared" si="102"/>
        <v>1</v>
      </c>
      <c r="D298" s="13">
        <v>7</v>
      </c>
      <c r="E298" s="13">
        <v>0</v>
      </c>
      <c r="F298" s="12">
        <f t="shared" si="103"/>
        <v>14</v>
      </c>
      <c r="H298" s="9">
        <v>1</v>
      </c>
      <c r="I298" s="9">
        <v>14</v>
      </c>
      <c r="K298" s="9" t="s">
        <v>783</v>
      </c>
      <c r="L298" s="9">
        <v>1</v>
      </c>
      <c r="M298" s="9">
        <v>15</v>
      </c>
      <c r="R298" s="9" t="s">
        <v>782</v>
      </c>
      <c r="U298" s="9">
        <f ca="1">IFERROR(OFFSET(ITEM_RES!$A$5,MATCH(BUILDING!T298,ITEM_RES!$J$5:$J$229,0)-1,0),0)</f>
        <v>0</v>
      </c>
      <c r="X298" s="9">
        <f ca="1">IFERROR(OFFSET(ITEM_RES!$A$5,MATCH(BUILDING!W298,ITEM_RES!$J$5:$J$229,0)-1,0),0)</f>
        <v>0</v>
      </c>
      <c r="Z298" s="9" t="s">
        <v>555</v>
      </c>
      <c r="AA298" s="9">
        <v>14</v>
      </c>
      <c r="AC298" s="9">
        <v>18000</v>
      </c>
      <c r="AE298" s="56">
        <f t="shared" si="98"/>
        <v>7700</v>
      </c>
      <c r="AF298" s="10">
        <f t="shared" si="107"/>
        <v>13300</v>
      </c>
      <c r="AH298" s="11">
        <f t="shared" si="97"/>
        <v>70</v>
      </c>
      <c r="AI298" s="10">
        <v>70</v>
      </c>
      <c r="AJ298" s="11">
        <f t="shared" si="105"/>
        <v>450</v>
      </c>
      <c r="AK298" s="10">
        <v>450</v>
      </c>
      <c r="AL298" s="11">
        <f t="shared" si="105"/>
        <v>450</v>
      </c>
      <c r="AM298" s="10">
        <v>450</v>
      </c>
      <c r="AN298" s="56">
        <f t="shared" si="99"/>
        <v>2</v>
      </c>
      <c r="AP298" s="11">
        <f ca="1">IFERROR(OFFSET(ITEM_RES!$A$1,MATCH(AQ298,ITEM_RES!$J:$J,0)-1,0),0)</f>
        <v>211020801</v>
      </c>
      <c r="AQ298" s="10" t="s">
        <v>458</v>
      </c>
      <c r="AR298" s="11">
        <v>2250</v>
      </c>
      <c r="AU298" s="11">
        <f ca="1">IFERROR(OFFSET(ITEM_RES!$A$1,MATCH(AV298,ITEM_RES!$J:$J,0)-1,0),0)</f>
        <v>0</v>
      </c>
      <c r="AZ298" s="11">
        <f ca="1">IFERROR(OFFSET(ITEM_RES!$A$1,MATCH(BA298,ITEM_RES!$J:$J,0)-1,0),0)</f>
        <v>0</v>
      </c>
      <c r="BE298" s="11">
        <f ca="1">IFERROR(OFFSET(ITEM_RES!$A$1,MATCH(BF298,ITEM_RES!$J:$J,0)-1,0),0)</f>
        <v>213010901</v>
      </c>
      <c r="BF298" s="10" t="s">
        <v>493</v>
      </c>
      <c r="BG298" s="11">
        <v>1</v>
      </c>
      <c r="BJ298" s="11">
        <f ca="1">IFERROR(OFFSET(ITEM_RES!$A$1,MATCH(BK298,ITEM_RES!$J:$J,0)-1,0),0)</f>
        <v>0</v>
      </c>
    </row>
    <row r="299" spans="1:62" x14ac:dyDescent="0.3">
      <c r="A299" s="14">
        <f t="shared" si="101"/>
        <v>111070015</v>
      </c>
      <c r="B299" s="13">
        <v>11</v>
      </c>
      <c r="C299" s="12">
        <f t="shared" si="102"/>
        <v>1</v>
      </c>
      <c r="D299" s="13">
        <v>7</v>
      </c>
      <c r="E299" s="13">
        <v>0</v>
      </c>
      <c r="F299" s="12">
        <f t="shared" si="103"/>
        <v>15</v>
      </c>
      <c r="H299" s="9">
        <v>1</v>
      </c>
      <c r="I299" s="9">
        <v>15</v>
      </c>
      <c r="K299" s="9" t="s">
        <v>783</v>
      </c>
      <c r="L299" s="9">
        <v>1</v>
      </c>
      <c r="M299" s="9">
        <v>15</v>
      </c>
      <c r="R299" s="9" t="s">
        <v>782</v>
      </c>
      <c r="U299" s="9">
        <f ca="1">IFERROR(OFFSET(ITEM_RES!$A$5,MATCH(BUILDING!T299,ITEM_RES!$J$5:$J$229,0)-1,0),0)</f>
        <v>0</v>
      </c>
      <c r="X299" s="9">
        <f ca="1">IFERROR(OFFSET(ITEM_RES!$A$5,MATCH(BUILDING!W299,ITEM_RES!$J$5:$J$229,0)-1,0),0)</f>
        <v>0</v>
      </c>
      <c r="Z299" s="9" t="s">
        <v>555</v>
      </c>
      <c r="AA299" s="9">
        <v>15</v>
      </c>
      <c r="AC299" s="9">
        <v>22000</v>
      </c>
      <c r="AE299" s="56">
        <f t="shared" si="98"/>
        <v>8800</v>
      </c>
      <c r="AF299" s="10">
        <f t="shared" si="107"/>
        <v>16500</v>
      </c>
      <c r="AH299" s="11">
        <f t="shared" si="97"/>
        <v>75</v>
      </c>
      <c r="AI299" s="10">
        <v>75</v>
      </c>
      <c r="AJ299" s="11">
        <f t="shared" si="105"/>
        <v>550</v>
      </c>
      <c r="AK299" s="10">
        <v>550</v>
      </c>
      <c r="AL299" s="11">
        <f t="shared" si="105"/>
        <v>550</v>
      </c>
      <c r="AM299" s="10">
        <v>550</v>
      </c>
      <c r="AN299" s="56">
        <f t="shared" si="99"/>
        <v>1</v>
      </c>
      <c r="AP299" s="11">
        <f ca="1">IFERROR(OFFSET(ITEM_RES!$A$1,MATCH(AQ299,ITEM_RES!$J:$J,0)-1,0),0)</f>
        <v>211020801</v>
      </c>
      <c r="AQ299" s="10" t="s">
        <v>458</v>
      </c>
      <c r="AR299" s="11">
        <v>2750</v>
      </c>
      <c r="AU299" s="11">
        <f ca="1">IFERROR(OFFSET(ITEM_RES!$A$1,MATCH(AV299,ITEM_RES!$J:$J,0)-1,0),0)</f>
        <v>0</v>
      </c>
      <c r="AZ299" s="11">
        <f ca="1">IFERROR(OFFSET(ITEM_RES!$A$1,MATCH(BA299,ITEM_RES!$J:$J,0)-1,0),0)</f>
        <v>0</v>
      </c>
      <c r="BE299" s="11">
        <f ca="1">IFERROR(OFFSET(ITEM_RES!$A$1,MATCH(BF299,ITEM_RES!$J:$J,0)-1,0),0)</f>
        <v>0</v>
      </c>
      <c r="BJ299" s="11">
        <f ca="1">IFERROR(OFFSET(ITEM_RES!$A$1,MATCH(BK299,ITEM_RES!$J:$J,0)-1,0),0)</f>
        <v>0</v>
      </c>
    </row>
    <row r="300" spans="1:62" x14ac:dyDescent="0.3">
      <c r="A300" s="14">
        <f t="shared" si="101"/>
        <v>111070016</v>
      </c>
      <c r="B300" s="13">
        <v>11</v>
      </c>
      <c r="C300" s="12">
        <f t="shared" si="102"/>
        <v>1</v>
      </c>
      <c r="D300" s="13">
        <v>7</v>
      </c>
      <c r="E300" s="13">
        <v>0</v>
      </c>
      <c r="F300" s="12">
        <f t="shared" si="103"/>
        <v>16</v>
      </c>
      <c r="H300" s="9">
        <v>1</v>
      </c>
      <c r="I300" s="9">
        <v>16</v>
      </c>
      <c r="K300" s="9" t="s">
        <v>783</v>
      </c>
      <c r="L300" s="9">
        <v>0</v>
      </c>
      <c r="M300" s="9">
        <v>15</v>
      </c>
      <c r="R300" s="9" t="s">
        <v>782</v>
      </c>
      <c r="U300" s="9">
        <f ca="1">IFERROR(OFFSET(ITEM_RES!$A$5,MATCH(BUILDING!T300,ITEM_RES!$J$5:$J$229,0)-1,0),0)</f>
        <v>0</v>
      </c>
      <c r="X300" s="9">
        <f ca="1">IFERROR(OFFSET(ITEM_RES!$A$5,MATCH(BUILDING!W300,ITEM_RES!$J$5:$J$229,0)-1,0),0)</f>
        <v>0</v>
      </c>
      <c r="Z300" s="9" t="s">
        <v>555</v>
      </c>
      <c r="AA300" s="9">
        <v>16</v>
      </c>
      <c r="AC300" s="9">
        <v>28000</v>
      </c>
      <c r="AE300" s="56">
        <f t="shared" si="98"/>
        <v>11200</v>
      </c>
      <c r="AF300" s="10">
        <f t="shared" si="107"/>
        <v>20000</v>
      </c>
      <c r="AH300" s="11">
        <f t="shared" si="97"/>
        <v>80</v>
      </c>
      <c r="AI300" s="10">
        <v>80</v>
      </c>
      <c r="AJ300" s="11">
        <f t="shared" si="105"/>
        <v>700</v>
      </c>
      <c r="AK300" s="10">
        <v>700</v>
      </c>
      <c r="AL300" s="11">
        <f t="shared" si="105"/>
        <v>700</v>
      </c>
      <c r="AM300" s="10">
        <v>700</v>
      </c>
      <c r="AN300" s="56">
        <f t="shared" si="99"/>
        <v>1</v>
      </c>
      <c r="AP300" s="11">
        <f ca="1">IFERROR(OFFSET(ITEM_RES!$A$1,MATCH(AQ300,ITEM_RES!$J:$J,0)-1,0),0)</f>
        <v>211020801</v>
      </c>
      <c r="AQ300" s="10" t="s">
        <v>458</v>
      </c>
      <c r="AR300" s="11">
        <v>3500</v>
      </c>
      <c r="AU300" s="11">
        <f ca="1">IFERROR(OFFSET(ITEM_RES!$A$1,MATCH(AV300,ITEM_RES!$J:$J,0)-1,0),0)</f>
        <v>0</v>
      </c>
      <c r="AZ300" s="11">
        <f ca="1">IFERROR(OFFSET(ITEM_RES!$A$1,MATCH(BA300,ITEM_RES!$J:$J,0)-1,0),0)</f>
        <v>0</v>
      </c>
      <c r="BE300" s="11">
        <f ca="1">IFERROR(OFFSET(ITEM_RES!$A$1,MATCH(BF300,ITEM_RES!$J:$J,0)-1,0),0)</f>
        <v>0</v>
      </c>
      <c r="BJ300" s="11">
        <f ca="1">IFERROR(OFFSET(ITEM_RES!$A$1,MATCH(BK300,ITEM_RES!$J:$J,0)-1,0),0)</f>
        <v>0</v>
      </c>
    </row>
    <row r="301" spans="1:62" x14ac:dyDescent="0.3">
      <c r="A301" s="14">
        <f t="shared" si="101"/>
        <v>111070017</v>
      </c>
      <c r="B301" s="13">
        <v>11</v>
      </c>
      <c r="C301" s="12">
        <f t="shared" si="102"/>
        <v>1</v>
      </c>
      <c r="D301" s="13">
        <v>7</v>
      </c>
      <c r="E301" s="13">
        <v>0</v>
      </c>
      <c r="F301" s="12">
        <f t="shared" si="103"/>
        <v>17</v>
      </c>
      <c r="H301" s="9">
        <v>1</v>
      </c>
      <c r="I301" s="9">
        <v>17</v>
      </c>
      <c r="K301" s="9" t="s">
        <v>783</v>
      </c>
      <c r="L301" s="9">
        <v>0</v>
      </c>
      <c r="M301" s="9">
        <v>15</v>
      </c>
      <c r="R301" s="9" t="s">
        <v>782</v>
      </c>
      <c r="U301" s="9">
        <f ca="1">IFERROR(OFFSET(ITEM_RES!$A$5,MATCH(BUILDING!T301,ITEM_RES!$J$5:$J$229,0)-1,0),0)</f>
        <v>0</v>
      </c>
      <c r="X301" s="9">
        <f ca="1">IFERROR(OFFSET(ITEM_RES!$A$5,MATCH(BUILDING!W301,ITEM_RES!$J$5:$J$229,0)-1,0),0)</f>
        <v>0</v>
      </c>
      <c r="Z301" s="9" t="s">
        <v>555</v>
      </c>
      <c r="AA301" s="9">
        <v>17</v>
      </c>
      <c r="AC301" s="9">
        <v>34000</v>
      </c>
      <c r="AE301" s="56">
        <f t="shared" si="98"/>
        <v>13600</v>
      </c>
      <c r="AF301" s="10">
        <f t="shared" si="107"/>
        <v>24800</v>
      </c>
      <c r="AH301" s="11">
        <f t="shared" ref="AH301:AH364" si="108">ROUND(AI301,0)</f>
        <v>85</v>
      </c>
      <c r="AI301" s="10">
        <v>85</v>
      </c>
      <c r="AJ301" s="11">
        <f t="shared" si="105"/>
        <v>850</v>
      </c>
      <c r="AK301" s="10">
        <v>850</v>
      </c>
      <c r="AL301" s="11">
        <f t="shared" si="105"/>
        <v>850</v>
      </c>
      <c r="AM301" s="10">
        <v>850</v>
      </c>
      <c r="AN301" s="56">
        <f t="shared" si="99"/>
        <v>1</v>
      </c>
      <c r="AP301" s="11">
        <f ca="1">IFERROR(OFFSET(ITEM_RES!$A$1,MATCH(AQ301,ITEM_RES!$J:$J,0)-1,0),0)</f>
        <v>211020801</v>
      </c>
      <c r="AQ301" s="10" t="s">
        <v>458</v>
      </c>
      <c r="AR301" s="11">
        <v>4250</v>
      </c>
      <c r="AU301" s="11">
        <f ca="1">IFERROR(OFFSET(ITEM_RES!$A$1,MATCH(AV301,ITEM_RES!$J:$J,0)-1,0),0)</f>
        <v>0</v>
      </c>
      <c r="AZ301" s="11">
        <f ca="1">IFERROR(OFFSET(ITEM_RES!$A$1,MATCH(BA301,ITEM_RES!$J:$J,0)-1,0),0)</f>
        <v>0</v>
      </c>
      <c r="BE301" s="11">
        <f ca="1">IFERROR(OFFSET(ITEM_RES!$A$1,MATCH(BF301,ITEM_RES!$J:$J,0)-1,0),0)</f>
        <v>0</v>
      </c>
      <c r="BJ301" s="11">
        <f ca="1">IFERROR(OFFSET(ITEM_RES!$A$1,MATCH(BK301,ITEM_RES!$J:$J,0)-1,0),0)</f>
        <v>0</v>
      </c>
    </row>
    <row r="302" spans="1:62" x14ac:dyDescent="0.3">
      <c r="A302" s="14">
        <f t="shared" si="101"/>
        <v>111070018</v>
      </c>
      <c r="B302" s="13">
        <v>11</v>
      </c>
      <c r="C302" s="12">
        <f t="shared" si="102"/>
        <v>1</v>
      </c>
      <c r="D302" s="13">
        <v>7</v>
      </c>
      <c r="E302" s="13">
        <v>0</v>
      </c>
      <c r="F302" s="12">
        <f t="shared" si="103"/>
        <v>18</v>
      </c>
      <c r="H302" s="9">
        <v>1</v>
      </c>
      <c r="I302" s="9">
        <v>18</v>
      </c>
      <c r="K302" s="9" t="s">
        <v>783</v>
      </c>
      <c r="L302" s="9">
        <v>0</v>
      </c>
      <c r="M302" s="9">
        <v>15</v>
      </c>
      <c r="R302" s="9" t="s">
        <v>782</v>
      </c>
      <c r="U302" s="9">
        <f ca="1">IFERROR(OFFSET(ITEM_RES!$A$5,MATCH(BUILDING!T302,ITEM_RES!$J$5:$J$229,0)-1,0),0)</f>
        <v>0</v>
      </c>
      <c r="X302" s="9">
        <f ca="1">IFERROR(OFFSET(ITEM_RES!$A$5,MATCH(BUILDING!W302,ITEM_RES!$J$5:$J$229,0)-1,0),0)</f>
        <v>0</v>
      </c>
      <c r="Z302" s="9" t="s">
        <v>555</v>
      </c>
      <c r="AA302" s="9">
        <v>18</v>
      </c>
      <c r="AC302" s="9">
        <v>42000</v>
      </c>
      <c r="AE302" s="56">
        <f t="shared" ref="AE302:AE365" si="109">AK302*10+AM302+AR302+AW302+500*BB302+500*BG302+500*BL302</f>
        <v>16800</v>
      </c>
      <c r="AF302" s="10">
        <f t="shared" si="107"/>
        <v>30400</v>
      </c>
      <c r="AH302" s="11">
        <f t="shared" si="108"/>
        <v>90</v>
      </c>
      <c r="AI302" s="10">
        <v>90</v>
      </c>
      <c r="AJ302" s="11">
        <f t="shared" si="105"/>
        <v>1050</v>
      </c>
      <c r="AK302" s="10">
        <v>1050</v>
      </c>
      <c r="AL302" s="11">
        <f t="shared" si="105"/>
        <v>1050</v>
      </c>
      <c r="AM302" s="10">
        <v>1050</v>
      </c>
      <c r="AN302" s="56">
        <f t="shared" ref="AN302:AN365" si="110">(AR302&gt;0)*1+(AW302&gt;0)*1+(BB302&gt;0)*1+(BG302&gt;0)*1+(BL302&gt;0)*1</f>
        <v>1</v>
      </c>
      <c r="AP302" s="11">
        <f ca="1">IFERROR(OFFSET(ITEM_RES!$A$1,MATCH(AQ302,ITEM_RES!$J:$J,0)-1,0),0)</f>
        <v>211020901</v>
      </c>
      <c r="AQ302" s="10" t="s">
        <v>470</v>
      </c>
      <c r="AR302" s="11">
        <v>5250</v>
      </c>
      <c r="AU302" s="11">
        <f ca="1">IFERROR(OFFSET(ITEM_RES!$A$1,MATCH(AV302,ITEM_RES!$J:$J,0)-1,0),0)</f>
        <v>0</v>
      </c>
      <c r="AZ302" s="11">
        <f ca="1">IFERROR(OFFSET(ITEM_RES!$A$1,MATCH(BA302,ITEM_RES!$J:$J,0)-1,0),0)</f>
        <v>0</v>
      </c>
      <c r="BE302" s="11">
        <f ca="1">IFERROR(OFFSET(ITEM_RES!$A$1,MATCH(BF302,ITEM_RES!$J:$J,0)-1,0),0)</f>
        <v>0</v>
      </c>
      <c r="BJ302" s="11">
        <f ca="1">IFERROR(OFFSET(ITEM_RES!$A$1,MATCH(BK302,ITEM_RES!$J:$J,0)-1,0),0)</f>
        <v>0</v>
      </c>
    </row>
    <row r="303" spans="1:62" x14ac:dyDescent="0.3">
      <c r="A303" s="14">
        <f t="shared" si="101"/>
        <v>111070019</v>
      </c>
      <c r="B303" s="13">
        <v>11</v>
      </c>
      <c r="C303" s="12">
        <f t="shared" si="102"/>
        <v>1</v>
      </c>
      <c r="D303" s="13">
        <v>7</v>
      </c>
      <c r="E303" s="13">
        <v>0</v>
      </c>
      <c r="F303" s="12">
        <f t="shared" si="103"/>
        <v>19</v>
      </c>
      <c r="H303" s="9">
        <v>1</v>
      </c>
      <c r="I303" s="9">
        <v>19</v>
      </c>
      <c r="K303" s="9" t="s">
        <v>783</v>
      </c>
      <c r="L303" s="9">
        <v>0</v>
      </c>
      <c r="M303" s="9">
        <v>15</v>
      </c>
      <c r="R303" s="9" t="s">
        <v>782</v>
      </c>
      <c r="U303" s="9">
        <f ca="1">IFERROR(OFFSET(ITEM_RES!$A$5,MATCH(BUILDING!T303,ITEM_RES!$J$5:$J$229,0)-1,0),0)</f>
        <v>0</v>
      </c>
      <c r="X303" s="9">
        <f ca="1">IFERROR(OFFSET(ITEM_RES!$A$5,MATCH(BUILDING!W303,ITEM_RES!$J$5:$J$229,0)-1,0),0)</f>
        <v>0</v>
      </c>
      <c r="Z303" s="9" t="s">
        <v>555</v>
      </c>
      <c r="AA303" s="9">
        <v>19</v>
      </c>
      <c r="AC303" s="9">
        <v>50000</v>
      </c>
      <c r="AE303" s="56">
        <f t="shared" si="109"/>
        <v>20000</v>
      </c>
      <c r="AF303" s="10">
        <f t="shared" si="107"/>
        <v>36800</v>
      </c>
      <c r="AH303" s="11">
        <f t="shared" si="108"/>
        <v>95</v>
      </c>
      <c r="AI303" s="10">
        <v>95</v>
      </c>
      <c r="AJ303" s="11">
        <f t="shared" si="105"/>
        <v>1250</v>
      </c>
      <c r="AK303" s="10">
        <v>1250</v>
      </c>
      <c r="AL303" s="11">
        <f t="shared" si="105"/>
        <v>1250</v>
      </c>
      <c r="AM303" s="10">
        <v>1250</v>
      </c>
      <c r="AN303" s="56">
        <f t="shared" si="110"/>
        <v>1</v>
      </c>
      <c r="AP303" s="11">
        <f ca="1">IFERROR(OFFSET(ITEM_RES!$A$1,MATCH(AQ303,ITEM_RES!$J:$J,0)-1,0),0)</f>
        <v>211020901</v>
      </c>
      <c r="AQ303" s="10" t="s">
        <v>470</v>
      </c>
      <c r="AR303" s="11">
        <v>6250</v>
      </c>
      <c r="AU303" s="11">
        <f ca="1">IFERROR(OFFSET(ITEM_RES!$A$1,MATCH(AV303,ITEM_RES!$J:$J,0)-1,0),0)</f>
        <v>0</v>
      </c>
      <c r="AZ303" s="11">
        <f ca="1">IFERROR(OFFSET(ITEM_RES!$A$1,MATCH(BA303,ITEM_RES!$J:$J,0)-1,0),0)</f>
        <v>0</v>
      </c>
      <c r="BE303" s="11">
        <f ca="1">IFERROR(OFFSET(ITEM_RES!$A$1,MATCH(BF303,ITEM_RES!$J:$J,0)-1,0),0)</f>
        <v>0</v>
      </c>
      <c r="BJ303" s="11">
        <f ca="1">IFERROR(OFFSET(ITEM_RES!$A$1,MATCH(BK303,ITEM_RES!$J:$J,0)-1,0),0)</f>
        <v>0</v>
      </c>
    </row>
    <row r="304" spans="1:62" ht="17.25" thickBot="1" x14ac:dyDescent="0.35">
      <c r="A304" s="14">
        <f t="shared" si="101"/>
        <v>111070020</v>
      </c>
      <c r="B304" s="13">
        <v>11</v>
      </c>
      <c r="C304" s="12">
        <f t="shared" si="102"/>
        <v>1</v>
      </c>
      <c r="D304" s="13">
        <v>7</v>
      </c>
      <c r="E304" s="13">
        <v>0</v>
      </c>
      <c r="F304" s="12">
        <f t="shared" si="103"/>
        <v>20</v>
      </c>
      <c r="H304" s="9">
        <v>1</v>
      </c>
      <c r="I304" s="9">
        <v>20</v>
      </c>
      <c r="K304" s="9" t="s">
        <v>783</v>
      </c>
      <c r="L304" s="9">
        <v>0</v>
      </c>
      <c r="M304" s="9">
        <v>15</v>
      </c>
      <c r="R304" s="9" t="s">
        <v>782</v>
      </c>
      <c r="U304" s="9">
        <f ca="1">IFERROR(OFFSET(ITEM_RES!$A$5,MATCH(BUILDING!T304,ITEM_RES!$J$5:$J$229,0)-1,0),0)</f>
        <v>0</v>
      </c>
      <c r="X304" s="9">
        <f ca="1">IFERROR(OFFSET(ITEM_RES!$A$5,MATCH(BUILDING!W304,ITEM_RES!$J$5:$J$229,0)-1,0),0)</f>
        <v>0</v>
      </c>
      <c r="Z304" s="9" t="s">
        <v>555</v>
      </c>
      <c r="AA304" s="9">
        <v>20</v>
      </c>
      <c r="AC304" s="9">
        <v>60000</v>
      </c>
      <c r="AE304" s="56">
        <f t="shared" si="109"/>
        <v>24000</v>
      </c>
      <c r="AF304" s="10">
        <f t="shared" si="107"/>
        <v>44000</v>
      </c>
      <c r="AH304" s="11">
        <f t="shared" si="108"/>
        <v>100</v>
      </c>
      <c r="AI304" s="10">
        <v>100</v>
      </c>
      <c r="AJ304" s="11">
        <f t="shared" si="105"/>
        <v>1500</v>
      </c>
      <c r="AK304" s="10">
        <v>1500</v>
      </c>
      <c r="AL304" s="11">
        <f t="shared" si="105"/>
        <v>1500</v>
      </c>
      <c r="AM304" s="10">
        <v>1500</v>
      </c>
      <c r="AN304" s="56">
        <f t="shared" si="110"/>
        <v>1</v>
      </c>
      <c r="AP304" s="11">
        <f ca="1">IFERROR(OFFSET(ITEM_RES!$A$1,MATCH(AQ304,ITEM_RES!$J:$J,0)-1,0),0)</f>
        <v>211020901</v>
      </c>
      <c r="AQ304" s="10" t="s">
        <v>470</v>
      </c>
      <c r="AR304" s="11">
        <v>7500</v>
      </c>
      <c r="AU304" s="11">
        <f ca="1">IFERROR(OFFSET(ITEM_RES!$A$1,MATCH(AV304,ITEM_RES!$J:$J,0)-1,0),0)</f>
        <v>0</v>
      </c>
      <c r="AZ304" s="11">
        <f ca="1">IFERROR(OFFSET(ITEM_RES!$A$1,MATCH(BA304,ITEM_RES!$J:$J,0)-1,0),0)</f>
        <v>0</v>
      </c>
      <c r="BE304" s="11">
        <f ca="1">IFERROR(OFFSET(ITEM_RES!$A$1,MATCH(BF304,ITEM_RES!$J:$J,0)-1,0),0)</f>
        <v>0</v>
      </c>
      <c r="BJ304" s="11">
        <f ca="1">IFERROR(OFFSET(ITEM_RES!$A$1,MATCH(BK304,ITEM_RES!$J:$J,0)-1,0),0)</f>
        <v>0</v>
      </c>
    </row>
    <row r="305" spans="1:65" s="15" customFormat="1" x14ac:dyDescent="0.3">
      <c r="A305" s="21">
        <f t="shared" si="101"/>
        <v>111080001</v>
      </c>
      <c r="B305" s="20">
        <v>11</v>
      </c>
      <c r="C305" s="19">
        <f t="shared" si="102"/>
        <v>1</v>
      </c>
      <c r="D305" s="20">
        <v>8</v>
      </c>
      <c r="E305" s="20">
        <v>0</v>
      </c>
      <c r="F305" s="19">
        <f t="shared" si="103"/>
        <v>1</v>
      </c>
      <c r="G305" s="80"/>
      <c r="H305" s="16">
        <v>1</v>
      </c>
      <c r="I305" s="16">
        <v>1</v>
      </c>
      <c r="J305" s="80"/>
      <c r="K305" s="16" t="s">
        <v>366</v>
      </c>
      <c r="L305" s="16">
        <v>1</v>
      </c>
      <c r="M305" s="16">
        <v>15</v>
      </c>
      <c r="N305" s="16"/>
      <c r="O305" s="17"/>
      <c r="P305" s="17"/>
      <c r="Q305" s="18"/>
      <c r="R305" s="16" t="s">
        <v>784</v>
      </c>
      <c r="S305" s="80"/>
      <c r="T305" s="88"/>
      <c r="U305" s="16">
        <f ca="1">IFERROR(OFFSET(ITEM_RES!$A$5,MATCH(BUILDING!T305,ITEM_RES!$J$5:$J$229,0)-1,0),0)</f>
        <v>0</v>
      </c>
      <c r="V305" s="18"/>
      <c r="W305" s="88"/>
      <c r="X305" s="16">
        <f ca="1">IFERROR(OFFSET(ITEM_RES!$A$5,MATCH(BUILDING!W305,ITEM_RES!$J$5:$J$229,0)-1,0),0)</f>
        <v>0</v>
      </c>
      <c r="Y305" s="80"/>
      <c r="Z305" s="16" t="s">
        <v>556</v>
      </c>
      <c r="AA305" s="16">
        <v>1</v>
      </c>
      <c r="AB305" s="80"/>
      <c r="AC305" s="16">
        <v>0</v>
      </c>
      <c r="AD305" s="80"/>
      <c r="AE305" s="57">
        <f t="shared" si="109"/>
        <v>580</v>
      </c>
      <c r="AF305" s="17">
        <f>AE305</f>
        <v>580</v>
      </c>
      <c r="AG305" s="80"/>
      <c r="AH305" s="18">
        <f t="shared" si="108"/>
        <v>5</v>
      </c>
      <c r="AI305" s="17">
        <v>5</v>
      </c>
      <c r="AJ305" s="18">
        <f t="shared" si="105"/>
        <v>5</v>
      </c>
      <c r="AK305" s="17">
        <v>5</v>
      </c>
      <c r="AL305" s="18">
        <f t="shared" si="105"/>
        <v>5</v>
      </c>
      <c r="AM305" s="17">
        <v>5</v>
      </c>
      <c r="AN305" s="57">
        <f t="shared" si="110"/>
        <v>2</v>
      </c>
      <c r="AO305" s="18"/>
      <c r="AP305" s="18">
        <f ca="1">IFERROR(OFFSET(ITEM_RES!$A$1,MATCH(AQ305,ITEM_RES!$J:$J,0)-1,0),0)</f>
        <v>211020801</v>
      </c>
      <c r="AQ305" s="17" t="s">
        <v>458</v>
      </c>
      <c r="AR305" s="18">
        <v>25</v>
      </c>
      <c r="AS305" s="17"/>
      <c r="AT305" s="18"/>
      <c r="AU305" s="18">
        <f ca="1">IFERROR(OFFSET(ITEM_RES!$A$1,MATCH(AV305,ITEM_RES!$J:$J,0)-1,0),0)</f>
        <v>0</v>
      </c>
      <c r="AV305" s="17"/>
      <c r="AW305" s="18"/>
      <c r="AX305" s="17"/>
      <c r="AY305" s="18"/>
      <c r="AZ305" s="18">
        <f ca="1">IFERROR(OFFSET(ITEM_RES!$A$1,MATCH(BA305,ITEM_RES!$J:$J,0)-1,0),0)</f>
        <v>213010101</v>
      </c>
      <c r="BA305" s="17" t="s">
        <v>481</v>
      </c>
      <c r="BB305" s="18">
        <v>1</v>
      </c>
      <c r="BC305" s="17"/>
      <c r="BD305" s="18"/>
      <c r="BE305" s="18">
        <f ca="1">IFERROR(OFFSET(ITEM_RES!$A$1,MATCH(BF305,ITEM_RES!$J:$J,0)-1,0),0)</f>
        <v>0</v>
      </c>
      <c r="BF305" s="17"/>
      <c r="BG305" s="18"/>
      <c r="BH305" s="17"/>
      <c r="BI305" s="18"/>
      <c r="BJ305" s="18">
        <f ca="1">IFERROR(OFFSET(ITEM_RES!$A$1,MATCH(BK305,ITEM_RES!$J:$J,0)-1,0),0)</f>
        <v>0</v>
      </c>
      <c r="BK305" s="17"/>
      <c r="BL305" s="18"/>
      <c r="BM305" s="17"/>
    </row>
    <row r="306" spans="1:65" x14ac:dyDescent="0.3">
      <c r="A306" s="14">
        <f t="shared" si="101"/>
        <v>111080002</v>
      </c>
      <c r="B306" s="13">
        <v>11</v>
      </c>
      <c r="C306" s="12">
        <f t="shared" si="102"/>
        <v>1</v>
      </c>
      <c r="D306" s="13">
        <v>8</v>
      </c>
      <c r="E306" s="13">
        <v>0</v>
      </c>
      <c r="F306" s="12">
        <f t="shared" si="103"/>
        <v>2</v>
      </c>
      <c r="H306" s="9">
        <v>1</v>
      </c>
      <c r="I306" s="9">
        <v>2</v>
      </c>
      <c r="K306" s="9" t="s">
        <v>366</v>
      </c>
      <c r="L306" s="9">
        <v>1</v>
      </c>
      <c r="M306" s="9">
        <v>15</v>
      </c>
      <c r="R306" s="9" t="s">
        <v>784</v>
      </c>
      <c r="U306" s="9">
        <f ca="1">IFERROR(OFFSET(ITEM_RES!$A$5,MATCH(BUILDING!T306,ITEM_RES!$J$5:$J$229,0)-1,0),0)</f>
        <v>0</v>
      </c>
      <c r="X306" s="9">
        <f ca="1">IFERROR(OFFSET(ITEM_RES!$A$5,MATCH(BUILDING!W306,ITEM_RES!$J$5:$J$229,0)-1,0),0)</f>
        <v>0</v>
      </c>
      <c r="Z306" s="9" t="s">
        <v>556</v>
      </c>
      <c r="AA306" s="9">
        <v>2</v>
      </c>
      <c r="AC306" s="9">
        <v>200</v>
      </c>
      <c r="AE306" s="56">
        <f t="shared" si="109"/>
        <v>160</v>
      </c>
      <c r="AF306" s="10">
        <f>AE305+AE306</f>
        <v>740</v>
      </c>
      <c r="AH306" s="11">
        <f t="shared" si="108"/>
        <v>10</v>
      </c>
      <c r="AI306" s="10">
        <v>10</v>
      </c>
      <c r="AJ306" s="11">
        <f t="shared" si="105"/>
        <v>10</v>
      </c>
      <c r="AK306" s="10">
        <v>10</v>
      </c>
      <c r="AL306" s="11">
        <f t="shared" si="105"/>
        <v>10</v>
      </c>
      <c r="AM306" s="10">
        <v>10</v>
      </c>
      <c r="AN306" s="56">
        <f t="shared" si="110"/>
        <v>1</v>
      </c>
      <c r="AP306" s="11">
        <f ca="1">IFERROR(OFFSET(ITEM_RES!$A$1,MATCH(AQ306,ITEM_RES!$J:$J,0)-1,0),0)</f>
        <v>211020801</v>
      </c>
      <c r="AQ306" s="10" t="s">
        <v>458</v>
      </c>
      <c r="AR306" s="11">
        <v>50</v>
      </c>
      <c r="AU306" s="11">
        <f ca="1">IFERROR(OFFSET(ITEM_RES!$A$1,MATCH(AV306,ITEM_RES!$J:$J,0)-1,0),0)</f>
        <v>0</v>
      </c>
      <c r="AZ306" s="11">
        <f ca="1">IFERROR(OFFSET(ITEM_RES!$A$1,MATCH(BA306,ITEM_RES!$J:$J,0)-1,0),0)</f>
        <v>0</v>
      </c>
      <c r="BE306" s="11">
        <f ca="1">IFERROR(OFFSET(ITEM_RES!$A$1,MATCH(BF306,ITEM_RES!$J:$J,0)-1,0),0)</f>
        <v>0</v>
      </c>
      <c r="BJ306" s="11">
        <f ca="1">IFERROR(OFFSET(ITEM_RES!$A$1,MATCH(BK306,ITEM_RES!$J:$J,0)-1,0),0)</f>
        <v>0</v>
      </c>
    </row>
    <row r="307" spans="1:65" x14ac:dyDescent="0.3">
      <c r="A307" s="14">
        <f t="shared" si="101"/>
        <v>111080003</v>
      </c>
      <c r="B307" s="13">
        <v>11</v>
      </c>
      <c r="C307" s="12">
        <f t="shared" si="102"/>
        <v>1</v>
      </c>
      <c r="D307" s="13">
        <v>8</v>
      </c>
      <c r="E307" s="13">
        <v>0</v>
      </c>
      <c r="F307" s="12">
        <f t="shared" si="103"/>
        <v>3</v>
      </c>
      <c r="H307" s="9">
        <v>1</v>
      </c>
      <c r="I307" s="9">
        <v>3</v>
      </c>
      <c r="K307" s="9" t="s">
        <v>366</v>
      </c>
      <c r="L307" s="9">
        <v>1</v>
      </c>
      <c r="M307" s="9">
        <v>15</v>
      </c>
      <c r="R307" s="9" t="s">
        <v>784</v>
      </c>
      <c r="U307" s="9">
        <f ca="1">IFERROR(OFFSET(ITEM_RES!$A$5,MATCH(BUILDING!T307,ITEM_RES!$J$5:$J$229,0)-1,0),0)</f>
        <v>0</v>
      </c>
      <c r="X307" s="9">
        <f ca="1">IFERROR(OFFSET(ITEM_RES!$A$5,MATCH(BUILDING!W307,ITEM_RES!$J$5:$J$229,0)-1,0),0)</f>
        <v>0</v>
      </c>
      <c r="Z307" s="9" t="s">
        <v>556</v>
      </c>
      <c r="AA307" s="9">
        <v>3</v>
      </c>
      <c r="AC307" s="9">
        <v>600</v>
      </c>
      <c r="AE307" s="56">
        <f t="shared" si="109"/>
        <v>240</v>
      </c>
      <c r="AF307" s="10">
        <f t="shared" ref="AF307:AF324" si="111">AE306+AE307</f>
        <v>400</v>
      </c>
      <c r="AH307" s="11">
        <f t="shared" si="108"/>
        <v>15</v>
      </c>
      <c r="AI307" s="10">
        <v>15</v>
      </c>
      <c r="AJ307" s="11">
        <f t="shared" si="105"/>
        <v>15</v>
      </c>
      <c r="AK307" s="10">
        <v>15</v>
      </c>
      <c r="AL307" s="11">
        <f t="shared" si="105"/>
        <v>15</v>
      </c>
      <c r="AM307" s="10">
        <v>15</v>
      </c>
      <c r="AN307" s="56">
        <f t="shared" si="110"/>
        <v>1</v>
      </c>
      <c r="AP307" s="11">
        <f ca="1">IFERROR(OFFSET(ITEM_RES!$A$1,MATCH(AQ307,ITEM_RES!$J:$J,0)-1,0),0)</f>
        <v>211020801</v>
      </c>
      <c r="AQ307" s="10" t="s">
        <v>458</v>
      </c>
      <c r="AR307" s="11">
        <v>75</v>
      </c>
      <c r="AU307" s="11">
        <f ca="1">IFERROR(OFFSET(ITEM_RES!$A$1,MATCH(AV307,ITEM_RES!$J:$J,0)-1,0),0)</f>
        <v>0</v>
      </c>
      <c r="AZ307" s="11">
        <f ca="1">IFERROR(OFFSET(ITEM_RES!$A$1,MATCH(BA307,ITEM_RES!$J:$J,0)-1,0),0)</f>
        <v>0</v>
      </c>
      <c r="BE307" s="11">
        <f ca="1">IFERROR(OFFSET(ITEM_RES!$A$1,MATCH(BF307,ITEM_RES!$J:$J,0)-1,0),0)</f>
        <v>0</v>
      </c>
      <c r="BJ307" s="11">
        <f ca="1">IFERROR(OFFSET(ITEM_RES!$A$1,MATCH(BK307,ITEM_RES!$J:$J,0)-1,0),0)</f>
        <v>0</v>
      </c>
    </row>
    <row r="308" spans="1:65" x14ac:dyDescent="0.3">
      <c r="A308" s="14">
        <f t="shared" si="101"/>
        <v>111080004</v>
      </c>
      <c r="B308" s="13">
        <v>11</v>
      </c>
      <c r="C308" s="12">
        <f t="shared" si="102"/>
        <v>1</v>
      </c>
      <c r="D308" s="13">
        <v>8</v>
      </c>
      <c r="E308" s="13">
        <v>0</v>
      </c>
      <c r="F308" s="12">
        <f t="shared" si="103"/>
        <v>4</v>
      </c>
      <c r="H308" s="9">
        <v>1</v>
      </c>
      <c r="I308" s="9">
        <v>4</v>
      </c>
      <c r="K308" s="9" t="s">
        <v>366</v>
      </c>
      <c r="L308" s="9">
        <v>1</v>
      </c>
      <c r="M308" s="9">
        <v>15</v>
      </c>
      <c r="R308" s="9" t="s">
        <v>784</v>
      </c>
      <c r="U308" s="9">
        <f ca="1">IFERROR(OFFSET(ITEM_RES!$A$5,MATCH(BUILDING!T308,ITEM_RES!$J$5:$J$229,0)-1,0),0)</f>
        <v>0</v>
      </c>
      <c r="X308" s="9">
        <f ca="1">IFERROR(OFFSET(ITEM_RES!$A$5,MATCH(BUILDING!W308,ITEM_RES!$J$5:$J$229,0)-1,0),0)</f>
        <v>0</v>
      </c>
      <c r="Z308" s="9" t="s">
        <v>556</v>
      </c>
      <c r="AA308" s="9">
        <v>4</v>
      </c>
      <c r="AC308" s="9">
        <v>1000</v>
      </c>
      <c r="AE308" s="56">
        <f t="shared" si="109"/>
        <v>400</v>
      </c>
      <c r="AF308" s="10">
        <f t="shared" si="111"/>
        <v>640</v>
      </c>
      <c r="AH308" s="11">
        <f t="shared" si="108"/>
        <v>20</v>
      </c>
      <c r="AI308" s="10">
        <v>20</v>
      </c>
      <c r="AJ308" s="11">
        <f t="shared" si="105"/>
        <v>25</v>
      </c>
      <c r="AK308" s="10">
        <v>25</v>
      </c>
      <c r="AL308" s="11">
        <f t="shared" si="105"/>
        <v>25</v>
      </c>
      <c r="AM308" s="10">
        <v>25</v>
      </c>
      <c r="AN308" s="56">
        <f t="shared" si="110"/>
        <v>1</v>
      </c>
      <c r="AP308" s="11">
        <f ca="1">IFERROR(OFFSET(ITEM_RES!$A$1,MATCH(AQ308,ITEM_RES!$J:$J,0)-1,0),0)</f>
        <v>211020801</v>
      </c>
      <c r="AQ308" s="10" t="s">
        <v>458</v>
      </c>
      <c r="AR308" s="11">
        <v>125</v>
      </c>
      <c r="AU308" s="11">
        <f ca="1">IFERROR(OFFSET(ITEM_RES!$A$1,MATCH(AV308,ITEM_RES!$J:$J,0)-1,0),0)</f>
        <v>0</v>
      </c>
      <c r="AZ308" s="11">
        <f ca="1">IFERROR(OFFSET(ITEM_RES!$A$1,MATCH(BA308,ITEM_RES!$J:$J,0)-1,0),0)</f>
        <v>0</v>
      </c>
      <c r="BE308" s="11">
        <f ca="1">IFERROR(OFFSET(ITEM_RES!$A$1,MATCH(BF308,ITEM_RES!$J:$J,0)-1,0),0)</f>
        <v>0</v>
      </c>
      <c r="BJ308" s="11">
        <f ca="1">IFERROR(OFFSET(ITEM_RES!$A$1,MATCH(BK308,ITEM_RES!$J:$J,0)-1,0),0)</f>
        <v>0</v>
      </c>
    </row>
    <row r="309" spans="1:65" x14ac:dyDescent="0.3">
      <c r="A309" s="14">
        <f t="shared" si="101"/>
        <v>111080005</v>
      </c>
      <c r="B309" s="13">
        <v>11</v>
      </c>
      <c r="C309" s="12">
        <f t="shared" si="102"/>
        <v>1</v>
      </c>
      <c r="D309" s="13">
        <v>8</v>
      </c>
      <c r="E309" s="13">
        <v>0</v>
      </c>
      <c r="F309" s="12">
        <f t="shared" si="103"/>
        <v>5</v>
      </c>
      <c r="H309" s="9">
        <v>1</v>
      </c>
      <c r="I309" s="9">
        <v>5</v>
      </c>
      <c r="K309" s="9" t="s">
        <v>366</v>
      </c>
      <c r="L309" s="9">
        <v>1</v>
      </c>
      <c r="M309" s="9">
        <v>15</v>
      </c>
      <c r="R309" s="9" t="s">
        <v>784</v>
      </c>
      <c r="U309" s="9">
        <f ca="1">IFERROR(OFFSET(ITEM_RES!$A$5,MATCH(BUILDING!T309,ITEM_RES!$J$5:$J$229,0)-1,0),0)</f>
        <v>0</v>
      </c>
      <c r="X309" s="9">
        <f ca="1">IFERROR(OFFSET(ITEM_RES!$A$5,MATCH(BUILDING!W309,ITEM_RES!$J$5:$J$229,0)-1,0),0)</f>
        <v>0</v>
      </c>
      <c r="Z309" s="9" t="s">
        <v>556</v>
      </c>
      <c r="AA309" s="9">
        <v>5</v>
      </c>
      <c r="AC309" s="9">
        <v>1600</v>
      </c>
      <c r="AE309" s="56">
        <f t="shared" si="109"/>
        <v>640</v>
      </c>
      <c r="AF309" s="10">
        <f t="shared" si="111"/>
        <v>1040</v>
      </c>
      <c r="AH309" s="11">
        <f t="shared" si="108"/>
        <v>25</v>
      </c>
      <c r="AI309" s="10">
        <v>25</v>
      </c>
      <c r="AJ309" s="11">
        <f t="shared" si="105"/>
        <v>40</v>
      </c>
      <c r="AK309" s="10">
        <v>40</v>
      </c>
      <c r="AL309" s="11">
        <f t="shared" si="105"/>
        <v>40</v>
      </c>
      <c r="AM309" s="10">
        <v>40</v>
      </c>
      <c r="AN309" s="56">
        <f t="shared" si="110"/>
        <v>1</v>
      </c>
      <c r="AP309" s="11">
        <f ca="1">IFERROR(OFFSET(ITEM_RES!$A$1,MATCH(AQ309,ITEM_RES!$J:$J,0)-1,0),0)</f>
        <v>211020801</v>
      </c>
      <c r="AQ309" s="10" t="s">
        <v>458</v>
      </c>
      <c r="AR309" s="11">
        <v>200</v>
      </c>
      <c r="AU309" s="11">
        <f ca="1">IFERROR(OFFSET(ITEM_RES!$A$1,MATCH(AV309,ITEM_RES!$J:$J,0)-1,0),0)</f>
        <v>0</v>
      </c>
      <c r="AZ309" s="11">
        <f ca="1">IFERROR(OFFSET(ITEM_RES!$A$1,MATCH(BA309,ITEM_RES!$J:$J,0)-1,0),0)</f>
        <v>0</v>
      </c>
      <c r="BE309" s="11">
        <f ca="1">IFERROR(OFFSET(ITEM_RES!$A$1,MATCH(BF309,ITEM_RES!$J:$J,0)-1,0),0)</f>
        <v>0</v>
      </c>
      <c r="BJ309" s="11">
        <f ca="1">IFERROR(OFFSET(ITEM_RES!$A$1,MATCH(BK309,ITEM_RES!$J:$J,0)-1,0),0)</f>
        <v>0</v>
      </c>
    </row>
    <row r="310" spans="1:65" x14ac:dyDescent="0.3">
      <c r="A310" s="14">
        <f t="shared" si="101"/>
        <v>111080006</v>
      </c>
      <c r="B310" s="13">
        <v>11</v>
      </c>
      <c r="C310" s="12">
        <f t="shared" si="102"/>
        <v>1</v>
      </c>
      <c r="D310" s="13">
        <v>8</v>
      </c>
      <c r="E310" s="13">
        <v>0</v>
      </c>
      <c r="F310" s="12">
        <f t="shared" si="103"/>
        <v>6</v>
      </c>
      <c r="H310" s="9">
        <v>1</v>
      </c>
      <c r="I310" s="9">
        <v>6</v>
      </c>
      <c r="K310" s="9" t="s">
        <v>366</v>
      </c>
      <c r="L310" s="9">
        <v>1</v>
      </c>
      <c r="M310" s="9">
        <v>15</v>
      </c>
      <c r="R310" s="9" t="s">
        <v>784</v>
      </c>
      <c r="U310" s="9">
        <f ca="1">IFERROR(OFFSET(ITEM_RES!$A$5,MATCH(BUILDING!T310,ITEM_RES!$J$5:$J$229,0)-1,0),0)</f>
        <v>0</v>
      </c>
      <c r="X310" s="9">
        <f ca="1">IFERROR(OFFSET(ITEM_RES!$A$5,MATCH(BUILDING!W310,ITEM_RES!$J$5:$J$229,0)-1,0),0)</f>
        <v>0</v>
      </c>
      <c r="Z310" s="9" t="s">
        <v>556</v>
      </c>
      <c r="AA310" s="9">
        <v>6</v>
      </c>
      <c r="AC310" s="9">
        <v>2000</v>
      </c>
      <c r="AE310" s="56">
        <f t="shared" si="109"/>
        <v>800</v>
      </c>
      <c r="AF310" s="10">
        <f t="shared" si="111"/>
        <v>1440</v>
      </c>
      <c r="AH310" s="11">
        <f t="shared" si="108"/>
        <v>30</v>
      </c>
      <c r="AI310" s="10">
        <v>30</v>
      </c>
      <c r="AJ310" s="11">
        <f t="shared" si="105"/>
        <v>50</v>
      </c>
      <c r="AK310" s="10">
        <v>50</v>
      </c>
      <c r="AL310" s="11">
        <f t="shared" si="105"/>
        <v>50</v>
      </c>
      <c r="AM310" s="10">
        <v>50</v>
      </c>
      <c r="AN310" s="56">
        <f t="shared" si="110"/>
        <v>1</v>
      </c>
      <c r="AP310" s="11">
        <f ca="1">IFERROR(OFFSET(ITEM_RES!$A$1,MATCH(AQ310,ITEM_RES!$J:$J,0)-1,0),0)</f>
        <v>211020801</v>
      </c>
      <c r="AQ310" s="10" t="s">
        <v>458</v>
      </c>
      <c r="AR310" s="11">
        <v>250</v>
      </c>
      <c r="AU310" s="11">
        <f ca="1">IFERROR(OFFSET(ITEM_RES!$A$1,MATCH(AV310,ITEM_RES!$J:$J,0)-1,0),0)</f>
        <v>0</v>
      </c>
      <c r="AZ310" s="11">
        <f ca="1">IFERROR(OFFSET(ITEM_RES!$A$1,MATCH(BA310,ITEM_RES!$J:$J,0)-1,0),0)</f>
        <v>0</v>
      </c>
      <c r="BE310" s="11">
        <f ca="1">IFERROR(OFFSET(ITEM_RES!$A$1,MATCH(BF310,ITEM_RES!$J:$J,0)-1,0),0)</f>
        <v>0</v>
      </c>
      <c r="BJ310" s="11">
        <f ca="1">IFERROR(OFFSET(ITEM_RES!$A$1,MATCH(BK310,ITEM_RES!$J:$J,0)-1,0),0)</f>
        <v>0</v>
      </c>
    </row>
    <row r="311" spans="1:65" x14ac:dyDescent="0.3">
      <c r="A311" s="14">
        <f t="shared" si="101"/>
        <v>111080007</v>
      </c>
      <c r="B311" s="13">
        <v>11</v>
      </c>
      <c r="C311" s="12">
        <f t="shared" si="102"/>
        <v>1</v>
      </c>
      <c r="D311" s="13">
        <v>8</v>
      </c>
      <c r="E311" s="13">
        <v>0</v>
      </c>
      <c r="F311" s="12">
        <f t="shared" si="103"/>
        <v>7</v>
      </c>
      <c r="H311" s="9">
        <v>1</v>
      </c>
      <c r="I311" s="9">
        <v>7</v>
      </c>
      <c r="K311" s="9" t="s">
        <v>366</v>
      </c>
      <c r="L311" s="9">
        <v>1</v>
      </c>
      <c r="M311" s="9">
        <v>15</v>
      </c>
      <c r="R311" s="9" t="s">
        <v>784</v>
      </c>
      <c r="U311" s="9">
        <f ca="1">IFERROR(OFFSET(ITEM_RES!$A$5,MATCH(BUILDING!T311,ITEM_RES!$J$5:$J$229,0)-1,0),0)</f>
        <v>0</v>
      </c>
      <c r="X311" s="9">
        <f ca="1">IFERROR(OFFSET(ITEM_RES!$A$5,MATCH(BUILDING!W311,ITEM_RES!$J$5:$J$229,0)-1,0),0)</f>
        <v>0</v>
      </c>
      <c r="Z311" s="9" t="s">
        <v>556</v>
      </c>
      <c r="AA311" s="9">
        <v>7</v>
      </c>
      <c r="AC311" s="9">
        <v>4000</v>
      </c>
      <c r="AE311" s="56">
        <f t="shared" si="109"/>
        <v>1600</v>
      </c>
      <c r="AF311" s="10">
        <f t="shared" si="111"/>
        <v>2400</v>
      </c>
      <c r="AH311" s="11">
        <f t="shared" si="108"/>
        <v>35</v>
      </c>
      <c r="AI311" s="10">
        <v>35</v>
      </c>
      <c r="AJ311" s="11">
        <f t="shared" si="105"/>
        <v>100</v>
      </c>
      <c r="AK311" s="10">
        <v>100</v>
      </c>
      <c r="AL311" s="11">
        <f t="shared" si="105"/>
        <v>100</v>
      </c>
      <c r="AM311" s="10">
        <v>100</v>
      </c>
      <c r="AN311" s="56">
        <f t="shared" si="110"/>
        <v>1</v>
      </c>
      <c r="AP311" s="11">
        <f ca="1">IFERROR(OFFSET(ITEM_RES!$A$1,MATCH(AQ311,ITEM_RES!$J:$J,0)-1,0),0)</f>
        <v>211020801</v>
      </c>
      <c r="AQ311" s="10" t="s">
        <v>458</v>
      </c>
      <c r="AR311" s="11">
        <v>500</v>
      </c>
      <c r="AU311" s="11">
        <f ca="1">IFERROR(OFFSET(ITEM_RES!$A$1,MATCH(AV311,ITEM_RES!$J:$J,0)-1,0),0)</f>
        <v>0</v>
      </c>
      <c r="AZ311" s="11">
        <f ca="1">IFERROR(OFFSET(ITEM_RES!$A$1,MATCH(BA311,ITEM_RES!$J:$J,0)-1,0),0)</f>
        <v>0</v>
      </c>
      <c r="BE311" s="11">
        <f ca="1">IFERROR(OFFSET(ITEM_RES!$A$1,MATCH(BF311,ITEM_RES!$J:$J,0)-1,0),0)</f>
        <v>0</v>
      </c>
      <c r="BJ311" s="11">
        <f ca="1">IFERROR(OFFSET(ITEM_RES!$A$1,MATCH(BK311,ITEM_RES!$J:$J,0)-1,0),0)</f>
        <v>0</v>
      </c>
    </row>
    <row r="312" spans="1:65" x14ac:dyDescent="0.3">
      <c r="A312" s="14">
        <f t="shared" si="101"/>
        <v>111080008</v>
      </c>
      <c r="B312" s="13">
        <v>11</v>
      </c>
      <c r="C312" s="12">
        <f t="shared" si="102"/>
        <v>1</v>
      </c>
      <c r="D312" s="13">
        <v>8</v>
      </c>
      <c r="E312" s="13">
        <v>0</v>
      </c>
      <c r="F312" s="12">
        <f t="shared" si="103"/>
        <v>8</v>
      </c>
      <c r="H312" s="9">
        <v>1</v>
      </c>
      <c r="I312" s="9">
        <v>8</v>
      </c>
      <c r="K312" s="9" t="s">
        <v>366</v>
      </c>
      <c r="L312" s="9">
        <v>1</v>
      </c>
      <c r="M312" s="9">
        <v>15</v>
      </c>
      <c r="R312" s="9" t="s">
        <v>784</v>
      </c>
      <c r="U312" s="9">
        <f ca="1">IFERROR(OFFSET(ITEM_RES!$A$5,MATCH(BUILDING!T312,ITEM_RES!$J$5:$J$229,0)-1,0),0)</f>
        <v>0</v>
      </c>
      <c r="X312" s="9">
        <f ca="1">IFERROR(OFFSET(ITEM_RES!$A$5,MATCH(BUILDING!W312,ITEM_RES!$J$5:$J$229,0)-1,0),0)</f>
        <v>0</v>
      </c>
      <c r="Z312" s="9" t="s">
        <v>556</v>
      </c>
      <c r="AA312" s="9">
        <v>8</v>
      </c>
      <c r="AC312" s="9">
        <v>4000</v>
      </c>
      <c r="AE312" s="56">
        <f t="shared" si="109"/>
        <v>1600</v>
      </c>
      <c r="AF312" s="10">
        <f t="shared" si="111"/>
        <v>3200</v>
      </c>
      <c r="AH312" s="11">
        <f t="shared" si="108"/>
        <v>40</v>
      </c>
      <c r="AI312" s="10">
        <v>40</v>
      </c>
      <c r="AJ312" s="11">
        <f t="shared" si="105"/>
        <v>100</v>
      </c>
      <c r="AK312" s="10">
        <v>100</v>
      </c>
      <c r="AL312" s="11">
        <f t="shared" si="105"/>
        <v>100</v>
      </c>
      <c r="AM312" s="10">
        <v>100</v>
      </c>
      <c r="AN312" s="56">
        <f t="shared" si="110"/>
        <v>1</v>
      </c>
      <c r="AP312" s="11">
        <f ca="1">IFERROR(OFFSET(ITEM_RES!$A$1,MATCH(AQ312,ITEM_RES!$J:$J,0)-1,0),0)</f>
        <v>211020801</v>
      </c>
      <c r="AQ312" s="10" t="s">
        <v>458</v>
      </c>
      <c r="AR312" s="11">
        <v>500</v>
      </c>
      <c r="AU312" s="11">
        <f ca="1">IFERROR(OFFSET(ITEM_RES!$A$1,MATCH(AV312,ITEM_RES!$J:$J,0)-1,0),0)</f>
        <v>0</v>
      </c>
      <c r="AZ312" s="11">
        <f ca="1">IFERROR(OFFSET(ITEM_RES!$A$1,MATCH(BA312,ITEM_RES!$J:$J,0)-1,0),0)</f>
        <v>0</v>
      </c>
      <c r="BE312" s="11">
        <f ca="1">IFERROR(OFFSET(ITEM_RES!$A$1,MATCH(BF312,ITEM_RES!$J:$J,0)-1,0),0)</f>
        <v>0</v>
      </c>
      <c r="BJ312" s="11">
        <f ca="1">IFERROR(OFFSET(ITEM_RES!$A$1,MATCH(BK312,ITEM_RES!$J:$J,0)-1,0),0)</f>
        <v>0</v>
      </c>
    </row>
    <row r="313" spans="1:65" x14ac:dyDescent="0.3">
      <c r="A313" s="14">
        <f t="shared" si="101"/>
        <v>111080009</v>
      </c>
      <c r="B313" s="13">
        <v>11</v>
      </c>
      <c r="C313" s="12">
        <f t="shared" si="102"/>
        <v>1</v>
      </c>
      <c r="D313" s="13">
        <v>8</v>
      </c>
      <c r="E313" s="13">
        <v>0</v>
      </c>
      <c r="F313" s="12">
        <f t="shared" si="103"/>
        <v>9</v>
      </c>
      <c r="H313" s="9">
        <v>1</v>
      </c>
      <c r="I313" s="9">
        <v>9</v>
      </c>
      <c r="K313" s="9" t="s">
        <v>366</v>
      </c>
      <c r="L313" s="9">
        <v>1</v>
      </c>
      <c r="M313" s="9">
        <v>15</v>
      </c>
      <c r="R313" s="9" t="s">
        <v>784</v>
      </c>
      <c r="U313" s="9">
        <f ca="1">IFERROR(OFFSET(ITEM_RES!$A$5,MATCH(BUILDING!T313,ITEM_RES!$J$5:$J$229,0)-1,0),0)</f>
        <v>0</v>
      </c>
      <c r="X313" s="9">
        <f ca="1">IFERROR(OFFSET(ITEM_RES!$A$5,MATCH(BUILDING!W313,ITEM_RES!$J$5:$J$229,0)-1,0),0)</f>
        <v>0</v>
      </c>
      <c r="Z313" s="9" t="s">
        <v>556</v>
      </c>
      <c r="AA313" s="9">
        <v>9</v>
      </c>
      <c r="AC313" s="9">
        <v>6000</v>
      </c>
      <c r="AE313" s="56">
        <f t="shared" si="109"/>
        <v>2400</v>
      </c>
      <c r="AF313" s="10">
        <f t="shared" si="111"/>
        <v>4000</v>
      </c>
      <c r="AH313" s="11">
        <f t="shared" si="108"/>
        <v>45</v>
      </c>
      <c r="AI313" s="10">
        <v>45</v>
      </c>
      <c r="AJ313" s="11">
        <f t="shared" si="105"/>
        <v>150</v>
      </c>
      <c r="AK313" s="10">
        <v>150</v>
      </c>
      <c r="AL313" s="11">
        <f t="shared" si="105"/>
        <v>150</v>
      </c>
      <c r="AM313" s="10">
        <v>150</v>
      </c>
      <c r="AN313" s="56">
        <f t="shared" si="110"/>
        <v>1</v>
      </c>
      <c r="AP313" s="11">
        <f ca="1">IFERROR(OFFSET(ITEM_RES!$A$1,MATCH(AQ313,ITEM_RES!$J:$J,0)-1,0),0)</f>
        <v>211020801</v>
      </c>
      <c r="AQ313" s="10" t="s">
        <v>458</v>
      </c>
      <c r="AR313" s="11">
        <v>750</v>
      </c>
      <c r="AU313" s="11">
        <f ca="1">IFERROR(OFFSET(ITEM_RES!$A$1,MATCH(AV313,ITEM_RES!$J:$J,0)-1,0),0)</f>
        <v>0</v>
      </c>
      <c r="AZ313" s="11">
        <f ca="1">IFERROR(OFFSET(ITEM_RES!$A$1,MATCH(BA313,ITEM_RES!$J:$J,0)-1,0),0)</f>
        <v>0</v>
      </c>
      <c r="BE313" s="11">
        <f ca="1">IFERROR(OFFSET(ITEM_RES!$A$1,MATCH(BF313,ITEM_RES!$J:$J,0)-1,0),0)</f>
        <v>0</v>
      </c>
      <c r="BJ313" s="11">
        <f ca="1">IFERROR(OFFSET(ITEM_RES!$A$1,MATCH(BK313,ITEM_RES!$J:$J,0)-1,0),0)</f>
        <v>0</v>
      </c>
    </row>
    <row r="314" spans="1:65" x14ac:dyDescent="0.3">
      <c r="A314" s="14">
        <f t="shared" si="101"/>
        <v>111080010</v>
      </c>
      <c r="B314" s="13">
        <v>11</v>
      </c>
      <c r="C314" s="12">
        <f t="shared" si="102"/>
        <v>1</v>
      </c>
      <c r="D314" s="13">
        <v>8</v>
      </c>
      <c r="E314" s="13">
        <v>0</v>
      </c>
      <c r="F314" s="12">
        <f t="shared" si="103"/>
        <v>10</v>
      </c>
      <c r="H314" s="9">
        <v>1</v>
      </c>
      <c r="I314" s="9">
        <v>10</v>
      </c>
      <c r="K314" s="9" t="s">
        <v>366</v>
      </c>
      <c r="L314" s="9">
        <v>1</v>
      </c>
      <c r="M314" s="9">
        <v>15</v>
      </c>
      <c r="R314" s="9" t="s">
        <v>784</v>
      </c>
      <c r="U314" s="9">
        <f ca="1">IFERROR(OFFSET(ITEM_RES!$A$5,MATCH(BUILDING!T314,ITEM_RES!$J$5:$J$229,0)-1,0),0)</f>
        <v>0</v>
      </c>
      <c r="X314" s="9">
        <f ca="1">IFERROR(OFFSET(ITEM_RES!$A$5,MATCH(BUILDING!W314,ITEM_RES!$J$5:$J$229,0)-1,0),0)</f>
        <v>0</v>
      </c>
      <c r="Z314" s="9" t="s">
        <v>556</v>
      </c>
      <c r="AA314" s="9">
        <v>10</v>
      </c>
      <c r="AC314" s="9">
        <v>8000</v>
      </c>
      <c r="AE314" s="56">
        <f t="shared" si="109"/>
        <v>3200</v>
      </c>
      <c r="AF314" s="10">
        <f t="shared" si="111"/>
        <v>5600</v>
      </c>
      <c r="AH314" s="11">
        <f t="shared" si="108"/>
        <v>50</v>
      </c>
      <c r="AI314" s="10">
        <v>50</v>
      </c>
      <c r="AJ314" s="11">
        <f t="shared" si="105"/>
        <v>200</v>
      </c>
      <c r="AK314" s="10">
        <v>200</v>
      </c>
      <c r="AL314" s="11">
        <f t="shared" si="105"/>
        <v>200</v>
      </c>
      <c r="AM314" s="10">
        <v>200</v>
      </c>
      <c r="AN314" s="56">
        <f t="shared" si="110"/>
        <v>1</v>
      </c>
      <c r="AP314" s="11">
        <f ca="1">IFERROR(OFFSET(ITEM_RES!$A$1,MATCH(AQ314,ITEM_RES!$J:$J,0)-1,0),0)</f>
        <v>211020801</v>
      </c>
      <c r="AQ314" s="10" t="s">
        <v>458</v>
      </c>
      <c r="AR314" s="11">
        <v>1000</v>
      </c>
      <c r="AU314" s="11">
        <f ca="1">IFERROR(OFFSET(ITEM_RES!$A$1,MATCH(AV314,ITEM_RES!$J:$J,0)-1,0),0)</f>
        <v>0</v>
      </c>
      <c r="AZ314" s="11">
        <f ca="1">IFERROR(OFFSET(ITEM_RES!$A$1,MATCH(BA314,ITEM_RES!$J:$J,0)-1,0),0)</f>
        <v>0</v>
      </c>
      <c r="BE314" s="11">
        <f ca="1">IFERROR(OFFSET(ITEM_RES!$A$1,MATCH(BF314,ITEM_RES!$J:$J,0)-1,0),0)</f>
        <v>0</v>
      </c>
      <c r="BJ314" s="11">
        <f ca="1">IFERROR(OFFSET(ITEM_RES!$A$1,MATCH(BK314,ITEM_RES!$J:$J,0)-1,0),0)</f>
        <v>0</v>
      </c>
    </row>
    <row r="315" spans="1:65" x14ac:dyDescent="0.3">
      <c r="A315" s="14">
        <f t="shared" si="101"/>
        <v>111080011</v>
      </c>
      <c r="B315" s="13">
        <v>11</v>
      </c>
      <c r="C315" s="12">
        <f t="shared" si="102"/>
        <v>1</v>
      </c>
      <c r="D315" s="13">
        <v>8</v>
      </c>
      <c r="E315" s="13">
        <v>0</v>
      </c>
      <c r="F315" s="12">
        <f t="shared" si="103"/>
        <v>11</v>
      </c>
      <c r="H315" s="9">
        <v>1</v>
      </c>
      <c r="I315" s="9">
        <v>11</v>
      </c>
      <c r="K315" s="9" t="s">
        <v>366</v>
      </c>
      <c r="L315" s="9">
        <v>1</v>
      </c>
      <c r="M315" s="9">
        <v>15</v>
      </c>
      <c r="R315" s="9" t="s">
        <v>784</v>
      </c>
      <c r="U315" s="9">
        <f ca="1">IFERROR(OFFSET(ITEM_RES!$A$5,MATCH(BUILDING!T315,ITEM_RES!$J$5:$J$229,0)-1,0),0)</f>
        <v>0</v>
      </c>
      <c r="X315" s="9">
        <f ca="1">IFERROR(OFFSET(ITEM_RES!$A$5,MATCH(BUILDING!W315,ITEM_RES!$J$5:$J$229,0)-1,0),0)</f>
        <v>0</v>
      </c>
      <c r="Z315" s="9" t="s">
        <v>556</v>
      </c>
      <c r="AA315" s="9">
        <v>11</v>
      </c>
      <c r="AC315" s="9">
        <v>10000</v>
      </c>
      <c r="AE315" s="56">
        <f t="shared" si="109"/>
        <v>4000</v>
      </c>
      <c r="AF315" s="10">
        <f t="shared" si="111"/>
        <v>7200</v>
      </c>
      <c r="AH315" s="11">
        <f t="shared" si="108"/>
        <v>55</v>
      </c>
      <c r="AI315" s="10">
        <v>55</v>
      </c>
      <c r="AJ315" s="11">
        <f t="shared" si="105"/>
        <v>250</v>
      </c>
      <c r="AK315" s="10">
        <v>250</v>
      </c>
      <c r="AL315" s="11">
        <f t="shared" si="105"/>
        <v>250</v>
      </c>
      <c r="AM315" s="10">
        <v>250</v>
      </c>
      <c r="AN315" s="56">
        <f t="shared" si="110"/>
        <v>1</v>
      </c>
      <c r="AP315" s="11">
        <f ca="1">IFERROR(OFFSET(ITEM_RES!$A$1,MATCH(AQ315,ITEM_RES!$J:$J,0)-1,0),0)</f>
        <v>211020801</v>
      </c>
      <c r="AQ315" s="10" t="s">
        <v>458</v>
      </c>
      <c r="AR315" s="11">
        <v>1250</v>
      </c>
      <c r="AU315" s="11">
        <f ca="1">IFERROR(OFFSET(ITEM_RES!$A$1,MATCH(AV315,ITEM_RES!$J:$J,0)-1,0),0)</f>
        <v>0</v>
      </c>
      <c r="AZ315" s="11">
        <f ca="1">IFERROR(OFFSET(ITEM_RES!$A$1,MATCH(BA315,ITEM_RES!$J:$J,0)-1,0),0)</f>
        <v>0</v>
      </c>
      <c r="BE315" s="11">
        <f ca="1">IFERROR(OFFSET(ITEM_RES!$A$1,MATCH(BF315,ITEM_RES!$J:$J,0)-1,0),0)</f>
        <v>0</v>
      </c>
      <c r="BJ315" s="11">
        <f ca="1">IFERROR(OFFSET(ITEM_RES!$A$1,MATCH(BK315,ITEM_RES!$J:$J,0)-1,0),0)</f>
        <v>0</v>
      </c>
    </row>
    <row r="316" spans="1:65" x14ac:dyDescent="0.3">
      <c r="A316" s="14">
        <f t="shared" si="101"/>
        <v>111080012</v>
      </c>
      <c r="B316" s="13">
        <v>11</v>
      </c>
      <c r="C316" s="12">
        <f t="shared" si="102"/>
        <v>1</v>
      </c>
      <c r="D316" s="13">
        <v>8</v>
      </c>
      <c r="E316" s="13">
        <v>0</v>
      </c>
      <c r="F316" s="12">
        <f t="shared" si="103"/>
        <v>12</v>
      </c>
      <c r="H316" s="9">
        <v>1</v>
      </c>
      <c r="I316" s="9">
        <v>12</v>
      </c>
      <c r="K316" s="9" t="s">
        <v>366</v>
      </c>
      <c r="L316" s="9">
        <v>1</v>
      </c>
      <c r="M316" s="9">
        <v>15</v>
      </c>
      <c r="R316" s="9" t="s">
        <v>784</v>
      </c>
      <c r="U316" s="9">
        <f ca="1">IFERROR(OFFSET(ITEM_RES!$A$5,MATCH(BUILDING!T316,ITEM_RES!$J$5:$J$229,0)-1,0),0)</f>
        <v>0</v>
      </c>
      <c r="X316" s="9">
        <f ca="1">IFERROR(OFFSET(ITEM_RES!$A$5,MATCH(BUILDING!W316,ITEM_RES!$J$5:$J$229,0)-1,0),0)</f>
        <v>0</v>
      </c>
      <c r="Z316" s="9" t="s">
        <v>556</v>
      </c>
      <c r="AA316" s="9">
        <v>12</v>
      </c>
      <c r="AC316" s="9">
        <v>12000</v>
      </c>
      <c r="AE316" s="56">
        <f t="shared" si="109"/>
        <v>4800</v>
      </c>
      <c r="AF316" s="10">
        <f t="shared" si="111"/>
        <v>8800</v>
      </c>
      <c r="AH316" s="11">
        <f t="shared" si="108"/>
        <v>60</v>
      </c>
      <c r="AI316" s="10">
        <v>60</v>
      </c>
      <c r="AJ316" s="11">
        <f t="shared" si="105"/>
        <v>300</v>
      </c>
      <c r="AK316" s="10">
        <v>300</v>
      </c>
      <c r="AL316" s="11">
        <f t="shared" si="105"/>
        <v>300</v>
      </c>
      <c r="AM316" s="10">
        <v>300</v>
      </c>
      <c r="AN316" s="56">
        <f t="shared" si="110"/>
        <v>1</v>
      </c>
      <c r="AP316" s="11">
        <f ca="1">IFERROR(OFFSET(ITEM_RES!$A$1,MATCH(AQ316,ITEM_RES!$J:$J,0)-1,0),0)</f>
        <v>211020801</v>
      </c>
      <c r="AQ316" s="10" t="s">
        <v>458</v>
      </c>
      <c r="AR316" s="11">
        <v>1500</v>
      </c>
      <c r="AU316" s="11">
        <f ca="1">IFERROR(OFFSET(ITEM_RES!$A$1,MATCH(AV316,ITEM_RES!$J:$J,0)-1,0),0)</f>
        <v>0</v>
      </c>
      <c r="AZ316" s="11">
        <f ca="1">IFERROR(OFFSET(ITEM_RES!$A$1,MATCH(BA316,ITEM_RES!$J:$J,0)-1,0),0)</f>
        <v>0</v>
      </c>
      <c r="BE316" s="11">
        <f ca="1">IFERROR(OFFSET(ITEM_RES!$A$1,MATCH(BF316,ITEM_RES!$J:$J,0)-1,0),0)</f>
        <v>0</v>
      </c>
      <c r="BJ316" s="11">
        <f ca="1">IFERROR(OFFSET(ITEM_RES!$A$1,MATCH(BK316,ITEM_RES!$J:$J,0)-1,0),0)</f>
        <v>0</v>
      </c>
    </row>
    <row r="317" spans="1:65" x14ac:dyDescent="0.3">
      <c r="A317" s="14">
        <f t="shared" si="101"/>
        <v>111080013</v>
      </c>
      <c r="B317" s="13">
        <v>11</v>
      </c>
      <c r="C317" s="12">
        <f t="shared" si="102"/>
        <v>1</v>
      </c>
      <c r="D317" s="13">
        <v>8</v>
      </c>
      <c r="E317" s="13">
        <v>0</v>
      </c>
      <c r="F317" s="12">
        <f t="shared" si="103"/>
        <v>13</v>
      </c>
      <c r="H317" s="9">
        <v>1</v>
      </c>
      <c r="I317" s="9">
        <v>13</v>
      </c>
      <c r="K317" s="9" t="s">
        <v>366</v>
      </c>
      <c r="L317" s="9">
        <v>1</v>
      </c>
      <c r="M317" s="9">
        <v>15</v>
      </c>
      <c r="R317" s="9" t="s">
        <v>784</v>
      </c>
      <c r="U317" s="9">
        <f ca="1">IFERROR(OFFSET(ITEM_RES!$A$5,MATCH(BUILDING!T317,ITEM_RES!$J$5:$J$229,0)-1,0),0)</f>
        <v>0</v>
      </c>
      <c r="X317" s="9">
        <f ca="1">IFERROR(OFFSET(ITEM_RES!$A$5,MATCH(BUILDING!W317,ITEM_RES!$J$5:$J$229,0)-1,0),0)</f>
        <v>0</v>
      </c>
      <c r="Z317" s="9" t="s">
        <v>556</v>
      </c>
      <c r="AA317" s="9">
        <v>13</v>
      </c>
      <c r="AC317" s="9">
        <v>14000</v>
      </c>
      <c r="AE317" s="56">
        <f t="shared" si="109"/>
        <v>5600</v>
      </c>
      <c r="AF317" s="10">
        <f t="shared" si="111"/>
        <v>10400</v>
      </c>
      <c r="AH317" s="11">
        <f t="shared" si="108"/>
        <v>65</v>
      </c>
      <c r="AI317" s="10">
        <v>65</v>
      </c>
      <c r="AJ317" s="11">
        <f t="shared" si="105"/>
        <v>350</v>
      </c>
      <c r="AK317" s="10">
        <v>350</v>
      </c>
      <c r="AL317" s="11">
        <f t="shared" si="105"/>
        <v>350</v>
      </c>
      <c r="AM317" s="10">
        <v>350</v>
      </c>
      <c r="AN317" s="56">
        <f t="shared" si="110"/>
        <v>1</v>
      </c>
      <c r="AP317" s="11">
        <f ca="1">IFERROR(OFFSET(ITEM_RES!$A$1,MATCH(AQ317,ITEM_RES!$J:$J,0)-1,0),0)</f>
        <v>211020801</v>
      </c>
      <c r="AQ317" s="10" t="s">
        <v>458</v>
      </c>
      <c r="AR317" s="11">
        <v>1750</v>
      </c>
      <c r="AU317" s="11">
        <f ca="1">IFERROR(OFFSET(ITEM_RES!$A$1,MATCH(AV317,ITEM_RES!$J:$J,0)-1,0),0)</f>
        <v>0</v>
      </c>
      <c r="AZ317" s="11">
        <f ca="1">IFERROR(OFFSET(ITEM_RES!$A$1,MATCH(BA317,ITEM_RES!$J:$J,0)-1,0),0)</f>
        <v>0</v>
      </c>
      <c r="BE317" s="11">
        <f ca="1">IFERROR(OFFSET(ITEM_RES!$A$1,MATCH(BF317,ITEM_RES!$J:$J,0)-1,0),0)</f>
        <v>0</v>
      </c>
      <c r="BJ317" s="11">
        <f ca="1">IFERROR(OFFSET(ITEM_RES!$A$1,MATCH(BK317,ITEM_RES!$J:$J,0)-1,0),0)</f>
        <v>0</v>
      </c>
    </row>
    <row r="318" spans="1:65" x14ac:dyDescent="0.3">
      <c r="A318" s="14">
        <f t="shared" si="101"/>
        <v>111080014</v>
      </c>
      <c r="B318" s="13">
        <v>11</v>
      </c>
      <c r="C318" s="12">
        <f t="shared" si="102"/>
        <v>1</v>
      </c>
      <c r="D318" s="13">
        <v>8</v>
      </c>
      <c r="E318" s="13">
        <v>0</v>
      </c>
      <c r="F318" s="12">
        <f t="shared" si="103"/>
        <v>14</v>
      </c>
      <c r="H318" s="9">
        <v>1</v>
      </c>
      <c r="I318" s="9">
        <v>14</v>
      </c>
      <c r="K318" s="9" t="s">
        <v>366</v>
      </c>
      <c r="L318" s="9">
        <v>1</v>
      </c>
      <c r="M318" s="9">
        <v>15</v>
      </c>
      <c r="R318" s="9" t="s">
        <v>784</v>
      </c>
      <c r="U318" s="9">
        <f ca="1">IFERROR(OFFSET(ITEM_RES!$A$5,MATCH(BUILDING!T318,ITEM_RES!$J$5:$J$229,0)-1,0),0)</f>
        <v>0</v>
      </c>
      <c r="X318" s="9">
        <f ca="1">IFERROR(OFFSET(ITEM_RES!$A$5,MATCH(BUILDING!W318,ITEM_RES!$J$5:$J$229,0)-1,0),0)</f>
        <v>0</v>
      </c>
      <c r="Z318" s="9" t="s">
        <v>556</v>
      </c>
      <c r="AA318" s="9">
        <v>14</v>
      </c>
      <c r="AC318" s="9">
        <v>18000</v>
      </c>
      <c r="AE318" s="56">
        <f t="shared" si="109"/>
        <v>7700</v>
      </c>
      <c r="AF318" s="10">
        <f t="shared" si="111"/>
        <v>13300</v>
      </c>
      <c r="AH318" s="11">
        <f t="shared" si="108"/>
        <v>70</v>
      </c>
      <c r="AI318" s="10">
        <v>70</v>
      </c>
      <c r="AJ318" s="11">
        <f t="shared" si="105"/>
        <v>450</v>
      </c>
      <c r="AK318" s="10">
        <v>450</v>
      </c>
      <c r="AL318" s="11">
        <f t="shared" si="105"/>
        <v>450</v>
      </c>
      <c r="AM318" s="10">
        <v>450</v>
      </c>
      <c r="AN318" s="56">
        <f t="shared" si="110"/>
        <v>2</v>
      </c>
      <c r="AP318" s="11">
        <f ca="1">IFERROR(OFFSET(ITEM_RES!$A$1,MATCH(AQ318,ITEM_RES!$J:$J,0)-1,0),0)</f>
        <v>211020801</v>
      </c>
      <c r="AQ318" s="10" t="s">
        <v>458</v>
      </c>
      <c r="AR318" s="11">
        <v>2250</v>
      </c>
      <c r="AU318" s="11">
        <f ca="1">IFERROR(OFFSET(ITEM_RES!$A$1,MATCH(AV318,ITEM_RES!$J:$J,0)-1,0),0)</f>
        <v>0</v>
      </c>
      <c r="AZ318" s="11">
        <f ca="1">IFERROR(OFFSET(ITEM_RES!$A$1,MATCH(BA318,ITEM_RES!$J:$J,0)-1,0),0)</f>
        <v>0</v>
      </c>
      <c r="BE318" s="11">
        <f ca="1">IFERROR(OFFSET(ITEM_RES!$A$1,MATCH(BF318,ITEM_RES!$J:$J,0)-1,0),0)</f>
        <v>213010901</v>
      </c>
      <c r="BF318" s="10" t="s">
        <v>493</v>
      </c>
      <c r="BG318" s="11">
        <v>1</v>
      </c>
      <c r="BJ318" s="11">
        <f ca="1">IFERROR(OFFSET(ITEM_RES!$A$1,MATCH(BK318,ITEM_RES!$J:$J,0)-1,0),0)</f>
        <v>0</v>
      </c>
    </row>
    <row r="319" spans="1:65" x14ac:dyDescent="0.3">
      <c r="A319" s="14">
        <f t="shared" si="101"/>
        <v>111080015</v>
      </c>
      <c r="B319" s="13">
        <v>11</v>
      </c>
      <c r="C319" s="12">
        <f t="shared" si="102"/>
        <v>1</v>
      </c>
      <c r="D319" s="13">
        <v>8</v>
      </c>
      <c r="E319" s="13">
        <v>0</v>
      </c>
      <c r="F319" s="12">
        <f t="shared" si="103"/>
        <v>15</v>
      </c>
      <c r="H319" s="9">
        <v>1</v>
      </c>
      <c r="I319" s="9">
        <v>15</v>
      </c>
      <c r="K319" s="9" t="s">
        <v>366</v>
      </c>
      <c r="L319" s="9">
        <v>1</v>
      </c>
      <c r="M319" s="9">
        <v>15</v>
      </c>
      <c r="R319" s="9" t="s">
        <v>784</v>
      </c>
      <c r="U319" s="9">
        <f ca="1">IFERROR(OFFSET(ITEM_RES!$A$5,MATCH(BUILDING!T319,ITEM_RES!$J$5:$J$229,0)-1,0),0)</f>
        <v>0</v>
      </c>
      <c r="X319" s="9">
        <f ca="1">IFERROR(OFFSET(ITEM_RES!$A$5,MATCH(BUILDING!W319,ITEM_RES!$J$5:$J$229,0)-1,0),0)</f>
        <v>0</v>
      </c>
      <c r="Z319" s="9" t="s">
        <v>556</v>
      </c>
      <c r="AA319" s="9">
        <v>15</v>
      </c>
      <c r="AC319" s="9">
        <v>22000</v>
      </c>
      <c r="AE319" s="56">
        <f t="shared" si="109"/>
        <v>8800</v>
      </c>
      <c r="AF319" s="10">
        <f t="shared" si="111"/>
        <v>16500</v>
      </c>
      <c r="AH319" s="11">
        <f t="shared" si="108"/>
        <v>75</v>
      </c>
      <c r="AI319" s="10">
        <v>75</v>
      </c>
      <c r="AJ319" s="11">
        <f t="shared" si="105"/>
        <v>550</v>
      </c>
      <c r="AK319" s="10">
        <v>550</v>
      </c>
      <c r="AL319" s="11">
        <f t="shared" si="105"/>
        <v>550</v>
      </c>
      <c r="AM319" s="10">
        <v>550</v>
      </c>
      <c r="AN319" s="56">
        <f t="shared" si="110"/>
        <v>1</v>
      </c>
      <c r="AP319" s="11">
        <f ca="1">IFERROR(OFFSET(ITEM_RES!$A$1,MATCH(AQ319,ITEM_RES!$J:$J,0)-1,0),0)</f>
        <v>211020801</v>
      </c>
      <c r="AQ319" s="10" t="s">
        <v>458</v>
      </c>
      <c r="AR319" s="11">
        <v>2750</v>
      </c>
      <c r="AU319" s="11">
        <f ca="1">IFERROR(OFFSET(ITEM_RES!$A$1,MATCH(AV319,ITEM_RES!$J:$J,0)-1,0),0)</f>
        <v>0</v>
      </c>
      <c r="AZ319" s="11">
        <f ca="1">IFERROR(OFFSET(ITEM_RES!$A$1,MATCH(BA319,ITEM_RES!$J:$J,0)-1,0),0)</f>
        <v>0</v>
      </c>
      <c r="BE319" s="11">
        <f ca="1">IFERROR(OFFSET(ITEM_RES!$A$1,MATCH(BF319,ITEM_RES!$J:$J,0)-1,0),0)</f>
        <v>0</v>
      </c>
      <c r="BJ319" s="11">
        <f ca="1">IFERROR(OFFSET(ITEM_RES!$A$1,MATCH(BK319,ITEM_RES!$J:$J,0)-1,0),0)</f>
        <v>0</v>
      </c>
    </row>
    <row r="320" spans="1:65" x14ac:dyDescent="0.3">
      <c r="A320" s="14">
        <f t="shared" si="101"/>
        <v>111080016</v>
      </c>
      <c r="B320" s="13">
        <v>11</v>
      </c>
      <c r="C320" s="12">
        <f t="shared" si="102"/>
        <v>1</v>
      </c>
      <c r="D320" s="13">
        <v>8</v>
      </c>
      <c r="E320" s="13">
        <v>0</v>
      </c>
      <c r="F320" s="12">
        <f t="shared" si="103"/>
        <v>16</v>
      </c>
      <c r="H320" s="9">
        <v>1</v>
      </c>
      <c r="I320" s="9">
        <v>16</v>
      </c>
      <c r="K320" s="9" t="s">
        <v>366</v>
      </c>
      <c r="L320" s="9">
        <v>0</v>
      </c>
      <c r="M320" s="9">
        <v>15</v>
      </c>
      <c r="R320" s="9" t="s">
        <v>784</v>
      </c>
      <c r="U320" s="9">
        <f ca="1">IFERROR(OFFSET(ITEM_RES!$A$5,MATCH(BUILDING!T320,ITEM_RES!$J$5:$J$229,0)-1,0),0)</f>
        <v>0</v>
      </c>
      <c r="X320" s="9">
        <f ca="1">IFERROR(OFFSET(ITEM_RES!$A$5,MATCH(BUILDING!W320,ITEM_RES!$J$5:$J$229,0)-1,0),0)</f>
        <v>0</v>
      </c>
      <c r="Z320" s="9" t="s">
        <v>556</v>
      </c>
      <c r="AA320" s="9">
        <v>16</v>
      </c>
      <c r="AC320" s="9">
        <v>28000</v>
      </c>
      <c r="AE320" s="56">
        <f t="shared" si="109"/>
        <v>11200</v>
      </c>
      <c r="AF320" s="10">
        <f t="shared" si="111"/>
        <v>20000</v>
      </c>
      <c r="AH320" s="11">
        <f t="shared" si="108"/>
        <v>80</v>
      </c>
      <c r="AI320" s="10">
        <v>80</v>
      </c>
      <c r="AJ320" s="11">
        <f t="shared" si="105"/>
        <v>700</v>
      </c>
      <c r="AK320" s="10">
        <v>700</v>
      </c>
      <c r="AL320" s="11">
        <f t="shared" si="105"/>
        <v>700</v>
      </c>
      <c r="AM320" s="10">
        <v>700</v>
      </c>
      <c r="AN320" s="56">
        <f t="shared" si="110"/>
        <v>1</v>
      </c>
      <c r="AP320" s="11">
        <f ca="1">IFERROR(OFFSET(ITEM_RES!$A$1,MATCH(AQ320,ITEM_RES!$J:$J,0)-1,0),0)</f>
        <v>211020801</v>
      </c>
      <c r="AQ320" s="10" t="s">
        <v>458</v>
      </c>
      <c r="AR320" s="11">
        <v>3500</v>
      </c>
      <c r="AU320" s="11">
        <f ca="1">IFERROR(OFFSET(ITEM_RES!$A$1,MATCH(AV320,ITEM_RES!$J:$J,0)-1,0),0)</f>
        <v>0</v>
      </c>
      <c r="AZ320" s="11">
        <f ca="1">IFERROR(OFFSET(ITEM_RES!$A$1,MATCH(BA320,ITEM_RES!$J:$J,0)-1,0),0)</f>
        <v>0</v>
      </c>
      <c r="BE320" s="11">
        <f ca="1">IFERROR(OFFSET(ITEM_RES!$A$1,MATCH(BF320,ITEM_RES!$J:$J,0)-1,0),0)</f>
        <v>0</v>
      </c>
      <c r="BJ320" s="11">
        <f ca="1">IFERROR(OFFSET(ITEM_RES!$A$1,MATCH(BK320,ITEM_RES!$J:$J,0)-1,0),0)</f>
        <v>0</v>
      </c>
    </row>
    <row r="321" spans="1:65" x14ac:dyDescent="0.3">
      <c r="A321" s="14">
        <f t="shared" ref="A321:A384" si="112">B321*10000000+C321*1000000+D321*10000+E321*100+F321</f>
        <v>111080017</v>
      </c>
      <c r="B321" s="13">
        <v>11</v>
      </c>
      <c r="C321" s="12">
        <f t="shared" ref="C321:C384" si="113">H321</f>
        <v>1</v>
      </c>
      <c r="D321" s="13">
        <v>8</v>
      </c>
      <c r="E321" s="13">
        <v>0</v>
      </c>
      <c r="F321" s="12">
        <f t="shared" ref="F321:F384" si="114">I321</f>
        <v>17</v>
      </c>
      <c r="H321" s="9">
        <v>1</v>
      </c>
      <c r="I321" s="9">
        <v>17</v>
      </c>
      <c r="K321" s="9" t="s">
        <v>366</v>
      </c>
      <c r="L321" s="9">
        <v>0</v>
      </c>
      <c r="M321" s="9">
        <v>15</v>
      </c>
      <c r="R321" s="9" t="s">
        <v>784</v>
      </c>
      <c r="U321" s="9">
        <f ca="1">IFERROR(OFFSET(ITEM_RES!$A$5,MATCH(BUILDING!T321,ITEM_RES!$J$5:$J$229,0)-1,0),0)</f>
        <v>0</v>
      </c>
      <c r="X321" s="9">
        <f ca="1">IFERROR(OFFSET(ITEM_RES!$A$5,MATCH(BUILDING!W321,ITEM_RES!$J$5:$J$229,0)-1,0),0)</f>
        <v>0</v>
      </c>
      <c r="Z321" s="9" t="s">
        <v>556</v>
      </c>
      <c r="AA321" s="9">
        <v>17</v>
      </c>
      <c r="AC321" s="9">
        <v>34000</v>
      </c>
      <c r="AE321" s="56">
        <f t="shared" si="109"/>
        <v>13600</v>
      </c>
      <c r="AF321" s="10">
        <f t="shared" si="111"/>
        <v>24800</v>
      </c>
      <c r="AH321" s="11">
        <f t="shared" si="108"/>
        <v>85</v>
      </c>
      <c r="AI321" s="10">
        <v>85</v>
      </c>
      <c r="AJ321" s="11">
        <f t="shared" si="105"/>
        <v>850</v>
      </c>
      <c r="AK321" s="10">
        <v>850</v>
      </c>
      <c r="AL321" s="11">
        <f t="shared" si="105"/>
        <v>850</v>
      </c>
      <c r="AM321" s="10">
        <v>850</v>
      </c>
      <c r="AN321" s="56">
        <f t="shared" si="110"/>
        <v>1</v>
      </c>
      <c r="AP321" s="11">
        <f ca="1">IFERROR(OFFSET(ITEM_RES!$A$1,MATCH(AQ321,ITEM_RES!$J:$J,0)-1,0),0)</f>
        <v>211020801</v>
      </c>
      <c r="AQ321" s="10" t="s">
        <v>458</v>
      </c>
      <c r="AR321" s="11">
        <v>4250</v>
      </c>
      <c r="AU321" s="11">
        <f ca="1">IFERROR(OFFSET(ITEM_RES!$A$1,MATCH(AV321,ITEM_RES!$J:$J,0)-1,0),0)</f>
        <v>0</v>
      </c>
      <c r="AZ321" s="11">
        <f ca="1">IFERROR(OFFSET(ITEM_RES!$A$1,MATCH(BA321,ITEM_RES!$J:$J,0)-1,0),0)</f>
        <v>0</v>
      </c>
      <c r="BE321" s="11">
        <f ca="1">IFERROR(OFFSET(ITEM_RES!$A$1,MATCH(BF321,ITEM_RES!$J:$J,0)-1,0),0)</f>
        <v>0</v>
      </c>
      <c r="BJ321" s="11">
        <f ca="1">IFERROR(OFFSET(ITEM_RES!$A$1,MATCH(BK321,ITEM_RES!$J:$J,0)-1,0),0)</f>
        <v>0</v>
      </c>
    </row>
    <row r="322" spans="1:65" x14ac:dyDescent="0.3">
      <c r="A322" s="14">
        <f t="shared" si="112"/>
        <v>111080018</v>
      </c>
      <c r="B322" s="13">
        <v>11</v>
      </c>
      <c r="C322" s="12">
        <f t="shared" si="113"/>
        <v>1</v>
      </c>
      <c r="D322" s="13">
        <v>8</v>
      </c>
      <c r="E322" s="13">
        <v>0</v>
      </c>
      <c r="F322" s="12">
        <f t="shared" si="114"/>
        <v>18</v>
      </c>
      <c r="H322" s="9">
        <v>1</v>
      </c>
      <c r="I322" s="9">
        <v>18</v>
      </c>
      <c r="K322" s="9" t="s">
        <v>366</v>
      </c>
      <c r="L322" s="9">
        <v>0</v>
      </c>
      <c r="M322" s="9">
        <v>15</v>
      </c>
      <c r="R322" s="9" t="s">
        <v>784</v>
      </c>
      <c r="U322" s="9">
        <f ca="1">IFERROR(OFFSET(ITEM_RES!$A$5,MATCH(BUILDING!T322,ITEM_RES!$J$5:$J$229,0)-1,0),0)</f>
        <v>0</v>
      </c>
      <c r="X322" s="9">
        <f ca="1">IFERROR(OFFSET(ITEM_RES!$A$5,MATCH(BUILDING!W322,ITEM_RES!$J$5:$J$229,0)-1,0),0)</f>
        <v>0</v>
      </c>
      <c r="Z322" s="9" t="s">
        <v>556</v>
      </c>
      <c r="AA322" s="9">
        <v>18</v>
      </c>
      <c r="AC322" s="9">
        <v>42000</v>
      </c>
      <c r="AE322" s="56">
        <f t="shared" si="109"/>
        <v>16800</v>
      </c>
      <c r="AF322" s="10">
        <f t="shared" si="111"/>
        <v>30400</v>
      </c>
      <c r="AH322" s="11">
        <f t="shared" si="108"/>
        <v>90</v>
      </c>
      <c r="AI322" s="10">
        <v>90</v>
      </c>
      <c r="AJ322" s="11">
        <f t="shared" ref="AJ322:AL384" si="115">ROUND(AK322,0)</f>
        <v>1050</v>
      </c>
      <c r="AK322" s="10">
        <v>1050</v>
      </c>
      <c r="AL322" s="11">
        <f t="shared" si="115"/>
        <v>1050</v>
      </c>
      <c r="AM322" s="10">
        <v>1050</v>
      </c>
      <c r="AN322" s="56">
        <f t="shared" si="110"/>
        <v>1</v>
      </c>
      <c r="AP322" s="11">
        <f ca="1">IFERROR(OFFSET(ITEM_RES!$A$1,MATCH(AQ322,ITEM_RES!$J:$J,0)-1,0),0)</f>
        <v>211020801</v>
      </c>
      <c r="AQ322" s="10" t="s">
        <v>458</v>
      </c>
      <c r="AR322" s="11">
        <v>5250</v>
      </c>
      <c r="AU322" s="11">
        <f ca="1">IFERROR(OFFSET(ITEM_RES!$A$1,MATCH(AV322,ITEM_RES!$J:$J,0)-1,0),0)</f>
        <v>0</v>
      </c>
      <c r="AZ322" s="11">
        <f ca="1">IFERROR(OFFSET(ITEM_RES!$A$1,MATCH(BA322,ITEM_RES!$J:$J,0)-1,0),0)</f>
        <v>0</v>
      </c>
      <c r="BE322" s="11">
        <f ca="1">IFERROR(OFFSET(ITEM_RES!$A$1,MATCH(BF322,ITEM_RES!$J:$J,0)-1,0),0)</f>
        <v>0</v>
      </c>
      <c r="BJ322" s="11">
        <f ca="1">IFERROR(OFFSET(ITEM_RES!$A$1,MATCH(BK322,ITEM_RES!$J:$J,0)-1,0),0)</f>
        <v>0</v>
      </c>
    </row>
    <row r="323" spans="1:65" x14ac:dyDescent="0.3">
      <c r="A323" s="14">
        <f t="shared" si="112"/>
        <v>111080019</v>
      </c>
      <c r="B323" s="13">
        <v>11</v>
      </c>
      <c r="C323" s="12">
        <f t="shared" si="113"/>
        <v>1</v>
      </c>
      <c r="D323" s="13">
        <v>8</v>
      </c>
      <c r="E323" s="13">
        <v>0</v>
      </c>
      <c r="F323" s="12">
        <f t="shared" si="114"/>
        <v>19</v>
      </c>
      <c r="H323" s="9">
        <v>1</v>
      </c>
      <c r="I323" s="9">
        <v>19</v>
      </c>
      <c r="K323" s="9" t="s">
        <v>366</v>
      </c>
      <c r="L323" s="9">
        <v>0</v>
      </c>
      <c r="M323" s="9">
        <v>15</v>
      </c>
      <c r="R323" s="9" t="s">
        <v>784</v>
      </c>
      <c r="U323" s="9">
        <f ca="1">IFERROR(OFFSET(ITEM_RES!$A$5,MATCH(BUILDING!T323,ITEM_RES!$J$5:$J$229,0)-1,0),0)</f>
        <v>0</v>
      </c>
      <c r="X323" s="9">
        <f ca="1">IFERROR(OFFSET(ITEM_RES!$A$5,MATCH(BUILDING!W323,ITEM_RES!$J$5:$J$229,0)-1,0),0)</f>
        <v>0</v>
      </c>
      <c r="Z323" s="9" t="s">
        <v>556</v>
      </c>
      <c r="AA323" s="9">
        <v>19</v>
      </c>
      <c r="AC323" s="9">
        <v>50000</v>
      </c>
      <c r="AE323" s="56">
        <f t="shared" si="109"/>
        <v>20000</v>
      </c>
      <c r="AF323" s="10">
        <f t="shared" si="111"/>
        <v>36800</v>
      </c>
      <c r="AH323" s="11">
        <f t="shared" si="108"/>
        <v>95</v>
      </c>
      <c r="AI323" s="10">
        <v>95</v>
      </c>
      <c r="AJ323" s="11">
        <f t="shared" si="115"/>
        <v>1250</v>
      </c>
      <c r="AK323" s="10">
        <v>1250</v>
      </c>
      <c r="AL323" s="11">
        <f t="shared" si="115"/>
        <v>1250</v>
      </c>
      <c r="AM323" s="10">
        <v>1250</v>
      </c>
      <c r="AN323" s="56">
        <f t="shared" si="110"/>
        <v>1</v>
      </c>
      <c r="AP323" s="11">
        <f ca="1">IFERROR(OFFSET(ITEM_RES!$A$1,MATCH(AQ323,ITEM_RES!$J:$J,0)-1,0),0)</f>
        <v>211020901</v>
      </c>
      <c r="AQ323" s="10" t="s">
        <v>470</v>
      </c>
      <c r="AR323" s="11">
        <v>6250</v>
      </c>
      <c r="AU323" s="11">
        <f ca="1">IFERROR(OFFSET(ITEM_RES!$A$1,MATCH(AV323,ITEM_RES!$J:$J,0)-1,0),0)</f>
        <v>0</v>
      </c>
      <c r="AZ323" s="11">
        <f ca="1">IFERROR(OFFSET(ITEM_RES!$A$1,MATCH(BA323,ITEM_RES!$J:$J,0)-1,0),0)</f>
        <v>0</v>
      </c>
      <c r="BE323" s="11">
        <f ca="1">IFERROR(OFFSET(ITEM_RES!$A$1,MATCH(BF323,ITEM_RES!$J:$J,0)-1,0),0)</f>
        <v>0</v>
      </c>
      <c r="BJ323" s="11">
        <f ca="1">IFERROR(OFFSET(ITEM_RES!$A$1,MATCH(BK323,ITEM_RES!$J:$J,0)-1,0),0)</f>
        <v>0</v>
      </c>
    </row>
    <row r="324" spans="1:65" ht="17.25" thickBot="1" x14ac:dyDescent="0.35">
      <c r="A324" s="14">
        <f t="shared" si="112"/>
        <v>111080020</v>
      </c>
      <c r="B324" s="13">
        <v>11</v>
      </c>
      <c r="C324" s="12">
        <f t="shared" si="113"/>
        <v>1</v>
      </c>
      <c r="D324" s="13">
        <v>8</v>
      </c>
      <c r="E324" s="13">
        <v>0</v>
      </c>
      <c r="F324" s="12">
        <f t="shared" si="114"/>
        <v>20</v>
      </c>
      <c r="H324" s="9">
        <v>1</v>
      </c>
      <c r="I324" s="9">
        <v>20</v>
      </c>
      <c r="K324" s="9" t="s">
        <v>366</v>
      </c>
      <c r="L324" s="9">
        <v>0</v>
      </c>
      <c r="M324" s="9">
        <v>15</v>
      </c>
      <c r="R324" s="9" t="s">
        <v>784</v>
      </c>
      <c r="U324" s="9">
        <f ca="1">IFERROR(OFFSET(ITEM_RES!$A$5,MATCH(BUILDING!T324,ITEM_RES!$J$5:$J$229,0)-1,0),0)</f>
        <v>0</v>
      </c>
      <c r="X324" s="9">
        <f ca="1">IFERROR(OFFSET(ITEM_RES!$A$5,MATCH(BUILDING!W324,ITEM_RES!$J$5:$J$229,0)-1,0),0)</f>
        <v>0</v>
      </c>
      <c r="Z324" s="9" t="s">
        <v>556</v>
      </c>
      <c r="AA324" s="9">
        <v>20</v>
      </c>
      <c r="AC324" s="9">
        <v>60000</v>
      </c>
      <c r="AE324" s="56">
        <f t="shared" si="109"/>
        <v>24000</v>
      </c>
      <c r="AF324" s="10">
        <f t="shared" si="111"/>
        <v>44000</v>
      </c>
      <c r="AH324" s="11">
        <f t="shared" si="108"/>
        <v>100</v>
      </c>
      <c r="AI324" s="10">
        <v>100</v>
      </c>
      <c r="AJ324" s="11">
        <f t="shared" si="115"/>
        <v>1500</v>
      </c>
      <c r="AK324" s="10">
        <v>1500</v>
      </c>
      <c r="AL324" s="11">
        <f t="shared" si="115"/>
        <v>1500</v>
      </c>
      <c r="AM324" s="10">
        <v>1500</v>
      </c>
      <c r="AN324" s="56">
        <f t="shared" si="110"/>
        <v>1</v>
      </c>
      <c r="AP324" s="11">
        <f ca="1">IFERROR(OFFSET(ITEM_RES!$A$1,MATCH(AQ324,ITEM_RES!$J:$J,0)-1,0),0)</f>
        <v>211020901</v>
      </c>
      <c r="AQ324" s="10" t="s">
        <v>470</v>
      </c>
      <c r="AR324" s="11">
        <v>7500</v>
      </c>
      <c r="AU324" s="11">
        <f ca="1">IFERROR(OFFSET(ITEM_RES!$A$1,MATCH(AV324,ITEM_RES!$J:$J,0)-1,0),0)</f>
        <v>0</v>
      </c>
      <c r="AZ324" s="11">
        <f ca="1">IFERROR(OFFSET(ITEM_RES!$A$1,MATCH(BA324,ITEM_RES!$J:$J,0)-1,0),0)</f>
        <v>0</v>
      </c>
      <c r="BE324" s="11">
        <f ca="1">IFERROR(OFFSET(ITEM_RES!$A$1,MATCH(BF324,ITEM_RES!$J:$J,0)-1,0),0)</f>
        <v>0</v>
      </c>
      <c r="BJ324" s="11">
        <f ca="1">IFERROR(OFFSET(ITEM_RES!$A$1,MATCH(BK324,ITEM_RES!$J:$J,0)-1,0),0)</f>
        <v>0</v>
      </c>
    </row>
    <row r="325" spans="1:65" s="15" customFormat="1" x14ac:dyDescent="0.3">
      <c r="A325" s="21">
        <f t="shared" si="112"/>
        <v>112040001</v>
      </c>
      <c r="B325" s="20">
        <v>11</v>
      </c>
      <c r="C325" s="19">
        <f t="shared" si="113"/>
        <v>2</v>
      </c>
      <c r="D325" s="20">
        <v>4</v>
      </c>
      <c r="E325" s="20">
        <v>0</v>
      </c>
      <c r="F325" s="19">
        <f t="shared" si="114"/>
        <v>1</v>
      </c>
      <c r="G325" s="80"/>
      <c r="H325" s="16">
        <v>2</v>
      </c>
      <c r="I325" s="16">
        <v>1</v>
      </c>
      <c r="J325" s="80"/>
      <c r="K325" s="16" t="s">
        <v>373</v>
      </c>
      <c r="L325" s="16">
        <v>1</v>
      </c>
      <c r="M325" s="16">
        <v>15</v>
      </c>
      <c r="N325" s="16"/>
      <c r="O325" s="17"/>
      <c r="P325" s="17"/>
      <c r="Q325" s="18"/>
      <c r="R325" s="16" t="s">
        <v>785</v>
      </c>
      <c r="S325" s="80"/>
      <c r="T325" s="88" t="s">
        <v>585</v>
      </c>
      <c r="U325" s="16">
        <f ca="1">IFERROR(OFFSET(ITEM_RES!$A$5,MATCH(BUILDING!T325,ITEM_RES!$J$5:$J$229,0)-1,0),0)</f>
        <v>211020601</v>
      </c>
      <c r="V325" s="18">
        <v>2</v>
      </c>
      <c r="W325" s="88" t="s">
        <v>580</v>
      </c>
      <c r="X325" s="16">
        <f ca="1">IFERROR(OFFSET(ITEM_RES!$A$5,MATCH(BUILDING!W325,ITEM_RES!$J$5:$J$229,0)-1,0),0)</f>
        <v>211020701</v>
      </c>
      <c r="Y325" s="80"/>
      <c r="Z325" s="16" t="s">
        <v>557</v>
      </c>
      <c r="AA325" s="16">
        <v>1</v>
      </c>
      <c r="AB325" s="80"/>
      <c r="AC325" s="16">
        <v>0</v>
      </c>
      <c r="AD325" s="80"/>
      <c r="AE325" s="57">
        <f t="shared" si="109"/>
        <v>605</v>
      </c>
      <c r="AF325" s="17">
        <f>AE325</f>
        <v>605</v>
      </c>
      <c r="AG325" s="80"/>
      <c r="AH325" s="18">
        <f t="shared" si="108"/>
        <v>5</v>
      </c>
      <c r="AI325" s="17">
        <v>5</v>
      </c>
      <c r="AJ325" s="18">
        <f t="shared" si="115"/>
        <v>5</v>
      </c>
      <c r="AK325" s="17">
        <v>5</v>
      </c>
      <c r="AL325" s="18">
        <f t="shared" si="115"/>
        <v>5</v>
      </c>
      <c r="AM325" s="17">
        <v>5</v>
      </c>
      <c r="AN325" s="57">
        <f t="shared" si="110"/>
        <v>3</v>
      </c>
      <c r="AO325" s="18"/>
      <c r="AP325" s="18">
        <f ca="1">IFERROR(OFFSET(ITEM_RES!$A$1,MATCH(AQ325,ITEM_RES!$J:$J,0)-1,0),0)</f>
        <v>211020401</v>
      </c>
      <c r="AQ325" s="17" t="s">
        <v>459</v>
      </c>
      <c r="AR325" s="18">
        <v>25</v>
      </c>
      <c r="AS325" s="17"/>
      <c r="AT325" s="18"/>
      <c r="AU325" s="18">
        <f ca="1">IFERROR(OFFSET(ITEM_RES!$A$1,MATCH(AV325,ITEM_RES!$J:$J,0)-1,0),0)</f>
        <v>211020801</v>
      </c>
      <c r="AV325" s="17" t="s">
        <v>458</v>
      </c>
      <c r="AW325" s="18">
        <v>25</v>
      </c>
      <c r="AX325" s="17"/>
      <c r="AY325" s="18"/>
      <c r="AZ325" s="18">
        <f ca="1">IFERROR(OFFSET(ITEM_RES!$A$1,MATCH(BA325,ITEM_RES!$J:$J,0)-1,0),0)</f>
        <v>213010101</v>
      </c>
      <c r="BA325" s="17" t="s">
        <v>481</v>
      </c>
      <c r="BB325" s="18">
        <v>1</v>
      </c>
      <c r="BC325" s="17"/>
      <c r="BD325" s="18"/>
      <c r="BE325" s="18">
        <f ca="1">IFERROR(OFFSET(ITEM_RES!$A$1,MATCH(BF325,ITEM_RES!$J:$J,0)-1,0),0)</f>
        <v>0</v>
      </c>
      <c r="BF325" s="17"/>
      <c r="BG325" s="18"/>
      <c r="BH325" s="17"/>
      <c r="BI325" s="18"/>
      <c r="BJ325" s="18">
        <f ca="1">IFERROR(OFFSET(ITEM_RES!$A$1,MATCH(BK325,ITEM_RES!$J:$J,0)-1,0),0)</f>
        <v>0</v>
      </c>
      <c r="BK325" s="17"/>
      <c r="BL325" s="18"/>
      <c r="BM325" s="17"/>
    </row>
    <row r="326" spans="1:65" x14ac:dyDescent="0.3">
      <c r="A326" s="14">
        <f t="shared" si="112"/>
        <v>112040002</v>
      </c>
      <c r="B326" s="13">
        <v>11</v>
      </c>
      <c r="C326" s="12">
        <f t="shared" si="113"/>
        <v>2</v>
      </c>
      <c r="D326" s="13">
        <v>4</v>
      </c>
      <c r="E326" s="13">
        <v>0</v>
      </c>
      <c r="F326" s="12">
        <f t="shared" si="114"/>
        <v>2</v>
      </c>
      <c r="H326" s="9">
        <v>2</v>
      </c>
      <c r="I326" s="9">
        <v>2</v>
      </c>
      <c r="K326" s="9" t="s">
        <v>373</v>
      </c>
      <c r="L326" s="9">
        <v>1</v>
      </c>
      <c r="M326" s="9">
        <v>15</v>
      </c>
      <c r="R326" s="9" t="s">
        <v>785</v>
      </c>
      <c r="T326" s="86" t="s">
        <v>585</v>
      </c>
      <c r="U326" s="9">
        <f ca="1">IFERROR(OFFSET(ITEM_RES!$A$5,MATCH(BUILDING!T326,ITEM_RES!$J$5:$J$229,0)-1,0),0)</f>
        <v>211020601</v>
      </c>
      <c r="V326" s="11">
        <v>2</v>
      </c>
      <c r="W326" s="86" t="s">
        <v>580</v>
      </c>
      <c r="X326" s="9">
        <f ca="1">IFERROR(OFFSET(ITEM_RES!$A$5,MATCH(BUILDING!W326,ITEM_RES!$J$5:$J$229,0)-1,0),0)</f>
        <v>211020701</v>
      </c>
      <c r="Z326" s="9" t="s">
        <v>557</v>
      </c>
      <c r="AA326" s="9">
        <v>2</v>
      </c>
      <c r="AC326" s="9">
        <v>800</v>
      </c>
      <c r="AE326" s="56">
        <f t="shared" si="109"/>
        <v>210</v>
      </c>
      <c r="AF326" s="10">
        <f>AE325+AE326</f>
        <v>815</v>
      </c>
      <c r="AH326" s="11">
        <f t="shared" si="108"/>
        <v>10</v>
      </c>
      <c r="AI326" s="10">
        <v>10</v>
      </c>
      <c r="AJ326" s="11">
        <f t="shared" si="115"/>
        <v>10</v>
      </c>
      <c r="AK326" s="10">
        <v>10</v>
      </c>
      <c r="AL326" s="11">
        <f t="shared" si="115"/>
        <v>10</v>
      </c>
      <c r="AM326" s="10">
        <v>10</v>
      </c>
      <c r="AN326" s="56">
        <f t="shared" si="110"/>
        <v>2</v>
      </c>
      <c r="AP326" s="11">
        <f ca="1">IFERROR(OFFSET(ITEM_RES!$A$1,MATCH(AQ326,ITEM_RES!$J:$J,0)-1,0),0)</f>
        <v>211020401</v>
      </c>
      <c r="AQ326" s="10" t="s">
        <v>459</v>
      </c>
      <c r="AR326" s="11">
        <v>50</v>
      </c>
      <c r="AU326" s="11">
        <f ca="1">IFERROR(OFFSET(ITEM_RES!$A$1,MATCH(AV326,ITEM_RES!$J:$J,0)-1,0),0)</f>
        <v>211020801</v>
      </c>
      <c r="AV326" s="10" t="s">
        <v>458</v>
      </c>
      <c r="AW326" s="11">
        <v>50</v>
      </c>
      <c r="AZ326" s="11">
        <f ca="1">IFERROR(OFFSET(ITEM_RES!$A$1,MATCH(BA326,ITEM_RES!$J:$J,0)-1,0),0)</f>
        <v>0</v>
      </c>
      <c r="BE326" s="11">
        <f ca="1">IFERROR(OFFSET(ITEM_RES!$A$1,MATCH(BF326,ITEM_RES!$J:$J,0)-1,0),0)</f>
        <v>0</v>
      </c>
      <c r="BJ326" s="11">
        <f ca="1">IFERROR(OFFSET(ITEM_RES!$A$1,MATCH(BK326,ITEM_RES!$J:$J,0)-1,0),0)</f>
        <v>0</v>
      </c>
    </row>
    <row r="327" spans="1:65" x14ac:dyDescent="0.3">
      <c r="A327" s="14">
        <f t="shared" si="112"/>
        <v>112040003</v>
      </c>
      <c r="B327" s="13">
        <v>11</v>
      </c>
      <c r="C327" s="12">
        <f t="shared" si="113"/>
        <v>2</v>
      </c>
      <c r="D327" s="13">
        <v>4</v>
      </c>
      <c r="E327" s="13">
        <v>0</v>
      </c>
      <c r="F327" s="12">
        <f t="shared" si="114"/>
        <v>3</v>
      </c>
      <c r="H327" s="9">
        <v>2</v>
      </c>
      <c r="I327" s="9">
        <v>3</v>
      </c>
      <c r="K327" s="9" t="s">
        <v>373</v>
      </c>
      <c r="L327" s="9">
        <v>1</v>
      </c>
      <c r="M327" s="9">
        <v>15</v>
      </c>
      <c r="R327" s="9" t="s">
        <v>785</v>
      </c>
      <c r="T327" s="86" t="s">
        <v>585</v>
      </c>
      <c r="U327" s="9">
        <f ca="1">IFERROR(OFFSET(ITEM_RES!$A$5,MATCH(BUILDING!T327,ITEM_RES!$J$5:$J$229,0)-1,0),0)</f>
        <v>211020601</v>
      </c>
      <c r="V327" s="11">
        <v>2</v>
      </c>
      <c r="W327" s="86" t="s">
        <v>580</v>
      </c>
      <c r="X327" s="9">
        <f ca="1">IFERROR(OFFSET(ITEM_RES!$A$5,MATCH(BUILDING!W327,ITEM_RES!$J$5:$J$229,0)-1,0),0)</f>
        <v>211020701</v>
      </c>
      <c r="Z327" s="9" t="s">
        <v>557</v>
      </c>
      <c r="AA327" s="9">
        <v>3</v>
      </c>
      <c r="AC327" s="9">
        <v>1200</v>
      </c>
      <c r="AE327" s="56">
        <f t="shared" si="109"/>
        <v>315</v>
      </c>
      <c r="AF327" s="10">
        <f t="shared" ref="AF327:AF344" si="116">AE326+AE327</f>
        <v>525</v>
      </c>
      <c r="AH327" s="11">
        <f t="shared" si="108"/>
        <v>15</v>
      </c>
      <c r="AI327" s="10">
        <v>15</v>
      </c>
      <c r="AJ327" s="11">
        <f t="shared" si="115"/>
        <v>15</v>
      </c>
      <c r="AK327" s="10">
        <v>15</v>
      </c>
      <c r="AL327" s="11">
        <f t="shared" si="115"/>
        <v>15</v>
      </c>
      <c r="AM327" s="10">
        <v>15</v>
      </c>
      <c r="AN327" s="56">
        <f t="shared" si="110"/>
        <v>2</v>
      </c>
      <c r="AP327" s="11">
        <f ca="1">IFERROR(OFFSET(ITEM_RES!$A$1,MATCH(AQ327,ITEM_RES!$J:$J,0)-1,0),0)</f>
        <v>211020401</v>
      </c>
      <c r="AQ327" s="10" t="s">
        <v>459</v>
      </c>
      <c r="AR327" s="11">
        <v>75</v>
      </c>
      <c r="AU327" s="11">
        <f ca="1">IFERROR(OFFSET(ITEM_RES!$A$1,MATCH(AV327,ITEM_RES!$J:$J,0)-1,0),0)</f>
        <v>211020801</v>
      </c>
      <c r="AV327" s="10" t="s">
        <v>458</v>
      </c>
      <c r="AW327" s="11">
        <v>75</v>
      </c>
      <c r="AZ327" s="11">
        <f ca="1">IFERROR(OFFSET(ITEM_RES!$A$1,MATCH(BA327,ITEM_RES!$J:$J,0)-1,0),0)</f>
        <v>0</v>
      </c>
      <c r="BE327" s="11">
        <f ca="1">IFERROR(OFFSET(ITEM_RES!$A$1,MATCH(BF327,ITEM_RES!$J:$J,0)-1,0),0)</f>
        <v>0</v>
      </c>
      <c r="BJ327" s="11">
        <f ca="1">IFERROR(OFFSET(ITEM_RES!$A$1,MATCH(BK327,ITEM_RES!$J:$J,0)-1,0),0)</f>
        <v>0</v>
      </c>
    </row>
    <row r="328" spans="1:65" x14ac:dyDescent="0.3">
      <c r="A328" s="14">
        <f t="shared" si="112"/>
        <v>112040004</v>
      </c>
      <c r="B328" s="13">
        <v>11</v>
      </c>
      <c r="C328" s="12">
        <f t="shared" si="113"/>
        <v>2</v>
      </c>
      <c r="D328" s="13">
        <v>4</v>
      </c>
      <c r="E328" s="13">
        <v>0</v>
      </c>
      <c r="F328" s="12">
        <f t="shared" si="114"/>
        <v>4</v>
      </c>
      <c r="H328" s="9">
        <v>2</v>
      </c>
      <c r="I328" s="9">
        <v>4</v>
      </c>
      <c r="K328" s="9" t="s">
        <v>373</v>
      </c>
      <c r="L328" s="9">
        <v>1</v>
      </c>
      <c r="M328" s="9">
        <v>15</v>
      </c>
      <c r="R328" s="9" t="s">
        <v>785</v>
      </c>
      <c r="T328" s="86" t="s">
        <v>585</v>
      </c>
      <c r="U328" s="9">
        <f ca="1">IFERROR(OFFSET(ITEM_RES!$A$5,MATCH(BUILDING!T328,ITEM_RES!$J$5:$J$229,0)-1,0),0)</f>
        <v>211020601</v>
      </c>
      <c r="V328" s="11">
        <v>2</v>
      </c>
      <c r="W328" s="86" t="s">
        <v>580</v>
      </c>
      <c r="X328" s="9">
        <f ca="1">IFERROR(OFFSET(ITEM_RES!$A$5,MATCH(BUILDING!W328,ITEM_RES!$J$5:$J$229,0)-1,0),0)</f>
        <v>211020701</v>
      </c>
      <c r="Z328" s="9" t="s">
        <v>557</v>
      </c>
      <c r="AA328" s="9">
        <v>4</v>
      </c>
      <c r="AC328" s="9">
        <v>2000</v>
      </c>
      <c r="AE328" s="56">
        <f t="shared" si="109"/>
        <v>525</v>
      </c>
      <c r="AF328" s="10">
        <f t="shared" si="116"/>
        <v>840</v>
      </c>
      <c r="AH328" s="11">
        <f t="shared" si="108"/>
        <v>20</v>
      </c>
      <c r="AI328" s="10">
        <v>20</v>
      </c>
      <c r="AJ328" s="11">
        <f t="shared" si="115"/>
        <v>25</v>
      </c>
      <c r="AK328" s="10">
        <v>25</v>
      </c>
      <c r="AL328" s="11">
        <f t="shared" si="115"/>
        <v>25</v>
      </c>
      <c r="AM328" s="10">
        <v>25</v>
      </c>
      <c r="AN328" s="56">
        <f t="shared" si="110"/>
        <v>2</v>
      </c>
      <c r="AP328" s="11">
        <f ca="1">IFERROR(OFFSET(ITEM_RES!$A$1,MATCH(AQ328,ITEM_RES!$J:$J,0)-1,0),0)</f>
        <v>211020401</v>
      </c>
      <c r="AQ328" s="10" t="s">
        <v>459</v>
      </c>
      <c r="AR328" s="11">
        <v>125</v>
      </c>
      <c r="AU328" s="11">
        <f ca="1">IFERROR(OFFSET(ITEM_RES!$A$1,MATCH(AV328,ITEM_RES!$J:$J,0)-1,0),0)</f>
        <v>211020801</v>
      </c>
      <c r="AV328" s="10" t="s">
        <v>458</v>
      </c>
      <c r="AW328" s="11">
        <v>125</v>
      </c>
      <c r="AZ328" s="11">
        <f ca="1">IFERROR(OFFSET(ITEM_RES!$A$1,MATCH(BA328,ITEM_RES!$J:$J,0)-1,0),0)</f>
        <v>0</v>
      </c>
      <c r="BE328" s="11">
        <f ca="1">IFERROR(OFFSET(ITEM_RES!$A$1,MATCH(BF328,ITEM_RES!$J:$J,0)-1,0),0)</f>
        <v>0</v>
      </c>
      <c r="BJ328" s="11">
        <f ca="1">IFERROR(OFFSET(ITEM_RES!$A$1,MATCH(BK328,ITEM_RES!$J:$J,0)-1,0),0)</f>
        <v>0</v>
      </c>
    </row>
    <row r="329" spans="1:65" x14ac:dyDescent="0.3">
      <c r="A329" s="14">
        <f t="shared" si="112"/>
        <v>112040005</v>
      </c>
      <c r="B329" s="13">
        <v>11</v>
      </c>
      <c r="C329" s="12">
        <f t="shared" si="113"/>
        <v>2</v>
      </c>
      <c r="D329" s="13">
        <v>4</v>
      </c>
      <c r="E329" s="13">
        <v>0</v>
      </c>
      <c r="F329" s="12">
        <f t="shared" si="114"/>
        <v>5</v>
      </c>
      <c r="H329" s="9">
        <v>2</v>
      </c>
      <c r="I329" s="9">
        <v>5</v>
      </c>
      <c r="K329" s="9" t="s">
        <v>373</v>
      </c>
      <c r="L329" s="9">
        <v>1</v>
      </c>
      <c r="M329" s="9">
        <v>15</v>
      </c>
      <c r="R329" s="9" t="s">
        <v>785</v>
      </c>
      <c r="T329" s="86" t="s">
        <v>585</v>
      </c>
      <c r="U329" s="9">
        <f ca="1">IFERROR(OFFSET(ITEM_RES!$A$5,MATCH(BUILDING!T329,ITEM_RES!$J$5:$J$229,0)-1,0),0)</f>
        <v>211020601</v>
      </c>
      <c r="V329" s="11">
        <v>2</v>
      </c>
      <c r="W329" s="86" t="s">
        <v>580</v>
      </c>
      <c r="X329" s="9">
        <f ca="1">IFERROR(OFFSET(ITEM_RES!$A$5,MATCH(BUILDING!W329,ITEM_RES!$J$5:$J$229,0)-1,0),0)</f>
        <v>211020701</v>
      </c>
      <c r="Z329" s="9" t="s">
        <v>557</v>
      </c>
      <c r="AA329" s="9">
        <v>5</v>
      </c>
      <c r="AC329" s="9">
        <v>3200</v>
      </c>
      <c r="AE329" s="56">
        <f t="shared" si="109"/>
        <v>840</v>
      </c>
      <c r="AF329" s="10">
        <f t="shared" si="116"/>
        <v>1365</v>
      </c>
      <c r="AH329" s="11">
        <f t="shared" si="108"/>
        <v>25</v>
      </c>
      <c r="AI329" s="10">
        <v>25</v>
      </c>
      <c r="AJ329" s="11">
        <f t="shared" si="115"/>
        <v>40</v>
      </c>
      <c r="AK329" s="10">
        <v>40</v>
      </c>
      <c r="AL329" s="11">
        <f t="shared" si="115"/>
        <v>40</v>
      </c>
      <c r="AM329" s="10">
        <v>40</v>
      </c>
      <c r="AN329" s="56">
        <f t="shared" si="110"/>
        <v>2</v>
      </c>
      <c r="AP329" s="11">
        <f ca="1">IFERROR(OFFSET(ITEM_RES!$A$1,MATCH(AQ329,ITEM_RES!$J:$J,0)-1,0),0)</f>
        <v>211020401</v>
      </c>
      <c r="AQ329" s="10" t="s">
        <v>459</v>
      </c>
      <c r="AR329" s="11">
        <v>200</v>
      </c>
      <c r="AU329" s="11">
        <f ca="1">IFERROR(OFFSET(ITEM_RES!$A$1,MATCH(AV329,ITEM_RES!$J:$J,0)-1,0),0)</f>
        <v>211020801</v>
      </c>
      <c r="AV329" s="10" t="s">
        <v>458</v>
      </c>
      <c r="AW329" s="11">
        <v>200</v>
      </c>
      <c r="AZ329" s="11">
        <f ca="1">IFERROR(OFFSET(ITEM_RES!$A$1,MATCH(BA329,ITEM_RES!$J:$J,0)-1,0),0)</f>
        <v>0</v>
      </c>
      <c r="BE329" s="11">
        <f ca="1">IFERROR(OFFSET(ITEM_RES!$A$1,MATCH(BF329,ITEM_RES!$J:$J,0)-1,0),0)</f>
        <v>0</v>
      </c>
      <c r="BJ329" s="11">
        <f ca="1">IFERROR(OFFSET(ITEM_RES!$A$1,MATCH(BK329,ITEM_RES!$J:$J,0)-1,0),0)</f>
        <v>0</v>
      </c>
    </row>
    <row r="330" spans="1:65" x14ac:dyDescent="0.3">
      <c r="A330" s="14">
        <f t="shared" si="112"/>
        <v>112040006</v>
      </c>
      <c r="B330" s="13">
        <v>11</v>
      </c>
      <c r="C330" s="12">
        <f t="shared" si="113"/>
        <v>2</v>
      </c>
      <c r="D330" s="13">
        <v>4</v>
      </c>
      <c r="E330" s="13">
        <v>0</v>
      </c>
      <c r="F330" s="12">
        <f t="shared" si="114"/>
        <v>6</v>
      </c>
      <c r="H330" s="9">
        <v>2</v>
      </c>
      <c r="I330" s="9">
        <v>6</v>
      </c>
      <c r="K330" s="9" t="s">
        <v>373</v>
      </c>
      <c r="L330" s="9">
        <v>1</v>
      </c>
      <c r="M330" s="9">
        <v>15</v>
      </c>
      <c r="R330" s="9" t="s">
        <v>785</v>
      </c>
      <c r="T330" s="86" t="s">
        <v>585</v>
      </c>
      <c r="U330" s="9">
        <f ca="1">IFERROR(OFFSET(ITEM_RES!$A$5,MATCH(BUILDING!T330,ITEM_RES!$J$5:$J$229,0)-1,0),0)</f>
        <v>211020601</v>
      </c>
      <c r="V330" s="11">
        <v>2</v>
      </c>
      <c r="W330" s="86" t="s">
        <v>580</v>
      </c>
      <c r="X330" s="9">
        <f ca="1">IFERROR(OFFSET(ITEM_RES!$A$5,MATCH(BUILDING!W330,ITEM_RES!$J$5:$J$229,0)-1,0),0)</f>
        <v>211020701</v>
      </c>
      <c r="Z330" s="9" t="s">
        <v>557</v>
      </c>
      <c r="AA330" s="9">
        <v>6</v>
      </c>
      <c r="AC330" s="9">
        <v>4000</v>
      </c>
      <c r="AE330" s="56">
        <f t="shared" si="109"/>
        <v>1050</v>
      </c>
      <c r="AF330" s="10">
        <f t="shared" si="116"/>
        <v>1890</v>
      </c>
      <c r="AH330" s="11">
        <f t="shared" si="108"/>
        <v>30</v>
      </c>
      <c r="AI330" s="10">
        <v>30</v>
      </c>
      <c r="AJ330" s="11">
        <f t="shared" si="115"/>
        <v>50</v>
      </c>
      <c r="AK330" s="10">
        <v>50</v>
      </c>
      <c r="AL330" s="11">
        <f t="shared" si="115"/>
        <v>50</v>
      </c>
      <c r="AM330" s="10">
        <v>50</v>
      </c>
      <c r="AN330" s="56">
        <f t="shared" si="110"/>
        <v>2</v>
      </c>
      <c r="AP330" s="11">
        <f ca="1">IFERROR(OFFSET(ITEM_RES!$A$1,MATCH(AQ330,ITEM_RES!$J:$J,0)-1,0),0)</f>
        <v>211020401</v>
      </c>
      <c r="AQ330" s="10" t="s">
        <v>459</v>
      </c>
      <c r="AR330" s="11">
        <v>250</v>
      </c>
      <c r="AU330" s="11">
        <f ca="1">IFERROR(OFFSET(ITEM_RES!$A$1,MATCH(AV330,ITEM_RES!$J:$J,0)-1,0),0)</f>
        <v>211020801</v>
      </c>
      <c r="AV330" s="10" t="s">
        <v>458</v>
      </c>
      <c r="AW330" s="11">
        <v>250</v>
      </c>
      <c r="AZ330" s="11">
        <f ca="1">IFERROR(OFFSET(ITEM_RES!$A$1,MATCH(BA330,ITEM_RES!$J:$J,0)-1,0),0)</f>
        <v>0</v>
      </c>
      <c r="BE330" s="11">
        <f ca="1">IFERROR(OFFSET(ITEM_RES!$A$1,MATCH(BF330,ITEM_RES!$J:$J,0)-1,0),0)</f>
        <v>0</v>
      </c>
      <c r="BJ330" s="11">
        <f ca="1">IFERROR(OFFSET(ITEM_RES!$A$1,MATCH(BK330,ITEM_RES!$J:$J,0)-1,0),0)</f>
        <v>0</v>
      </c>
    </row>
    <row r="331" spans="1:65" x14ac:dyDescent="0.3">
      <c r="A331" s="14">
        <f t="shared" si="112"/>
        <v>112040007</v>
      </c>
      <c r="B331" s="13">
        <v>11</v>
      </c>
      <c r="C331" s="12">
        <f t="shared" si="113"/>
        <v>2</v>
      </c>
      <c r="D331" s="13">
        <v>4</v>
      </c>
      <c r="E331" s="13">
        <v>0</v>
      </c>
      <c r="F331" s="12">
        <f t="shared" si="114"/>
        <v>7</v>
      </c>
      <c r="H331" s="9">
        <v>2</v>
      </c>
      <c r="I331" s="9">
        <v>7</v>
      </c>
      <c r="K331" s="9" t="s">
        <v>372</v>
      </c>
      <c r="L331" s="9">
        <v>1</v>
      </c>
      <c r="M331" s="9">
        <v>15</v>
      </c>
      <c r="R331" s="9" t="s">
        <v>785</v>
      </c>
      <c r="T331" s="86" t="s">
        <v>585</v>
      </c>
      <c r="U331" s="9">
        <f ca="1">IFERROR(OFFSET(ITEM_RES!$A$5,MATCH(BUILDING!T331,ITEM_RES!$J$5:$J$229,0)-1,0),0)</f>
        <v>211020601</v>
      </c>
      <c r="V331" s="11">
        <v>2</v>
      </c>
      <c r="W331" s="86" t="s">
        <v>580</v>
      </c>
      <c r="X331" s="9">
        <f ca="1">IFERROR(OFFSET(ITEM_RES!$A$5,MATCH(BUILDING!W331,ITEM_RES!$J$5:$J$229,0)-1,0),0)</f>
        <v>211020701</v>
      </c>
      <c r="Z331" s="9" t="s">
        <v>557</v>
      </c>
      <c r="AA331" s="9">
        <v>7</v>
      </c>
      <c r="AC331" s="9">
        <v>8000</v>
      </c>
      <c r="AE331" s="56">
        <f t="shared" si="109"/>
        <v>2100</v>
      </c>
      <c r="AF331" s="10">
        <f t="shared" si="116"/>
        <v>3150</v>
      </c>
      <c r="AH331" s="11">
        <f t="shared" si="108"/>
        <v>35</v>
      </c>
      <c r="AI331" s="10">
        <v>35</v>
      </c>
      <c r="AJ331" s="11">
        <f t="shared" si="115"/>
        <v>100</v>
      </c>
      <c r="AK331" s="10">
        <v>100</v>
      </c>
      <c r="AL331" s="11">
        <f t="shared" si="115"/>
        <v>100</v>
      </c>
      <c r="AM331" s="10">
        <v>100</v>
      </c>
      <c r="AN331" s="56">
        <f t="shared" si="110"/>
        <v>2</v>
      </c>
      <c r="AP331" s="11">
        <f ca="1">IFERROR(OFFSET(ITEM_RES!$A$1,MATCH(AQ331,ITEM_RES!$J:$J,0)-1,0),0)</f>
        <v>211020401</v>
      </c>
      <c r="AQ331" s="10" t="s">
        <v>459</v>
      </c>
      <c r="AR331" s="11">
        <v>500</v>
      </c>
      <c r="AU331" s="11">
        <f ca="1">IFERROR(OFFSET(ITEM_RES!$A$1,MATCH(AV331,ITEM_RES!$J:$J,0)-1,0),0)</f>
        <v>211020801</v>
      </c>
      <c r="AV331" s="10" t="s">
        <v>458</v>
      </c>
      <c r="AW331" s="11">
        <v>500</v>
      </c>
      <c r="AZ331" s="11">
        <f ca="1">IFERROR(OFFSET(ITEM_RES!$A$1,MATCH(BA331,ITEM_RES!$J:$J,0)-1,0),0)</f>
        <v>0</v>
      </c>
      <c r="BE331" s="11">
        <f ca="1">IFERROR(OFFSET(ITEM_RES!$A$1,MATCH(BF331,ITEM_RES!$J:$J,0)-1,0),0)</f>
        <v>0</v>
      </c>
      <c r="BJ331" s="11">
        <f ca="1">IFERROR(OFFSET(ITEM_RES!$A$1,MATCH(BK331,ITEM_RES!$J:$J,0)-1,0),0)</f>
        <v>0</v>
      </c>
    </row>
    <row r="332" spans="1:65" x14ac:dyDescent="0.3">
      <c r="A332" s="14">
        <f t="shared" si="112"/>
        <v>112040008</v>
      </c>
      <c r="B332" s="13">
        <v>11</v>
      </c>
      <c r="C332" s="12">
        <f t="shared" si="113"/>
        <v>2</v>
      </c>
      <c r="D332" s="13">
        <v>4</v>
      </c>
      <c r="E332" s="13">
        <v>0</v>
      </c>
      <c r="F332" s="12">
        <f t="shared" si="114"/>
        <v>8</v>
      </c>
      <c r="H332" s="9">
        <v>2</v>
      </c>
      <c r="I332" s="9">
        <v>8</v>
      </c>
      <c r="K332" s="9" t="s">
        <v>372</v>
      </c>
      <c r="L332" s="9">
        <v>1</v>
      </c>
      <c r="M332" s="9">
        <v>15</v>
      </c>
      <c r="R332" s="9" t="s">
        <v>785</v>
      </c>
      <c r="T332" s="86" t="s">
        <v>585</v>
      </c>
      <c r="U332" s="9">
        <f ca="1">IFERROR(OFFSET(ITEM_RES!$A$5,MATCH(BUILDING!T332,ITEM_RES!$J$5:$J$229,0)-1,0),0)</f>
        <v>211020601</v>
      </c>
      <c r="V332" s="11">
        <v>2</v>
      </c>
      <c r="W332" s="86" t="s">
        <v>580</v>
      </c>
      <c r="X332" s="9">
        <f ca="1">IFERROR(OFFSET(ITEM_RES!$A$5,MATCH(BUILDING!W332,ITEM_RES!$J$5:$J$229,0)-1,0),0)</f>
        <v>211020701</v>
      </c>
      <c r="Z332" s="9" t="s">
        <v>557</v>
      </c>
      <c r="AA332" s="9">
        <v>8</v>
      </c>
      <c r="AC332" s="9">
        <v>8000</v>
      </c>
      <c r="AE332" s="56">
        <f t="shared" si="109"/>
        <v>2600</v>
      </c>
      <c r="AF332" s="10">
        <f t="shared" si="116"/>
        <v>4700</v>
      </c>
      <c r="AH332" s="11">
        <f t="shared" si="108"/>
        <v>40</v>
      </c>
      <c r="AI332" s="10">
        <v>40</v>
      </c>
      <c r="AJ332" s="11">
        <f t="shared" si="115"/>
        <v>100</v>
      </c>
      <c r="AK332" s="10">
        <v>100</v>
      </c>
      <c r="AL332" s="11">
        <f t="shared" si="115"/>
        <v>100</v>
      </c>
      <c r="AM332" s="10">
        <v>100</v>
      </c>
      <c r="AN332" s="56">
        <f t="shared" si="110"/>
        <v>3</v>
      </c>
      <c r="AP332" s="11">
        <f ca="1">IFERROR(OFFSET(ITEM_RES!$A$1,MATCH(AQ332,ITEM_RES!$J:$J,0)-1,0),0)</f>
        <v>211020401</v>
      </c>
      <c r="AQ332" s="10" t="s">
        <v>459</v>
      </c>
      <c r="AR332" s="11">
        <v>500</v>
      </c>
      <c r="AU332" s="11">
        <f ca="1">IFERROR(OFFSET(ITEM_RES!$A$1,MATCH(AV332,ITEM_RES!$J:$J,0)-1,0),0)</f>
        <v>211020801</v>
      </c>
      <c r="AV332" s="10" t="s">
        <v>458</v>
      </c>
      <c r="AW332" s="11">
        <v>500</v>
      </c>
      <c r="AZ332" s="11">
        <f ca="1">IFERROR(OFFSET(ITEM_RES!$A$1,MATCH(BA332,ITEM_RES!$J:$J,0)-1,0),0)</f>
        <v>0</v>
      </c>
      <c r="BE332" s="11">
        <f ca="1">IFERROR(OFFSET(ITEM_RES!$A$1,MATCH(BF332,ITEM_RES!$J:$J,0)-1,0),0)</f>
        <v>213011001</v>
      </c>
      <c r="BF332" s="10" t="s">
        <v>494</v>
      </c>
      <c r="BG332" s="11">
        <v>1</v>
      </c>
      <c r="BJ332" s="11">
        <f ca="1">IFERROR(OFFSET(ITEM_RES!$A$1,MATCH(BK332,ITEM_RES!$J:$J,0)-1,0),0)</f>
        <v>0</v>
      </c>
    </row>
    <row r="333" spans="1:65" x14ac:dyDescent="0.3">
      <c r="A333" s="14">
        <f t="shared" si="112"/>
        <v>112040009</v>
      </c>
      <c r="B333" s="13">
        <v>11</v>
      </c>
      <c r="C333" s="12">
        <f t="shared" si="113"/>
        <v>2</v>
      </c>
      <c r="D333" s="13">
        <v>4</v>
      </c>
      <c r="E333" s="13">
        <v>0</v>
      </c>
      <c r="F333" s="12">
        <f t="shared" si="114"/>
        <v>9</v>
      </c>
      <c r="H333" s="9">
        <v>2</v>
      </c>
      <c r="I333" s="9">
        <v>9</v>
      </c>
      <c r="K333" s="9" t="s">
        <v>372</v>
      </c>
      <c r="L333" s="9">
        <v>1</v>
      </c>
      <c r="M333" s="9">
        <v>15</v>
      </c>
      <c r="R333" s="9" t="s">
        <v>785</v>
      </c>
      <c r="T333" s="86" t="s">
        <v>585</v>
      </c>
      <c r="U333" s="9">
        <f ca="1">IFERROR(OFFSET(ITEM_RES!$A$5,MATCH(BUILDING!T333,ITEM_RES!$J$5:$J$229,0)-1,0),0)</f>
        <v>211020601</v>
      </c>
      <c r="V333" s="11">
        <v>2</v>
      </c>
      <c r="W333" s="86" t="s">
        <v>580</v>
      </c>
      <c r="X333" s="9">
        <f ca="1">IFERROR(OFFSET(ITEM_RES!$A$5,MATCH(BUILDING!W333,ITEM_RES!$J$5:$J$229,0)-1,0),0)</f>
        <v>211020701</v>
      </c>
      <c r="Z333" s="9" t="s">
        <v>557</v>
      </c>
      <c r="AA333" s="9">
        <v>9</v>
      </c>
      <c r="AC333" s="9">
        <v>12000</v>
      </c>
      <c r="AE333" s="56">
        <f t="shared" si="109"/>
        <v>3150</v>
      </c>
      <c r="AF333" s="10">
        <f t="shared" si="116"/>
        <v>5750</v>
      </c>
      <c r="AH333" s="11">
        <f t="shared" si="108"/>
        <v>45</v>
      </c>
      <c r="AI333" s="10">
        <v>45</v>
      </c>
      <c r="AJ333" s="11">
        <f t="shared" si="115"/>
        <v>150</v>
      </c>
      <c r="AK333" s="10">
        <v>150</v>
      </c>
      <c r="AL333" s="11">
        <f t="shared" si="115"/>
        <v>150</v>
      </c>
      <c r="AM333" s="10">
        <v>150</v>
      </c>
      <c r="AN333" s="56">
        <f t="shared" si="110"/>
        <v>2</v>
      </c>
      <c r="AP333" s="11">
        <f ca="1">IFERROR(OFFSET(ITEM_RES!$A$1,MATCH(AQ333,ITEM_RES!$J:$J,0)-1,0),0)</f>
        <v>211020501</v>
      </c>
      <c r="AQ333" s="10" t="s">
        <v>455</v>
      </c>
      <c r="AR333" s="11">
        <v>750</v>
      </c>
      <c r="AU333" s="11">
        <f ca="1">IFERROR(OFFSET(ITEM_RES!$A$1,MATCH(AV333,ITEM_RES!$J:$J,0)-1,0),0)</f>
        <v>211020801</v>
      </c>
      <c r="AV333" s="10" t="s">
        <v>458</v>
      </c>
      <c r="AW333" s="11">
        <v>750</v>
      </c>
      <c r="AZ333" s="11">
        <f ca="1">IFERROR(OFFSET(ITEM_RES!$A$1,MATCH(BA333,ITEM_RES!$J:$J,0)-1,0),0)</f>
        <v>0</v>
      </c>
      <c r="BE333" s="11">
        <f ca="1">IFERROR(OFFSET(ITEM_RES!$A$1,MATCH(BF333,ITEM_RES!$J:$J,0)-1,0),0)</f>
        <v>0</v>
      </c>
      <c r="BJ333" s="11">
        <f ca="1">IFERROR(OFFSET(ITEM_RES!$A$1,MATCH(BK333,ITEM_RES!$J:$J,0)-1,0),0)</f>
        <v>0</v>
      </c>
    </row>
    <row r="334" spans="1:65" x14ac:dyDescent="0.3">
      <c r="A334" s="14">
        <f t="shared" si="112"/>
        <v>112040010</v>
      </c>
      <c r="B334" s="13">
        <v>11</v>
      </c>
      <c r="C334" s="12">
        <f t="shared" si="113"/>
        <v>2</v>
      </c>
      <c r="D334" s="13">
        <v>4</v>
      </c>
      <c r="E334" s="13">
        <v>0</v>
      </c>
      <c r="F334" s="12">
        <f t="shared" si="114"/>
        <v>10</v>
      </c>
      <c r="H334" s="9">
        <v>2</v>
      </c>
      <c r="I334" s="9">
        <v>10</v>
      </c>
      <c r="K334" s="9" t="s">
        <v>372</v>
      </c>
      <c r="L334" s="9">
        <v>1</v>
      </c>
      <c r="M334" s="9">
        <v>15</v>
      </c>
      <c r="R334" s="9" t="s">
        <v>785</v>
      </c>
      <c r="T334" s="86" t="s">
        <v>585</v>
      </c>
      <c r="U334" s="9">
        <f ca="1">IFERROR(OFFSET(ITEM_RES!$A$5,MATCH(BUILDING!T334,ITEM_RES!$J$5:$J$229,0)-1,0),0)</f>
        <v>211020601</v>
      </c>
      <c r="V334" s="11">
        <v>2</v>
      </c>
      <c r="W334" s="86" t="s">
        <v>580</v>
      </c>
      <c r="X334" s="9">
        <f ca="1">IFERROR(OFFSET(ITEM_RES!$A$5,MATCH(BUILDING!W334,ITEM_RES!$J$5:$J$229,0)-1,0),0)</f>
        <v>211020701</v>
      </c>
      <c r="Z334" s="9" t="s">
        <v>557</v>
      </c>
      <c r="AA334" s="9">
        <v>10</v>
      </c>
      <c r="AC334" s="9">
        <v>16000</v>
      </c>
      <c r="AE334" s="56">
        <f t="shared" si="109"/>
        <v>4200</v>
      </c>
      <c r="AF334" s="10">
        <f t="shared" si="116"/>
        <v>7350</v>
      </c>
      <c r="AH334" s="11">
        <f t="shared" si="108"/>
        <v>50</v>
      </c>
      <c r="AI334" s="10">
        <v>50</v>
      </c>
      <c r="AJ334" s="11">
        <f t="shared" si="115"/>
        <v>200</v>
      </c>
      <c r="AK334" s="10">
        <v>200</v>
      </c>
      <c r="AL334" s="11">
        <f t="shared" si="115"/>
        <v>200</v>
      </c>
      <c r="AM334" s="10">
        <v>200</v>
      </c>
      <c r="AN334" s="56">
        <f t="shared" si="110"/>
        <v>2</v>
      </c>
      <c r="AP334" s="11">
        <f ca="1">IFERROR(OFFSET(ITEM_RES!$A$1,MATCH(AQ334,ITEM_RES!$J:$J,0)-1,0),0)</f>
        <v>211020501</v>
      </c>
      <c r="AQ334" s="10" t="s">
        <v>455</v>
      </c>
      <c r="AR334" s="11">
        <v>1000</v>
      </c>
      <c r="AU334" s="11">
        <f ca="1">IFERROR(OFFSET(ITEM_RES!$A$1,MATCH(AV334,ITEM_RES!$J:$J,0)-1,0),0)</f>
        <v>211020801</v>
      </c>
      <c r="AV334" s="10" t="s">
        <v>458</v>
      </c>
      <c r="AW334" s="11">
        <v>1000</v>
      </c>
      <c r="AZ334" s="11">
        <f ca="1">IFERROR(OFFSET(ITEM_RES!$A$1,MATCH(BA334,ITEM_RES!$J:$J,0)-1,0),0)</f>
        <v>0</v>
      </c>
      <c r="BE334" s="11">
        <f ca="1">IFERROR(OFFSET(ITEM_RES!$A$1,MATCH(BF334,ITEM_RES!$J:$J,0)-1,0),0)</f>
        <v>0</v>
      </c>
      <c r="BJ334" s="11">
        <f ca="1">IFERROR(OFFSET(ITEM_RES!$A$1,MATCH(BK334,ITEM_RES!$J:$J,0)-1,0),0)</f>
        <v>0</v>
      </c>
    </row>
    <row r="335" spans="1:65" x14ac:dyDescent="0.3">
      <c r="A335" s="14">
        <f t="shared" si="112"/>
        <v>112040011</v>
      </c>
      <c r="B335" s="13">
        <v>11</v>
      </c>
      <c r="C335" s="12">
        <f t="shared" si="113"/>
        <v>2</v>
      </c>
      <c r="D335" s="13">
        <v>4</v>
      </c>
      <c r="E335" s="13">
        <v>0</v>
      </c>
      <c r="F335" s="12">
        <f t="shared" si="114"/>
        <v>11</v>
      </c>
      <c r="H335" s="9">
        <v>2</v>
      </c>
      <c r="I335" s="9">
        <v>11</v>
      </c>
      <c r="K335" s="9" t="s">
        <v>372</v>
      </c>
      <c r="L335" s="9">
        <v>1</v>
      </c>
      <c r="M335" s="9">
        <v>15</v>
      </c>
      <c r="R335" s="9" t="s">
        <v>785</v>
      </c>
      <c r="T335" s="86" t="s">
        <v>585</v>
      </c>
      <c r="U335" s="9">
        <f ca="1">IFERROR(OFFSET(ITEM_RES!$A$5,MATCH(BUILDING!T335,ITEM_RES!$J$5:$J$229,0)-1,0),0)</f>
        <v>211020601</v>
      </c>
      <c r="V335" s="11">
        <v>2</v>
      </c>
      <c r="W335" s="86" t="s">
        <v>580</v>
      </c>
      <c r="X335" s="9">
        <f ca="1">IFERROR(OFFSET(ITEM_RES!$A$5,MATCH(BUILDING!W335,ITEM_RES!$J$5:$J$229,0)-1,0),0)</f>
        <v>211020701</v>
      </c>
      <c r="Z335" s="9" t="s">
        <v>557</v>
      </c>
      <c r="AA335" s="9">
        <v>11</v>
      </c>
      <c r="AC335" s="9">
        <v>20000</v>
      </c>
      <c r="AE335" s="56">
        <f t="shared" si="109"/>
        <v>5250</v>
      </c>
      <c r="AF335" s="10">
        <f t="shared" si="116"/>
        <v>9450</v>
      </c>
      <c r="AH335" s="11">
        <f t="shared" si="108"/>
        <v>55</v>
      </c>
      <c r="AI335" s="10">
        <v>55</v>
      </c>
      <c r="AJ335" s="11">
        <f t="shared" si="115"/>
        <v>250</v>
      </c>
      <c r="AK335" s="10">
        <v>250</v>
      </c>
      <c r="AL335" s="11">
        <f t="shared" si="115"/>
        <v>250</v>
      </c>
      <c r="AM335" s="10">
        <v>250</v>
      </c>
      <c r="AN335" s="56">
        <f t="shared" si="110"/>
        <v>2</v>
      </c>
      <c r="AP335" s="11">
        <f ca="1">IFERROR(OFFSET(ITEM_RES!$A$1,MATCH(AQ335,ITEM_RES!$J:$J,0)-1,0),0)</f>
        <v>211020501</v>
      </c>
      <c r="AQ335" s="10" t="s">
        <v>455</v>
      </c>
      <c r="AR335" s="11">
        <v>1250</v>
      </c>
      <c r="AU335" s="11">
        <f ca="1">IFERROR(OFFSET(ITEM_RES!$A$1,MATCH(AV335,ITEM_RES!$J:$J,0)-1,0),0)</f>
        <v>211020801</v>
      </c>
      <c r="AV335" s="10" t="s">
        <v>458</v>
      </c>
      <c r="AW335" s="11">
        <v>1250</v>
      </c>
      <c r="AZ335" s="11">
        <f ca="1">IFERROR(OFFSET(ITEM_RES!$A$1,MATCH(BA335,ITEM_RES!$J:$J,0)-1,0),0)</f>
        <v>0</v>
      </c>
      <c r="BE335" s="11">
        <f ca="1">IFERROR(OFFSET(ITEM_RES!$A$1,MATCH(BF335,ITEM_RES!$J:$J,0)-1,0),0)</f>
        <v>0</v>
      </c>
      <c r="BJ335" s="11">
        <f ca="1">IFERROR(OFFSET(ITEM_RES!$A$1,MATCH(BK335,ITEM_RES!$J:$J,0)-1,0),0)</f>
        <v>0</v>
      </c>
    </row>
    <row r="336" spans="1:65" x14ac:dyDescent="0.3">
      <c r="A336" s="14">
        <f t="shared" si="112"/>
        <v>112040012</v>
      </c>
      <c r="B336" s="13">
        <v>11</v>
      </c>
      <c r="C336" s="12">
        <f t="shared" si="113"/>
        <v>2</v>
      </c>
      <c r="D336" s="13">
        <v>4</v>
      </c>
      <c r="E336" s="13">
        <v>0</v>
      </c>
      <c r="F336" s="12">
        <f t="shared" si="114"/>
        <v>12</v>
      </c>
      <c r="H336" s="9">
        <v>2</v>
      </c>
      <c r="I336" s="9">
        <v>12</v>
      </c>
      <c r="K336" s="9" t="s">
        <v>372</v>
      </c>
      <c r="L336" s="9">
        <v>1</v>
      </c>
      <c r="M336" s="9">
        <v>15</v>
      </c>
      <c r="R336" s="9" t="s">
        <v>785</v>
      </c>
      <c r="T336" s="86" t="s">
        <v>585</v>
      </c>
      <c r="U336" s="9">
        <f ca="1">IFERROR(OFFSET(ITEM_RES!$A$5,MATCH(BUILDING!T336,ITEM_RES!$J$5:$J$229,0)-1,0),0)</f>
        <v>211020601</v>
      </c>
      <c r="V336" s="11">
        <v>2</v>
      </c>
      <c r="W336" s="86" t="s">
        <v>580</v>
      </c>
      <c r="X336" s="9">
        <f ca="1">IFERROR(OFFSET(ITEM_RES!$A$5,MATCH(BUILDING!W336,ITEM_RES!$J$5:$J$229,0)-1,0),0)</f>
        <v>211020701</v>
      </c>
      <c r="Z336" s="9" t="s">
        <v>557</v>
      </c>
      <c r="AA336" s="9">
        <v>12</v>
      </c>
      <c r="AC336" s="9">
        <v>24000</v>
      </c>
      <c r="AE336" s="56">
        <f t="shared" si="109"/>
        <v>6300</v>
      </c>
      <c r="AF336" s="10">
        <f t="shared" si="116"/>
        <v>11550</v>
      </c>
      <c r="AH336" s="11">
        <f t="shared" si="108"/>
        <v>60</v>
      </c>
      <c r="AI336" s="10">
        <v>60</v>
      </c>
      <c r="AJ336" s="11">
        <f t="shared" si="115"/>
        <v>300</v>
      </c>
      <c r="AK336" s="10">
        <v>300</v>
      </c>
      <c r="AL336" s="11">
        <f t="shared" si="115"/>
        <v>300</v>
      </c>
      <c r="AM336" s="10">
        <v>300</v>
      </c>
      <c r="AN336" s="56">
        <f t="shared" si="110"/>
        <v>2</v>
      </c>
      <c r="AP336" s="11">
        <f ca="1">IFERROR(OFFSET(ITEM_RES!$A$1,MATCH(AQ336,ITEM_RES!$J:$J,0)-1,0),0)</f>
        <v>211020501</v>
      </c>
      <c r="AQ336" s="10" t="s">
        <v>455</v>
      </c>
      <c r="AR336" s="11">
        <v>1500</v>
      </c>
      <c r="AU336" s="11">
        <f ca="1">IFERROR(OFFSET(ITEM_RES!$A$1,MATCH(AV336,ITEM_RES!$J:$J,0)-1,0),0)</f>
        <v>211020801</v>
      </c>
      <c r="AV336" s="10" t="s">
        <v>458</v>
      </c>
      <c r="AW336" s="11">
        <v>1500</v>
      </c>
      <c r="AZ336" s="11">
        <f ca="1">IFERROR(OFFSET(ITEM_RES!$A$1,MATCH(BA336,ITEM_RES!$J:$J,0)-1,0),0)</f>
        <v>0</v>
      </c>
      <c r="BE336" s="11">
        <f ca="1">IFERROR(OFFSET(ITEM_RES!$A$1,MATCH(BF336,ITEM_RES!$J:$J,0)-1,0),0)</f>
        <v>0</v>
      </c>
      <c r="BJ336" s="11">
        <f ca="1">IFERROR(OFFSET(ITEM_RES!$A$1,MATCH(BK336,ITEM_RES!$J:$J,0)-1,0),0)</f>
        <v>0</v>
      </c>
    </row>
    <row r="337" spans="1:65" x14ac:dyDescent="0.3">
      <c r="A337" s="14">
        <f t="shared" si="112"/>
        <v>112040013</v>
      </c>
      <c r="B337" s="13">
        <v>11</v>
      </c>
      <c r="C337" s="12">
        <f t="shared" si="113"/>
        <v>2</v>
      </c>
      <c r="D337" s="13">
        <v>4</v>
      </c>
      <c r="E337" s="13">
        <v>0</v>
      </c>
      <c r="F337" s="12">
        <f t="shared" si="114"/>
        <v>13</v>
      </c>
      <c r="H337" s="9">
        <v>2</v>
      </c>
      <c r="I337" s="9">
        <v>13</v>
      </c>
      <c r="K337" s="9" t="s">
        <v>372</v>
      </c>
      <c r="L337" s="9">
        <v>1</v>
      </c>
      <c r="M337" s="9">
        <v>15</v>
      </c>
      <c r="R337" s="9" t="s">
        <v>785</v>
      </c>
      <c r="T337" s="86" t="s">
        <v>585</v>
      </c>
      <c r="U337" s="9">
        <f ca="1">IFERROR(OFFSET(ITEM_RES!$A$5,MATCH(BUILDING!T337,ITEM_RES!$J$5:$J$229,0)-1,0),0)</f>
        <v>211020601</v>
      </c>
      <c r="V337" s="11">
        <v>2</v>
      </c>
      <c r="W337" s="86" t="s">
        <v>580</v>
      </c>
      <c r="X337" s="9">
        <f ca="1">IFERROR(OFFSET(ITEM_RES!$A$5,MATCH(BUILDING!W337,ITEM_RES!$J$5:$J$229,0)-1,0),0)</f>
        <v>211020701</v>
      </c>
      <c r="Z337" s="9" t="s">
        <v>557</v>
      </c>
      <c r="AA337" s="9">
        <v>13</v>
      </c>
      <c r="AC337" s="9">
        <v>28000</v>
      </c>
      <c r="AE337" s="56">
        <f t="shared" si="109"/>
        <v>7350</v>
      </c>
      <c r="AF337" s="10">
        <f t="shared" si="116"/>
        <v>13650</v>
      </c>
      <c r="AH337" s="11">
        <f t="shared" si="108"/>
        <v>65</v>
      </c>
      <c r="AI337" s="10">
        <v>65</v>
      </c>
      <c r="AJ337" s="11">
        <f t="shared" si="115"/>
        <v>350</v>
      </c>
      <c r="AK337" s="10">
        <v>350</v>
      </c>
      <c r="AL337" s="11">
        <f t="shared" si="115"/>
        <v>350</v>
      </c>
      <c r="AM337" s="10">
        <v>350</v>
      </c>
      <c r="AN337" s="56">
        <f t="shared" si="110"/>
        <v>2</v>
      </c>
      <c r="AP337" s="11">
        <f ca="1">IFERROR(OFFSET(ITEM_RES!$A$1,MATCH(AQ337,ITEM_RES!$J:$J,0)-1,0),0)</f>
        <v>211020501</v>
      </c>
      <c r="AQ337" s="10" t="s">
        <v>455</v>
      </c>
      <c r="AR337" s="11">
        <v>1750</v>
      </c>
      <c r="AU337" s="11">
        <f ca="1">IFERROR(OFFSET(ITEM_RES!$A$1,MATCH(AV337,ITEM_RES!$J:$J,0)-1,0),0)</f>
        <v>211020801</v>
      </c>
      <c r="AV337" s="10" t="s">
        <v>458</v>
      </c>
      <c r="AW337" s="11">
        <v>1750</v>
      </c>
      <c r="AZ337" s="11">
        <f ca="1">IFERROR(OFFSET(ITEM_RES!$A$1,MATCH(BA337,ITEM_RES!$J:$J,0)-1,0),0)</f>
        <v>0</v>
      </c>
      <c r="BE337" s="11">
        <f ca="1">IFERROR(OFFSET(ITEM_RES!$A$1,MATCH(BF337,ITEM_RES!$J:$J,0)-1,0),0)</f>
        <v>0</v>
      </c>
      <c r="BJ337" s="11">
        <f ca="1">IFERROR(OFFSET(ITEM_RES!$A$1,MATCH(BK337,ITEM_RES!$J:$J,0)-1,0),0)</f>
        <v>0</v>
      </c>
    </row>
    <row r="338" spans="1:65" x14ac:dyDescent="0.3">
      <c r="A338" s="14">
        <f t="shared" si="112"/>
        <v>112040014</v>
      </c>
      <c r="B338" s="13">
        <v>11</v>
      </c>
      <c r="C338" s="12">
        <f t="shared" si="113"/>
        <v>2</v>
      </c>
      <c r="D338" s="13">
        <v>4</v>
      </c>
      <c r="E338" s="13">
        <v>0</v>
      </c>
      <c r="F338" s="12">
        <f t="shared" si="114"/>
        <v>14</v>
      </c>
      <c r="H338" s="9">
        <v>2</v>
      </c>
      <c r="I338" s="9">
        <v>14</v>
      </c>
      <c r="K338" s="9" t="s">
        <v>372</v>
      </c>
      <c r="L338" s="9">
        <v>1</v>
      </c>
      <c r="M338" s="9">
        <v>15</v>
      </c>
      <c r="R338" s="9" t="s">
        <v>785</v>
      </c>
      <c r="T338" s="86" t="s">
        <v>585</v>
      </c>
      <c r="U338" s="9">
        <f ca="1">IFERROR(OFFSET(ITEM_RES!$A$5,MATCH(BUILDING!T338,ITEM_RES!$J$5:$J$229,0)-1,0),0)</f>
        <v>211020601</v>
      </c>
      <c r="V338" s="11">
        <v>2</v>
      </c>
      <c r="W338" s="86" t="s">
        <v>580</v>
      </c>
      <c r="X338" s="9">
        <f ca="1">IFERROR(OFFSET(ITEM_RES!$A$5,MATCH(BUILDING!W338,ITEM_RES!$J$5:$J$229,0)-1,0),0)</f>
        <v>211020701</v>
      </c>
      <c r="Z338" s="9" t="s">
        <v>557</v>
      </c>
      <c r="AA338" s="9">
        <v>14</v>
      </c>
      <c r="AC338" s="9">
        <v>36000</v>
      </c>
      <c r="AE338" s="56">
        <f t="shared" si="109"/>
        <v>9450</v>
      </c>
      <c r="AF338" s="10">
        <f t="shared" si="116"/>
        <v>16800</v>
      </c>
      <c r="AH338" s="11">
        <f t="shared" si="108"/>
        <v>70</v>
      </c>
      <c r="AI338" s="10">
        <v>70</v>
      </c>
      <c r="AJ338" s="11">
        <f t="shared" si="115"/>
        <v>450</v>
      </c>
      <c r="AK338" s="10">
        <v>450</v>
      </c>
      <c r="AL338" s="11">
        <f t="shared" si="115"/>
        <v>450</v>
      </c>
      <c r="AM338" s="10">
        <v>450</v>
      </c>
      <c r="AN338" s="56">
        <f t="shared" si="110"/>
        <v>2</v>
      </c>
      <c r="AP338" s="11">
        <f ca="1">IFERROR(OFFSET(ITEM_RES!$A$1,MATCH(AQ338,ITEM_RES!$J:$J,0)-1,0),0)</f>
        <v>211020501</v>
      </c>
      <c r="AQ338" s="10" t="s">
        <v>455</v>
      </c>
      <c r="AR338" s="11">
        <v>2250</v>
      </c>
      <c r="AU338" s="11">
        <f ca="1">IFERROR(OFFSET(ITEM_RES!$A$1,MATCH(AV338,ITEM_RES!$J:$J,0)-1,0),0)</f>
        <v>211020801</v>
      </c>
      <c r="AV338" s="10" t="s">
        <v>458</v>
      </c>
      <c r="AW338" s="11">
        <v>2250</v>
      </c>
      <c r="AZ338" s="11">
        <f ca="1">IFERROR(OFFSET(ITEM_RES!$A$1,MATCH(BA338,ITEM_RES!$J:$J,0)-1,0),0)</f>
        <v>0</v>
      </c>
      <c r="BE338" s="11">
        <f ca="1">IFERROR(OFFSET(ITEM_RES!$A$1,MATCH(BF338,ITEM_RES!$J:$J,0)-1,0),0)</f>
        <v>0</v>
      </c>
      <c r="BJ338" s="11">
        <f ca="1">IFERROR(OFFSET(ITEM_RES!$A$1,MATCH(BK338,ITEM_RES!$J:$J,0)-1,0),0)</f>
        <v>0</v>
      </c>
    </row>
    <row r="339" spans="1:65" x14ac:dyDescent="0.3">
      <c r="A339" s="14">
        <f t="shared" si="112"/>
        <v>112040015</v>
      </c>
      <c r="B339" s="13">
        <v>11</v>
      </c>
      <c r="C339" s="12">
        <f t="shared" si="113"/>
        <v>2</v>
      </c>
      <c r="D339" s="13">
        <v>4</v>
      </c>
      <c r="E339" s="13">
        <v>0</v>
      </c>
      <c r="F339" s="12">
        <f t="shared" si="114"/>
        <v>15</v>
      </c>
      <c r="H339" s="9">
        <v>2</v>
      </c>
      <c r="I339" s="9">
        <v>15</v>
      </c>
      <c r="K339" s="9" t="s">
        <v>372</v>
      </c>
      <c r="L339" s="9">
        <v>1</v>
      </c>
      <c r="M339" s="9">
        <v>15</v>
      </c>
      <c r="R339" s="9" t="s">
        <v>785</v>
      </c>
      <c r="T339" s="86" t="s">
        <v>585</v>
      </c>
      <c r="U339" s="9">
        <f ca="1">IFERROR(OFFSET(ITEM_RES!$A$5,MATCH(BUILDING!T339,ITEM_RES!$J$5:$J$229,0)-1,0),0)</f>
        <v>211020601</v>
      </c>
      <c r="V339" s="11">
        <v>2</v>
      </c>
      <c r="W339" s="86" t="s">
        <v>580</v>
      </c>
      <c r="X339" s="9">
        <f ca="1">IFERROR(OFFSET(ITEM_RES!$A$5,MATCH(BUILDING!W339,ITEM_RES!$J$5:$J$229,0)-1,0),0)</f>
        <v>211020701</v>
      </c>
      <c r="Z339" s="9" t="s">
        <v>557</v>
      </c>
      <c r="AA339" s="9">
        <v>15</v>
      </c>
      <c r="AC339" s="9">
        <v>44000</v>
      </c>
      <c r="AE339" s="56">
        <f t="shared" si="109"/>
        <v>11550</v>
      </c>
      <c r="AF339" s="10">
        <f t="shared" si="116"/>
        <v>21000</v>
      </c>
      <c r="AH339" s="11">
        <f t="shared" si="108"/>
        <v>75</v>
      </c>
      <c r="AI339" s="10">
        <v>75</v>
      </c>
      <c r="AJ339" s="11">
        <f t="shared" si="115"/>
        <v>550</v>
      </c>
      <c r="AK339" s="10">
        <v>550</v>
      </c>
      <c r="AL339" s="11">
        <f t="shared" si="115"/>
        <v>550</v>
      </c>
      <c r="AM339" s="10">
        <v>550</v>
      </c>
      <c r="AN339" s="56">
        <f t="shared" si="110"/>
        <v>2</v>
      </c>
      <c r="AP339" s="11">
        <f ca="1">IFERROR(OFFSET(ITEM_RES!$A$1,MATCH(AQ339,ITEM_RES!$J:$J,0)-1,0),0)</f>
        <v>211020501</v>
      </c>
      <c r="AQ339" s="10" t="s">
        <v>455</v>
      </c>
      <c r="AR339" s="11">
        <v>2750</v>
      </c>
      <c r="AU339" s="11">
        <f ca="1">IFERROR(OFFSET(ITEM_RES!$A$1,MATCH(AV339,ITEM_RES!$J:$J,0)-1,0),0)</f>
        <v>211020801</v>
      </c>
      <c r="AV339" s="10" t="s">
        <v>458</v>
      </c>
      <c r="AW339" s="11">
        <v>2750</v>
      </c>
      <c r="AZ339" s="11">
        <f ca="1">IFERROR(OFFSET(ITEM_RES!$A$1,MATCH(BA339,ITEM_RES!$J:$J,0)-1,0),0)</f>
        <v>0</v>
      </c>
      <c r="BE339" s="11">
        <f ca="1">IFERROR(OFFSET(ITEM_RES!$A$1,MATCH(BF339,ITEM_RES!$J:$J,0)-1,0),0)</f>
        <v>0</v>
      </c>
      <c r="BJ339" s="11">
        <f ca="1">IFERROR(OFFSET(ITEM_RES!$A$1,MATCH(BK339,ITEM_RES!$J:$J,0)-1,0),0)</f>
        <v>0</v>
      </c>
    </row>
    <row r="340" spans="1:65" x14ac:dyDescent="0.3">
      <c r="A340" s="14">
        <f t="shared" si="112"/>
        <v>112040016</v>
      </c>
      <c r="B340" s="13">
        <v>11</v>
      </c>
      <c r="C340" s="12">
        <f t="shared" si="113"/>
        <v>2</v>
      </c>
      <c r="D340" s="13">
        <v>4</v>
      </c>
      <c r="E340" s="13">
        <v>0</v>
      </c>
      <c r="F340" s="12">
        <f t="shared" si="114"/>
        <v>16</v>
      </c>
      <c r="H340" s="9">
        <v>2</v>
      </c>
      <c r="I340" s="9">
        <v>16</v>
      </c>
      <c r="K340" s="9" t="s">
        <v>372</v>
      </c>
      <c r="L340" s="9">
        <v>0</v>
      </c>
      <c r="M340" s="9">
        <v>15</v>
      </c>
      <c r="R340" s="9" t="s">
        <v>785</v>
      </c>
      <c r="T340" s="86" t="s">
        <v>585</v>
      </c>
      <c r="U340" s="9">
        <f ca="1">IFERROR(OFFSET(ITEM_RES!$A$5,MATCH(BUILDING!T340,ITEM_RES!$J$5:$J$229,0)-1,0),0)</f>
        <v>211020601</v>
      </c>
      <c r="V340" s="11">
        <v>2</v>
      </c>
      <c r="W340" s="86" t="s">
        <v>580</v>
      </c>
      <c r="X340" s="9">
        <f ca="1">IFERROR(OFFSET(ITEM_RES!$A$5,MATCH(BUILDING!W340,ITEM_RES!$J$5:$J$229,0)-1,0),0)</f>
        <v>211020701</v>
      </c>
      <c r="Z340" s="9" t="s">
        <v>557</v>
      </c>
      <c r="AA340" s="9">
        <v>16</v>
      </c>
      <c r="AC340" s="9">
        <v>56000</v>
      </c>
      <c r="AE340" s="56">
        <f t="shared" si="109"/>
        <v>14700</v>
      </c>
      <c r="AF340" s="10">
        <f t="shared" si="116"/>
        <v>26250</v>
      </c>
      <c r="AH340" s="11">
        <f t="shared" si="108"/>
        <v>80</v>
      </c>
      <c r="AI340" s="10">
        <v>80</v>
      </c>
      <c r="AJ340" s="11">
        <f t="shared" si="115"/>
        <v>700</v>
      </c>
      <c r="AK340" s="10">
        <v>700</v>
      </c>
      <c r="AL340" s="11">
        <f t="shared" si="115"/>
        <v>700</v>
      </c>
      <c r="AM340" s="10">
        <v>700</v>
      </c>
      <c r="AN340" s="56">
        <f t="shared" si="110"/>
        <v>2</v>
      </c>
      <c r="AP340" s="11">
        <f ca="1">IFERROR(OFFSET(ITEM_RES!$A$1,MATCH(AQ340,ITEM_RES!$J:$J,0)-1,0),0)</f>
        <v>211020501</v>
      </c>
      <c r="AQ340" s="10" t="s">
        <v>455</v>
      </c>
      <c r="AR340" s="11">
        <v>3500</v>
      </c>
      <c r="AU340" s="11">
        <f ca="1">IFERROR(OFFSET(ITEM_RES!$A$1,MATCH(AV340,ITEM_RES!$J:$J,0)-1,0),0)</f>
        <v>211020801</v>
      </c>
      <c r="AV340" s="10" t="s">
        <v>458</v>
      </c>
      <c r="AW340" s="11">
        <v>3500</v>
      </c>
      <c r="AZ340" s="11">
        <f ca="1">IFERROR(OFFSET(ITEM_RES!$A$1,MATCH(BA340,ITEM_RES!$J:$J,0)-1,0),0)</f>
        <v>0</v>
      </c>
      <c r="BE340" s="11">
        <f ca="1">IFERROR(OFFSET(ITEM_RES!$A$1,MATCH(BF340,ITEM_RES!$J:$J,0)-1,0),0)</f>
        <v>0</v>
      </c>
      <c r="BJ340" s="11">
        <f ca="1">IFERROR(OFFSET(ITEM_RES!$A$1,MATCH(BK340,ITEM_RES!$J:$J,0)-1,0),0)</f>
        <v>0</v>
      </c>
    </row>
    <row r="341" spans="1:65" x14ac:dyDescent="0.3">
      <c r="A341" s="14">
        <f t="shared" si="112"/>
        <v>112040017</v>
      </c>
      <c r="B341" s="13">
        <v>11</v>
      </c>
      <c r="C341" s="12">
        <f t="shared" si="113"/>
        <v>2</v>
      </c>
      <c r="D341" s="13">
        <v>4</v>
      </c>
      <c r="E341" s="13">
        <v>0</v>
      </c>
      <c r="F341" s="12">
        <f t="shared" si="114"/>
        <v>17</v>
      </c>
      <c r="H341" s="9">
        <v>2</v>
      </c>
      <c r="I341" s="9">
        <v>17</v>
      </c>
      <c r="K341" s="9" t="s">
        <v>372</v>
      </c>
      <c r="L341" s="9">
        <v>0</v>
      </c>
      <c r="M341" s="9">
        <v>15</v>
      </c>
      <c r="R341" s="9" t="s">
        <v>785</v>
      </c>
      <c r="T341" s="86" t="s">
        <v>585</v>
      </c>
      <c r="U341" s="9">
        <f ca="1">IFERROR(OFFSET(ITEM_RES!$A$5,MATCH(BUILDING!T341,ITEM_RES!$J$5:$J$229,0)-1,0),0)</f>
        <v>211020601</v>
      </c>
      <c r="V341" s="11">
        <v>2</v>
      </c>
      <c r="W341" s="86" t="s">
        <v>580</v>
      </c>
      <c r="X341" s="9">
        <f ca="1">IFERROR(OFFSET(ITEM_RES!$A$5,MATCH(BUILDING!W341,ITEM_RES!$J$5:$J$229,0)-1,0),0)</f>
        <v>211020701</v>
      </c>
      <c r="Z341" s="9" t="s">
        <v>557</v>
      </c>
      <c r="AA341" s="9">
        <v>17</v>
      </c>
      <c r="AC341" s="9">
        <v>68000</v>
      </c>
      <c r="AE341" s="56">
        <f t="shared" si="109"/>
        <v>17850</v>
      </c>
      <c r="AF341" s="10">
        <f t="shared" si="116"/>
        <v>32550</v>
      </c>
      <c r="AH341" s="11">
        <f t="shared" si="108"/>
        <v>85</v>
      </c>
      <c r="AI341" s="10">
        <v>85</v>
      </c>
      <c r="AJ341" s="11">
        <f t="shared" si="115"/>
        <v>850</v>
      </c>
      <c r="AK341" s="10">
        <v>850</v>
      </c>
      <c r="AL341" s="11">
        <f t="shared" si="115"/>
        <v>850</v>
      </c>
      <c r="AM341" s="10">
        <v>850</v>
      </c>
      <c r="AN341" s="56">
        <f t="shared" si="110"/>
        <v>2</v>
      </c>
      <c r="AP341" s="11">
        <f ca="1">IFERROR(OFFSET(ITEM_RES!$A$1,MATCH(AQ341,ITEM_RES!$J:$J,0)-1,0),0)</f>
        <v>211020501</v>
      </c>
      <c r="AQ341" s="10" t="s">
        <v>455</v>
      </c>
      <c r="AR341" s="11">
        <v>4250</v>
      </c>
      <c r="AU341" s="11">
        <f ca="1">IFERROR(OFFSET(ITEM_RES!$A$1,MATCH(AV341,ITEM_RES!$J:$J,0)-1,0),0)</f>
        <v>211020801</v>
      </c>
      <c r="AV341" s="10" t="s">
        <v>458</v>
      </c>
      <c r="AW341" s="11">
        <v>4250</v>
      </c>
      <c r="AZ341" s="11">
        <f ca="1">IFERROR(OFFSET(ITEM_RES!$A$1,MATCH(BA341,ITEM_RES!$J:$J,0)-1,0),0)</f>
        <v>0</v>
      </c>
      <c r="BE341" s="11">
        <f ca="1">IFERROR(OFFSET(ITEM_RES!$A$1,MATCH(BF341,ITEM_RES!$J:$J,0)-1,0),0)</f>
        <v>0</v>
      </c>
      <c r="BJ341" s="11">
        <f ca="1">IFERROR(OFFSET(ITEM_RES!$A$1,MATCH(BK341,ITEM_RES!$J:$J,0)-1,0),0)</f>
        <v>0</v>
      </c>
    </row>
    <row r="342" spans="1:65" x14ac:dyDescent="0.3">
      <c r="A342" s="14">
        <f t="shared" si="112"/>
        <v>112040018</v>
      </c>
      <c r="B342" s="13">
        <v>11</v>
      </c>
      <c r="C342" s="12">
        <f t="shared" si="113"/>
        <v>2</v>
      </c>
      <c r="D342" s="13">
        <v>4</v>
      </c>
      <c r="E342" s="13">
        <v>0</v>
      </c>
      <c r="F342" s="12">
        <f t="shared" si="114"/>
        <v>18</v>
      </c>
      <c r="H342" s="9">
        <v>2</v>
      </c>
      <c r="I342" s="9">
        <v>18</v>
      </c>
      <c r="K342" s="9" t="s">
        <v>372</v>
      </c>
      <c r="L342" s="9">
        <v>0</v>
      </c>
      <c r="M342" s="9">
        <v>15</v>
      </c>
      <c r="R342" s="9" t="s">
        <v>785</v>
      </c>
      <c r="T342" s="86" t="s">
        <v>585</v>
      </c>
      <c r="U342" s="9">
        <f ca="1">IFERROR(OFFSET(ITEM_RES!$A$5,MATCH(BUILDING!T342,ITEM_RES!$J$5:$J$229,0)-1,0),0)</f>
        <v>211020601</v>
      </c>
      <c r="V342" s="11">
        <v>2</v>
      </c>
      <c r="W342" s="86" t="s">
        <v>580</v>
      </c>
      <c r="X342" s="9">
        <f ca="1">IFERROR(OFFSET(ITEM_RES!$A$5,MATCH(BUILDING!W342,ITEM_RES!$J$5:$J$229,0)-1,0),0)</f>
        <v>211020701</v>
      </c>
      <c r="Z342" s="9" t="s">
        <v>557</v>
      </c>
      <c r="AA342" s="9">
        <v>18</v>
      </c>
      <c r="AC342" s="9">
        <v>84000</v>
      </c>
      <c r="AE342" s="56">
        <f t="shared" si="109"/>
        <v>22050</v>
      </c>
      <c r="AF342" s="10">
        <f t="shared" si="116"/>
        <v>39900</v>
      </c>
      <c r="AH342" s="11">
        <f t="shared" si="108"/>
        <v>90</v>
      </c>
      <c r="AI342" s="10">
        <v>90</v>
      </c>
      <c r="AJ342" s="11">
        <f t="shared" si="115"/>
        <v>1050</v>
      </c>
      <c r="AK342" s="10">
        <v>1050</v>
      </c>
      <c r="AL342" s="11">
        <f t="shared" si="115"/>
        <v>1050</v>
      </c>
      <c r="AM342" s="10">
        <v>1050</v>
      </c>
      <c r="AN342" s="56">
        <f t="shared" si="110"/>
        <v>2</v>
      </c>
      <c r="AP342" s="11">
        <f ca="1">IFERROR(OFFSET(ITEM_RES!$A$1,MATCH(AQ342,ITEM_RES!$J:$J,0)-1,0),0)</f>
        <v>211020501</v>
      </c>
      <c r="AQ342" s="10" t="s">
        <v>455</v>
      </c>
      <c r="AR342" s="11">
        <v>5250</v>
      </c>
      <c r="AU342" s="11">
        <f ca="1">IFERROR(OFFSET(ITEM_RES!$A$1,MATCH(AV342,ITEM_RES!$J:$J,0)-1,0),0)</f>
        <v>211020801</v>
      </c>
      <c r="AV342" s="10" t="s">
        <v>458</v>
      </c>
      <c r="AW342" s="11">
        <v>5250</v>
      </c>
      <c r="AZ342" s="11">
        <f ca="1">IFERROR(OFFSET(ITEM_RES!$A$1,MATCH(BA342,ITEM_RES!$J:$J,0)-1,0),0)</f>
        <v>0</v>
      </c>
      <c r="BE342" s="11">
        <f ca="1">IFERROR(OFFSET(ITEM_RES!$A$1,MATCH(BF342,ITEM_RES!$J:$J,0)-1,0),0)</f>
        <v>0</v>
      </c>
      <c r="BJ342" s="11">
        <f ca="1">IFERROR(OFFSET(ITEM_RES!$A$1,MATCH(BK342,ITEM_RES!$J:$J,0)-1,0),0)</f>
        <v>0</v>
      </c>
    </row>
    <row r="343" spans="1:65" x14ac:dyDescent="0.3">
      <c r="A343" s="14">
        <f t="shared" si="112"/>
        <v>112040019</v>
      </c>
      <c r="B343" s="13">
        <v>11</v>
      </c>
      <c r="C343" s="12">
        <f t="shared" si="113"/>
        <v>2</v>
      </c>
      <c r="D343" s="13">
        <v>4</v>
      </c>
      <c r="E343" s="13">
        <v>0</v>
      </c>
      <c r="F343" s="12">
        <f t="shared" si="114"/>
        <v>19</v>
      </c>
      <c r="H343" s="9">
        <v>2</v>
      </c>
      <c r="I343" s="9">
        <v>19</v>
      </c>
      <c r="K343" s="9" t="s">
        <v>372</v>
      </c>
      <c r="L343" s="9">
        <v>0</v>
      </c>
      <c r="M343" s="9">
        <v>15</v>
      </c>
      <c r="R343" s="9" t="s">
        <v>785</v>
      </c>
      <c r="T343" s="86" t="s">
        <v>585</v>
      </c>
      <c r="U343" s="9">
        <f ca="1">IFERROR(OFFSET(ITEM_RES!$A$5,MATCH(BUILDING!T343,ITEM_RES!$J$5:$J$229,0)-1,0),0)</f>
        <v>211020601</v>
      </c>
      <c r="V343" s="11">
        <v>2</v>
      </c>
      <c r="W343" s="86" t="s">
        <v>580</v>
      </c>
      <c r="X343" s="9">
        <f ca="1">IFERROR(OFFSET(ITEM_RES!$A$5,MATCH(BUILDING!W343,ITEM_RES!$J$5:$J$229,0)-1,0),0)</f>
        <v>211020701</v>
      </c>
      <c r="Z343" s="9" t="s">
        <v>557</v>
      </c>
      <c r="AA343" s="9">
        <v>19</v>
      </c>
      <c r="AC343" s="9">
        <v>100000</v>
      </c>
      <c r="AE343" s="56">
        <f t="shared" si="109"/>
        <v>26250</v>
      </c>
      <c r="AF343" s="10">
        <f t="shared" si="116"/>
        <v>48300</v>
      </c>
      <c r="AH343" s="11">
        <f t="shared" si="108"/>
        <v>95</v>
      </c>
      <c r="AI343" s="10">
        <v>95</v>
      </c>
      <c r="AJ343" s="11">
        <f t="shared" si="115"/>
        <v>1250</v>
      </c>
      <c r="AK343" s="10">
        <v>1250</v>
      </c>
      <c r="AL343" s="11">
        <f t="shared" si="115"/>
        <v>1250</v>
      </c>
      <c r="AM343" s="10">
        <v>1250</v>
      </c>
      <c r="AN343" s="56">
        <f t="shared" si="110"/>
        <v>2</v>
      </c>
      <c r="AP343" s="11">
        <f ca="1">IFERROR(OFFSET(ITEM_RES!$A$1,MATCH(AQ343,ITEM_RES!$J:$J,0)-1,0),0)</f>
        <v>211020501</v>
      </c>
      <c r="AQ343" s="10" t="s">
        <v>455</v>
      </c>
      <c r="AR343" s="11">
        <v>6250</v>
      </c>
      <c r="AU343" s="11">
        <f ca="1">IFERROR(OFFSET(ITEM_RES!$A$1,MATCH(AV343,ITEM_RES!$J:$J,0)-1,0),0)</f>
        <v>211020801</v>
      </c>
      <c r="AV343" s="10" t="s">
        <v>458</v>
      </c>
      <c r="AW343" s="11">
        <v>6250</v>
      </c>
      <c r="AZ343" s="11">
        <f ca="1">IFERROR(OFFSET(ITEM_RES!$A$1,MATCH(BA343,ITEM_RES!$J:$J,0)-1,0),0)</f>
        <v>0</v>
      </c>
      <c r="BE343" s="11">
        <f ca="1">IFERROR(OFFSET(ITEM_RES!$A$1,MATCH(BF343,ITEM_RES!$J:$J,0)-1,0),0)</f>
        <v>0</v>
      </c>
      <c r="BJ343" s="11">
        <f ca="1">IFERROR(OFFSET(ITEM_RES!$A$1,MATCH(BK343,ITEM_RES!$J:$J,0)-1,0),0)</f>
        <v>0</v>
      </c>
    </row>
    <row r="344" spans="1:65" ht="17.25" thickBot="1" x14ac:dyDescent="0.35">
      <c r="A344" s="14">
        <f t="shared" si="112"/>
        <v>112040020</v>
      </c>
      <c r="B344" s="13">
        <v>11</v>
      </c>
      <c r="C344" s="12">
        <f t="shared" si="113"/>
        <v>2</v>
      </c>
      <c r="D344" s="13">
        <v>4</v>
      </c>
      <c r="E344" s="13">
        <v>0</v>
      </c>
      <c r="F344" s="12">
        <f t="shared" si="114"/>
        <v>20</v>
      </c>
      <c r="H344" s="9">
        <v>2</v>
      </c>
      <c r="I344" s="9">
        <v>20</v>
      </c>
      <c r="K344" s="9" t="s">
        <v>372</v>
      </c>
      <c r="L344" s="9">
        <v>0</v>
      </c>
      <c r="M344" s="9">
        <v>15</v>
      </c>
      <c r="R344" s="9" t="s">
        <v>785</v>
      </c>
      <c r="T344" s="86" t="s">
        <v>585</v>
      </c>
      <c r="U344" s="9">
        <f ca="1">IFERROR(OFFSET(ITEM_RES!$A$5,MATCH(BUILDING!T344,ITEM_RES!$J$5:$J$229,0)-1,0),0)</f>
        <v>211020601</v>
      </c>
      <c r="V344" s="11">
        <v>2</v>
      </c>
      <c r="W344" s="86" t="s">
        <v>580</v>
      </c>
      <c r="X344" s="9">
        <f ca="1">IFERROR(OFFSET(ITEM_RES!$A$5,MATCH(BUILDING!W344,ITEM_RES!$J$5:$J$229,0)-1,0),0)</f>
        <v>211020701</v>
      </c>
      <c r="Z344" s="9" t="s">
        <v>557</v>
      </c>
      <c r="AA344" s="9">
        <v>20</v>
      </c>
      <c r="AC344" s="9">
        <v>120000</v>
      </c>
      <c r="AE344" s="56">
        <f t="shared" si="109"/>
        <v>31500</v>
      </c>
      <c r="AF344" s="10">
        <f t="shared" si="116"/>
        <v>57750</v>
      </c>
      <c r="AH344" s="11">
        <f t="shared" si="108"/>
        <v>100</v>
      </c>
      <c r="AI344" s="10">
        <v>100</v>
      </c>
      <c r="AJ344" s="11">
        <f t="shared" si="115"/>
        <v>1500</v>
      </c>
      <c r="AK344" s="10">
        <v>1500</v>
      </c>
      <c r="AL344" s="11">
        <f t="shared" si="115"/>
        <v>1500</v>
      </c>
      <c r="AM344" s="10">
        <v>1500</v>
      </c>
      <c r="AN344" s="56">
        <f t="shared" si="110"/>
        <v>2</v>
      </c>
      <c r="AP344" s="11">
        <f ca="1">IFERROR(OFFSET(ITEM_RES!$A$1,MATCH(AQ344,ITEM_RES!$J:$J,0)-1,0),0)</f>
        <v>211020501</v>
      </c>
      <c r="AQ344" s="10" t="s">
        <v>455</v>
      </c>
      <c r="AR344" s="11">
        <v>7500</v>
      </c>
      <c r="AU344" s="11">
        <f ca="1">IFERROR(OFFSET(ITEM_RES!$A$1,MATCH(AV344,ITEM_RES!$J:$J,0)-1,0),0)</f>
        <v>211020801</v>
      </c>
      <c r="AV344" s="10" t="s">
        <v>458</v>
      </c>
      <c r="AW344" s="11">
        <v>7500</v>
      </c>
      <c r="AZ344" s="11">
        <f ca="1">IFERROR(OFFSET(ITEM_RES!$A$1,MATCH(BA344,ITEM_RES!$J:$J,0)-1,0),0)</f>
        <v>0</v>
      </c>
      <c r="BE344" s="11">
        <f ca="1">IFERROR(OFFSET(ITEM_RES!$A$1,MATCH(BF344,ITEM_RES!$J:$J,0)-1,0),0)</f>
        <v>0</v>
      </c>
      <c r="BJ344" s="11">
        <f ca="1">IFERROR(OFFSET(ITEM_RES!$A$1,MATCH(BK344,ITEM_RES!$J:$J,0)-1,0),0)</f>
        <v>0</v>
      </c>
    </row>
    <row r="345" spans="1:65" s="15" customFormat="1" x14ac:dyDescent="0.3">
      <c r="A345" s="21">
        <f t="shared" si="112"/>
        <v>112050001</v>
      </c>
      <c r="B345" s="20">
        <v>11</v>
      </c>
      <c r="C345" s="19">
        <f t="shared" si="113"/>
        <v>2</v>
      </c>
      <c r="D345" s="20">
        <v>5</v>
      </c>
      <c r="E345" s="20">
        <v>0</v>
      </c>
      <c r="F345" s="19">
        <f t="shared" si="114"/>
        <v>1</v>
      </c>
      <c r="G345" s="80"/>
      <c r="H345" s="16">
        <v>2</v>
      </c>
      <c r="I345" s="16">
        <v>1</v>
      </c>
      <c r="J345" s="80"/>
      <c r="K345" s="16" t="s">
        <v>374</v>
      </c>
      <c r="L345" s="16">
        <v>1</v>
      </c>
      <c r="M345" s="16">
        <v>15</v>
      </c>
      <c r="N345" s="16"/>
      <c r="O345" s="17"/>
      <c r="P345" s="17"/>
      <c r="Q345" s="18"/>
      <c r="R345" s="16" t="s">
        <v>786</v>
      </c>
      <c r="S345" s="80"/>
      <c r="T345" s="88" t="s">
        <v>586</v>
      </c>
      <c r="U345" s="16">
        <f ca="1">IFERROR(OFFSET(ITEM_RES!$A$5,MATCH(BUILDING!T345,ITEM_RES!$J$5:$J$229,0)-1,0),0)</f>
        <v>211020801</v>
      </c>
      <c r="V345" s="18">
        <v>1</v>
      </c>
      <c r="W345" s="88" t="s">
        <v>410</v>
      </c>
      <c r="X345" s="16">
        <f ca="1">IFERROR(OFFSET(ITEM_RES!$A$5,MATCH(BUILDING!W345,ITEM_RES!$J$5:$J$229,0)-1,0),0)</f>
        <v>211020901</v>
      </c>
      <c r="Y345" s="80"/>
      <c r="Z345" s="16" t="s">
        <v>558</v>
      </c>
      <c r="AA345" s="16">
        <v>1</v>
      </c>
      <c r="AB345" s="80"/>
      <c r="AC345" s="16">
        <v>0</v>
      </c>
      <c r="AD345" s="80"/>
      <c r="AE345" s="57">
        <f t="shared" si="109"/>
        <v>605</v>
      </c>
      <c r="AF345" s="17">
        <f>AE345</f>
        <v>605</v>
      </c>
      <c r="AG345" s="80"/>
      <c r="AH345" s="18">
        <f t="shared" si="108"/>
        <v>5</v>
      </c>
      <c r="AI345" s="17">
        <v>5</v>
      </c>
      <c r="AJ345" s="18">
        <f t="shared" si="115"/>
        <v>5</v>
      </c>
      <c r="AK345" s="17">
        <v>5</v>
      </c>
      <c r="AL345" s="18">
        <f t="shared" si="115"/>
        <v>5</v>
      </c>
      <c r="AM345" s="17">
        <v>5</v>
      </c>
      <c r="AN345" s="57">
        <f t="shared" si="110"/>
        <v>3</v>
      </c>
      <c r="AO345" s="18"/>
      <c r="AP345" s="18">
        <f ca="1">IFERROR(OFFSET(ITEM_RES!$A$1,MATCH(AQ345,ITEM_RES!$J:$J,0)-1,0),0)</f>
        <v>211020401</v>
      </c>
      <c r="AQ345" s="17" t="s">
        <v>459</v>
      </c>
      <c r="AR345" s="18">
        <v>25</v>
      </c>
      <c r="AS345" s="17"/>
      <c r="AT345" s="18"/>
      <c r="AU345" s="18">
        <f ca="1">IFERROR(OFFSET(ITEM_RES!$A$1,MATCH(AV345,ITEM_RES!$J:$J,0)-1,0),0)</f>
        <v>211020801</v>
      </c>
      <c r="AV345" s="17" t="s">
        <v>458</v>
      </c>
      <c r="AW345" s="18">
        <v>25</v>
      </c>
      <c r="AX345" s="17"/>
      <c r="AY345" s="18"/>
      <c r="AZ345" s="18">
        <f ca="1">IFERROR(OFFSET(ITEM_RES!$A$1,MATCH(BA345,ITEM_RES!$J:$J,0)-1,0),0)</f>
        <v>213010101</v>
      </c>
      <c r="BA345" s="17" t="s">
        <v>481</v>
      </c>
      <c r="BB345" s="18">
        <v>1</v>
      </c>
      <c r="BC345" s="17"/>
      <c r="BD345" s="18"/>
      <c r="BE345" s="18">
        <f ca="1">IFERROR(OFFSET(ITEM_RES!$A$1,MATCH(BF345,ITEM_RES!$J:$J,0)-1,0),0)</f>
        <v>0</v>
      </c>
      <c r="BF345" s="17"/>
      <c r="BG345" s="18"/>
      <c r="BH345" s="17"/>
      <c r="BI345" s="18"/>
      <c r="BJ345" s="18">
        <f ca="1">IFERROR(OFFSET(ITEM_RES!$A$1,MATCH(BK345,ITEM_RES!$J:$J,0)-1,0),0)</f>
        <v>0</v>
      </c>
      <c r="BK345" s="17"/>
      <c r="BL345" s="18"/>
      <c r="BM345" s="17"/>
    </row>
    <row r="346" spans="1:65" x14ac:dyDescent="0.3">
      <c r="A346" s="14">
        <f t="shared" si="112"/>
        <v>112050002</v>
      </c>
      <c r="B346" s="13">
        <v>11</v>
      </c>
      <c r="C346" s="12">
        <f t="shared" si="113"/>
        <v>2</v>
      </c>
      <c r="D346" s="13">
        <v>5</v>
      </c>
      <c r="E346" s="13">
        <v>0</v>
      </c>
      <c r="F346" s="12">
        <f t="shared" si="114"/>
        <v>2</v>
      </c>
      <c r="H346" s="9">
        <v>2</v>
      </c>
      <c r="I346" s="9">
        <v>2</v>
      </c>
      <c r="K346" s="9" t="s">
        <v>368</v>
      </c>
      <c r="L346" s="9">
        <v>1</v>
      </c>
      <c r="M346" s="9">
        <v>15</v>
      </c>
      <c r="R346" s="9" t="s">
        <v>786</v>
      </c>
      <c r="T346" s="86" t="s">
        <v>586</v>
      </c>
      <c r="U346" s="9">
        <f ca="1">IFERROR(OFFSET(ITEM_RES!$A$5,MATCH(BUILDING!T346,ITEM_RES!$J$5:$J$229,0)-1,0),0)</f>
        <v>211020801</v>
      </c>
      <c r="V346" s="11">
        <v>1</v>
      </c>
      <c r="W346" s="86" t="s">
        <v>410</v>
      </c>
      <c r="X346" s="9">
        <f ca="1">IFERROR(OFFSET(ITEM_RES!$A$5,MATCH(BUILDING!W346,ITEM_RES!$J$5:$J$229,0)-1,0),0)</f>
        <v>211020901</v>
      </c>
      <c r="Z346" s="9" t="s">
        <v>558</v>
      </c>
      <c r="AA346" s="9">
        <v>2</v>
      </c>
      <c r="AC346" s="9">
        <v>800</v>
      </c>
      <c r="AE346" s="56">
        <f t="shared" si="109"/>
        <v>210</v>
      </c>
      <c r="AF346" s="10">
        <f>AE345+AE346</f>
        <v>815</v>
      </c>
      <c r="AH346" s="11">
        <f t="shared" si="108"/>
        <v>10</v>
      </c>
      <c r="AI346" s="10">
        <v>10</v>
      </c>
      <c r="AJ346" s="11">
        <f t="shared" si="115"/>
        <v>10</v>
      </c>
      <c r="AK346" s="10">
        <v>10</v>
      </c>
      <c r="AL346" s="11">
        <f t="shared" si="115"/>
        <v>10</v>
      </c>
      <c r="AM346" s="10">
        <v>10</v>
      </c>
      <c r="AN346" s="56">
        <f t="shared" si="110"/>
        <v>2</v>
      </c>
      <c r="AP346" s="11">
        <f ca="1">IFERROR(OFFSET(ITEM_RES!$A$1,MATCH(AQ346,ITEM_RES!$J:$J,0)-1,0),0)</f>
        <v>211020401</v>
      </c>
      <c r="AQ346" s="10" t="s">
        <v>459</v>
      </c>
      <c r="AR346" s="11">
        <v>50</v>
      </c>
      <c r="AU346" s="11">
        <f ca="1">IFERROR(OFFSET(ITEM_RES!$A$1,MATCH(AV346,ITEM_RES!$J:$J,0)-1,0),0)</f>
        <v>211020801</v>
      </c>
      <c r="AV346" s="10" t="s">
        <v>458</v>
      </c>
      <c r="AW346" s="11">
        <v>50</v>
      </c>
      <c r="AZ346" s="11">
        <f ca="1">IFERROR(OFFSET(ITEM_RES!$A$1,MATCH(BA346,ITEM_RES!$J:$J,0)-1,0),0)</f>
        <v>0</v>
      </c>
      <c r="BE346" s="11">
        <f ca="1">IFERROR(OFFSET(ITEM_RES!$A$1,MATCH(BF346,ITEM_RES!$J:$J,0)-1,0),0)</f>
        <v>0</v>
      </c>
      <c r="BJ346" s="11">
        <f ca="1">IFERROR(OFFSET(ITEM_RES!$A$1,MATCH(BK346,ITEM_RES!$J:$J,0)-1,0),0)</f>
        <v>0</v>
      </c>
    </row>
    <row r="347" spans="1:65" x14ac:dyDescent="0.3">
      <c r="A347" s="14">
        <f t="shared" si="112"/>
        <v>112050003</v>
      </c>
      <c r="B347" s="13">
        <v>11</v>
      </c>
      <c r="C347" s="12">
        <f t="shared" si="113"/>
        <v>2</v>
      </c>
      <c r="D347" s="13">
        <v>5</v>
      </c>
      <c r="E347" s="13">
        <v>0</v>
      </c>
      <c r="F347" s="12">
        <f t="shared" si="114"/>
        <v>3</v>
      </c>
      <c r="H347" s="9">
        <v>2</v>
      </c>
      <c r="I347" s="9">
        <v>3</v>
      </c>
      <c r="K347" s="9" t="s">
        <v>368</v>
      </c>
      <c r="L347" s="9">
        <v>1</v>
      </c>
      <c r="M347" s="9">
        <v>15</v>
      </c>
      <c r="R347" s="9" t="s">
        <v>786</v>
      </c>
      <c r="T347" s="86" t="s">
        <v>586</v>
      </c>
      <c r="U347" s="9">
        <f ca="1">IFERROR(OFFSET(ITEM_RES!$A$5,MATCH(BUILDING!T347,ITEM_RES!$J$5:$J$229,0)-1,0),0)</f>
        <v>211020801</v>
      </c>
      <c r="V347" s="11">
        <v>1</v>
      </c>
      <c r="W347" s="86" t="s">
        <v>410</v>
      </c>
      <c r="X347" s="9">
        <f ca="1">IFERROR(OFFSET(ITEM_RES!$A$5,MATCH(BUILDING!W347,ITEM_RES!$J$5:$J$229,0)-1,0),0)</f>
        <v>211020901</v>
      </c>
      <c r="Z347" s="9" t="s">
        <v>558</v>
      </c>
      <c r="AA347" s="9">
        <v>3</v>
      </c>
      <c r="AC347" s="9">
        <v>1200</v>
      </c>
      <c r="AE347" s="56">
        <f t="shared" si="109"/>
        <v>315</v>
      </c>
      <c r="AF347" s="10">
        <f t="shared" ref="AF347:AF364" si="117">AE346+AE347</f>
        <v>525</v>
      </c>
      <c r="AH347" s="11">
        <f t="shared" si="108"/>
        <v>15</v>
      </c>
      <c r="AI347" s="10">
        <v>15</v>
      </c>
      <c r="AJ347" s="11">
        <f t="shared" si="115"/>
        <v>15</v>
      </c>
      <c r="AK347" s="10">
        <v>15</v>
      </c>
      <c r="AL347" s="11">
        <f t="shared" si="115"/>
        <v>15</v>
      </c>
      <c r="AM347" s="10">
        <v>15</v>
      </c>
      <c r="AN347" s="56">
        <f t="shared" si="110"/>
        <v>2</v>
      </c>
      <c r="AP347" s="11">
        <f ca="1">IFERROR(OFFSET(ITEM_RES!$A$1,MATCH(AQ347,ITEM_RES!$J:$J,0)-1,0),0)</f>
        <v>211020401</v>
      </c>
      <c r="AQ347" s="10" t="s">
        <v>459</v>
      </c>
      <c r="AR347" s="11">
        <v>75</v>
      </c>
      <c r="AU347" s="11">
        <f ca="1">IFERROR(OFFSET(ITEM_RES!$A$1,MATCH(AV347,ITEM_RES!$J:$J,0)-1,0),0)</f>
        <v>211020801</v>
      </c>
      <c r="AV347" s="10" t="s">
        <v>458</v>
      </c>
      <c r="AW347" s="11">
        <v>75</v>
      </c>
      <c r="AZ347" s="11">
        <f ca="1">IFERROR(OFFSET(ITEM_RES!$A$1,MATCH(BA347,ITEM_RES!$J:$J,0)-1,0),0)</f>
        <v>0</v>
      </c>
      <c r="BE347" s="11">
        <f ca="1">IFERROR(OFFSET(ITEM_RES!$A$1,MATCH(BF347,ITEM_RES!$J:$J,0)-1,0),0)</f>
        <v>0</v>
      </c>
      <c r="BJ347" s="11">
        <f ca="1">IFERROR(OFFSET(ITEM_RES!$A$1,MATCH(BK347,ITEM_RES!$J:$J,0)-1,0),0)</f>
        <v>0</v>
      </c>
    </row>
    <row r="348" spans="1:65" x14ac:dyDescent="0.3">
      <c r="A348" s="14">
        <f t="shared" si="112"/>
        <v>112050004</v>
      </c>
      <c r="B348" s="13">
        <v>11</v>
      </c>
      <c r="C348" s="12">
        <f t="shared" si="113"/>
        <v>2</v>
      </c>
      <c r="D348" s="13">
        <v>5</v>
      </c>
      <c r="E348" s="13">
        <v>0</v>
      </c>
      <c r="F348" s="12">
        <f t="shared" si="114"/>
        <v>4</v>
      </c>
      <c r="H348" s="9">
        <v>2</v>
      </c>
      <c r="I348" s="9">
        <v>4</v>
      </c>
      <c r="K348" s="9" t="s">
        <v>368</v>
      </c>
      <c r="L348" s="9">
        <v>1</v>
      </c>
      <c r="M348" s="9">
        <v>15</v>
      </c>
      <c r="R348" s="9" t="s">
        <v>786</v>
      </c>
      <c r="T348" s="86" t="s">
        <v>586</v>
      </c>
      <c r="U348" s="9">
        <f ca="1">IFERROR(OFFSET(ITEM_RES!$A$5,MATCH(BUILDING!T348,ITEM_RES!$J$5:$J$229,0)-1,0),0)</f>
        <v>211020801</v>
      </c>
      <c r="V348" s="11">
        <v>1</v>
      </c>
      <c r="W348" s="86" t="s">
        <v>410</v>
      </c>
      <c r="X348" s="9">
        <f ca="1">IFERROR(OFFSET(ITEM_RES!$A$5,MATCH(BUILDING!W348,ITEM_RES!$J$5:$J$229,0)-1,0),0)</f>
        <v>211020901</v>
      </c>
      <c r="Z348" s="9" t="s">
        <v>558</v>
      </c>
      <c r="AA348" s="9">
        <v>4</v>
      </c>
      <c r="AC348" s="9">
        <v>2000</v>
      </c>
      <c r="AE348" s="56">
        <f t="shared" si="109"/>
        <v>525</v>
      </c>
      <c r="AF348" s="10">
        <f t="shared" si="117"/>
        <v>840</v>
      </c>
      <c r="AH348" s="11">
        <f t="shared" si="108"/>
        <v>20</v>
      </c>
      <c r="AI348" s="10">
        <v>20</v>
      </c>
      <c r="AJ348" s="11">
        <f t="shared" si="115"/>
        <v>25</v>
      </c>
      <c r="AK348" s="10">
        <v>25</v>
      </c>
      <c r="AL348" s="11">
        <f t="shared" si="115"/>
        <v>25</v>
      </c>
      <c r="AM348" s="10">
        <v>25</v>
      </c>
      <c r="AN348" s="56">
        <f t="shared" si="110"/>
        <v>2</v>
      </c>
      <c r="AP348" s="11">
        <f ca="1">IFERROR(OFFSET(ITEM_RES!$A$1,MATCH(AQ348,ITEM_RES!$J:$J,0)-1,0),0)</f>
        <v>211020401</v>
      </c>
      <c r="AQ348" s="10" t="s">
        <v>459</v>
      </c>
      <c r="AR348" s="11">
        <v>125</v>
      </c>
      <c r="AU348" s="11">
        <f ca="1">IFERROR(OFFSET(ITEM_RES!$A$1,MATCH(AV348,ITEM_RES!$J:$J,0)-1,0),0)</f>
        <v>211020801</v>
      </c>
      <c r="AV348" s="10" t="s">
        <v>458</v>
      </c>
      <c r="AW348" s="11">
        <v>125</v>
      </c>
      <c r="AZ348" s="11">
        <f ca="1">IFERROR(OFFSET(ITEM_RES!$A$1,MATCH(BA348,ITEM_RES!$J:$J,0)-1,0),0)</f>
        <v>0</v>
      </c>
      <c r="BE348" s="11">
        <f ca="1">IFERROR(OFFSET(ITEM_RES!$A$1,MATCH(BF348,ITEM_RES!$J:$J,0)-1,0),0)</f>
        <v>0</v>
      </c>
      <c r="BJ348" s="11">
        <f ca="1">IFERROR(OFFSET(ITEM_RES!$A$1,MATCH(BK348,ITEM_RES!$J:$J,0)-1,0),0)</f>
        <v>0</v>
      </c>
    </row>
    <row r="349" spans="1:65" x14ac:dyDescent="0.3">
      <c r="A349" s="14">
        <f t="shared" si="112"/>
        <v>112050005</v>
      </c>
      <c r="B349" s="13">
        <v>11</v>
      </c>
      <c r="C349" s="12">
        <f t="shared" si="113"/>
        <v>2</v>
      </c>
      <c r="D349" s="13">
        <v>5</v>
      </c>
      <c r="E349" s="13">
        <v>0</v>
      </c>
      <c r="F349" s="12">
        <f t="shared" si="114"/>
        <v>5</v>
      </c>
      <c r="H349" s="9">
        <v>2</v>
      </c>
      <c r="I349" s="9">
        <v>5</v>
      </c>
      <c r="K349" s="9" t="s">
        <v>368</v>
      </c>
      <c r="L349" s="9">
        <v>1</v>
      </c>
      <c r="M349" s="9">
        <v>15</v>
      </c>
      <c r="R349" s="9" t="s">
        <v>786</v>
      </c>
      <c r="T349" s="86" t="s">
        <v>586</v>
      </c>
      <c r="U349" s="9">
        <f ca="1">IFERROR(OFFSET(ITEM_RES!$A$5,MATCH(BUILDING!T349,ITEM_RES!$J$5:$J$229,0)-1,0),0)</f>
        <v>211020801</v>
      </c>
      <c r="V349" s="11">
        <v>1</v>
      </c>
      <c r="W349" s="86" t="s">
        <v>410</v>
      </c>
      <c r="X349" s="9">
        <f ca="1">IFERROR(OFFSET(ITEM_RES!$A$5,MATCH(BUILDING!W349,ITEM_RES!$J$5:$J$229,0)-1,0),0)</f>
        <v>211020901</v>
      </c>
      <c r="Z349" s="9" t="s">
        <v>558</v>
      </c>
      <c r="AA349" s="9">
        <v>5</v>
      </c>
      <c r="AC349" s="9">
        <v>3200</v>
      </c>
      <c r="AE349" s="56">
        <f t="shared" si="109"/>
        <v>840</v>
      </c>
      <c r="AF349" s="10">
        <f t="shared" si="117"/>
        <v>1365</v>
      </c>
      <c r="AH349" s="11">
        <f t="shared" si="108"/>
        <v>25</v>
      </c>
      <c r="AI349" s="10">
        <v>25</v>
      </c>
      <c r="AJ349" s="11">
        <f t="shared" si="115"/>
        <v>40</v>
      </c>
      <c r="AK349" s="10">
        <v>40</v>
      </c>
      <c r="AL349" s="11">
        <f t="shared" si="115"/>
        <v>40</v>
      </c>
      <c r="AM349" s="10">
        <v>40</v>
      </c>
      <c r="AN349" s="56">
        <f t="shared" si="110"/>
        <v>2</v>
      </c>
      <c r="AP349" s="11">
        <f ca="1">IFERROR(OFFSET(ITEM_RES!$A$1,MATCH(AQ349,ITEM_RES!$J:$J,0)-1,0),0)</f>
        <v>211020401</v>
      </c>
      <c r="AQ349" s="10" t="s">
        <v>459</v>
      </c>
      <c r="AR349" s="11">
        <v>200</v>
      </c>
      <c r="AU349" s="11">
        <f ca="1">IFERROR(OFFSET(ITEM_RES!$A$1,MATCH(AV349,ITEM_RES!$J:$J,0)-1,0),0)</f>
        <v>211020801</v>
      </c>
      <c r="AV349" s="10" t="s">
        <v>458</v>
      </c>
      <c r="AW349" s="11">
        <v>200</v>
      </c>
      <c r="AZ349" s="11">
        <f ca="1">IFERROR(OFFSET(ITEM_RES!$A$1,MATCH(BA349,ITEM_RES!$J:$J,0)-1,0),0)</f>
        <v>0</v>
      </c>
      <c r="BE349" s="11">
        <f ca="1">IFERROR(OFFSET(ITEM_RES!$A$1,MATCH(BF349,ITEM_RES!$J:$J,0)-1,0),0)</f>
        <v>0</v>
      </c>
      <c r="BJ349" s="11">
        <f ca="1">IFERROR(OFFSET(ITEM_RES!$A$1,MATCH(BK349,ITEM_RES!$J:$J,0)-1,0),0)</f>
        <v>0</v>
      </c>
    </row>
    <row r="350" spans="1:65" x14ac:dyDescent="0.3">
      <c r="A350" s="14">
        <f t="shared" si="112"/>
        <v>112050006</v>
      </c>
      <c r="B350" s="13">
        <v>11</v>
      </c>
      <c r="C350" s="12">
        <f t="shared" si="113"/>
        <v>2</v>
      </c>
      <c r="D350" s="13">
        <v>5</v>
      </c>
      <c r="E350" s="13">
        <v>0</v>
      </c>
      <c r="F350" s="12">
        <f t="shared" si="114"/>
        <v>6</v>
      </c>
      <c r="H350" s="9">
        <v>2</v>
      </c>
      <c r="I350" s="9">
        <v>6</v>
      </c>
      <c r="K350" s="9" t="s">
        <v>368</v>
      </c>
      <c r="L350" s="9">
        <v>1</v>
      </c>
      <c r="M350" s="9">
        <v>15</v>
      </c>
      <c r="R350" s="9" t="s">
        <v>786</v>
      </c>
      <c r="T350" s="86" t="s">
        <v>586</v>
      </c>
      <c r="U350" s="9">
        <f ca="1">IFERROR(OFFSET(ITEM_RES!$A$5,MATCH(BUILDING!T350,ITEM_RES!$J$5:$J$229,0)-1,0),0)</f>
        <v>211020801</v>
      </c>
      <c r="V350" s="11">
        <v>1</v>
      </c>
      <c r="W350" s="86" t="s">
        <v>410</v>
      </c>
      <c r="X350" s="9">
        <f ca="1">IFERROR(OFFSET(ITEM_RES!$A$5,MATCH(BUILDING!W350,ITEM_RES!$J$5:$J$229,0)-1,0),0)</f>
        <v>211020901</v>
      </c>
      <c r="Z350" s="9" t="s">
        <v>558</v>
      </c>
      <c r="AA350" s="9">
        <v>6</v>
      </c>
      <c r="AC350" s="9">
        <v>4000</v>
      </c>
      <c r="AE350" s="56">
        <f t="shared" si="109"/>
        <v>1050</v>
      </c>
      <c r="AF350" s="10">
        <f t="shared" si="117"/>
        <v>1890</v>
      </c>
      <c r="AH350" s="11">
        <f t="shared" si="108"/>
        <v>30</v>
      </c>
      <c r="AI350" s="10">
        <v>30</v>
      </c>
      <c r="AJ350" s="11">
        <f t="shared" si="115"/>
        <v>50</v>
      </c>
      <c r="AK350" s="10">
        <v>50</v>
      </c>
      <c r="AL350" s="11">
        <f t="shared" si="115"/>
        <v>50</v>
      </c>
      <c r="AM350" s="10">
        <v>50</v>
      </c>
      <c r="AN350" s="56">
        <f t="shared" si="110"/>
        <v>2</v>
      </c>
      <c r="AP350" s="11">
        <f ca="1">IFERROR(OFFSET(ITEM_RES!$A$1,MATCH(AQ350,ITEM_RES!$J:$J,0)-1,0),0)</f>
        <v>211020401</v>
      </c>
      <c r="AQ350" s="10" t="s">
        <v>459</v>
      </c>
      <c r="AR350" s="11">
        <v>250</v>
      </c>
      <c r="AU350" s="11">
        <f ca="1">IFERROR(OFFSET(ITEM_RES!$A$1,MATCH(AV350,ITEM_RES!$J:$J,0)-1,0),0)</f>
        <v>211020801</v>
      </c>
      <c r="AV350" s="10" t="s">
        <v>458</v>
      </c>
      <c r="AW350" s="11">
        <v>250</v>
      </c>
      <c r="AZ350" s="11">
        <f ca="1">IFERROR(OFFSET(ITEM_RES!$A$1,MATCH(BA350,ITEM_RES!$J:$J,0)-1,0),0)</f>
        <v>0</v>
      </c>
      <c r="BE350" s="11">
        <f ca="1">IFERROR(OFFSET(ITEM_RES!$A$1,MATCH(BF350,ITEM_RES!$J:$J,0)-1,0),0)</f>
        <v>0</v>
      </c>
      <c r="BJ350" s="11">
        <f ca="1">IFERROR(OFFSET(ITEM_RES!$A$1,MATCH(BK350,ITEM_RES!$J:$J,0)-1,0),0)</f>
        <v>0</v>
      </c>
    </row>
    <row r="351" spans="1:65" x14ac:dyDescent="0.3">
      <c r="A351" s="14">
        <f t="shared" si="112"/>
        <v>112050007</v>
      </c>
      <c r="B351" s="13">
        <v>11</v>
      </c>
      <c r="C351" s="12">
        <f t="shared" si="113"/>
        <v>2</v>
      </c>
      <c r="D351" s="13">
        <v>5</v>
      </c>
      <c r="E351" s="13">
        <v>0</v>
      </c>
      <c r="F351" s="12">
        <f t="shared" si="114"/>
        <v>7</v>
      </c>
      <c r="H351" s="9">
        <v>2</v>
      </c>
      <c r="I351" s="9">
        <v>7</v>
      </c>
      <c r="K351" s="9" t="s">
        <v>368</v>
      </c>
      <c r="L351" s="9">
        <v>1</v>
      </c>
      <c r="M351" s="9">
        <v>15</v>
      </c>
      <c r="R351" s="9" t="s">
        <v>786</v>
      </c>
      <c r="T351" s="86" t="s">
        <v>586</v>
      </c>
      <c r="U351" s="9">
        <f ca="1">IFERROR(OFFSET(ITEM_RES!$A$5,MATCH(BUILDING!T351,ITEM_RES!$J$5:$J$229,0)-1,0),0)</f>
        <v>211020801</v>
      </c>
      <c r="V351" s="11">
        <v>1</v>
      </c>
      <c r="W351" s="86" t="s">
        <v>410</v>
      </c>
      <c r="X351" s="9">
        <f ca="1">IFERROR(OFFSET(ITEM_RES!$A$5,MATCH(BUILDING!W351,ITEM_RES!$J$5:$J$229,0)-1,0),0)</f>
        <v>211020901</v>
      </c>
      <c r="Z351" s="9" t="s">
        <v>558</v>
      </c>
      <c r="AA351" s="9">
        <v>7</v>
      </c>
      <c r="AC351" s="9">
        <v>8000</v>
      </c>
      <c r="AE351" s="56">
        <f t="shared" si="109"/>
        <v>2600</v>
      </c>
      <c r="AF351" s="10">
        <f t="shared" si="117"/>
        <v>3650</v>
      </c>
      <c r="AH351" s="11">
        <f t="shared" si="108"/>
        <v>35</v>
      </c>
      <c r="AI351" s="10">
        <v>35</v>
      </c>
      <c r="AJ351" s="11">
        <f t="shared" si="115"/>
        <v>100</v>
      </c>
      <c r="AK351" s="10">
        <v>100</v>
      </c>
      <c r="AL351" s="11">
        <f t="shared" si="115"/>
        <v>100</v>
      </c>
      <c r="AM351" s="10">
        <v>100</v>
      </c>
      <c r="AN351" s="56">
        <f t="shared" si="110"/>
        <v>3</v>
      </c>
      <c r="AP351" s="11">
        <f ca="1">IFERROR(OFFSET(ITEM_RES!$A$1,MATCH(AQ351,ITEM_RES!$J:$J,0)-1,0),0)</f>
        <v>211020401</v>
      </c>
      <c r="AQ351" s="10" t="s">
        <v>459</v>
      </c>
      <c r="AR351" s="11">
        <v>500</v>
      </c>
      <c r="AU351" s="11">
        <f ca="1">IFERROR(OFFSET(ITEM_RES!$A$1,MATCH(AV351,ITEM_RES!$J:$J,0)-1,0),0)</f>
        <v>211020801</v>
      </c>
      <c r="AV351" s="10" t="s">
        <v>458</v>
      </c>
      <c r="AW351" s="11">
        <v>500</v>
      </c>
      <c r="AZ351" s="11">
        <f ca="1">IFERROR(OFFSET(ITEM_RES!$A$1,MATCH(BA351,ITEM_RES!$J:$J,0)-1,0),0)</f>
        <v>0</v>
      </c>
      <c r="BE351" s="11">
        <f ca="1">IFERROR(OFFSET(ITEM_RES!$A$1,MATCH(BF351,ITEM_RES!$J:$J,0)-1,0),0)</f>
        <v>213011101</v>
      </c>
      <c r="BF351" s="10" t="s">
        <v>495</v>
      </c>
      <c r="BG351" s="11">
        <v>1</v>
      </c>
      <c r="BJ351" s="11">
        <f ca="1">IFERROR(OFFSET(ITEM_RES!$A$1,MATCH(BK351,ITEM_RES!$J:$J,0)-1,0),0)</f>
        <v>0</v>
      </c>
    </row>
    <row r="352" spans="1:65" x14ac:dyDescent="0.3">
      <c r="A352" s="14">
        <f t="shared" si="112"/>
        <v>112050008</v>
      </c>
      <c r="B352" s="13">
        <v>11</v>
      </c>
      <c r="C352" s="12">
        <f t="shared" si="113"/>
        <v>2</v>
      </c>
      <c r="D352" s="13">
        <v>5</v>
      </c>
      <c r="E352" s="13">
        <v>0</v>
      </c>
      <c r="F352" s="12">
        <f t="shared" si="114"/>
        <v>8</v>
      </c>
      <c r="H352" s="9">
        <v>2</v>
      </c>
      <c r="I352" s="9">
        <v>8</v>
      </c>
      <c r="K352" s="9" t="s">
        <v>368</v>
      </c>
      <c r="L352" s="9">
        <v>1</v>
      </c>
      <c r="M352" s="9">
        <v>15</v>
      </c>
      <c r="R352" s="9" t="s">
        <v>786</v>
      </c>
      <c r="T352" s="86" t="s">
        <v>586</v>
      </c>
      <c r="U352" s="9">
        <f ca="1">IFERROR(OFFSET(ITEM_RES!$A$5,MATCH(BUILDING!T352,ITEM_RES!$J$5:$J$229,0)-1,0),0)</f>
        <v>211020801</v>
      </c>
      <c r="V352" s="11">
        <v>1</v>
      </c>
      <c r="W352" s="86" t="s">
        <v>410</v>
      </c>
      <c r="X352" s="9">
        <f ca="1">IFERROR(OFFSET(ITEM_RES!$A$5,MATCH(BUILDING!W352,ITEM_RES!$J$5:$J$229,0)-1,0),0)</f>
        <v>211020901</v>
      </c>
      <c r="Z352" s="9" t="s">
        <v>558</v>
      </c>
      <c r="AA352" s="9">
        <v>8</v>
      </c>
      <c r="AC352" s="9">
        <v>8000</v>
      </c>
      <c r="AE352" s="56">
        <f t="shared" si="109"/>
        <v>2100</v>
      </c>
      <c r="AF352" s="10">
        <f t="shared" si="117"/>
        <v>4700</v>
      </c>
      <c r="AH352" s="11">
        <f t="shared" si="108"/>
        <v>40</v>
      </c>
      <c r="AI352" s="10">
        <v>40</v>
      </c>
      <c r="AJ352" s="11">
        <f t="shared" si="115"/>
        <v>100</v>
      </c>
      <c r="AK352" s="10">
        <v>100</v>
      </c>
      <c r="AL352" s="11">
        <f t="shared" si="115"/>
        <v>100</v>
      </c>
      <c r="AM352" s="10">
        <v>100</v>
      </c>
      <c r="AN352" s="56">
        <f t="shared" si="110"/>
        <v>2</v>
      </c>
      <c r="AP352" s="11">
        <f ca="1">IFERROR(OFFSET(ITEM_RES!$A$1,MATCH(AQ352,ITEM_RES!$J:$J,0)-1,0),0)</f>
        <v>211020401</v>
      </c>
      <c r="AQ352" s="10" t="s">
        <v>459</v>
      </c>
      <c r="AR352" s="11">
        <v>500</v>
      </c>
      <c r="AU352" s="11">
        <f ca="1">IFERROR(OFFSET(ITEM_RES!$A$1,MATCH(AV352,ITEM_RES!$J:$J,0)-1,0),0)</f>
        <v>211020801</v>
      </c>
      <c r="AV352" s="10" t="s">
        <v>458</v>
      </c>
      <c r="AW352" s="11">
        <v>500</v>
      </c>
      <c r="AZ352" s="11">
        <f ca="1">IFERROR(OFFSET(ITEM_RES!$A$1,MATCH(BA352,ITEM_RES!$J:$J,0)-1,0),0)</f>
        <v>0</v>
      </c>
      <c r="BE352" s="11">
        <f ca="1">IFERROR(OFFSET(ITEM_RES!$A$1,MATCH(BF352,ITEM_RES!$J:$J,0)-1,0),0)</f>
        <v>0</v>
      </c>
      <c r="BJ352" s="11">
        <f ca="1">IFERROR(OFFSET(ITEM_RES!$A$1,MATCH(BK352,ITEM_RES!$J:$J,0)-1,0),0)</f>
        <v>0</v>
      </c>
    </row>
    <row r="353" spans="1:65" x14ac:dyDescent="0.3">
      <c r="A353" s="14">
        <f t="shared" si="112"/>
        <v>112050009</v>
      </c>
      <c r="B353" s="13">
        <v>11</v>
      </c>
      <c r="C353" s="12">
        <f t="shared" si="113"/>
        <v>2</v>
      </c>
      <c r="D353" s="13">
        <v>5</v>
      </c>
      <c r="E353" s="13">
        <v>0</v>
      </c>
      <c r="F353" s="12">
        <f t="shared" si="114"/>
        <v>9</v>
      </c>
      <c r="H353" s="9">
        <v>2</v>
      </c>
      <c r="I353" s="9">
        <v>9</v>
      </c>
      <c r="K353" s="9" t="s">
        <v>368</v>
      </c>
      <c r="L353" s="9">
        <v>1</v>
      </c>
      <c r="M353" s="9">
        <v>15</v>
      </c>
      <c r="R353" s="9" t="s">
        <v>786</v>
      </c>
      <c r="T353" s="86" t="s">
        <v>586</v>
      </c>
      <c r="U353" s="9">
        <f ca="1">IFERROR(OFFSET(ITEM_RES!$A$5,MATCH(BUILDING!T353,ITEM_RES!$J$5:$J$229,0)-1,0),0)</f>
        <v>211020801</v>
      </c>
      <c r="V353" s="11">
        <v>1</v>
      </c>
      <c r="W353" s="86" t="s">
        <v>410</v>
      </c>
      <c r="X353" s="9">
        <f ca="1">IFERROR(OFFSET(ITEM_RES!$A$5,MATCH(BUILDING!W353,ITEM_RES!$J$5:$J$229,0)-1,0),0)</f>
        <v>211020901</v>
      </c>
      <c r="Z353" s="9" t="s">
        <v>558</v>
      </c>
      <c r="AA353" s="9">
        <v>9</v>
      </c>
      <c r="AC353" s="9">
        <v>12000</v>
      </c>
      <c r="AE353" s="56">
        <f t="shared" si="109"/>
        <v>3150</v>
      </c>
      <c r="AF353" s="10">
        <f t="shared" si="117"/>
        <v>5250</v>
      </c>
      <c r="AH353" s="11">
        <f t="shared" si="108"/>
        <v>45</v>
      </c>
      <c r="AI353" s="10">
        <v>45</v>
      </c>
      <c r="AJ353" s="11">
        <f t="shared" si="115"/>
        <v>150</v>
      </c>
      <c r="AK353" s="10">
        <v>150</v>
      </c>
      <c r="AL353" s="11">
        <f t="shared" si="115"/>
        <v>150</v>
      </c>
      <c r="AM353" s="10">
        <v>150</v>
      </c>
      <c r="AN353" s="56">
        <f t="shared" si="110"/>
        <v>2</v>
      </c>
      <c r="AP353" s="11">
        <f ca="1">IFERROR(OFFSET(ITEM_RES!$A$1,MATCH(AQ353,ITEM_RES!$J:$J,0)-1,0),0)</f>
        <v>211020401</v>
      </c>
      <c r="AQ353" s="10" t="s">
        <v>459</v>
      </c>
      <c r="AR353" s="11">
        <v>750</v>
      </c>
      <c r="AU353" s="11">
        <f ca="1">IFERROR(OFFSET(ITEM_RES!$A$1,MATCH(AV353,ITEM_RES!$J:$J,0)-1,0),0)</f>
        <v>211020801</v>
      </c>
      <c r="AV353" s="10" t="s">
        <v>458</v>
      </c>
      <c r="AW353" s="11">
        <v>750</v>
      </c>
      <c r="AZ353" s="11">
        <f ca="1">IFERROR(OFFSET(ITEM_RES!$A$1,MATCH(BA353,ITEM_RES!$J:$J,0)-1,0),0)</f>
        <v>0</v>
      </c>
      <c r="BE353" s="11">
        <f ca="1">IFERROR(OFFSET(ITEM_RES!$A$1,MATCH(BF353,ITEM_RES!$J:$J,0)-1,0),0)</f>
        <v>0</v>
      </c>
      <c r="BJ353" s="11">
        <f ca="1">IFERROR(OFFSET(ITEM_RES!$A$1,MATCH(BK353,ITEM_RES!$J:$J,0)-1,0),0)</f>
        <v>0</v>
      </c>
    </row>
    <row r="354" spans="1:65" x14ac:dyDescent="0.3">
      <c r="A354" s="14">
        <f t="shared" si="112"/>
        <v>112050010</v>
      </c>
      <c r="B354" s="13">
        <v>11</v>
      </c>
      <c r="C354" s="12">
        <f t="shared" si="113"/>
        <v>2</v>
      </c>
      <c r="D354" s="13">
        <v>5</v>
      </c>
      <c r="E354" s="13">
        <v>0</v>
      </c>
      <c r="F354" s="12">
        <f t="shared" si="114"/>
        <v>10</v>
      </c>
      <c r="H354" s="9">
        <v>2</v>
      </c>
      <c r="I354" s="9">
        <v>10</v>
      </c>
      <c r="K354" s="9" t="s">
        <v>368</v>
      </c>
      <c r="L354" s="9">
        <v>1</v>
      </c>
      <c r="M354" s="9">
        <v>15</v>
      </c>
      <c r="R354" s="9" t="s">
        <v>786</v>
      </c>
      <c r="T354" s="86" t="s">
        <v>586</v>
      </c>
      <c r="U354" s="9">
        <f ca="1">IFERROR(OFFSET(ITEM_RES!$A$5,MATCH(BUILDING!T354,ITEM_RES!$J$5:$J$229,0)-1,0),0)</f>
        <v>211020801</v>
      </c>
      <c r="V354" s="11">
        <v>1</v>
      </c>
      <c r="W354" s="86" t="s">
        <v>410</v>
      </c>
      <c r="X354" s="9">
        <f ca="1">IFERROR(OFFSET(ITEM_RES!$A$5,MATCH(BUILDING!W354,ITEM_RES!$J$5:$J$229,0)-1,0),0)</f>
        <v>211020901</v>
      </c>
      <c r="Z354" s="9" t="s">
        <v>558</v>
      </c>
      <c r="AA354" s="9">
        <v>10</v>
      </c>
      <c r="AC354" s="9">
        <v>16000</v>
      </c>
      <c r="AE354" s="56">
        <f t="shared" si="109"/>
        <v>4200</v>
      </c>
      <c r="AF354" s="10">
        <f t="shared" si="117"/>
        <v>7350</v>
      </c>
      <c r="AH354" s="11">
        <f t="shared" si="108"/>
        <v>50</v>
      </c>
      <c r="AI354" s="10">
        <v>50</v>
      </c>
      <c r="AJ354" s="11">
        <f t="shared" si="115"/>
        <v>200</v>
      </c>
      <c r="AK354" s="10">
        <v>200</v>
      </c>
      <c r="AL354" s="11">
        <f t="shared" si="115"/>
        <v>200</v>
      </c>
      <c r="AM354" s="10">
        <v>200</v>
      </c>
      <c r="AN354" s="56">
        <f t="shared" si="110"/>
        <v>2</v>
      </c>
      <c r="AP354" s="11">
        <f ca="1">IFERROR(OFFSET(ITEM_RES!$A$1,MATCH(AQ354,ITEM_RES!$J:$J,0)-1,0),0)</f>
        <v>211020401</v>
      </c>
      <c r="AQ354" s="10" t="s">
        <v>459</v>
      </c>
      <c r="AR354" s="11">
        <v>1000</v>
      </c>
      <c r="AU354" s="11">
        <f ca="1">IFERROR(OFFSET(ITEM_RES!$A$1,MATCH(AV354,ITEM_RES!$J:$J,0)-1,0),0)</f>
        <v>211020801</v>
      </c>
      <c r="AV354" s="10" t="s">
        <v>458</v>
      </c>
      <c r="AW354" s="11">
        <v>1000</v>
      </c>
      <c r="AZ354" s="11">
        <f ca="1">IFERROR(OFFSET(ITEM_RES!$A$1,MATCH(BA354,ITEM_RES!$J:$J,0)-1,0),0)</f>
        <v>0</v>
      </c>
      <c r="BE354" s="11">
        <f ca="1">IFERROR(OFFSET(ITEM_RES!$A$1,MATCH(BF354,ITEM_RES!$J:$J,0)-1,0),0)</f>
        <v>0</v>
      </c>
      <c r="BJ354" s="11">
        <f ca="1">IFERROR(OFFSET(ITEM_RES!$A$1,MATCH(BK354,ITEM_RES!$J:$J,0)-1,0),0)</f>
        <v>0</v>
      </c>
    </row>
    <row r="355" spans="1:65" x14ac:dyDescent="0.3">
      <c r="A355" s="14">
        <f t="shared" si="112"/>
        <v>112050011</v>
      </c>
      <c r="B355" s="13">
        <v>11</v>
      </c>
      <c r="C355" s="12">
        <f t="shared" si="113"/>
        <v>2</v>
      </c>
      <c r="D355" s="13">
        <v>5</v>
      </c>
      <c r="E355" s="13">
        <v>0</v>
      </c>
      <c r="F355" s="12">
        <f t="shared" si="114"/>
        <v>11</v>
      </c>
      <c r="H355" s="9">
        <v>2</v>
      </c>
      <c r="I355" s="9">
        <v>11</v>
      </c>
      <c r="K355" s="9" t="s">
        <v>368</v>
      </c>
      <c r="L355" s="9">
        <v>1</v>
      </c>
      <c r="M355" s="9">
        <v>15</v>
      </c>
      <c r="R355" s="9" t="s">
        <v>786</v>
      </c>
      <c r="T355" s="86" t="s">
        <v>586</v>
      </c>
      <c r="U355" s="9">
        <f ca="1">IFERROR(OFFSET(ITEM_RES!$A$5,MATCH(BUILDING!T355,ITEM_RES!$J$5:$J$229,0)-1,0),0)</f>
        <v>211020801</v>
      </c>
      <c r="V355" s="11">
        <v>1</v>
      </c>
      <c r="W355" s="86" t="s">
        <v>410</v>
      </c>
      <c r="X355" s="9">
        <f ca="1">IFERROR(OFFSET(ITEM_RES!$A$5,MATCH(BUILDING!W355,ITEM_RES!$J$5:$J$229,0)-1,0),0)</f>
        <v>211020901</v>
      </c>
      <c r="Z355" s="9" t="s">
        <v>558</v>
      </c>
      <c r="AA355" s="9">
        <v>11</v>
      </c>
      <c r="AC355" s="9">
        <v>20000</v>
      </c>
      <c r="AE355" s="56">
        <f t="shared" si="109"/>
        <v>5250</v>
      </c>
      <c r="AF355" s="10">
        <f t="shared" si="117"/>
        <v>9450</v>
      </c>
      <c r="AH355" s="11">
        <f t="shared" si="108"/>
        <v>55</v>
      </c>
      <c r="AI355" s="10">
        <v>55</v>
      </c>
      <c r="AJ355" s="11">
        <f t="shared" si="115"/>
        <v>250</v>
      </c>
      <c r="AK355" s="10">
        <v>250</v>
      </c>
      <c r="AL355" s="11">
        <f t="shared" si="115"/>
        <v>250</v>
      </c>
      <c r="AM355" s="10">
        <v>250</v>
      </c>
      <c r="AN355" s="56">
        <f t="shared" si="110"/>
        <v>2</v>
      </c>
      <c r="AP355" s="11">
        <f ca="1">IFERROR(OFFSET(ITEM_RES!$A$1,MATCH(AQ355,ITEM_RES!$J:$J,0)-1,0),0)</f>
        <v>211020401</v>
      </c>
      <c r="AQ355" s="10" t="s">
        <v>459</v>
      </c>
      <c r="AR355" s="11">
        <v>1250</v>
      </c>
      <c r="AU355" s="11">
        <f ca="1">IFERROR(OFFSET(ITEM_RES!$A$1,MATCH(AV355,ITEM_RES!$J:$J,0)-1,0),0)</f>
        <v>211020801</v>
      </c>
      <c r="AV355" s="10" t="s">
        <v>458</v>
      </c>
      <c r="AW355" s="11">
        <v>1250</v>
      </c>
      <c r="AZ355" s="11">
        <f ca="1">IFERROR(OFFSET(ITEM_RES!$A$1,MATCH(BA355,ITEM_RES!$J:$J,0)-1,0),0)</f>
        <v>0</v>
      </c>
      <c r="BE355" s="11">
        <f ca="1">IFERROR(OFFSET(ITEM_RES!$A$1,MATCH(BF355,ITEM_RES!$J:$J,0)-1,0),0)</f>
        <v>0</v>
      </c>
      <c r="BJ355" s="11">
        <f ca="1">IFERROR(OFFSET(ITEM_RES!$A$1,MATCH(BK355,ITEM_RES!$J:$J,0)-1,0),0)</f>
        <v>0</v>
      </c>
    </row>
    <row r="356" spans="1:65" x14ac:dyDescent="0.3">
      <c r="A356" s="14">
        <f t="shared" si="112"/>
        <v>112050012</v>
      </c>
      <c r="B356" s="13">
        <v>11</v>
      </c>
      <c r="C356" s="12">
        <f t="shared" si="113"/>
        <v>2</v>
      </c>
      <c r="D356" s="13">
        <v>5</v>
      </c>
      <c r="E356" s="13">
        <v>0</v>
      </c>
      <c r="F356" s="12">
        <f t="shared" si="114"/>
        <v>12</v>
      </c>
      <c r="H356" s="9">
        <v>2</v>
      </c>
      <c r="I356" s="9">
        <v>12</v>
      </c>
      <c r="K356" s="9" t="s">
        <v>368</v>
      </c>
      <c r="L356" s="9">
        <v>1</v>
      </c>
      <c r="M356" s="9">
        <v>15</v>
      </c>
      <c r="R356" s="9" t="s">
        <v>786</v>
      </c>
      <c r="T356" s="86" t="s">
        <v>586</v>
      </c>
      <c r="U356" s="9">
        <f ca="1">IFERROR(OFFSET(ITEM_RES!$A$5,MATCH(BUILDING!T356,ITEM_RES!$J$5:$J$229,0)-1,0),0)</f>
        <v>211020801</v>
      </c>
      <c r="V356" s="11">
        <v>1</v>
      </c>
      <c r="W356" s="86" t="s">
        <v>410</v>
      </c>
      <c r="X356" s="9">
        <f ca="1">IFERROR(OFFSET(ITEM_RES!$A$5,MATCH(BUILDING!W356,ITEM_RES!$J$5:$J$229,0)-1,0),0)</f>
        <v>211020901</v>
      </c>
      <c r="Z356" s="9" t="s">
        <v>558</v>
      </c>
      <c r="AA356" s="9">
        <v>12</v>
      </c>
      <c r="AC356" s="9">
        <v>24000</v>
      </c>
      <c r="AE356" s="56">
        <f t="shared" si="109"/>
        <v>6300</v>
      </c>
      <c r="AF356" s="10">
        <f t="shared" si="117"/>
        <v>11550</v>
      </c>
      <c r="AH356" s="11">
        <f t="shared" si="108"/>
        <v>60</v>
      </c>
      <c r="AI356" s="10">
        <v>60</v>
      </c>
      <c r="AJ356" s="11">
        <f t="shared" si="115"/>
        <v>300</v>
      </c>
      <c r="AK356" s="10">
        <v>300</v>
      </c>
      <c r="AL356" s="11">
        <f t="shared" si="115"/>
        <v>300</v>
      </c>
      <c r="AM356" s="10">
        <v>300</v>
      </c>
      <c r="AN356" s="56">
        <f t="shared" si="110"/>
        <v>2</v>
      </c>
      <c r="AP356" s="11">
        <f ca="1">IFERROR(OFFSET(ITEM_RES!$A$1,MATCH(AQ356,ITEM_RES!$J:$J,0)-1,0),0)</f>
        <v>211020501</v>
      </c>
      <c r="AQ356" s="10" t="s">
        <v>455</v>
      </c>
      <c r="AR356" s="11">
        <v>1500</v>
      </c>
      <c r="AU356" s="11">
        <f ca="1">IFERROR(OFFSET(ITEM_RES!$A$1,MATCH(AV356,ITEM_RES!$J:$J,0)-1,0),0)</f>
        <v>211020801</v>
      </c>
      <c r="AV356" s="10" t="s">
        <v>458</v>
      </c>
      <c r="AW356" s="11">
        <v>1500</v>
      </c>
      <c r="AZ356" s="11">
        <f ca="1">IFERROR(OFFSET(ITEM_RES!$A$1,MATCH(BA356,ITEM_RES!$J:$J,0)-1,0),0)</f>
        <v>0</v>
      </c>
      <c r="BE356" s="11">
        <f ca="1">IFERROR(OFFSET(ITEM_RES!$A$1,MATCH(BF356,ITEM_RES!$J:$J,0)-1,0),0)</f>
        <v>0</v>
      </c>
      <c r="BJ356" s="11">
        <f ca="1">IFERROR(OFFSET(ITEM_RES!$A$1,MATCH(BK356,ITEM_RES!$J:$J,0)-1,0),0)</f>
        <v>0</v>
      </c>
    </row>
    <row r="357" spans="1:65" x14ac:dyDescent="0.3">
      <c r="A357" s="14">
        <f t="shared" si="112"/>
        <v>112050013</v>
      </c>
      <c r="B357" s="13">
        <v>11</v>
      </c>
      <c r="C357" s="12">
        <f t="shared" si="113"/>
        <v>2</v>
      </c>
      <c r="D357" s="13">
        <v>5</v>
      </c>
      <c r="E357" s="13">
        <v>0</v>
      </c>
      <c r="F357" s="12">
        <f t="shared" si="114"/>
        <v>13</v>
      </c>
      <c r="H357" s="9">
        <v>2</v>
      </c>
      <c r="I357" s="9">
        <v>13</v>
      </c>
      <c r="K357" s="9" t="s">
        <v>368</v>
      </c>
      <c r="L357" s="9">
        <v>1</v>
      </c>
      <c r="M357" s="9">
        <v>15</v>
      </c>
      <c r="R357" s="9" t="s">
        <v>786</v>
      </c>
      <c r="T357" s="86" t="s">
        <v>586</v>
      </c>
      <c r="U357" s="9">
        <f ca="1">IFERROR(OFFSET(ITEM_RES!$A$5,MATCH(BUILDING!T357,ITEM_RES!$J$5:$J$229,0)-1,0),0)</f>
        <v>211020801</v>
      </c>
      <c r="V357" s="11">
        <v>1</v>
      </c>
      <c r="W357" s="86" t="s">
        <v>410</v>
      </c>
      <c r="X357" s="9">
        <f ca="1">IFERROR(OFFSET(ITEM_RES!$A$5,MATCH(BUILDING!W357,ITEM_RES!$J$5:$J$229,0)-1,0),0)</f>
        <v>211020901</v>
      </c>
      <c r="Z357" s="9" t="s">
        <v>558</v>
      </c>
      <c r="AA357" s="9">
        <v>13</v>
      </c>
      <c r="AC357" s="9">
        <v>28000</v>
      </c>
      <c r="AE357" s="56">
        <f t="shared" si="109"/>
        <v>7350</v>
      </c>
      <c r="AF357" s="10">
        <f t="shared" si="117"/>
        <v>13650</v>
      </c>
      <c r="AH357" s="11">
        <f t="shared" si="108"/>
        <v>65</v>
      </c>
      <c r="AI357" s="10">
        <v>65</v>
      </c>
      <c r="AJ357" s="11">
        <f t="shared" si="115"/>
        <v>350</v>
      </c>
      <c r="AK357" s="10">
        <v>350</v>
      </c>
      <c r="AL357" s="11">
        <f t="shared" si="115"/>
        <v>350</v>
      </c>
      <c r="AM357" s="10">
        <v>350</v>
      </c>
      <c r="AN357" s="56">
        <f t="shared" si="110"/>
        <v>2</v>
      </c>
      <c r="AP357" s="11">
        <f ca="1">IFERROR(OFFSET(ITEM_RES!$A$1,MATCH(AQ357,ITEM_RES!$J:$J,0)-1,0),0)</f>
        <v>211020501</v>
      </c>
      <c r="AQ357" s="10" t="s">
        <v>455</v>
      </c>
      <c r="AR357" s="11">
        <v>1750</v>
      </c>
      <c r="AU357" s="11">
        <f ca="1">IFERROR(OFFSET(ITEM_RES!$A$1,MATCH(AV357,ITEM_RES!$J:$J,0)-1,0),0)</f>
        <v>211020801</v>
      </c>
      <c r="AV357" s="10" t="s">
        <v>458</v>
      </c>
      <c r="AW357" s="11">
        <v>1750</v>
      </c>
      <c r="AZ357" s="11">
        <f ca="1">IFERROR(OFFSET(ITEM_RES!$A$1,MATCH(BA357,ITEM_RES!$J:$J,0)-1,0),0)</f>
        <v>0</v>
      </c>
      <c r="BE357" s="11">
        <f ca="1">IFERROR(OFFSET(ITEM_RES!$A$1,MATCH(BF357,ITEM_RES!$J:$J,0)-1,0),0)</f>
        <v>0</v>
      </c>
      <c r="BJ357" s="11">
        <f ca="1">IFERROR(OFFSET(ITEM_RES!$A$1,MATCH(BK357,ITEM_RES!$J:$J,0)-1,0),0)</f>
        <v>0</v>
      </c>
    </row>
    <row r="358" spans="1:65" x14ac:dyDescent="0.3">
      <c r="A358" s="14">
        <f t="shared" si="112"/>
        <v>112050014</v>
      </c>
      <c r="B358" s="13">
        <v>11</v>
      </c>
      <c r="C358" s="12">
        <f t="shared" si="113"/>
        <v>2</v>
      </c>
      <c r="D358" s="13">
        <v>5</v>
      </c>
      <c r="E358" s="13">
        <v>0</v>
      </c>
      <c r="F358" s="12">
        <f t="shared" si="114"/>
        <v>14</v>
      </c>
      <c r="H358" s="9">
        <v>2</v>
      </c>
      <c r="I358" s="9">
        <v>14</v>
      </c>
      <c r="K358" s="9" t="s">
        <v>368</v>
      </c>
      <c r="L358" s="9">
        <v>1</v>
      </c>
      <c r="M358" s="9">
        <v>15</v>
      </c>
      <c r="R358" s="9" t="s">
        <v>786</v>
      </c>
      <c r="T358" s="86" t="s">
        <v>586</v>
      </c>
      <c r="U358" s="9">
        <f ca="1">IFERROR(OFFSET(ITEM_RES!$A$5,MATCH(BUILDING!T358,ITEM_RES!$J$5:$J$229,0)-1,0),0)</f>
        <v>211020801</v>
      </c>
      <c r="V358" s="11">
        <v>1</v>
      </c>
      <c r="W358" s="86" t="s">
        <v>410</v>
      </c>
      <c r="X358" s="9">
        <f ca="1">IFERROR(OFFSET(ITEM_RES!$A$5,MATCH(BUILDING!W358,ITEM_RES!$J$5:$J$229,0)-1,0),0)</f>
        <v>211020901</v>
      </c>
      <c r="Z358" s="9" t="s">
        <v>558</v>
      </c>
      <c r="AA358" s="9">
        <v>14</v>
      </c>
      <c r="AC358" s="9">
        <v>36000</v>
      </c>
      <c r="AE358" s="56">
        <f t="shared" si="109"/>
        <v>9450</v>
      </c>
      <c r="AF358" s="10">
        <f t="shared" si="117"/>
        <v>16800</v>
      </c>
      <c r="AH358" s="11">
        <f t="shared" si="108"/>
        <v>70</v>
      </c>
      <c r="AI358" s="10">
        <v>70</v>
      </c>
      <c r="AJ358" s="11">
        <f t="shared" si="115"/>
        <v>450</v>
      </c>
      <c r="AK358" s="10">
        <v>450</v>
      </c>
      <c r="AL358" s="11">
        <f t="shared" si="115"/>
        <v>450</v>
      </c>
      <c r="AM358" s="10">
        <v>450</v>
      </c>
      <c r="AN358" s="56">
        <f t="shared" si="110"/>
        <v>2</v>
      </c>
      <c r="AP358" s="11">
        <f ca="1">IFERROR(OFFSET(ITEM_RES!$A$1,MATCH(AQ358,ITEM_RES!$J:$J,0)-1,0),0)</f>
        <v>211020501</v>
      </c>
      <c r="AQ358" s="10" t="s">
        <v>455</v>
      </c>
      <c r="AR358" s="11">
        <v>2250</v>
      </c>
      <c r="AU358" s="11">
        <f ca="1">IFERROR(OFFSET(ITEM_RES!$A$1,MATCH(AV358,ITEM_RES!$J:$J,0)-1,0),0)</f>
        <v>211020801</v>
      </c>
      <c r="AV358" s="10" t="s">
        <v>458</v>
      </c>
      <c r="AW358" s="11">
        <v>2250</v>
      </c>
      <c r="AZ358" s="11">
        <f ca="1">IFERROR(OFFSET(ITEM_RES!$A$1,MATCH(BA358,ITEM_RES!$J:$J,0)-1,0),0)</f>
        <v>0</v>
      </c>
      <c r="BE358" s="11">
        <f ca="1">IFERROR(OFFSET(ITEM_RES!$A$1,MATCH(BF358,ITEM_RES!$J:$J,0)-1,0),0)</f>
        <v>0</v>
      </c>
      <c r="BJ358" s="11">
        <f ca="1">IFERROR(OFFSET(ITEM_RES!$A$1,MATCH(BK358,ITEM_RES!$J:$J,0)-1,0),0)</f>
        <v>0</v>
      </c>
    </row>
    <row r="359" spans="1:65" x14ac:dyDescent="0.3">
      <c r="A359" s="14">
        <f t="shared" si="112"/>
        <v>112050015</v>
      </c>
      <c r="B359" s="13">
        <v>11</v>
      </c>
      <c r="C359" s="12">
        <f t="shared" si="113"/>
        <v>2</v>
      </c>
      <c r="D359" s="13">
        <v>5</v>
      </c>
      <c r="E359" s="13">
        <v>0</v>
      </c>
      <c r="F359" s="12">
        <f t="shared" si="114"/>
        <v>15</v>
      </c>
      <c r="H359" s="9">
        <v>2</v>
      </c>
      <c r="I359" s="9">
        <v>15</v>
      </c>
      <c r="K359" s="9" t="s">
        <v>368</v>
      </c>
      <c r="L359" s="9">
        <v>1</v>
      </c>
      <c r="M359" s="9">
        <v>15</v>
      </c>
      <c r="R359" s="9" t="s">
        <v>786</v>
      </c>
      <c r="T359" s="86" t="s">
        <v>586</v>
      </c>
      <c r="U359" s="9">
        <f ca="1">IFERROR(OFFSET(ITEM_RES!$A$5,MATCH(BUILDING!T359,ITEM_RES!$J$5:$J$229,0)-1,0),0)</f>
        <v>211020801</v>
      </c>
      <c r="V359" s="11">
        <v>1</v>
      </c>
      <c r="W359" s="86" t="s">
        <v>410</v>
      </c>
      <c r="X359" s="9">
        <f ca="1">IFERROR(OFFSET(ITEM_RES!$A$5,MATCH(BUILDING!W359,ITEM_RES!$J$5:$J$229,0)-1,0),0)</f>
        <v>211020901</v>
      </c>
      <c r="Z359" s="9" t="s">
        <v>558</v>
      </c>
      <c r="AA359" s="9">
        <v>15</v>
      </c>
      <c r="AC359" s="9">
        <v>44000</v>
      </c>
      <c r="AE359" s="56">
        <f t="shared" si="109"/>
        <v>11550</v>
      </c>
      <c r="AF359" s="10">
        <f t="shared" si="117"/>
        <v>21000</v>
      </c>
      <c r="AH359" s="11">
        <f t="shared" si="108"/>
        <v>75</v>
      </c>
      <c r="AI359" s="10">
        <v>75</v>
      </c>
      <c r="AJ359" s="11">
        <f t="shared" si="115"/>
        <v>550</v>
      </c>
      <c r="AK359" s="10">
        <v>550</v>
      </c>
      <c r="AL359" s="11">
        <f t="shared" si="115"/>
        <v>550</v>
      </c>
      <c r="AM359" s="10">
        <v>550</v>
      </c>
      <c r="AN359" s="56">
        <f t="shared" si="110"/>
        <v>2</v>
      </c>
      <c r="AP359" s="11">
        <f ca="1">IFERROR(OFFSET(ITEM_RES!$A$1,MATCH(AQ359,ITEM_RES!$J:$J,0)-1,0),0)</f>
        <v>211020501</v>
      </c>
      <c r="AQ359" s="10" t="s">
        <v>455</v>
      </c>
      <c r="AR359" s="11">
        <v>2750</v>
      </c>
      <c r="AU359" s="11">
        <f ca="1">IFERROR(OFFSET(ITEM_RES!$A$1,MATCH(AV359,ITEM_RES!$J:$J,0)-1,0),0)</f>
        <v>211020801</v>
      </c>
      <c r="AV359" s="10" t="s">
        <v>458</v>
      </c>
      <c r="AW359" s="11">
        <v>2750</v>
      </c>
      <c r="AZ359" s="11">
        <f ca="1">IFERROR(OFFSET(ITEM_RES!$A$1,MATCH(BA359,ITEM_RES!$J:$J,0)-1,0),0)</f>
        <v>0</v>
      </c>
      <c r="BE359" s="11">
        <f ca="1">IFERROR(OFFSET(ITEM_RES!$A$1,MATCH(BF359,ITEM_RES!$J:$J,0)-1,0),0)</f>
        <v>0</v>
      </c>
      <c r="BJ359" s="11">
        <f ca="1">IFERROR(OFFSET(ITEM_RES!$A$1,MATCH(BK359,ITEM_RES!$J:$J,0)-1,0),0)</f>
        <v>0</v>
      </c>
    </row>
    <row r="360" spans="1:65" x14ac:dyDescent="0.3">
      <c r="A360" s="14">
        <f t="shared" si="112"/>
        <v>112050016</v>
      </c>
      <c r="B360" s="13">
        <v>11</v>
      </c>
      <c r="C360" s="12">
        <f t="shared" si="113"/>
        <v>2</v>
      </c>
      <c r="D360" s="13">
        <v>5</v>
      </c>
      <c r="E360" s="13">
        <v>0</v>
      </c>
      <c r="F360" s="12">
        <f t="shared" si="114"/>
        <v>16</v>
      </c>
      <c r="H360" s="9">
        <v>2</v>
      </c>
      <c r="I360" s="9">
        <v>16</v>
      </c>
      <c r="K360" s="9" t="s">
        <v>368</v>
      </c>
      <c r="L360" s="9">
        <v>0</v>
      </c>
      <c r="M360" s="9">
        <v>15</v>
      </c>
      <c r="R360" s="9" t="s">
        <v>786</v>
      </c>
      <c r="T360" s="86" t="s">
        <v>586</v>
      </c>
      <c r="U360" s="9">
        <f ca="1">IFERROR(OFFSET(ITEM_RES!$A$5,MATCH(BUILDING!T360,ITEM_RES!$J$5:$J$229,0)-1,0),0)</f>
        <v>211020801</v>
      </c>
      <c r="V360" s="11">
        <v>1</v>
      </c>
      <c r="W360" s="86" t="s">
        <v>410</v>
      </c>
      <c r="X360" s="9">
        <f ca="1">IFERROR(OFFSET(ITEM_RES!$A$5,MATCH(BUILDING!W360,ITEM_RES!$J$5:$J$229,0)-1,0),0)</f>
        <v>211020901</v>
      </c>
      <c r="Z360" s="9" t="s">
        <v>558</v>
      </c>
      <c r="AA360" s="9">
        <v>16</v>
      </c>
      <c r="AC360" s="9">
        <v>56000</v>
      </c>
      <c r="AE360" s="56">
        <f t="shared" si="109"/>
        <v>14700</v>
      </c>
      <c r="AF360" s="10">
        <f t="shared" si="117"/>
        <v>26250</v>
      </c>
      <c r="AH360" s="11">
        <f t="shared" si="108"/>
        <v>80</v>
      </c>
      <c r="AI360" s="10">
        <v>80</v>
      </c>
      <c r="AJ360" s="11">
        <f t="shared" si="115"/>
        <v>700</v>
      </c>
      <c r="AK360" s="10">
        <v>700</v>
      </c>
      <c r="AL360" s="11">
        <f t="shared" si="115"/>
        <v>700</v>
      </c>
      <c r="AM360" s="10">
        <v>700</v>
      </c>
      <c r="AN360" s="56">
        <f t="shared" si="110"/>
        <v>2</v>
      </c>
      <c r="AP360" s="11">
        <f ca="1">IFERROR(OFFSET(ITEM_RES!$A$1,MATCH(AQ360,ITEM_RES!$J:$J,0)-1,0),0)</f>
        <v>211020501</v>
      </c>
      <c r="AQ360" s="10" t="s">
        <v>455</v>
      </c>
      <c r="AR360" s="11">
        <v>3500</v>
      </c>
      <c r="AU360" s="11">
        <f ca="1">IFERROR(OFFSET(ITEM_RES!$A$1,MATCH(AV360,ITEM_RES!$J:$J,0)-1,0),0)</f>
        <v>211020801</v>
      </c>
      <c r="AV360" s="10" t="s">
        <v>458</v>
      </c>
      <c r="AW360" s="11">
        <v>3500</v>
      </c>
      <c r="AZ360" s="11">
        <f ca="1">IFERROR(OFFSET(ITEM_RES!$A$1,MATCH(BA360,ITEM_RES!$J:$J,0)-1,0),0)</f>
        <v>0</v>
      </c>
      <c r="BE360" s="11">
        <f ca="1">IFERROR(OFFSET(ITEM_RES!$A$1,MATCH(BF360,ITEM_RES!$J:$J,0)-1,0),0)</f>
        <v>0</v>
      </c>
      <c r="BJ360" s="11">
        <f ca="1">IFERROR(OFFSET(ITEM_RES!$A$1,MATCH(BK360,ITEM_RES!$J:$J,0)-1,0),0)</f>
        <v>0</v>
      </c>
    </row>
    <row r="361" spans="1:65" x14ac:dyDescent="0.3">
      <c r="A361" s="14">
        <f t="shared" si="112"/>
        <v>112050017</v>
      </c>
      <c r="B361" s="13">
        <v>11</v>
      </c>
      <c r="C361" s="12">
        <f t="shared" si="113"/>
        <v>2</v>
      </c>
      <c r="D361" s="13">
        <v>5</v>
      </c>
      <c r="E361" s="13">
        <v>0</v>
      </c>
      <c r="F361" s="12">
        <f t="shared" si="114"/>
        <v>17</v>
      </c>
      <c r="H361" s="9">
        <v>2</v>
      </c>
      <c r="I361" s="9">
        <v>17</v>
      </c>
      <c r="K361" s="9" t="s">
        <v>368</v>
      </c>
      <c r="L361" s="9">
        <v>0</v>
      </c>
      <c r="M361" s="9">
        <v>15</v>
      </c>
      <c r="R361" s="9" t="s">
        <v>786</v>
      </c>
      <c r="T361" s="86" t="s">
        <v>586</v>
      </c>
      <c r="U361" s="9">
        <f ca="1">IFERROR(OFFSET(ITEM_RES!$A$5,MATCH(BUILDING!T361,ITEM_RES!$J$5:$J$229,0)-1,0),0)</f>
        <v>211020801</v>
      </c>
      <c r="V361" s="11">
        <v>1</v>
      </c>
      <c r="W361" s="86" t="s">
        <v>410</v>
      </c>
      <c r="X361" s="9">
        <f ca="1">IFERROR(OFFSET(ITEM_RES!$A$5,MATCH(BUILDING!W361,ITEM_RES!$J$5:$J$229,0)-1,0),0)</f>
        <v>211020901</v>
      </c>
      <c r="Z361" s="9" t="s">
        <v>558</v>
      </c>
      <c r="AA361" s="9">
        <v>17</v>
      </c>
      <c r="AC361" s="9">
        <v>68000</v>
      </c>
      <c r="AE361" s="56">
        <f t="shared" si="109"/>
        <v>17850</v>
      </c>
      <c r="AF361" s="10">
        <f t="shared" si="117"/>
        <v>32550</v>
      </c>
      <c r="AH361" s="11">
        <f t="shared" si="108"/>
        <v>85</v>
      </c>
      <c r="AI361" s="10">
        <v>85</v>
      </c>
      <c r="AJ361" s="11">
        <f t="shared" si="115"/>
        <v>850</v>
      </c>
      <c r="AK361" s="10">
        <v>850</v>
      </c>
      <c r="AL361" s="11">
        <f t="shared" si="115"/>
        <v>850</v>
      </c>
      <c r="AM361" s="10">
        <v>850</v>
      </c>
      <c r="AN361" s="56">
        <f t="shared" si="110"/>
        <v>2</v>
      </c>
      <c r="AP361" s="11">
        <f ca="1">IFERROR(OFFSET(ITEM_RES!$A$1,MATCH(AQ361,ITEM_RES!$J:$J,0)-1,0),0)</f>
        <v>211020501</v>
      </c>
      <c r="AQ361" s="10" t="s">
        <v>455</v>
      </c>
      <c r="AR361" s="11">
        <v>4250</v>
      </c>
      <c r="AU361" s="11">
        <f ca="1">IFERROR(OFFSET(ITEM_RES!$A$1,MATCH(AV361,ITEM_RES!$J:$J,0)-1,0),0)</f>
        <v>211020801</v>
      </c>
      <c r="AV361" s="10" t="s">
        <v>458</v>
      </c>
      <c r="AW361" s="11">
        <v>4250</v>
      </c>
      <c r="AZ361" s="11">
        <f ca="1">IFERROR(OFFSET(ITEM_RES!$A$1,MATCH(BA361,ITEM_RES!$J:$J,0)-1,0),0)</f>
        <v>0</v>
      </c>
      <c r="BE361" s="11">
        <f ca="1">IFERROR(OFFSET(ITEM_RES!$A$1,MATCH(BF361,ITEM_RES!$J:$J,0)-1,0),0)</f>
        <v>0</v>
      </c>
      <c r="BJ361" s="11">
        <f ca="1">IFERROR(OFFSET(ITEM_RES!$A$1,MATCH(BK361,ITEM_RES!$J:$J,0)-1,0),0)</f>
        <v>0</v>
      </c>
    </row>
    <row r="362" spans="1:65" x14ac:dyDescent="0.3">
      <c r="A362" s="14">
        <f t="shared" si="112"/>
        <v>112050018</v>
      </c>
      <c r="B362" s="13">
        <v>11</v>
      </c>
      <c r="C362" s="12">
        <f t="shared" si="113"/>
        <v>2</v>
      </c>
      <c r="D362" s="13">
        <v>5</v>
      </c>
      <c r="E362" s="13">
        <v>0</v>
      </c>
      <c r="F362" s="12">
        <f t="shared" si="114"/>
        <v>18</v>
      </c>
      <c r="H362" s="9">
        <v>2</v>
      </c>
      <c r="I362" s="9">
        <v>18</v>
      </c>
      <c r="K362" s="9" t="s">
        <v>368</v>
      </c>
      <c r="L362" s="9">
        <v>0</v>
      </c>
      <c r="M362" s="9">
        <v>15</v>
      </c>
      <c r="R362" s="9" t="s">
        <v>786</v>
      </c>
      <c r="T362" s="86" t="s">
        <v>586</v>
      </c>
      <c r="U362" s="9">
        <f ca="1">IFERROR(OFFSET(ITEM_RES!$A$5,MATCH(BUILDING!T362,ITEM_RES!$J$5:$J$229,0)-1,0),0)</f>
        <v>211020801</v>
      </c>
      <c r="V362" s="11">
        <v>1</v>
      </c>
      <c r="W362" s="86" t="s">
        <v>410</v>
      </c>
      <c r="X362" s="9">
        <f ca="1">IFERROR(OFFSET(ITEM_RES!$A$5,MATCH(BUILDING!W362,ITEM_RES!$J$5:$J$229,0)-1,0),0)</f>
        <v>211020901</v>
      </c>
      <c r="Z362" s="9" t="s">
        <v>558</v>
      </c>
      <c r="AA362" s="9">
        <v>18</v>
      </c>
      <c r="AC362" s="9">
        <v>84000</v>
      </c>
      <c r="AE362" s="56">
        <f t="shared" si="109"/>
        <v>22050</v>
      </c>
      <c r="AF362" s="10">
        <f t="shared" si="117"/>
        <v>39900</v>
      </c>
      <c r="AH362" s="11">
        <f t="shared" si="108"/>
        <v>90</v>
      </c>
      <c r="AI362" s="10">
        <v>90</v>
      </c>
      <c r="AJ362" s="11">
        <f t="shared" si="115"/>
        <v>1050</v>
      </c>
      <c r="AK362" s="10">
        <v>1050</v>
      </c>
      <c r="AL362" s="11">
        <f t="shared" si="115"/>
        <v>1050</v>
      </c>
      <c r="AM362" s="10">
        <v>1050</v>
      </c>
      <c r="AN362" s="56">
        <f t="shared" si="110"/>
        <v>2</v>
      </c>
      <c r="AP362" s="11">
        <f ca="1">IFERROR(OFFSET(ITEM_RES!$A$1,MATCH(AQ362,ITEM_RES!$J:$J,0)-1,0),0)</f>
        <v>211020501</v>
      </c>
      <c r="AQ362" s="10" t="s">
        <v>455</v>
      </c>
      <c r="AR362" s="11">
        <v>5250</v>
      </c>
      <c r="AU362" s="11">
        <f ca="1">IFERROR(OFFSET(ITEM_RES!$A$1,MATCH(AV362,ITEM_RES!$J:$J,0)-1,0),0)</f>
        <v>211020801</v>
      </c>
      <c r="AV362" s="10" t="s">
        <v>458</v>
      </c>
      <c r="AW362" s="11">
        <v>5250</v>
      </c>
      <c r="AZ362" s="11">
        <f ca="1">IFERROR(OFFSET(ITEM_RES!$A$1,MATCH(BA362,ITEM_RES!$J:$J,0)-1,0),0)</f>
        <v>0</v>
      </c>
      <c r="BE362" s="11">
        <f ca="1">IFERROR(OFFSET(ITEM_RES!$A$1,MATCH(BF362,ITEM_RES!$J:$J,0)-1,0),0)</f>
        <v>0</v>
      </c>
      <c r="BJ362" s="11">
        <f ca="1">IFERROR(OFFSET(ITEM_RES!$A$1,MATCH(BK362,ITEM_RES!$J:$J,0)-1,0),0)</f>
        <v>0</v>
      </c>
    </row>
    <row r="363" spans="1:65" x14ac:dyDescent="0.3">
      <c r="A363" s="14">
        <f t="shared" si="112"/>
        <v>112050019</v>
      </c>
      <c r="B363" s="13">
        <v>11</v>
      </c>
      <c r="C363" s="12">
        <f t="shared" si="113"/>
        <v>2</v>
      </c>
      <c r="D363" s="13">
        <v>5</v>
      </c>
      <c r="E363" s="13">
        <v>0</v>
      </c>
      <c r="F363" s="12">
        <f t="shared" si="114"/>
        <v>19</v>
      </c>
      <c r="H363" s="9">
        <v>2</v>
      </c>
      <c r="I363" s="9">
        <v>19</v>
      </c>
      <c r="K363" s="9" t="s">
        <v>368</v>
      </c>
      <c r="L363" s="9">
        <v>0</v>
      </c>
      <c r="M363" s="9">
        <v>15</v>
      </c>
      <c r="R363" s="9" t="s">
        <v>786</v>
      </c>
      <c r="T363" s="86" t="s">
        <v>586</v>
      </c>
      <c r="U363" s="9">
        <f ca="1">IFERROR(OFFSET(ITEM_RES!$A$5,MATCH(BUILDING!T363,ITEM_RES!$J$5:$J$229,0)-1,0),0)</f>
        <v>211020801</v>
      </c>
      <c r="V363" s="11">
        <v>1</v>
      </c>
      <c r="W363" s="86" t="s">
        <v>410</v>
      </c>
      <c r="X363" s="9">
        <f ca="1">IFERROR(OFFSET(ITEM_RES!$A$5,MATCH(BUILDING!W363,ITEM_RES!$J$5:$J$229,0)-1,0),0)</f>
        <v>211020901</v>
      </c>
      <c r="Z363" s="9" t="s">
        <v>558</v>
      </c>
      <c r="AA363" s="9">
        <v>19</v>
      </c>
      <c r="AC363" s="9">
        <v>100000</v>
      </c>
      <c r="AE363" s="56">
        <f t="shared" si="109"/>
        <v>26250</v>
      </c>
      <c r="AF363" s="10">
        <f t="shared" si="117"/>
        <v>48300</v>
      </c>
      <c r="AH363" s="11">
        <f t="shared" si="108"/>
        <v>95</v>
      </c>
      <c r="AI363" s="10">
        <v>95</v>
      </c>
      <c r="AJ363" s="11">
        <f t="shared" si="115"/>
        <v>1250</v>
      </c>
      <c r="AK363" s="10">
        <v>1250</v>
      </c>
      <c r="AL363" s="11">
        <f t="shared" si="115"/>
        <v>1250</v>
      </c>
      <c r="AM363" s="10">
        <v>1250</v>
      </c>
      <c r="AN363" s="56">
        <f t="shared" si="110"/>
        <v>2</v>
      </c>
      <c r="AP363" s="11">
        <f ca="1">IFERROR(OFFSET(ITEM_RES!$A$1,MATCH(AQ363,ITEM_RES!$J:$J,0)-1,0),0)</f>
        <v>211020501</v>
      </c>
      <c r="AQ363" s="10" t="s">
        <v>455</v>
      </c>
      <c r="AR363" s="11">
        <v>6250</v>
      </c>
      <c r="AU363" s="11">
        <f ca="1">IFERROR(OFFSET(ITEM_RES!$A$1,MATCH(AV363,ITEM_RES!$J:$J,0)-1,0),0)</f>
        <v>211020801</v>
      </c>
      <c r="AV363" s="10" t="s">
        <v>458</v>
      </c>
      <c r="AW363" s="11">
        <v>6250</v>
      </c>
      <c r="AZ363" s="11">
        <f ca="1">IFERROR(OFFSET(ITEM_RES!$A$1,MATCH(BA363,ITEM_RES!$J:$J,0)-1,0),0)</f>
        <v>0</v>
      </c>
      <c r="BE363" s="11">
        <f ca="1">IFERROR(OFFSET(ITEM_RES!$A$1,MATCH(BF363,ITEM_RES!$J:$J,0)-1,0),0)</f>
        <v>0</v>
      </c>
      <c r="BJ363" s="11">
        <f ca="1">IFERROR(OFFSET(ITEM_RES!$A$1,MATCH(BK363,ITEM_RES!$J:$J,0)-1,0),0)</f>
        <v>0</v>
      </c>
    </row>
    <row r="364" spans="1:65" ht="17.25" thickBot="1" x14ac:dyDescent="0.35">
      <c r="A364" s="14">
        <f t="shared" si="112"/>
        <v>112050020</v>
      </c>
      <c r="B364" s="13">
        <v>11</v>
      </c>
      <c r="C364" s="12">
        <f t="shared" si="113"/>
        <v>2</v>
      </c>
      <c r="D364" s="13">
        <v>5</v>
      </c>
      <c r="E364" s="13">
        <v>0</v>
      </c>
      <c r="F364" s="12">
        <f t="shared" si="114"/>
        <v>20</v>
      </c>
      <c r="H364" s="9">
        <v>2</v>
      </c>
      <c r="I364" s="9">
        <v>20</v>
      </c>
      <c r="K364" s="9" t="s">
        <v>368</v>
      </c>
      <c r="L364" s="9">
        <v>0</v>
      </c>
      <c r="M364" s="9">
        <v>15</v>
      </c>
      <c r="R364" s="9" t="s">
        <v>786</v>
      </c>
      <c r="T364" s="86" t="s">
        <v>586</v>
      </c>
      <c r="U364" s="9">
        <f ca="1">IFERROR(OFFSET(ITEM_RES!$A$5,MATCH(BUILDING!T364,ITEM_RES!$J$5:$J$229,0)-1,0),0)</f>
        <v>211020801</v>
      </c>
      <c r="V364" s="11">
        <v>1</v>
      </c>
      <c r="W364" s="86" t="s">
        <v>410</v>
      </c>
      <c r="X364" s="9">
        <f ca="1">IFERROR(OFFSET(ITEM_RES!$A$5,MATCH(BUILDING!W364,ITEM_RES!$J$5:$J$229,0)-1,0),0)</f>
        <v>211020901</v>
      </c>
      <c r="Z364" s="9" t="s">
        <v>558</v>
      </c>
      <c r="AA364" s="9">
        <v>20</v>
      </c>
      <c r="AC364" s="9">
        <v>120000</v>
      </c>
      <c r="AE364" s="56">
        <f t="shared" si="109"/>
        <v>31500</v>
      </c>
      <c r="AF364" s="10">
        <f t="shared" si="117"/>
        <v>57750</v>
      </c>
      <c r="AH364" s="11">
        <f t="shared" si="108"/>
        <v>100</v>
      </c>
      <c r="AI364" s="10">
        <v>100</v>
      </c>
      <c r="AJ364" s="11">
        <f t="shared" si="115"/>
        <v>1500</v>
      </c>
      <c r="AK364" s="10">
        <v>1500</v>
      </c>
      <c r="AL364" s="11">
        <f t="shared" si="115"/>
        <v>1500</v>
      </c>
      <c r="AM364" s="10">
        <v>1500</v>
      </c>
      <c r="AN364" s="56">
        <f t="shared" si="110"/>
        <v>2</v>
      </c>
      <c r="AP364" s="11">
        <f ca="1">IFERROR(OFFSET(ITEM_RES!$A$1,MATCH(AQ364,ITEM_RES!$J:$J,0)-1,0),0)</f>
        <v>211020501</v>
      </c>
      <c r="AQ364" s="10" t="s">
        <v>455</v>
      </c>
      <c r="AR364" s="11">
        <v>7500</v>
      </c>
      <c r="AU364" s="11">
        <f ca="1">IFERROR(OFFSET(ITEM_RES!$A$1,MATCH(AV364,ITEM_RES!$J:$J,0)-1,0),0)</f>
        <v>211020801</v>
      </c>
      <c r="AV364" s="10" t="s">
        <v>458</v>
      </c>
      <c r="AW364" s="11">
        <v>7500</v>
      </c>
      <c r="AZ364" s="11">
        <f ca="1">IFERROR(OFFSET(ITEM_RES!$A$1,MATCH(BA364,ITEM_RES!$J:$J,0)-1,0),0)</f>
        <v>0</v>
      </c>
      <c r="BE364" s="11">
        <f ca="1">IFERROR(OFFSET(ITEM_RES!$A$1,MATCH(BF364,ITEM_RES!$J:$J,0)-1,0),0)</f>
        <v>0</v>
      </c>
      <c r="BJ364" s="11">
        <f ca="1">IFERROR(OFFSET(ITEM_RES!$A$1,MATCH(BK364,ITEM_RES!$J:$J,0)-1,0),0)</f>
        <v>0</v>
      </c>
    </row>
    <row r="365" spans="1:65" s="15" customFormat="1" x14ac:dyDescent="0.3">
      <c r="A365" s="21">
        <f t="shared" si="112"/>
        <v>111090001</v>
      </c>
      <c r="B365" s="20">
        <v>11</v>
      </c>
      <c r="C365" s="19">
        <f t="shared" si="113"/>
        <v>1</v>
      </c>
      <c r="D365" s="20">
        <v>9</v>
      </c>
      <c r="E365" s="20">
        <v>0</v>
      </c>
      <c r="F365" s="19">
        <f t="shared" si="114"/>
        <v>1</v>
      </c>
      <c r="G365" s="80"/>
      <c r="H365" s="16">
        <v>1</v>
      </c>
      <c r="I365" s="16">
        <v>1</v>
      </c>
      <c r="J365" s="80"/>
      <c r="K365" s="16" t="s">
        <v>379</v>
      </c>
      <c r="L365" s="16">
        <v>1</v>
      </c>
      <c r="M365" s="16">
        <v>15</v>
      </c>
      <c r="N365" s="16"/>
      <c r="O365" s="17"/>
      <c r="P365" s="17"/>
      <c r="Q365" s="18"/>
      <c r="R365" s="16" t="s">
        <v>792</v>
      </c>
      <c r="S365" s="80"/>
      <c r="T365" s="88"/>
      <c r="U365" s="16">
        <f ca="1">IFERROR(OFFSET(ITEM_RES!$A$5,MATCH(BUILDING!T365,ITEM_RES!$J$5:$J$229,0)-1,0),0)</f>
        <v>0</v>
      </c>
      <c r="V365" s="18"/>
      <c r="W365" s="88" t="s">
        <v>581</v>
      </c>
      <c r="X365" s="16">
        <f ca="1">IFERROR(OFFSET(ITEM_RES!$A$5,MATCH(BUILDING!W365,ITEM_RES!$J$5:$J$229,0)-1,0),0)</f>
        <v>211020201</v>
      </c>
      <c r="Y365" s="80"/>
      <c r="Z365" s="16" t="s">
        <v>559</v>
      </c>
      <c r="AA365" s="16">
        <v>1</v>
      </c>
      <c r="AB365" s="80"/>
      <c r="AC365" s="16">
        <v>0</v>
      </c>
      <c r="AD365" s="80"/>
      <c r="AE365" s="57">
        <f t="shared" si="109"/>
        <v>605</v>
      </c>
      <c r="AF365" s="17">
        <f>AE365</f>
        <v>605</v>
      </c>
      <c r="AG365" s="80"/>
      <c r="AH365" s="18">
        <f t="shared" ref="AH365:AH408" si="118">ROUND(AI365,0)</f>
        <v>5</v>
      </c>
      <c r="AI365" s="17">
        <v>5</v>
      </c>
      <c r="AJ365" s="18">
        <f t="shared" si="115"/>
        <v>5</v>
      </c>
      <c r="AK365" s="17">
        <v>5</v>
      </c>
      <c r="AL365" s="18">
        <f t="shared" si="115"/>
        <v>5</v>
      </c>
      <c r="AM365" s="17">
        <v>5</v>
      </c>
      <c r="AN365" s="57">
        <f t="shared" si="110"/>
        <v>3</v>
      </c>
      <c r="AO365" s="18"/>
      <c r="AP365" s="18">
        <f ca="1">IFERROR(OFFSET(ITEM_RES!$A$1,MATCH(AQ365,ITEM_RES!$J:$J,0)-1,0),0)</f>
        <v>211010501</v>
      </c>
      <c r="AQ365" s="17" t="s">
        <v>449</v>
      </c>
      <c r="AR365" s="18">
        <v>25</v>
      </c>
      <c r="AS365" s="17"/>
      <c r="AT365" s="18"/>
      <c r="AU365" s="18">
        <f ca="1">IFERROR(OFFSET(ITEM_RES!$A$1,MATCH(AV365,ITEM_RES!$J:$J,0)-1,0),0)</f>
        <v>211020101</v>
      </c>
      <c r="AV365" s="17" t="s">
        <v>475</v>
      </c>
      <c r="AW365" s="18">
        <v>25</v>
      </c>
      <c r="AX365" s="17"/>
      <c r="AY365" s="18"/>
      <c r="AZ365" s="18">
        <f ca="1">IFERROR(OFFSET(ITEM_RES!$A$1,MATCH(BA365,ITEM_RES!$J:$J,0)-1,0),0)</f>
        <v>213010101</v>
      </c>
      <c r="BA365" s="17" t="s">
        <v>481</v>
      </c>
      <c r="BB365" s="18">
        <v>1</v>
      </c>
      <c r="BC365" s="17"/>
      <c r="BD365" s="18"/>
      <c r="BE365" s="18">
        <f ca="1">IFERROR(OFFSET(ITEM_RES!$A$1,MATCH(BF365,ITEM_RES!$J:$J,0)-1,0),0)</f>
        <v>0</v>
      </c>
      <c r="BF365" s="17"/>
      <c r="BG365" s="18"/>
      <c r="BH365" s="17"/>
      <c r="BI365" s="18"/>
      <c r="BJ365" s="18">
        <f ca="1">IFERROR(OFFSET(ITEM_RES!$A$1,MATCH(BK365,ITEM_RES!$J:$J,0)-1,0),0)</f>
        <v>0</v>
      </c>
      <c r="BK365" s="17"/>
      <c r="BL365" s="18"/>
      <c r="BM365" s="17"/>
    </row>
    <row r="366" spans="1:65" x14ac:dyDescent="0.3">
      <c r="A366" s="14">
        <f t="shared" si="112"/>
        <v>111090002</v>
      </c>
      <c r="B366" s="13">
        <v>11</v>
      </c>
      <c r="C366" s="12">
        <f t="shared" si="113"/>
        <v>1</v>
      </c>
      <c r="D366" s="13">
        <v>9</v>
      </c>
      <c r="E366" s="13">
        <v>0</v>
      </c>
      <c r="F366" s="12">
        <f t="shared" si="114"/>
        <v>2</v>
      </c>
      <c r="H366" s="9">
        <v>1</v>
      </c>
      <c r="I366" s="9">
        <v>2</v>
      </c>
      <c r="K366" s="9" t="s">
        <v>379</v>
      </c>
      <c r="L366" s="9">
        <v>1</v>
      </c>
      <c r="M366" s="9">
        <v>15</v>
      </c>
      <c r="R366" s="9" t="s">
        <v>792</v>
      </c>
      <c r="U366" s="9">
        <f ca="1">IFERROR(OFFSET(ITEM_RES!$A$5,MATCH(BUILDING!T366,ITEM_RES!$J$5:$J$229,0)-1,0),0)</f>
        <v>0</v>
      </c>
      <c r="W366" s="86" t="s">
        <v>581</v>
      </c>
      <c r="X366" s="9">
        <f ca="1">IFERROR(OFFSET(ITEM_RES!$A$5,MATCH(BUILDING!W366,ITEM_RES!$J$5:$J$229,0)-1,0),0)</f>
        <v>211020201</v>
      </c>
      <c r="Z366" s="9" t="s">
        <v>559</v>
      </c>
      <c r="AA366" s="9">
        <v>2</v>
      </c>
      <c r="AC366" s="9">
        <v>200</v>
      </c>
      <c r="AE366" s="56">
        <f t="shared" ref="AE366:AE409" si="119">AK366*10+AM366+AR366+AW366+500*BB366+500*BG366+500*BL366</f>
        <v>210</v>
      </c>
      <c r="AF366" s="10">
        <f>AE365+AE366</f>
        <v>815</v>
      </c>
      <c r="AH366" s="11">
        <f t="shared" si="118"/>
        <v>10</v>
      </c>
      <c r="AI366" s="10">
        <v>10</v>
      </c>
      <c r="AJ366" s="11">
        <f t="shared" si="115"/>
        <v>10</v>
      </c>
      <c r="AK366" s="10">
        <v>10</v>
      </c>
      <c r="AL366" s="11">
        <f t="shared" si="115"/>
        <v>10</v>
      </c>
      <c r="AM366" s="10">
        <v>10</v>
      </c>
      <c r="AN366" s="56">
        <f t="shared" ref="AN366:AN409" si="120">(AR366&gt;0)*1+(AW366&gt;0)*1+(BB366&gt;0)*1+(BG366&gt;0)*1+(BL366&gt;0)*1</f>
        <v>2</v>
      </c>
      <c r="AP366" s="11">
        <f ca="1">IFERROR(OFFSET(ITEM_RES!$A$1,MATCH(AQ366,ITEM_RES!$J:$J,0)-1,0),0)</f>
        <v>211010501</v>
      </c>
      <c r="AQ366" s="10" t="s">
        <v>449</v>
      </c>
      <c r="AR366" s="11">
        <v>50</v>
      </c>
      <c r="AU366" s="11">
        <f ca="1">IFERROR(OFFSET(ITEM_RES!$A$1,MATCH(AV366,ITEM_RES!$J:$J,0)-1,0),0)</f>
        <v>211020101</v>
      </c>
      <c r="AV366" s="10" t="s">
        <v>475</v>
      </c>
      <c r="AW366" s="11">
        <v>50</v>
      </c>
      <c r="AZ366" s="11">
        <f ca="1">IFERROR(OFFSET(ITEM_RES!$A$1,MATCH(BA366,ITEM_RES!$J:$J,0)-1,0),0)</f>
        <v>0</v>
      </c>
      <c r="BE366" s="11">
        <f ca="1">IFERROR(OFFSET(ITEM_RES!$A$1,MATCH(BF366,ITEM_RES!$J:$J,0)-1,0),0)</f>
        <v>0</v>
      </c>
      <c r="BJ366" s="11">
        <f ca="1">IFERROR(OFFSET(ITEM_RES!$A$1,MATCH(BK366,ITEM_RES!$J:$J,0)-1,0),0)</f>
        <v>0</v>
      </c>
    </row>
    <row r="367" spans="1:65" x14ac:dyDescent="0.3">
      <c r="A367" s="14">
        <f t="shared" si="112"/>
        <v>111090003</v>
      </c>
      <c r="B367" s="13">
        <v>11</v>
      </c>
      <c r="C367" s="12">
        <f t="shared" si="113"/>
        <v>1</v>
      </c>
      <c r="D367" s="13">
        <v>9</v>
      </c>
      <c r="E367" s="13">
        <v>0</v>
      </c>
      <c r="F367" s="12">
        <f t="shared" si="114"/>
        <v>3</v>
      </c>
      <c r="H367" s="9">
        <v>1</v>
      </c>
      <c r="I367" s="9">
        <v>3</v>
      </c>
      <c r="K367" s="9" t="s">
        <v>379</v>
      </c>
      <c r="L367" s="9">
        <v>1</v>
      </c>
      <c r="M367" s="9">
        <v>15</v>
      </c>
      <c r="R367" s="9" t="s">
        <v>792</v>
      </c>
      <c r="U367" s="9">
        <f ca="1">IFERROR(OFFSET(ITEM_RES!$A$5,MATCH(BUILDING!T367,ITEM_RES!$J$5:$J$229,0)-1,0),0)</f>
        <v>0</v>
      </c>
      <c r="W367" s="86" t="s">
        <v>581</v>
      </c>
      <c r="X367" s="9">
        <f ca="1">IFERROR(OFFSET(ITEM_RES!$A$5,MATCH(BUILDING!W367,ITEM_RES!$J$5:$J$229,0)-1,0),0)</f>
        <v>211020201</v>
      </c>
      <c r="Z367" s="9" t="s">
        <v>559</v>
      </c>
      <c r="AA367" s="9">
        <v>3</v>
      </c>
      <c r="AC367" s="9">
        <v>600</v>
      </c>
      <c r="AE367" s="56">
        <f t="shared" si="119"/>
        <v>315</v>
      </c>
      <c r="AF367" s="10">
        <f t="shared" ref="AF367:AF384" si="121">AE366+AE367</f>
        <v>525</v>
      </c>
      <c r="AH367" s="11">
        <f t="shared" si="118"/>
        <v>15</v>
      </c>
      <c r="AI367" s="10">
        <v>15</v>
      </c>
      <c r="AJ367" s="11">
        <f t="shared" si="115"/>
        <v>15</v>
      </c>
      <c r="AK367" s="10">
        <v>15</v>
      </c>
      <c r="AL367" s="11">
        <f t="shared" si="115"/>
        <v>15</v>
      </c>
      <c r="AM367" s="10">
        <v>15</v>
      </c>
      <c r="AN367" s="56">
        <f t="shared" si="120"/>
        <v>2</v>
      </c>
      <c r="AP367" s="11">
        <f ca="1">IFERROR(OFFSET(ITEM_RES!$A$1,MATCH(AQ367,ITEM_RES!$J:$J,0)-1,0),0)</f>
        <v>211010501</v>
      </c>
      <c r="AQ367" s="10" t="s">
        <v>449</v>
      </c>
      <c r="AR367" s="11">
        <v>75</v>
      </c>
      <c r="AU367" s="11">
        <f ca="1">IFERROR(OFFSET(ITEM_RES!$A$1,MATCH(AV367,ITEM_RES!$J:$J,0)-1,0),0)</f>
        <v>211020101</v>
      </c>
      <c r="AV367" s="10" t="s">
        <v>475</v>
      </c>
      <c r="AW367" s="11">
        <v>75</v>
      </c>
      <c r="AZ367" s="11">
        <f ca="1">IFERROR(OFFSET(ITEM_RES!$A$1,MATCH(BA367,ITEM_RES!$J:$J,0)-1,0),0)</f>
        <v>0</v>
      </c>
      <c r="BE367" s="11">
        <f ca="1">IFERROR(OFFSET(ITEM_RES!$A$1,MATCH(BF367,ITEM_RES!$J:$J,0)-1,0),0)</f>
        <v>0</v>
      </c>
      <c r="BJ367" s="11">
        <f ca="1">IFERROR(OFFSET(ITEM_RES!$A$1,MATCH(BK367,ITEM_RES!$J:$J,0)-1,0),0)</f>
        <v>0</v>
      </c>
    </row>
    <row r="368" spans="1:65" x14ac:dyDescent="0.3">
      <c r="A368" s="14">
        <f t="shared" si="112"/>
        <v>111090004</v>
      </c>
      <c r="B368" s="13">
        <v>11</v>
      </c>
      <c r="C368" s="12">
        <f t="shared" si="113"/>
        <v>1</v>
      </c>
      <c r="D368" s="13">
        <v>9</v>
      </c>
      <c r="E368" s="13">
        <v>0</v>
      </c>
      <c r="F368" s="12">
        <f t="shared" si="114"/>
        <v>4</v>
      </c>
      <c r="H368" s="9">
        <v>1</v>
      </c>
      <c r="I368" s="9">
        <v>4</v>
      </c>
      <c r="K368" s="9" t="s">
        <v>379</v>
      </c>
      <c r="L368" s="9">
        <v>1</v>
      </c>
      <c r="M368" s="9">
        <v>15</v>
      </c>
      <c r="R368" s="9" t="s">
        <v>792</v>
      </c>
      <c r="U368" s="9">
        <f ca="1">IFERROR(OFFSET(ITEM_RES!$A$5,MATCH(BUILDING!T368,ITEM_RES!$J$5:$J$229,0)-1,0),0)</f>
        <v>0</v>
      </c>
      <c r="W368" s="86" t="s">
        <v>581</v>
      </c>
      <c r="X368" s="9">
        <f ca="1">IFERROR(OFFSET(ITEM_RES!$A$5,MATCH(BUILDING!W368,ITEM_RES!$J$5:$J$229,0)-1,0),0)</f>
        <v>211020201</v>
      </c>
      <c r="Z368" s="9" t="s">
        <v>559</v>
      </c>
      <c r="AA368" s="9">
        <v>4</v>
      </c>
      <c r="AC368" s="9">
        <v>1000</v>
      </c>
      <c r="AE368" s="56">
        <f t="shared" si="119"/>
        <v>525</v>
      </c>
      <c r="AF368" s="10">
        <f t="shared" si="121"/>
        <v>840</v>
      </c>
      <c r="AH368" s="11">
        <f t="shared" si="118"/>
        <v>20</v>
      </c>
      <c r="AI368" s="10">
        <v>20</v>
      </c>
      <c r="AJ368" s="11">
        <f t="shared" si="115"/>
        <v>25</v>
      </c>
      <c r="AK368" s="10">
        <v>25</v>
      </c>
      <c r="AL368" s="11">
        <f t="shared" si="115"/>
        <v>25</v>
      </c>
      <c r="AM368" s="10">
        <v>25</v>
      </c>
      <c r="AN368" s="56">
        <f t="shared" si="120"/>
        <v>2</v>
      </c>
      <c r="AP368" s="11">
        <f ca="1">IFERROR(OFFSET(ITEM_RES!$A$1,MATCH(AQ368,ITEM_RES!$J:$J,0)-1,0),0)</f>
        <v>211010501</v>
      </c>
      <c r="AQ368" s="10" t="s">
        <v>449</v>
      </c>
      <c r="AR368" s="11">
        <v>125</v>
      </c>
      <c r="AU368" s="11">
        <f ca="1">IFERROR(OFFSET(ITEM_RES!$A$1,MATCH(AV368,ITEM_RES!$J:$J,0)-1,0),0)</f>
        <v>211020101</v>
      </c>
      <c r="AV368" s="10" t="s">
        <v>475</v>
      </c>
      <c r="AW368" s="11">
        <v>125</v>
      </c>
      <c r="AZ368" s="11">
        <f ca="1">IFERROR(OFFSET(ITEM_RES!$A$1,MATCH(BA368,ITEM_RES!$J:$J,0)-1,0),0)</f>
        <v>0</v>
      </c>
      <c r="BE368" s="11">
        <f ca="1">IFERROR(OFFSET(ITEM_RES!$A$1,MATCH(BF368,ITEM_RES!$J:$J,0)-1,0),0)</f>
        <v>0</v>
      </c>
      <c r="BJ368" s="11">
        <f ca="1">IFERROR(OFFSET(ITEM_RES!$A$1,MATCH(BK368,ITEM_RES!$J:$J,0)-1,0),0)</f>
        <v>0</v>
      </c>
    </row>
    <row r="369" spans="1:62" x14ac:dyDescent="0.3">
      <c r="A369" s="14">
        <f t="shared" si="112"/>
        <v>111090005</v>
      </c>
      <c r="B369" s="13">
        <v>11</v>
      </c>
      <c r="C369" s="12">
        <f t="shared" si="113"/>
        <v>1</v>
      </c>
      <c r="D369" s="13">
        <v>9</v>
      </c>
      <c r="E369" s="13">
        <v>0</v>
      </c>
      <c r="F369" s="12">
        <f t="shared" si="114"/>
        <v>5</v>
      </c>
      <c r="H369" s="9">
        <v>1</v>
      </c>
      <c r="I369" s="9">
        <v>5</v>
      </c>
      <c r="K369" s="9" t="s">
        <v>379</v>
      </c>
      <c r="L369" s="9">
        <v>1</v>
      </c>
      <c r="M369" s="9">
        <v>15</v>
      </c>
      <c r="R369" s="9" t="s">
        <v>792</v>
      </c>
      <c r="U369" s="9">
        <f ca="1">IFERROR(OFFSET(ITEM_RES!$A$5,MATCH(BUILDING!T369,ITEM_RES!$J$5:$J$229,0)-1,0),0)</f>
        <v>0</v>
      </c>
      <c r="W369" s="86" t="s">
        <v>581</v>
      </c>
      <c r="X369" s="9">
        <f ca="1">IFERROR(OFFSET(ITEM_RES!$A$5,MATCH(BUILDING!W369,ITEM_RES!$J$5:$J$229,0)-1,0),0)</f>
        <v>211020201</v>
      </c>
      <c r="Z369" s="9" t="s">
        <v>559</v>
      </c>
      <c r="AA369" s="9">
        <v>5</v>
      </c>
      <c r="AC369" s="9">
        <v>1600</v>
      </c>
      <c r="AE369" s="56">
        <f t="shared" si="119"/>
        <v>840</v>
      </c>
      <c r="AF369" s="10">
        <f t="shared" si="121"/>
        <v>1365</v>
      </c>
      <c r="AH369" s="11">
        <f t="shared" si="118"/>
        <v>25</v>
      </c>
      <c r="AI369" s="10">
        <v>25</v>
      </c>
      <c r="AJ369" s="11">
        <f t="shared" si="115"/>
        <v>40</v>
      </c>
      <c r="AK369" s="10">
        <v>40</v>
      </c>
      <c r="AL369" s="11">
        <f t="shared" si="115"/>
        <v>40</v>
      </c>
      <c r="AM369" s="10">
        <v>40</v>
      </c>
      <c r="AN369" s="56">
        <f t="shared" si="120"/>
        <v>2</v>
      </c>
      <c r="AP369" s="11">
        <f ca="1">IFERROR(OFFSET(ITEM_RES!$A$1,MATCH(AQ369,ITEM_RES!$J:$J,0)-1,0),0)</f>
        <v>211010501</v>
      </c>
      <c r="AQ369" s="10" t="s">
        <v>449</v>
      </c>
      <c r="AR369" s="11">
        <v>200</v>
      </c>
      <c r="AU369" s="11">
        <f ca="1">IFERROR(OFFSET(ITEM_RES!$A$1,MATCH(AV369,ITEM_RES!$J:$J,0)-1,0),0)</f>
        <v>211020101</v>
      </c>
      <c r="AV369" s="10" t="s">
        <v>475</v>
      </c>
      <c r="AW369" s="11">
        <v>200</v>
      </c>
      <c r="AZ369" s="11">
        <f ca="1">IFERROR(OFFSET(ITEM_RES!$A$1,MATCH(BA369,ITEM_RES!$J:$J,0)-1,0),0)</f>
        <v>0</v>
      </c>
      <c r="BE369" s="11">
        <f ca="1">IFERROR(OFFSET(ITEM_RES!$A$1,MATCH(BF369,ITEM_RES!$J:$J,0)-1,0),0)</f>
        <v>0</v>
      </c>
      <c r="BJ369" s="11">
        <f ca="1">IFERROR(OFFSET(ITEM_RES!$A$1,MATCH(BK369,ITEM_RES!$J:$J,0)-1,0),0)</f>
        <v>0</v>
      </c>
    </row>
    <row r="370" spans="1:62" x14ac:dyDescent="0.3">
      <c r="A370" s="14">
        <f t="shared" si="112"/>
        <v>111090006</v>
      </c>
      <c r="B370" s="13">
        <v>11</v>
      </c>
      <c r="C370" s="12">
        <f t="shared" si="113"/>
        <v>1</v>
      </c>
      <c r="D370" s="13">
        <v>9</v>
      </c>
      <c r="E370" s="13">
        <v>0</v>
      </c>
      <c r="F370" s="12">
        <f t="shared" si="114"/>
        <v>6</v>
      </c>
      <c r="H370" s="9">
        <v>1</v>
      </c>
      <c r="I370" s="9">
        <v>6</v>
      </c>
      <c r="K370" s="9" t="s">
        <v>379</v>
      </c>
      <c r="L370" s="9">
        <v>1</v>
      </c>
      <c r="M370" s="9">
        <v>15</v>
      </c>
      <c r="R370" s="9" t="s">
        <v>792</v>
      </c>
      <c r="U370" s="9">
        <f ca="1">IFERROR(OFFSET(ITEM_RES!$A$5,MATCH(BUILDING!T370,ITEM_RES!$J$5:$J$229,0)-1,0),0)</f>
        <v>0</v>
      </c>
      <c r="W370" s="86" t="s">
        <v>581</v>
      </c>
      <c r="X370" s="9">
        <f ca="1">IFERROR(OFFSET(ITEM_RES!$A$5,MATCH(BUILDING!W370,ITEM_RES!$J$5:$J$229,0)-1,0),0)</f>
        <v>211020201</v>
      </c>
      <c r="Z370" s="9" t="s">
        <v>559</v>
      </c>
      <c r="AA370" s="9">
        <v>6</v>
      </c>
      <c r="AC370" s="9">
        <v>2000</v>
      </c>
      <c r="AE370" s="56">
        <f t="shared" si="119"/>
        <v>1050</v>
      </c>
      <c r="AF370" s="10">
        <f t="shared" si="121"/>
        <v>1890</v>
      </c>
      <c r="AH370" s="11">
        <f t="shared" si="118"/>
        <v>30</v>
      </c>
      <c r="AI370" s="10">
        <v>30</v>
      </c>
      <c r="AJ370" s="11">
        <f t="shared" si="115"/>
        <v>50</v>
      </c>
      <c r="AK370" s="10">
        <v>50</v>
      </c>
      <c r="AL370" s="11">
        <f t="shared" si="115"/>
        <v>50</v>
      </c>
      <c r="AM370" s="10">
        <v>50</v>
      </c>
      <c r="AN370" s="56">
        <f t="shared" si="120"/>
        <v>2</v>
      </c>
      <c r="AP370" s="11">
        <f ca="1">IFERROR(OFFSET(ITEM_RES!$A$1,MATCH(AQ370,ITEM_RES!$J:$J,0)-1,0),0)</f>
        <v>211010501</v>
      </c>
      <c r="AQ370" s="10" t="s">
        <v>449</v>
      </c>
      <c r="AR370" s="11">
        <v>250</v>
      </c>
      <c r="AU370" s="11">
        <f ca="1">IFERROR(OFFSET(ITEM_RES!$A$1,MATCH(AV370,ITEM_RES!$J:$J,0)-1,0),0)</f>
        <v>211020101</v>
      </c>
      <c r="AV370" s="10" t="s">
        <v>475</v>
      </c>
      <c r="AW370" s="11">
        <v>250</v>
      </c>
      <c r="AZ370" s="11">
        <f ca="1">IFERROR(OFFSET(ITEM_RES!$A$1,MATCH(BA370,ITEM_RES!$J:$J,0)-1,0),0)</f>
        <v>0</v>
      </c>
      <c r="BE370" s="11">
        <f ca="1">IFERROR(OFFSET(ITEM_RES!$A$1,MATCH(BF370,ITEM_RES!$J:$J,0)-1,0),0)</f>
        <v>0</v>
      </c>
      <c r="BJ370" s="11">
        <f ca="1">IFERROR(OFFSET(ITEM_RES!$A$1,MATCH(BK370,ITEM_RES!$J:$J,0)-1,0),0)</f>
        <v>0</v>
      </c>
    </row>
    <row r="371" spans="1:62" x14ac:dyDescent="0.3">
      <c r="A371" s="14">
        <f t="shared" si="112"/>
        <v>111090007</v>
      </c>
      <c r="B371" s="13">
        <v>11</v>
      </c>
      <c r="C371" s="12">
        <f t="shared" si="113"/>
        <v>1</v>
      </c>
      <c r="D371" s="13">
        <v>9</v>
      </c>
      <c r="E371" s="13">
        <v>0</v>
      </c>
      <c r="F371" s="12">
        <f t="shared" si="114"/>
        <v>7</v>
      </c>
      <c r="H371" s="9">
        <v>1</v>
      </c>
      <c r="I371" s="9">
        <v>7</v>
      </c>
      <c r="K371" s="9" t="s">
        <v>379</v>
      </c>
      <c r="L371" s="9">
        <v>1</v>
      </c>
      <c r="M371" s="9">
        <v>15</v>
      </c>
      <c r="R371" s="9" t="s">
        <v>792</v>
      </c>
      <c r="U371" s="9">
        <f ca="1">IFERROR(OFFSET(ITEM_RES!$A$5,MATCH(BUILDING!T371,ITEM_RES!$J$5:$J$229,0)-1,0),0)</f>
        <v>0</v>
      </c>
      <c r="W371" s="86" t="s">
        <v>581</v>
      </c>
      <c r="X371" s="9">
        <f ca="1">IFERROR(OFFSET(ITEM_RES!$A$5,MATCH(BUILDING!W371,ITEM_RES!$J$5:$J$229,0)-1,0),0)</f>
        <v>211020201</v>
      </c>
      <c r="Z371" s="9" t="s">
        <v>559</v>
      </c>
      <c r="AA371" s="9">
        <v>7</v>
      </c>
      <c r="AC371" s="9">
        <v>4000</v>
      </c>
      <c r="AE371" s="56">
        <f t="shared" si="119"/>
        <v>2100</v>
      </c>
      <c r="AF371" s="10">
        <f t="shared" si="121"/>
        <v>3150</v>
      </c>
      <c r="AH371" s="11">
        <f t="shared" si="118"/>
        <v>35</v>
      </c>
      <c r="AI371" s="10">
        <v>35</v>
      </c>
      <c r="AJ371" s="11">
        <f t="shared" si="115"/>
        <v>100</v>
      </c>
      <c r="AK371" s="10">
        <v>100</v>
      </c>
      <c r="AL371" s="11">
        <f t="shared" si="115"/>
        <v>100</v>
      </c>
      <c r="AM371" s="10">
        <v>100</v>
      </c>
      <c r="AN371" s="56">
        <f t="shared" si="120"/>
        <v>2</v>
      </c>
      <c r="AP371" s="11">
        <f ca="1">IFERROR(OFFSET(ITEM_RES!$A$1,MATCH(AQ371,ITEM_RES!$J:$J,0)-1,0),0)</f>
        <v>211010501</v>
      </c>
      <c r="AQ371" s="10" t="s">
        <v>449</v>
      </c>
      <c r="AR371" s="11">
        <v>500</v>
      </c>
      <c r="AU371" s="11">
        <f ca="1">IFERROR(OFFSET(ITEM_RES!$A$1,MATCH(AV371,ITEM_RES!$J:$J,0)-1,0),0)</f>
        <v>211020101</v>
      </c>
      <c r="AV371" s="10" t="s">
        <v>475</v>
      </c>
      <c r="AW371" s="11">
        <v>500</v>
      </c>
      <c r="AZ371" s="11">
        <f ca="1">IFERROR(OFFSET(ITEM_RES!$A$1,MATCH(BA371,ITEM_RES!$J:$J,0)-1,0),0)</f>
        <v>0</v>
      </c>
      <c r="BE371" s="11">
        <f ca="1">IFERROR(OFFSET(ITEM_RES!$A$1,MATCH(BF371,ITEM_RES!$J:$J,0)-1,0),0)</f>
        <v>0</v>
      </c>
      <c r="BJ371" s="11">
        <f ca="1">IFERROR(OFFSET(ITEM_RES!$A$1,MATCH(BK371,ITEM_RES!$J:$J,0)-1,0),0)</f>
        <v>0</v>
      </c>
    </row>
    <row r="372" spans="1:62" x14ac:dyDescent="0.3">
      <c r="A372" s="14">
        <f t="shared" si="112"/>
        <v>111090008</v>
      </c>
      <c r="B372" s="13">
        <v>11</v>
      </c>
      <c r="C372" s="12">
        <f t="shared" si="113"/>
        <v>1</v>
      </c>
      <c r="D372" s="13">
        <v>9</v>
      </c>
      <c r="E372" s="13">
        <v>0</v>
      </c>
      <c r="F372" s="12">
        <f t="shared" si="114"/>
        <v>8</v>
      </c>
      <c r="H372" s="9">
        <v>1</v>
      </c>
      <c r="I372" s="9">
        <v>8</v>
      </c>
      <c r="K372" s="9" t="s">
        <v>379</v>
      </c>
      <c r="L372" s="9">
        <v>1</v>
      </c>
      <c r="M372" s="9">
        <v>15</v>
      </c>
      <c r="R372" s="9" t="s">
        <v>792</v>
      </c>
      <c r="U372" s="9">
        <f ca="1">IFERROR(OFFSET(ITEM_RES!$A$5,MATCH(BUILDING!T372,ITEM_RES!$J$5:$J$229,0)-1,0),0)</f>
        <v>0</v>
      </c>
      <c r="W372" s="86" t="s">
        <v>581</v>
      </c>
      <c r="X372" s="9">
        <f ca="1">IFERROR(OFFSET(ITEM_RES!$A$5,MATCH(BUILDING!W372,ITEM_RES!$J$5:$J$229,0)-1,0),0)</f>
        <v>211020201</v>
      </c>
      <c r="Z372" s="9" t="s">
        <v>559</v>
      </c>
      <c r="AA372" s="9">
        <v>8</v>
      </c>
      <c r="AC372" s="9">
        <v>4000</v>
      </c>
      <c r="AE372" s="56">
        <f t="shared" si="119"/>
        <v>2100</v>
      </c>
      <c r="AF372" s="10">
        <f t="shared" si="121"/>
        <v>4200</v>
      </c>
      <c r="AH372" s="11">
        <f t="shared" si="118"/>
        <v>40</v>
      </c>
      <c r="AI372" s="10">
        <v>40</v>
      </c>
      <c r="AJ372" s="11">
        <f t="shared" si="115"/>
        <v>100</v>
      </c>
      <c r="AK372" s="10">
        <v>100</v>
      </c>
      <c r="AL372" s="11">
        <f t="shared" si="115"/>
        <v>100</v>
      </c>
      <c r="AM372" s="10">
        <v>100</v>
      </c>
      <c r="AN372" s="56">
        <f t="shared" si="120"/>
        <v>2</v>
      </c>
      <c r="AP372" s="11">
        <f ca="1">IFERROR(OFFSET(ITEM_RES!$A$1,MATCH(AQ372,ITEM_RES!$J:$J,0)-1,0),0)</f>
        <v>211010501</v>
      </c>
      <c r="AQ372" s="10" t="s">
        <v>449</v>
      </c>
      <c r="AR372" s="11">
        <v>500</v>
      </c>
      <c r="AU372" s="11">
        <f ca="1">IFERROR(OFFSET(ITEM_RES!$A$1,MATCH(AV372,ITEM_RES!$J:$J,0)-1,0),0)</f>
        <v>211020101</v>
      </c>
      <c r="AV372" s="10" t="s">
        <v>475</v>
      </c>
      <c r="AW372" s="11">
        <v>500</v>
      </c>
      <c r="AZ372" s="11">
        <f ca="1">IFERROR(OFFSET(ITEM_RES!$A$1,MATCH(BA372,ITEM_RES!$J:$J,0)-1,0),0)</f>
        <v>0</v>
      </c>
      <c r="BE372" s="11">
        <f ca="1">IFERROR(OFFSET(ITEM_RES!$A$1,MATCH(BF372,ITEM_RES!$J:$J,0)-1,0),0)</f>
        <v>0</v>
      </c>
      <c r="BJ372" s="11">
        <f ca="1">IFERROR(OFFSET(ITEM_RES!$A$1,MATCH(BK372,ITEM_RES!$J:$J,0)-1,0),0)</f>
        <v>0</v>
      </c>
    </row>
    <row r="373" spans="1:62" x14ac:dyDescent="0.3">
      <c r="A373" s="14">
        <f t="shared" si="112"/>
        <v>111090009</v>
      </c>
      <c r="B373" s="13">
        <v>11</v>
      </c>
      <c r="C373" s="12">
        <f t="shared" si="113"/>
        <v>1</v>
      </c>
      <c r="D373" s="13">
        <v>9</v>
      </c>
      <c r="E373" s="13">
        <v>0</v>
      </c>
      <c r="F373" s="12">
        <f t="shared" si="114"/>
        <v>9</v>
      </c>
      <c r="H373" s="9">
        <v>1</v>
      </c>
      <c r="I373" s="9">
        <v>9</v>
      </c>
      <c r="K373" s="9" t="s">
        <v>379</v>
      </c>
      <c r="L373" s="9">
        <v>1</v>
      </c>
      <c r="M373" s="9">
        <v>15</v>
      </c>
      <c r="R373" s="9" t="s">
        <v>792</v>
      </c>
      <c r="U373" s="9">
        <f ca="1">IFERROR(OFFSET(ITEM_RES!$A$5,MATCH(BUILDING!T373,ITEM_RES!$J$5:$J$229,0)-1,0),0)</f>
        <v>0</v>
      </c>
      <c r="W373" s="86" t="s">
        <v>581</v>
      </c>
      <c r="X373" s="9">
        <f ca="1">IFERROR(OFFSET(ITEM_RES!$A$5,MATCH(BUILDING!W373,ITEM_RES!$J$5:$J$229,0)-1,0),0)</f>
        <v>211020201</v>
      </c>
      <c r="Z373" s="9" t="s">
        <v>559</v>
      </c>
      <c r="AA373" s="9">
        <v>9</v>
      </c>
      <c r="AC373" s="9">
        <v>6000</v>
      </c>
      <c r="AE373" s="56">
        <f t="shared" si="119"/>
        <v>3150</v>
      </c>
      <c r="AF373" s="10">
        <f t="shared" si="121"/>
        <v>5250</v>
      </c>
      <c r="AH373" s="11">
        <f t="shared" si="118"/>
        <v>45</v>
      </c>
      <c r="AI373" s="10">
        <v>45</v>
      </c>
      <c r="AJ373" s="11">
        <f t="shared" si="115"/>
        <v>150</v>
      </c>
      <c r="AK373" s="10">
        <v>150</v>
      </c>
      <c r="AL373" s="11">
        <f t="shared" si="115"/>
        <v>150</v>
      </c>
      <c r="AM373" s="10">
        <v>150</v>
      </c>
      <c r="AN373" s="56">
        <f t="shared" si="120"/>
        <v>2</v>
      </c>
      <c r="AP373" s="11">
        <f ca="1">IFERROR(OFFSET(ITEM_RES!$A$1,MATCH(AQ373,ITEM_RES!$J:$J,0)-1,0),0)</f>
        <v>211010501</v>
      </c>
      <c r="AQ373" s="10" t="s">
        <v>449</v>
      </c>
      <c r="AR373" s="11">
        <v>750</v>
      </c>
      <c r="AU373" s="11">
        <f ca="1">IFERROR(OFFSET(ITEM_RES!$A$1,MATCH(AV373,ITEM_RES!$J:$J,0)-1,0),0)</f>
        <v>211020101</v>
      </c>
      <c r="AV373" s="10" t="s">
        <v>475</v>
      </c>
      <c r="AW373" s="11">
        <v>750</v>
      </c>
      <c r="AZ373" s="11">
        <f ca="1">IFERROR(OFFSET(ITEM_RES!$A$1,MATCH(BA373,ITEM_RES!$J:$J,0)-1,0),0)</f>
        <v>0</v>
      </c>
      <c r="BE373" s="11">
        <f ca="1">IFERROR(OFFSET(ITEM_RES!$A$1,MATCH(BF373,ITEM_RES!$J:$J,0)-1,0),0)</f>
        <v>0</v>
      </c>
      <c r="BJ373" s="11">
        <f ca="1">IFERROR(OFFSET(ITEM_RES!$A$1,MATCH(BK373,ITEM_RES!$J:$J,0)-1,0),0)</f>
        <v>0</v>
      </c>
    </row>
    <row r="374" spans="1:62" x14ac:dyDescent="0.3">
      <c r="A374" s="14">
        <f t="shared" si="112"/>
        <v>111090010</v>
      </c>
      <c r="B374" s="13">
        <v>11</v>
      </c>
      <c r="C374" s="12">
        <f t="shared" si="113"/>
        <v>1</v>
      </c>
      <c r="D374" s="13">
        <v>9</v>
      </c>
      <c r="E374" s="13">
        <v>0</v>
      </c>
      <c r="F374" s="12">
        <f t="shared" si="114"/>
        <v>10</v>
      </c>
      <c r="H374" s="9">
        <v>1</v>
      </c>
      <c r="I374" s="9">
        <v>10</v>
      </c>
      <c r="K374" s="9" t="s">
        <v>379</v>
      </c>
      <c r="L374" s="9">
        <v>1</v>
      </c>
      <c r="M374" s="9">
        <v>15</v>
      </c>
      <c r="R374" s="9" t="s">
        <v>792</v>
      </c>
      <c r="U374" s="9">
        <f ca="1">IFERROR(OFFSET(ITEM_RES!$A$5,MATCH(BUILDING!T374,ITEM_RES!$J$5:$J$229,0)-1,0),0)</f>
        <v>0</v>
      </c>
      <c r="W374" s="86" t="s">
        <v>581</v>
      </c>
      <c r="X374" s="9">
        <f ca="1">IFERROR(OFFSET(ITEM_RES!$A$5,MATCH(BUILDING!W374,ITEM_RES!$J$5:$J$229,0)-1,0),0)</f>
        <v>211020201</v>
      </c>
      <c r="Z374" s="9" t="s">
        <v>559</v>
      </c>
      <c r="AA374" s="9">
        <v>10</v>
      </c>
      <c r="AC374" s="9">
        <v>8000</v>
      </c>
      <c r="AE374" s="56">
        <f t="shared" si="119"/>
        <v>4200</v>
      </c>
      <c r="AF374" s="10">
        <f t="shared" si="121"/>
        <v>7350</v>
      </c>
      <c r="AH374" s="11">
        <f t="shared" si="118"/>
        <v>50</v>
      </c>
      <c r="AI374" s="10">
        <v>50</v>
      </c>
      <c r="AJ374" s="11">
        <f t="shared" si="115"/>
        <v>200</v>
      </c>
      <c r="AK374" s="10">
        <v>200</v>
      </c>
      <c r="AL374" s="11">
        <f t="shared" si="115"/>
        <v>200</v>
      </c>
      <c r="AM374" s="10">
        <v>200</v>
      </c>
      <c r="AN374" s="56">
        <f t="shared" si="120"/>
        <v>2</v>
      </c>
      <c r="AP374" s="11">
        <f ca="1">IFERROR(OFFSET(ITEM_RES!$A$1,MATCH(AQ374,ITEM_RES!$J:$J,0)-1,0),0)</f>
        <v>211010501</v>
      </c>
      <c r="AQ374" s="10" t="s">
        <v>449</v>
      </c>
      <c r="AR374" s="11">
        <v>1000</v>
      </c>
      <c r="AU374" s="11">
        <f ca="1">IFERROR(OFFSET(ITEM_RES!$A$1,MATCH(AV374,ITEM_RES!$J:$J,0)-1,0),0)</f>
        <v>211020101</v>
      </c>
      <c r="AV374" s="10" t="s">
        <v>475</v>
      </c>
      <c r="AW374" s="11">
        <v>1000</v>
      </c>
      <c r="AZ374" s="11">
        <f ca="1">IFERROR(OFFSET(ITEM_RES!$A$1,MATCH(BA374,ITEM_RES!$J:$J,0)-1,0),0)</f>
        <v>0</v>
      </c>
      <c r="BE374" s="11">
        <f ca="1">IFERROR(OFFSET(ITEM_RES!$A$1,MATCH(BF374,ITEM_RES!$J:$J,0)-1,0),0)</f>
        <v>0</v>
      </c>
      <c r="BJ374" s="11">
        <f ca="1">IFERROR(OFFSET(ITEM_RES!$A$1,MATCH(BK374,ITEM_RES!$J:$J,0)-1,0),0)</f>
        <v>0</v>
      </c>
    </row>
    <row r="375" spans="1:62" x14ac:dyDescent="0.3">
      <c r="A375" s="14">
        <f t="shared" si="112"/>
        <v>111090011</v>
      </c>
      <c r="B375" s="13">
        <v>11</v>
      </c>
      <c r="C375" s="12">
        <f t="shared" si="113"/>
        <v>1</v>
      </c>
      <c r="D375" s="13">
        <v>9</v>
      </c>
      <c r="E375" s="13">
        <v>0</v>
      </c>
      <c r="F375" s="12">
        <f t="shared" si="114"/>
        <v>11</v>
      </c>
      <c r="H375" s="9">
        <v>1</v>
      </c>
      <c r="I375" s="9">
        <v>11</v>
      </c>
      <c r="K375" s="9" t="s">
        <v>379</v>
      </c>
      <c r="L375" s="9">
        <v>1</v>
      </c>
      <c r="M375" s="9">
        <v>15</v>
      </c>
      <c r="R375" s="9" t="s">
        <v>792</v>
      </c>
      <c r="U375" s="9">
        <f ca="1">IFERROR(OFFSET(ITEM_RES!$A$5,MATCH(BUILDING!T375,ITEM_RES!$J$5:$J$229,0)-1,0),0)</f>
        <v>0</v>
      </c>
      <c r="W375" s="86" t="s">
        <v>581</v>
      </c>
      <c r="X375" s="9">
        <f ca="1">IFERROR(OFFSET(ITEM_RES!$A$5,MATCH(BUILDING!W375,ITEM_RES!$J$5:$J$229,0)-1,0),0)</f>
        <v>211020201</v>
      </c>
      <c r="Z375" s="9" t="s">
        <v>559</v>
      </c>
      <c r="AA375" s="9">
        <v>11</v>
      </c>
      <c r="AC375" s="9">
        <v>10000</v>
      </c>
      <c r="AE375" s="56">
        <f t="shared" si="119"/>
        <v>5250</v>
      </c>
      <c r="AF375" s="10">
        <f t="shared" si="121"/>
        <v>9450</v>
      </c>
      <c r="AH375" s="11">
        <f t="shared" si="118"/>
        <v>55</v>
      </c>
      <c r="AI375" s="10">
        <v>55</v>
      </c>
      <c r="AJ375" s="11">
        <f t="shared" si="115"/>
        <v>250</v>
      </c>
      <c r="AK375" s="10">
        <v>250</v>
      </c>
      <c r="AL375" s="11">
        <f t="shared" si="115"/>
        <v>250</v>
      </c>
      <c r="AM375" s="10">
        <v>250</v>
      </c>
      <c r="AN375" s="56">
        <f t="shared" si="120"/>
        <v>2</v>
      </c>
      <c r="AP375" s="11">
        <f ca="1">IFERROR(OFFSET(ITEM_RES!$A$1,MATCH(AQ375,ITEM_RES!$J:$J,0)-1,0),0)</f>
        <v>211010501</v>
      </c>
      <c r="AQ375" s="10" t="s">
        <v>449</v>
      </c>
      <c r="AR375" s="11">
        <v>1250</v>
      </c>
      <c r="AU375" s="11">
        <f ca="1">IFERROR(OFFSET(ITEM_RES!$A$1,MATCH(AV375,ITEM_RES!$J:$J,0)-1,0),0)</f>
        <v>211020101</v>
      </c>
      <c r="AV375" s="10" t="s">
        <v>475</v>
      </c>
      <c r="AW375" s="11">
        <v>1250</v>
      </c>
      <c r="AZ375" s="11">
        <f ca="1">IFERROR(OFFSET(ITEM_RES!$A$1,MATCH(BA375,ITEM_RES!$J:$J,0)-1,0),0)</f>
        <v>0</v>
      </c>
      <c r="BE375" s="11">
        <f ca="1">IFERROR(OFFSET(ITEM_RES!$A$1,MATCH(BF375,ITEM_RES!$J:$J,0)-1,0),0)</f>
        <v>0</v>
      </c>
      <c r="BJ375" s="11">
        <f ca="1">IFERROR(OFFSET(ITEM_RES!$A$1,MATCH(BK375,ITEM_RES!$J:$J,0)-1,0),0)</f>
        <v>0</v>
      </c>
    </row>
    <row r="376" spans="1:62" x14ac:dyDescent="0.3">
      <c r="A376" s="14">
        <f t="shared" si="112"/>
        <v>111090012</v>
      </c>
      <c r="B376" s="13">
        <v>11</v>
      </c>
      <c r="C376" s="12">
        <f t="shared" si="113"/>
        <v>1</v>
      </c>
      <c r="D376" s="13">
        <v>9</v>
      </c>
      <c r="E376" s="13">
        <v>0</v>
      </c>
      <c r="F376" s="12">
        <f t="shared" si="114"/>
        <v>12</v>
      </c>
      <c r="H376" s="9">
        <v>1</v>
      </c>
      <c r="I376" s="9">
        <v>12</v>
      </c>
      <c r="K376" s="9" t="s">
        <v>379</v>
      </c>
      <c r="L376" s="9">
        <v>1</v>
      </c>
      <c r="M376" s="9">
        <v>15</v>
      </c>
      <c r="R376" s="9" t="s">
        <v>792</v>
      </c>
      <c r="U376" s="9">
        <f ca="1">IFERROR(OFFSET(ITEM_RES!$A$5,MATCH(BUILDING!T376,ITEM_RES!$J$5:$J$229,0)-1,0),0)</f>
        <v>0</v>
      </c>
      <c r="W376" s="86" t="s">
        <v>581</v>
      </c>
      <c r="X376" s="9">
        <f ca="1">IFERROR(OFFSET(ITEM_RES!$A$5,MATCH(BUILDING!W376,ITEM_RES!$J$5:$J$229,0)-1,0),0)</f>
        <v>211020201</v>
      </c>
      <c r="Z376" s="9" t="s">
        <v>559</v>
      </c>
      <c r="AA376" s="9">
        <v>12</v>
      </c>
      <c r="AC376" s="9">
        <v>12000</v>
      </c>
      <c r="AE376" s="56">
        <f t="shared" si="119"/>
        <v>6300</v>
      </c>
      <c r="AF376" s="10">
        <f t="shared" si="121"/>
        <v>11550</v>
      </c>
      <c r="AH376" s="11">
        <f t="shared" si="118"/>
        <v>60</v>
      </c>
      <c r="AI376" s="10">
        <v>60</v>
      </c>
      <c r="AJ376" s="11">
        <f t="shared" si="115"/>
        <v>300</v>
      </c>
      <c r="AK376" s="10">
        <v>300</v>
      </c>
      <c r="AL376" s="11">
        <f t="shared" si="115"/>
        <v>300</v>
      </c>
      <c r="AM376" s="10">
        <v>300</v>
      </c>
      <c r="AN376" s="56">
        <f t="shared" si="120"/>
        <v>2</v>
      </c>
      <c r="AP376" s="11">
        <f ca="1">IFERROR(OFFSET(ITEM_RES!$A$1,MATCH(AQ376,ITEM_RES!$J:$J,0)-1,0),0)</f>
        <v>211010501</v>
      </c>
      <c r="AQ376" s="10" t="s">
        <v>449</v>
      </c>
      <c r="AR376" s="11">
        <v>1500</v>
      </c>
      <c r="AU376" s="11">
        <f ca="1">IFERROR(OFFSET(ITEM_RES!$A$1,MATCH(AV376,ITEM_RES!$J:$J,0)-1,0),0)</f>
        <v>211020101</v>
      </c>
      <c r="AV376" s="10" t="s">
        <v>475</v>
      </c>
      <c r="AW376" s="11">
        <v>1500</v>
      </c>
      <c r="AZ376" s="11">
        <f ca="1">IFERROR(OFFSET(ITEM_RES!$A$1,MATCH(BA376,ITEM_RES!$J:$J,0)-1,0),0)</f>
        <v>0</v>
      </c>
      <c r="BE376" s="11">
        <f ca="1">IFERROR(OFFSET(ITEM_RES!$A$1,MATCH(BF376,ITEM_RES!$J:$J,0)-1,0),0)</f>
        <v>0</v>
      </c>
      <c r="BJ376" s="11">
        <f ca="1">IFERROR(OFFSET(ITEM_RES!$A$1,MATCH(BK376,ITEM_RES!$J:$J,0)-1,0),0)</f>
        <v>0</v>
      </c>
    </row>
    <row r="377" spans="1:62" x14ac:dyDescent="0.3">
      <c r="A377" s="14">
        <f t="shared" si="112"/>
        <v>111090013</v>
      </c>
      <c r="B377" s="13">
        <v>11</v>
      </c>
      <c r="C377" s="12">
        <f t="shared" si="113"/>
        <v>1</v>
      </c>
      <c r="D377" s="13">
        <v>9</v>
      </c>
      <c r="E377" s="13">
        <v>0</v>
      </c>
      <c r="F377" s="12">
        <f t="shared" si="114"/>
        <v>13</v>
      </c>
      <c r="H377" s="9">
        <v>1</v>
      </c>
      <c r="I377" s="9">
        <v>13</v>
      </c>
      <c r="K377" s="9" t="s">
        <v>379</v>
      </c>
      <c r="L377" s="9">
        <v>1</v>
      </c>
      <c r="M377" s="9">
        <v>15</v>
      </c>
      <c r="R377" s="9" t="s">
        <v>792</v>
      </c>
      <c r="U377" s="9">
        <f ca="1">IFERROR(OFFSET(ITEM_RES!$A$5,MATCH(BUILDING!T377,ITEM_RES!$J$5:$J$229,0)-1,0),0)</f>
        <v>0</v>
      </c>
      <c r="W377" s="86" t="s">
        <v>581</v>
      </c>
      <c r="X377" s="9">
        <f ca="1">IFERROR(OFFSET(ITEM_RES!$A$5,MATCH(BUILDING!W377,ITEM_RES!$J$5:$J$229,0)-1,0),0)</f>
        <v>211020201</v>
      </c>
      <c r="Z377" s="9" t="s">
        <v>559</v>
      </c>
      <c r="AA377" s="9">
        <v>13</v>
      </c>
      <c r="AC377" s="9">
        <v>14000</v>
      </c>
      <c r="AE377" s="56">
        <f t="shared" si="119"/>
        <v>7350</v>
      </c>
      <c r="AF377" s="10">
        <f t="shared" si="121"/>
        <v>13650</v>
      </c>
      <c r="AH377" s="11">
        <f t="shared" si="118"/>
        <v>65</v>
      </c>
      <c r="AI377" s="10">
        <v>65</v>
      </c>
      <c r="AJ377" s="11">
        <f t="shared" si="115"/>
        <v>350</v>
      </c>
      <c r="AK377" s="10">
        <v>350</v>
      </c>
      <c r="AL377" s="11">
        <f t="shared" si="115"/>
        <v>350</v>
      </c>
      <c r="AM377" s="10">
        <v>350</v>
      </c>
      <c r="AN377" s="56">
        <f t="shared" si="120"/>
        <v>2</v>
      </c>
      <c r="AP377" s="11">
        <f ca="1">IFERROR(OFFSET(ITEM_RES!$A$1,MATCH(AQ377,ITEM_RES!$J:$J,0)-1,0),0)</f>
        <v>211010501</v>
      </c>
      <c r="AQ377" s="10" t="s">
        <v>449</v>
      </c>
      <c r="AR377" s="11">
        <v>1750</v>
      </c>
      <c r="AU377" s="11">
        <f ca="1">IFERROR(OFFSET(ITEM_RES!$A$1,MATCH(AV377,ITEM_RES!$J:$J,0)-1,0),0)</f>
        <v>211020101</v>
      </c>
      <c r="AV377" s="10" t="s">
        <v>475</v>
      </c>
      <c r="AW377" s="11">
        <v>1750</v>
      </c>
      <c r="AZ377" s="11">
        <f ca="1">IFERROR(OFFSET(ITEM_RES!$A$1,MATCH(BA377,ITEM_RES!$J:$J,0)-1,0),0)</f>
        <v>0</v>
      </c>
      <c r="BE377" s="11">
        <f ca="1">IFERROR(OFFSET(ITEM_RES!$A$1,MATCH(BF377,ITEM_RES!$J:$J,0)-1,0),0)</f>
        <v>0</v>
      </c>
      <c r="BJ377" s="11">
        <f ca="1">IFERROR(OFFSET(ITEM_RES!$A$1,MATCH(BK377,ITEM_RES!$J:$J,0)-1,0),0)</f>
        <v>0</v>
      </c>
    </row>
    <row r="378" spans="1:62" x14ac:dyDescent="0.3">
      <c r="A378" s="14">
        <f t="shared" si="112"/>
        <v>111090014</v>
      </c>
      <c r="B378" s="13">
        <v>11</v>
      </c>
      <c r="C378" s="12">
        <f t="shared" si="113"/>
        <v>1</v>
      </c>
      <c r="D378" s="13">
        <v>9</v>
      </c>
      <c r="E378" s="13">
        <v>0</v>
      </c>
      <c r="F378" s="12">
        <f t="shared" si="114"/>
        <v>14</v>
      </c>
      <c r="H378" s="9">
        <v>1</v>
      </c>
      <c r="I378" s="9">
        <v>14</v>
      </c>
      <c r="K378" s="9" t="s">
        <v>379</v>
      </c>
      <c r="L378" s="9">
        <v>1</v>
      </c>
      <c r="M378" s="9">
        <v>15</v>
      </c>
      <c r="R378" s="9" t="s">
        <v>792</v>
      </c>
      <c r="U378" s="9">
        <f ca="1">IFERROR(OFFSET(ITEM_RES!$A$5,MATCH(BUILDING!T378,ITEM_RES!$J$5:$J$229,0)-1,0),0)</f>
        <v>0</v>
      </c>
      <c r="W378" s="86" t="s">
        <v>581</v>
      </c>
      <c r="X378" s="9">
        <f ca="1">IFERROR(OFFSET(ITEM_RES!$A$5,MATCH(BUILDING!W378,ITEM_RES!$J$5:$J$229,0)-1,0),0)</f>
        <v>211020201</v>
      </c>
      <c r="Z378" s="9" t="s">
        <v>559</v>
      </c>
      <c r="AA378" s="9">
        <v>14</v>
      </c>
      <c r="AC378" s="9">
        <v>18000</v>
      </c>
      <c r="AE378" s="56">
        <f t="shared" si="119"/>
        <v>9450</v>
      </c>
      <c r="AF378" s="10">
        <f t="shared" si="121"/>
        <v>16800</v>
      </c>
      <c r="AH378" s="11">
        <f t="shared" si="118"/>
        <v>70</v>
      </c>
      <c r="AI378" s="10">
        <v>70</v>
      </c>
      <c r="AJ378" s="11">
        <f t="shared" si="115"/>
        <v>450</v>
      </c>
      <c r="AK378" s="10">
        <v>450</v>
      </c>
      <c r="AL378" s="11">
        <f t="shared" si="115"/>
        <v>450</v>
      </c>
      <c r="AM378" s="10">
        <v>450</v>
      </c>
      <c r="AN378" s="56">
        <f t="shared" si="120"/>
        <v>2</v>
      </c>
      <c r="AP378" s="11">
        <f ca="1">IFERROR(OFFSET(ITEM_RES!$A$1,MATCH(AQ378,ITEM_RES!$J:$J,0)-1,0),0)</f>
        <v>211010501</v>
      </c>
      <c r="AQ378" s="10" t="s">
        <v>449</v>
      </c>
      <c r="AR378" s="11">
        <v>2250</v>
      </c>
      <c r="AU378" s="11">
        <f ca="1">IFERROR(OFFSET(ITEM_RES!$A$1,MATCH(AV378,ITEM_RES!$J:$J,0)-1,0),0)</f>
        <v>211020101</v>
      </c>
      <c r="AV378" s="10" t="s">
        <v>475</v>
      </c>
      <c r="AW378" s="11">
        <v>2250</v>
      </c>
      <c r="AZ378" s="11">
        <f ca="1">IFERROR(OFFSET(ITEM_RES!$A$1,MATCH(BA378,ITEM_RES!$J:$J,0)-1,0),0)</f>
        <v>0</v>
      </c>
      <c r="BE378" s="11">
        <f ca="1">IFERROR(OFFSET(ITEM_RES!$A$1,MATCH(BF378,ITEM_RES!$J:$J,0)-1,0),0)</f>
        <v>0</v>
      </c>
      <c r="BJ378" s="11">
        <f ca="1">IFERROR(OFFSET(ITEM_RES!$A$1,MATCH(BK378,ITEM_RES!$J:$J,0)-1,0),0)</f>
        <v>0</v>
      </c>
    </row>
    <row r="379" spans="1:62" x14ac:dyDescent="0.3">
      <c r="A379" s="14">
        <f t="shared" si="112"/>
        <v>111090015</v>
      </c>
      <c r="B379" s="13">
        <v>11</v>
      </c>
      <c r="C379" s="12">
        <f t="shared" si="113"/>
        <v>1</v>
      </c>
      <c r="D379" s="13">
        <v>9</v>
      </c>
      <c r="E379" s="13">
        <v>0</v>
      </c>
      <c r="F379" s="12">
        <f t="shared" si="114"/>
        <v>15</v>
      </c>
      <c r="H379" s="9">
        <v>1</v>
      </c>
      <c r="I379" s="9">
        <v>15</v>
      </c>
      <c r="K379" s="9" t="s">
        <v>379</v>
      </c>
      <c r="L379" s="9">
        <v>1</v>
      </c>
      <c r="M379" s="9">
        <v>15</v>
      </c>
      <c r="R379" s="9" t="s">
        <v>792</v>
      </c>
      <c r="U379" s="9">
        <f ca="1">IFERROR(OFFSET(ITEM_RES!$A$5,MATCH(BUILDING!T379,ITEM_RES!$J$5:$J$229,0)-1,0),0)</f>
        <v>0</v>
      </c>
      <c r="W379" s="86" t="s">
        <v>581</v>
      </c>
      <c r="X379" s="9">
        <f ca="1">IFERROR(OFFSET(ITEM_RES!$A$5,MATCH(BUILDING!W379,ITEM_RES!$J$5:$J$229,0)-1,0),0)</f>
        <v>211020201</v>
      </c>
      <c r="Z379" s="9" t="s">
        <v>559</v>
      </c>
      <c r="AA379" s="9">
        <v>15</v>
      </c>
      <c r="AC379" s="9">
        <v>22000</v>
      </c>
      <c r="AE379" s="56">
        <f t="shared" si="119"/>
        <v>11550</v>
      </c>
      <c r="AF379" s="10">
        <f t="shared" si="121"/>
        <v>21000</v>
      </c>
      <c r="AH379" s="11">
        <f t="shared" si="118"/>
        <v>75</v>
      </c>
      <c r="AI379" s="10">
        <v>75</v>
      </c>
      <c r="AJ379" s="11">
        <f t="shared" si="115"/>
        <v>550</v>
      </c>
      <c r="AK379" s="10">
        <v>550</v>
      </c>
      <c r="AL379" s="11">
        <f t="shared" si="115"/>
        <v>550</v>
      </c>
      <c r="AM379" s="10">
        <v>550</v>
      </c>
      <c r="AN379" s="56">
        <f t="shared" si="120"/>
        <v>2</v>
      </c>
      <c r="AP379" s="11">
        <f ca="1">IFERROR(OFFSET(ITEM_RES!$A$1,MATCH(AQ379,ITEM_RES!$J:$J,0)-1,0),0)</f>
        <v>211010601</v>
      </c>
      <c r="AQ379" s="10" t="s">
        <v>466</v>
      </c>
      <c r="AR379" s="11">
        <v>2750</v>
      </c>
      <c r="AU379" s="11">
        <f ca="1">IFERROR(OFFSET(ITEM_RES!$A$1,MATCH(AV379,ITEM_RES!$J:$J,0)-1,0),0)</f>
        <v>211020101</v>
      </c>
      <c r="AV379" s="10" t="s">
        <v>475</v>
      </c>
      <c r="AW379" s="11">
        <v>2750</v>
      </c>
      <c r="AZ379" s="11">
        <f ca="1">IFERROR(OFFSET(ITEM_RES!$A$1,MATCH(BA379,ITEM_RES!$J:$J,0)-1,0),0)</f>
        <v>0</v>
      </c>
      <c r="BE379" s="11">
        <f ca="1">IFERROR(OFFSET(ITEM_RES!$A$1,MATCH(BF379,ITEM_RES!$J:$J,0)-1,0),0)</f>
        <v>0</v>
      </c>
      <c r="BJ379" s="11">
        <f ca="1">IFERROR(OFFSET(ITEM_RES!$A$1,MATCH(BK379,ITEM_RES!$J:$J,0)-1,0),0)</f>
        <v>0</v>
      </c>
    </row>
    <row r="380" spans="1:62" x14ac:dyDescent="0.3">
      <c r="A380" s="14">
        <f t="shared" si="112"/>
        <v>111090016</v>
      </c>
      <c r="B380" s="13">
        <v>11</v>
      </c>
      <c r="C380" s="12">
        <f t="shared" si="113"/>
        <v>1</v>
      </c>
      <c r="D380" s="13">
        <v>9</v>
      </c>
      <c r="E380" s="13">
        <v>0</v>
      </c>
      <c r="F380" s="12">
        <f t="shared" si="114"/>
        <v>16</v>
      </c>
      <c r="H380" s="9">
        <v>1</v>
      </c>
      <c r="I380" s="9">
        <v>16</v>
      </c>
      <c r="K380" s="9" t="s">
        <v>379</v>
      </c>
      <c r="L380" s="9">
        <v>0</v>
      </c>
      <c r="M380" s="9">
        <v>15</v>
      </c>
      <c r="R380" s="9" t="s">
        <v>792</v>
      </c>
      <c r="U380" s="9">
        <f ca="1">IFERROR(OFFSET(ITEM_RES!$A$5,MATCH(BUILDING!T380,ITEM_RES!$J$5:$J$229,0)-1,0),0)</f>
        <v>0</v>
      </c>
      <c r="W380" s="86" t="s">
        <v>581</v>
      </c>
      <c r="X380" s="9">
        <f ca="1">IFERROR(OFFSET(ITEM_RES!$A$5,MATCH(BUILDING!W380,ITEM_RES!$J$5:$J$229,0)-1,0),0)</f>
        <v>211020201</v>
      </c>
      <c r="Z380" s="9" t="s">
        <v>559</v>
      </c>
      <c r="AA380" s="9">
        <v>16</v>
      </c>
      <c r="AC380" s="9">
        <v>28000</v>
      </c>
      <c r="AE380" s="56">
        <f t="shared" si="119"/>
        <v>14700</v>
      </c>
      <c r="AF380" s="10">
        <f t="shared" si="121"/>
        <v>26250</v>
      </c>
      <c r="AH380" s="11">
        <f t="shared" si="118"/>
        <v>80</v>
      </c>
      <c r="AI380" s="10">
        <v>80</v>
      </c>
      <c r="AJ380" s="11">
        <f t="shared" si="115"/>
        <v>700</v>
      </c>
      <c r="AK380" s="10">
        <v>700</v>
      </c>
      <c r="AL380" s="11">
        <f t="shared" si="115"/>
        <v>700</v>
      </c>
      <c r="AM380" s="10">
        <v>700</v>
      </c>
      <c r="AN380" s="56">
        <f t="shared" si="120"/>
        <v>2</v>
      </c>
      <c r="AP380" s="11">
        <f ca="1">IFERROR(OFFSET(ITEM_RES!$A$1,MATCH(AQ380,ITEM_RES!$J:$J,0)-1,0),0)</f>
        <v>211010601</v>
      </c>
      <c r="AQ380" s="10" t="s">
        <v>466</v>
      </c>
      <c r="AR380" s="11">
        <v>3500</v>
      </c>
      <c r="AU380" s="11">
        <f ca="1">IFERROR(OFFSET(ITEM_RES!$A$1,MATCH(AV380,ITEM_RES!$J:$J,0)-1,0),0)</f>
        <v>211020101</v>
      </c>
      <c r="AV380" s="10" t="s">
        <v>475</v>
      </c>
      <c r="AW380" s="11">
        <v>3500</v>
      </c>
      <c r="AZ380" s="11">
        <f ca="1">IFERROR(OFFSET(ITEM_RES!$A$1,MATCH(BA380,ITEM_RES!$J:$J,0)-1,0),0)</f>
        <v>0</v>
      </c>
      <c r="BE380" s="11">
        <f ca="1">IFERROR(OFFSET(ITEM_RES!$A$1,MATCH(BF380,ITEM_RES!$J:$J,0)-1,0),0)</f>
        <v>0</v>
      </c>
      <c r="BJ380" s="11">
        <f ca="1">IFERROR(OFFSET(ITEM_RES!$A$1,MATCH(BK380,ITEM_RES!$J:$J,0)-1,0),0)</f>
        <v>0</v>
      </c>
    </row>
    <row r="381" spans="1:62" x14ac:dyDescent="0.3">
      <c r="A381" s="14">
        <f t="shared" si="112"/>
        <v>111090017</v>
      </c>
      <c r="B381" s="13">
        <v>11</v>
      </c>
      <c r="C381" s="12">
        <f t="shared" si="113"/>
        <v>1</v>
      </c>
      <c r="D381" s="13">
        <v>9</v>
      </c>
      <c r="E381" s="13">
        <v>0</v>
      </c>
      <c r="F381" s="12">
        <f t="shared" si="114"/>
        <v>17</v>
      </c>
      <c r="H381" s="9">
        <v>1</v>
      </c>
      <c r="I381" s="9">
        <v>17</v>
      </c>
      <c r="K381" s="9" t="s">
        <v>379</v>
      </c>
      <c r="L381" s="9">
        <v>0</v>
      </c>
      <c r="M381" s="9">
        <v>15</v>
      </c>
      <c r="R381" s="9" t="s">
        <v>792</v>
      </c>
      <c r="U381" s="9">
        <f ca="1">IFERROR(OFFSET(ITEM_RES!$A$5,MATCH(BUILDING!T381,ITEM_RES!$J$5:$J$229,0)-1,0),0)</f>
        <v>0</v>
      </c>
      <c r="W381" s="86" t="s">
        <v>581</v>
      </c>
      <c r="X381" s="9">
        <f ca="1">IFERROR(OFFSET(ITEM_RES!$A$5,MATCH(BUILDING!W381,ITEM_RES!$J$5:$J$229,0)-1,0),0)</f>
        <v>211020201</v>
      </c>
      <c r="Z381" s="9" t="s">
        <v>559</v>
      </c>
      <c r="AA381" s="9">
        <v>17</v>
      </c>
      <c r="AC381" s="9">
        <v>34000</v>
      </c>
      <c r="AE381" s="56">
        <f t="shared" si="119"/>
        <v>17850</v>
      </c>
      <c r="AF381" s="10">
        <f t="shared" si="121"/>
        <v>32550</v>
      </c>
      <c r="AH381" s="11">
        <f t="shared" si="118"/>
        <v>85</v>
      </c>
      <c r="AI381" s="10">
        <v>85</v>
      </c>
      <c r="AJ381" s="11">
        <f t="shared" si="115"/>
        <v>850</v>
      </c>
      <c r="AK381" s="10">
        <v>850</v>
      </c>
      <c r="AL381" s="11">
        <f t="shared" si="115"/>
        <v>850</v>
      </c>
      <c r="AM381" s="10">
        <v>850</v>
      </c>
      <c r="AN381" s="56">
        <f t="shared" si="120"/>
        <v>2</v>
      </c>
      <c r="AP381" s="11">
        <f ca="1">IFERROR(OFFSET(ITEM_RES!$A$1,MATCH(AQ381,ITEM_RES!$J:$J,0)-1,0),0)</f>
        <v>211010601</v>
      </c>
      <c r="AQ381" s="10" t="s">
        <v>466</v>
      </c>
      <c r="AR381" s="11">
        <v>4250</v>
      </c>
      <c r="AU381" s="11">
        <f ca="1">IFERROR(OFFSET(ITEM_RES!$A$1,MATCH(AV381,ITEM_RES!$J:$J,0)-1,0),0)</f>
        <v>211020101</v>
      </c>
      <c r="AV381" s="10" t="s">
        <v>475</v>
      </c>
      <c r="AW381" s="11">
        <v>4250</v>
      </c>
      <c r="AZ381" s="11">
        <f ca="1">IFERROR(OFFSET(ITEM_RES!$A$1,MATCH(BA381,ITEM_RES!$J:$J,0)-1,0),0)</f>
        <v>0</v>
      </c>
      <c r="BE381" s="11">
        <f ca="1">IFERROR(OFFSET(ITEM_RES!$A$1,MATCH(BF381,ITEM_RES!$J:$J,0)-1,0),0)</f>
        <v>0</v>
      </c>
      <c r="BJ381" s="11">
        <f ca="1">IFERROR(OFFSET(ITEM_RES!$A$1,MATCH(BK381,ITEM_RES!$J:$J,0)-1,0),0)</f>
        <v>0</v>
      </c>
    </row>
    <row r="382" spans="1:62" x14ac:dyDescent="0.3">
      <c r="A382" s="14">
        <f t="shared" si="112"/>
        <v>111090018</v>
      </c>
      <c r="B382" s="13">
        <v>11</v>
      </c>
      <c r="C382" s="12">
        <f t="shared" si="113"/>
        <v>1</v>
      </c>
      <c r="D382" s="13">
        <v>9</v>
      </c>
      <c r="E382" s="13">
        <v>0</v>
      </c>
      <c r="F382" s="12">
        <f t="shared" si="114"/>
        <v>18</v>
      </c>
      <c r="H382" s="9">
        <v>1</v>
      </c>
      <c r="I382" s="9">
        <v>18</v>
      </c>
      <c r="K382" s="9" t="s">
        <v>379</v>
      </c>
      <c r="L382" s="9">
        <v>0</v>
      </c>
      <c r="M382" s="9">
        <v>15</v>
      </c>
      <c r="R382" s="9" t="s">
        <v>792</v>
      </c>
      <c r="U382" s="9">
        <f ca="1">IFERROR(OFFSET(ITEM_RES!$A$5,MATCH(BUILDING!T382,ITEM_RES!$J$5:$J$229,0)-1,0),0)</f>
        <v>0</v>
      </c>
      <c r="W382" s="86" t="s">
        <v>581</v>
      </c>
      <c r="X382" s="9">
        <f ca="1">IFERROR(OFFSET(ITEM_RES!$A$5,MATCH(BUILDING!W382,ITEM_RES!$J$5:$J$229,0)-1,0),0)</f>
        <v>211020201</v>
      </c>
      <c r="Z382" s="9" t="s">
        <v>559</v>
      </c>
      <c r="AA382" s="9">
        <v>18</v>
      </c>
      <c r="AC382" s="9">
        <v>42000</v>
      </c>
      <c r="AE382" s="56">
        <f t="shared" si="119"/>
        <v>22050</v>
      </c>
      <c r="AF382" s="10">
        <f t="shared" si="121"/>
        <v>39900</v>
      </c>
      <c r="AH382" s="11">
        <f t="shared" si="118"/>
        <v>90</v>
      </c>
      <c r="AI382" s="10">
        <v>90</v>
      </c>
      <c r="AJ382" s="11">
        <f t="shared" si="115"/>
        <v>1050</v>
      </c>
      <c r="AK382" s="10">
        <v>1050</v>
      </c>
      <c r="AL382" s="11">
        <f t="shared" si="115"/>
        <v>1050</v>
      </c>
      <c r="AM382" s="10">
        <v>1050</v>
      </c>
      <c r="AN382" s="56">
        <f t="shared" si="120"/>
        <v>2</v>
      </c>
      <c r="AP382" s="11">
        <f ca="1">IFERROR(OFFSET(ITEM_RES!$A$1,MATCH(AQ382,ITEM_RES!$J:$J,0)-1,0),0)</f>
        <v>211010601</v>
      </c>
      <c r="AQ382" s="10" t="s">
        <v>466</v>
      </c>
      <c r="AR382" s="11">
        <v>5250</v>
      </c>
      <c r="AU382" s="11">
        <f ca="1">IFERROR(OFFSET(ITEM_RES!$A$1,MATCH(AV382,ITEM_RES!$J:$J,0)-1,0),0)</f>
        <v>211020101</v>
      </c>
      <c r="AV382" s="10" t="s">
        <v>475</v>
      </c>
      <c r="AW382" s="11">
        <v>5250</v>
      </c>
      <c r="AZ382" s="11">
        <f ca="1">IFERROR(OFFSET(ITEM_RES!$A$1,MATCH(BA382,ITEM_RES!$J:$J,0)-1,0),0)</f>
        <v>0</v>
      </c>
      <c r="BE382" s="11">
        <f ca="1">IFERROR(OFFSET(ITEM_RES!$A$1,MATCH(BF382,ITEM_RES!$J:$J,0)-1,0),0)</f>
        <v>0</v>
      </c>
      <c r="BJ382" s="11">
        <f ca="1">IFERROR(OFFSET(ITEM_RES!$A$1,MATCH(BK382,ITEM_RES!$J:$J,0)-1,0),0)</f>
        <v>0</v>
      </c>
    </row>
    <row r="383" spans="1:62" x14ac:dyDescent="0.3">
      <c r="A383" s="14">
        <f t="shared" si="112"/>
        <v>111090019</v>
      </c>
      <c r="B383" s="13">
        <v>11</v>
      </c>
      <c r="C383" s="12">
        <f t="shared" si="113"/>
        <v>1</v>
      </c>
      <c r="D383" s="13">
        <v>9</v>
      </c>
      <c r="E383" s="13">
        <v>0</v>
      </c>
      <c r="F383" s="12">
        <f t="shared" si="114"/>
        <v>19</v>
      </c>
      <c r="H383" s="9">
        <v>1</v>
      </c>
      <c r="I383" s="9">
        <v>19</v>
      </c>
      <c r="K383" s="9" t="s">
        <v>379</v>
      </c>
      <c r="L383" s="9">
        <v>0</v>
      </c>
      <c r="M383" s="9">
        <v>15</v>
      </c>
      <c r="R383" s="9" t="s">
        <v>792</v>
      </c>
      <c r="U383" s="9">
        <f ca="1">IFERROR(OFFSET(ITEM_RES!$A$5,MATCH(BUILDING!T383,ITEM_RES!$J$5:$J$229,0)-1,0),0)</f>
        <v>0</v>
      </c>
      <c r="W383" s="86" t="s">
        <v>581</v>
      </c>
      <c r="X383" s="9">
        <f ca="1">IFERROR(OFFSET(ITEM_RES!$A$5,MATCH(BUILDING!W383,ITEM_RES!$J$5:$J$229,0)-1,0),0)</f>
        <v>211020201</v>
      </c>
      <c r="Z383" s="9" t="s">
        <v>559</v>
      </c>
      <c r="AA383" s="9">
        <v>19</v>
      </c>
      <c r="AC383" s="9">
        <v>50000</v>
      </c>
      <c r="AE383" s="56">
        <f t="shared" si="119"/>
        <v>26250</v>
      </c>
      <c r="AF383" s="10">
        <f t="shared" si="121"/>
        <v>48300</v>
      </c>
      <c r="AH383" s="11">
        <f t="shared" si="118"/>
        <v>95</v>
      </c>
      <c r="AI383" s="10">
        <v>95</v>
      </c>
      <c r="AJ383" s="11">
        <f t="shared" si="115"/>
        <v>1250</v>
      </c>
      <c r="AK383" s="10">
        <v>1250</v>
      </c>
      <c r="AL383" s="11">
        <f t="shared" si="115"/>
        <v>1250</v>
      </c>
      <c r="AM383" s="10">
        <v>1250</v>
      </c>
      <c r="AN383" s="56">
        <f t="shared" si="120"/>
        <v>2</v>
      </c>
      <c r="AP383" s="11">
        <f ca="1">IFERROR(OFFSET(ITEM_RES!$A$1,MATCH(AQ383,ITEM_RES!$J:$J,0)-1,0),0)</f>
        <v>211010601</v>
      </c>
      <c r="AQ383" s="10" t="s">
        <v>466</v>
      </c>
      <c r="AR383" s="11">
        <v>6250</v>
      </c>
      <c r="AU383" s="11">
        <f ca="1">IFERROR(OFFSET(ITEM_RES!$A$1,MATCH(AV383,ITEM_RES!$J:$J,0)-1,0),0)</f>
        <v>211020101</v>
      </c>
      <c r="AV383" s="10" t="s">
        <v>475</v>
      </c>
      <c r="AW383" s="11">
        <v>6250</v>
      </c>
      <c r="AZ383" s="11">
        <f ca="1">IFERROR(OFFSET(ITEM_RES!$A$1,MATCH(BA383,ITEM_RES!$J:$J,0)-1,0),0)</f>
        <v>0</v>
      </c>
      <c r="BE383" s="11">
        <f ca="1">IFERROR(OFFSET(ITEM_RES!$A$1,MATCH(BF383,ITEM_RES!$J:$J,0)-1,0),0)</f>
        <v>0</v>
      </c>
      <c r="BJ383" s="11">
        <f ca="1">IFERROR(OFFSET(ITEM_RES!$A$1,MATCH(BK383,ITEM_RES!$J:$J,0)-1,0),0)</f>
        <v>0</v>
      </c>
    </row>
    <row r="384" spans="1:62" ht="17.25" thickBot="1" x14ac:dyDescent="0.35">
      <c r="A384" s="14">
        <f t="shared" si="112"/>
        <v>111090020</v>
      </c>
      <c r="B384" s="13">
        <v>11</v>
      </c>
      <c r="C384" s="12">
        <f t="shared" si="113"/>
        <v>1</v>
      </c>
      <c r="D384" s="13">
        <v>9</v>
      </c>
      <c r="E384" s="13">
        <v>0</v>
      </c>
      <c r="F384" s="12">
        <f t="shared" si="114"/>
        <v>20</v>
      </c>
      <c r="H384" s="9">
        <v>1</v>
      </c>
      <c r="I384" s="9">
        <v>20</v>
      </c>
      <c r="K384" s="9" t="s">
        <v>379</v>
      </c>
      <c r="L384" s="9">
        <v>0</v>
      </c>
      <c r="M384" s="9">
        <v>15</v>
      </c>
      <c r="R384" s="9" t="s">
        <v>792</v>
      </c>
      <c r="U384" s="9">
        <f ca="1">IFERROR(OFFSET(ITEM_RES!$A$5,MATCH(BUILDING!T384,ITEM_RES!$J$5:$J$229,0)-1,0),0)</f>
        <v>0</v>
      </c>
      <c r="W384" s="86" t="s">
        <v>581</v>
      </c>
      <c r="X384" s="9">
        <f ca="1">IFERROR(OFFSET(ITEM_RES!$A$5,MATCH(BUILDING!W384,ITEM_RES!$J$5:$J$229,0)-1,0),0)</f>
        <v>211020201</v>
      </c>
      <c r="Z384" s="9" t="s">
        <v>559</v>
      </c>
      <c r="AA384" s="9">
        <v>20</v>
      </c>
      <c r="AC384" s="9">
        <v>60000</v>
      </c>
      <c r="AE384" s="56">
        <f t="shared" si="119"/>
        <v>31500</v>
      </c>
      <c r="AF384" s="10">
        <f t="shared" si="121"/>
        <v>57750</v>
      </c>
      <c r="AH384" s="11">
        <f t="shared" si="118"/>
        <v>100</v>
      </c>
      <c r="AI384" s="10">
        <v>100</v>
      </c>
      <c r="AJ384" s="11">
        <f t="shared" si="115"/>
        <v>1500</v>
      </c>
      <c r="AK384" s="10">
        <v>1500</v>
      </c>
      <c r="AL384" s="11">
        <f t="shared" si="115"/>
        <v>1500</v>
      </c>
      <c r="AM384" s="10">
        <v>1500</v>
      </c>
      <c r="AN384" s="56">
        <f t="shared" si="120"/>
        <v>2</v>
      </c>
      <c r="AP384" s="11">
        <f ca="1">IFERROR(OFFSET(ITEM_RES!$A$1,MATCH(AQ384,ITEM_RES!$J:$J,0)-1,0),0)</f>
        <v>211010601</v>
      </c>
      <c r="AQ384" s="10" t="s">
        <v>466</v>
      </c>
      <c r="AR384" s="11">
        <v>7500</v>
      </c>
      <c r="AU384" s="11">
        <f ca="1">IFERROR(OFFSET(ITEM_RES!$A$1,MATCH(AV384,ITEM_RES!$J:$J,0)-1,0),0)</f>
        <v>211020101</v>
      </c>
      <c r="AV384" s="10" t="s">
        <v>475</v>
      </c>
      <c r="AW384" s="11">
        <v>7500</v>
      </c>
      <c r="AZ384" s="11">
        <f ca="1">IFERROR(OFFSET(ITEM_RES!$A$1,MATCH(BA384,ITEM_RES!$J:$J,0)-1,0),0)</f>
        <v>0</v>
      </c>
      <c r="BE384" s="11">
        <f ca="1">IFERROR(OFFSET(ITEM_RES!$A$1,MATCH(BF384,ITEM_RES!$J:$J,0)-1,0),0)</f>
        <v>0</v>
      </c>
      <c r="BJ384" s="11">
        <f ca="1">IFERROR(OFFSET(ITEM_RES!$A$1,MATCH(BK384,ITEM_RES!$J:$J,0)-1,0),0)</f>
        <v>0</v>
      </c>
    </row>
    <row r="385" spans="1:65" s="15" customFormat="1" x14ac:dyDescent="0.3">
      <c r="A385" s="21">
        <f t="shared" ref="A385:A428" si="122">B385*10000000+C385*1000000+D385*10000+E385*100+F385</f>
        <v>112060001</v>
      </c>
      <c r="B385" s="20">
        <v>11</v>
      </c>
      <c r="C385" s="19">
        <f t="shared" ref="C385:C428" si="123">H385</f>
        <v>2</v>
      </c>
      <c r="D385" s="20">
        <v>6</v>
      </c>
      <c r="E385" s="20">
        <v>0</v>
      </c>
      <c r="F385" s="19">
        <f t="shared" ref="F385:F428" si="124">I385</f>
        <v>1</v>
      </c>
      <c r="G385" s="80"/>
      <c r="H385" s="16">
        <v>2</v>
      </c>
      <c r="I385" s="16">
        <v>1</v>
      </c>
      <c r="J385" s="80"/>
      <c r="K385" s="16" t="s">
        <v>443</v>
      </c>
      <c r="L385" s="16">
        <v>1</v>
      </c>
      <c r="M385" s="16">
        <v>15</v>
      </c>
      <c r="N385" s="16"/>
      <c r="O385" s="17"/>
      <c r="P385" s="17"/>
      <c r="Q385" s="18"/>
      <c r="R385" s="16" t="s">
        <v>791</v>
      </c>
      <c r="S385" s="80"/>
      <c r="T385" s="88" t="s">
        <v>587</v>
      </c>
      <c r="U385" s="16">
        <f ca="1">IFERROR(OFFSET(ITEM_RES!$A$5,MATCH(BUILDING!T385,ITEM_RES!$J$5:$J$229,0)-1,0),0)</f>
        <v>211020401</v>
      </c>
      <c r="V385" s="18">
        <v>1</v>
      </c>
      <c r="W385" s="88" t="s">
        <v>582</v>
      </c>
      <c r="X385" s="16">
        <f ca="1">IFERROR(OFFSET(ITEM_RES!$A$5,MATCH(BUILDING!W385,ITEM_RES!$J$5:$J$229,0)-1,0),0)</f>
        <v>211020501</v>
      </c>
      <c r="Y385" s="80"/>
      <c r="Z385" s="16" t="s">
        <v>560</v>
      </c>
      <c r="AA385" s="16">
        <v>1</v>
      </c>
      <c r="AB385" s="80"/>
      <c r="AC385" s="16">
        <v>0</v>
      </c>
      <c r="AD385" s="80"/>
      <c r="AE385" s="57">
        <f t="shared" si="119"/>
        <v>605</v>
      </c>
      <c r="AF385" s="17">
        <f>AE385</f>
        <v>605</v>
      </c>
      <c r="AG385" s="80"/>
      <c r="AH385" s="18">
        <f t="shared" si="118"/>
        <v>5</v>
      </c>
      <c r="AI385" s="17">
        <v>5</v>
      </c>
      <c r="AJ385" s="18">
        <f t="shared" ref="AJ385:AL429" si="125">ROUND(AK385,0)</f>
        <v>5</v>
      </c>
      <c r="AK385" s="17">
        <v>5</v>
      </c>
      <c r="AL385" s="18">
        <f t="shared" si="125"/>
        <v>5</v>
      </c>
      <c r="AM385" s="17">
        <v>5</v>
      </c>
      <c r="AN385" s="57">
        <f t="shared" si="120"/>
        <v>3</v>
      </c>
      <c r="AO385" s="18"/>
      <c r="AP385" s="18">
        <f ca="1">IFERROR(OFFSET(ITEM_RES!$A$1,MATCH(AQ385,ITEM_RES!$J:$J,0)-1,0),0)</f>
        <v>211020401</v>
      </c>
      <c r="AQ385" s="17" t="s">
        <v>459</v>
      </c>
      <c r="AR385" s="18">
        <v>25</v>
      </c>
      <c r="AS385" s="17"/>
      <c r="AT385" s="18"/>
      <c r="AU385" s="18">
        <f ca="1">IFERROR(OFFSET(ITEM_RES!$A$1,MATCH(AV385,ITEM_RES!$J:$J,0)-1,0),0)</f>
        <v>211020801</v>
      </c>
      <c r="AV385" s="17" t="s">
        <v>460</v>
      </c>
      <c r="AW385" s="18">
        <v>25</v>
      </c>
      <c r="AX385" s="17"/>
      <c r="AY385" s="18"/>
      <c r="AZ385" s="18">
        <f ca="1">IFERROR(OFFSET(ITEM_RES!$A$1,MATCH(BA385,ITEM_RES!$J:$J,0)-1,0),0)</f>
        <v>213010101</v>
      </c>
      <c r="BA385" s="17" t="s">
        <v>481</v>
      </c>
      <c r="BB385" s="18">
        <v>1</v>
      </c>
      <c r="BC385" s="17"/>
      <c r="BD385" s="18"/>
      <c r="BE385" s="18">
        <f ca="1">IFERROR(OFFSET(ITEM_RES!$A$1,MATCH(BF385,ITEM_RES!$J:$J,0)-1,0),0)</f>
        <v>0</v>
      </c>
      <c r="BF385" s="17"/>
      <c r="BG385" s="18"/>
      <c r="BH385" s="17"/>
      <c r="BI385" s="18"/>
      <c r="BJ385" s="18">
        <f ca="1">IFERROR(OFFSET(ITEM_RES!$A$1,MATCH(BK385,ITEM_RES!$J:$J,0)-1,0),0)</f>
        <v>0</v>
      </c>
      <c r="BK385" s="17"/>
      <c r="BL385" s="18"/>
      <c r="BM385" s="17"/>
    </row>
    <row r="386" spans="1:65" x14ac:dyDescent="0.3">
      <c r="A386" s="14">
        <f t="shared" si="122"/>
        <v>112060002</v>
      </c>
      <c r="B386" s="13">
        <v>11</v>
      </c>
      <c r="C386" s="12">
        <f t="shared" si="123"/>
        <v>2</v>
      </c>
      <c r="D386" s="13">
        <v>6</v>
      </c>
      <c r="E386" s="13">
        <v>0</v>
      </c>
      <c r="F386" s="12">
        <f t="shared" si="124"/>
        <v>2</v>
      </c>
      <c r="H386" s="9">
        <v>2</v>
      </c>
      <c r="I386" s="9">
        <v>2</v>
      </c>
      <c r="K386" s="9" t="s">
        <v>443</v>
      </c>
      <c r="L386" s="9">
        <v>1</v>
      </c>
      <c r="M386" s="9">
        <v>15</v>
      </c>
      <c r="R386" s="9" t="s">
        <v>791</v>
      </c>
      <c r="T386" s="86" t="s">
        <v>587</v>
      </c>
      <c r="U386" s="9">
        <f ca="1">IFERROR(OFFSET(ITEM_RES!$A$5,MATCH(BUILDING!T386,ITEM_RES!$J$5:$J$229,0)-1,0),0)</f>
        <v>211020401</v>
      </c>
      <c r="V386" s="11">
        <v>1</v>
      </c>
      <c r="W386" s="86" t="s">
        <v>582</v>
      </c>
      <c r="X386" s="9">
        <f ca="1">IFERROR(OFFSET(ITEM_RES!$A$5,MATCH(BUILDING!W386,ITEM_RES!$J$5:$J$229,0)-1,0),0)</f>
        <v>211020501</v>
      </c>
      <c r="Z386" s="9" t="s">
        <v>560</v>
      </c>
      <c r="AA386" s="9">
        <v>2</v>
      </c>
      <c r="AC386" s="9">
        <v>200</v>
      </c>
      <c r="AE386" s="56">
        <f t="shared" si="119"/>
        <v>210</v>
      </c>
      <c r="AF386" s="10">
        <f>AE385+AE386</f>
        <v>815</v>
      </c>
      <c r="AH386" s="11">
        <f t="shared" si="118"/>
        <v>10</v>
      </c>
      <c r="AI386" s="10">
        <v>10</v>
      </c>
      <c r="AJ386" s="11">
        <f t="shared" si="125"/>
        <v>10</v>
      </c>
      <c r="AK386" s="10">
        <v>10</v>
      </c>
      <c r="AL386" s="11">
        <f t="shared" si="125"/>
        <v>10</v>
      </c>
      <c r="AM386" s="10">
        <v>10</v>
      </c>
      <c r="AN386" s="56">
        <f t="shared" si="120"/>
        <v>2</v>
      </c>
      <c r="AP386" s="11">
        <f ca="1">IFERROR(OFFSET(ITEM_RES!$A$1,MATCH(AQ386,ITEM_RES!$J:$J,0)-1,0),0)</f>
        <v>211020401</v>
      </c>
      <c r="AQ386" s="10" t="s">
        <v>459</v>
      </c>
      <c r="AR386" s="11">
        <v>50</v>
      </c>
      <c r="AU386" s="11">
        <f ca="1">IFERROR(OFFSET(ITEM_RES!$A$1,MATCH(AV386,ITEM_RES!$J:$J,0)-1,0),0)</f>
        <v>211020801</v>
      </c>
      <c r="AV386" s="10" t="s">
        <v>460</v>
      </c>
      <c r="AW386" s="11">
        <v>50</v>
      </c>
      <c r="AZ386" s="11">
        <f ca="1">IFERROR(OFFSET(ITEM_RES!$A$1,MATCH(BA386,ITEM_RES!$J:$J,0)-1,0),0)</f>
        <v>0</v>
      </c>
      <c r="BE386" s="11">
        <f ca="1">IFERROR(OFFSET(ITEM_RES!$A$1,MATCH(BF386,ITEM_RES!$J:$J,0)-1,0),0)</f>
        <v>0</v>
      </c>
      <c r="BJ386" s="11">
        <f ca="1">IFERROR(OFFSET(ITEM_RES!$A$1,MATCH(BK386,ITEM_RES!$J:$J,0)-1,0),0)</f>
        <v>0</v>
      </c>
    </row>
    <row r="387" spans="1:65" x14ac:dyDescent="0.3">
      <c r="A387" s="14">
        <f t="shared" si="122"/>
        <v>112060003</v>
      </c>
      <c r="B387" s="13">
        <v>11</v>
      </c>
      <c r="C387" s="12">
        <f t="shared" si="123"/>
        <v>2</v>
      </c>
      <c r="D387" s="13">
        <v>6</v>
      </c>
      <c r="E387" s="13">
        <v>0</v>
      </c>
      <c r="F387" s="12">
        <f t="shared" si="124"/>
        <v>3</v>
      </c>
      <c r="H387" s="9">
        <v>2</v>
      </c>
      <c r="I387" s="9">
        <v>3</v>
      </c>
      <c r="K387" s="9" t="s">
        <v>443</v>
      </c>
      <c r="L387" s="9">
        <v>1</v>
      </c>
      <c r="M387" s="9">
        <v>15</v>
      </c>
      <c r="R387" s="9" t="s">
        <v>791</v>
      </c>
      <c r="T387" s="86" t="s">
        <v>587</v>
      </c>
      <c r="U387" s="9">
        <f ca="1">IFERROR(OFFSET(ITEM_RES!$A$5,MATCH(BUILDING!T387,ITEM_RES!$J$5:$J$229,0)-1,0),0)</f>
        <v>211020401</v>
      </c>
      <c r="V387" s="11">
        <v>1</v>
      </c>
      <c r="W387" s="86" t="s">
        <v>582</v>
      </c>
      <c r="X387" s="9">
        <f ca="1">IFERROR(OFFSET(ITEM_RES!$A$5,MATCH(BUILDING!W387,ITEM_RES!$J$5:$J$229,0)-1,0),0)</f>
        <v>211020501</v>
      </c>
      <c r="Z387" s="9" t="s">
        <v>560</v>
      </c>
      <c r="AA387" s="9">
        <v>3</v>
      </c>
      <c r="AC387" s="9">
        <v>600</v>
      </c>
      <c r="AE387" s="56">
        <f t="shared" si="119"/>
        <v>315</v>
      </c>
      <c r="AF387" s="10">
        <f t="shared" ref="AF387:AF404" si="126">AE386+AE387</f>
        <v>525</v>
      </c>
      <c r="AH387" s="11">
        <f t="shared" si="118"/>
        <v>15</v>
      </c>
      <c r="AI387" s="10">
        <v>15</v>
      </c>
      <c r="AJ387" s="11">
        <f t="shared" si="125"/>
        <v>15</v>
      </c>
      <c r="AK387" s="10">
        <v>15</v>
      </c>
      <c r="AL387" s="11">
        <f t="shared" si="125"/>
        <v>15</v>
      </c>
      <c r="AM387" s="10">
        <v>15</v>
      </c>
      <c r="AN387" s="56">
        <f t="shared" si="120"/>
        <v>2</v>
      </c>
      <c r="AP387" s="11">
        <f ca="1">IFERROR(OFFSET(ITEM_RES!$A$1,MATCH(AQ387,ITEM_RES!$J:$J,0)-1,0),0)</f>
        <v>211020401</v>
      </c>
      <c r="AQ387" s="10" t="s">
        <v>459</v>
      </c>
      <c r="AR387" s="11">
        <v>75</v>
      </c>
      <c r="AU387" s="11">
        <f ca="1">IFERROR(OFFSET(ITEM_RES!$A$1,MATCH(AV387,ITEM_RES!$J:$J,0)-1,0),0)</f>
        <v>211020801</v>
      </c>
      <c r="AV387" s="10" t="s">
        <v>460</v>
      </c>
      <c r="AW387" s="11">
        <v>75</v>
      </c>
      <c r="AZ387" s="11">
        <f ca="1">IFERROR(OFFSET(ITEM_RES!$A$1,MATCH(BA387,ITEM_RES!$J:$J,0)-1,0),0)</f>
        <v>0</v>
      </c>
      <c r="BE387" s="11">
        <f ca="1">IFERROR(OFFSET(ITEM_RES!$A$1,MATCH(BF387,ITEM_RES!$J:$J,0)-1,0),0)</f>
        <v>0</v>
      </c>
      <c r="BJ387" s="11">
        <f ca="1">IFERROR(OFFSET(ITEM_RES!$A$1,MATCH(BK387,ITEM_RES!$J:$J,0)-1,0),0)</f>
        <v>0</v>
      </c>
    </row>
    <row r="388" spans="1:65" x14ac:dyDescent="0.3">
      <c r="A388" s="14">
        <f t="shared" si="122"/>
        <v>112060004</v>
      </c>
      <c r="B388" s="13">
        <v>11</v>
      </c>
      <c r="C388" s="12">
        <f t="shared" si="123"/>
        <v>2</v>
      </c>
      <c r="D388" s="13">
        <v>6</v>
      </c>
      <c r="E388" s="13">
        <v>0</v>
      </c>
      <c r="F388" s="12">
        <f t="shared" si="124"/>
        <v>4</v>
      </c>
      <c r="H388" s="9">
        <v>2</v>
      </c>
      <c r="I388" s="9">
        <v>4</v>
      </c>
      <c r="K388" s="9" t="s">
        <v>443</v>
      </c>
      <c r="L388" s="9">
        <v>1</v>
      </c>
      <c r="M388" s="9">
        <v>15</v>
      </c>
      <c r="R388" s="9" t="s">
        <v>791</v>
      </c>
      <c r="T388" s="86" t="s">
        <v>587</v>
      </c>
      <c r="U388" s="9">
        <f ca="1">IFERROR(OFFSET(ITEM_RES!$A$5,MATCH(BUILDING!T388,ITEM_RES!$J$5:$J$229,0)-1,0),0)</f>
        <v>211020401</v>
      </c>
      <c r="V388" s="11">
        <v>1</v>
      </c>
      <c r="W388" s="86" t="s">
        <v>582</v>
      </c>
      <c r="X388" s="9">
        <f ca="1">IFERROR(OFFSET(ITEM_RES!$A$5,MATCH(BUILDING!W388,ITEM_RES!$J$5:$J$229,0)-1,0),0)</f>
        <v>211020501</v>
      </c>
      <c r="Z388" s="9" t="s">
        <v>560</v>
      </c>
      <c r="AA388" s="9">
        <v>4</v>
      </c>
      <c r="AC388" s="9">
        <v>1000</v>
      </c>
      <c r="AE388" s="56">
        <f t="shared" si="119"/>
        <v>525</v>
      </c>
      <c r="AF388" s="10">
        <f t="shared" si="126"/>
        <v>840</v>
      </c>
      <c r="AH388" s="11">
        <f t="shared" si="118"/>
        <v>20</v>
      </c>
      <c r="AI388" s="10">
        <v>20</v>
      </c>
      <c r="AJ388" s="11">
        <f t="shared" si="125"/>
        <v>25</v>
      </c>
      <c r="AK388" s="10">
        <v>25</v>
      </c>
      <c r="AL388" s="11">
        <f t="shared" si="125"/>
        <v>25</v>
      </c>
      <c r="AM388" s="10">
        <v>25</v>
      </c>
      <c r="AN388" s="56">
        <f t="shared" si="120"/>
        <v>2</v>
      </c>
      <c r="AP388" s="11">
        <f ca="1">IFERROR(OFFSET(ITEM_RES!$A$1,MATCH(AQ388,ITEM_RES!$J:$J,0)-1,0),0)</f>
        <v>211020401</v>
      </c>
      <c r="AQ388" s="10" t="s">
        <v>459</v>
      </c>
      <c r="AR388" s="11">
        <v>125</v>
      </c>
      <c r="AU388" s="11">
        <f ca="1">IFERROR(OFFSET(ITEM_RES!$A$1,MATCH(AV388,ITEM_RES!$J:$J,0)-1,0),0)</f>
        <v>211020801</v>
      </c>
      <c r="AV388" s="10" t="s">
        <v>460</v>
      </c>
      <c r="AW388" s="11">
        <v>125</v>
      </c>
      <c r="AZ388" s="11">
        <f ca="1">IFERROR(OFFSET(ITEM_RES!$A$1,MATCH(BA388,ITEM_RES!$J:$J,0)-1,0),0)</f>
        <v>0</v>
      </c>
      <c r="BE388" s="11">
        <f ca="1">IFERROR(OFFSET(ITEM_RES!$A$1,MATCH(BF388,ITEM_RES!$J:$J,0)-1,0),0)</f>
        <v>0</v>
      </c>
      <c r="BJ388" s="11">
        <f ca="1">IFERROR(OFFSET(ITEM_RES!$A$1,MATCH(BK388,ITEM_RES!$J:$J,0)-1,0),0)</f>
        <v>0</v>
      </c>
    </row>
    <row r="389" spans="1:65" x14ac:dyDescent="0.3">
      <c r="A389" s="14">
        <f t="shared" si="122"/>
        <v>112060005</v>
      </c>
      <c r="B389" s="13">
        <v>11</v>
      </c>
      <c r="C389" s="12">
        <f t="shared" si="123"/>
        <v>2</v>
      </c>
      <c r="D389" s="13">
        <v>6</v>
      </c>
      <c r="E389" s="13">
        <v>0</v>
      </c>
      <c r="F389" s="12">
        <f t="shared" si="124"/>
        <v>5</v>
      </c>
      <c r="H389" s="9">
        <v>2</v>
      </c>
      <c r="I389" s="9">
        <v>5</v>
      </c>
      <c r="K389" s="9" t="s">
        <v>443</v>
      </c>
      <c r="L389" s="9">
        <v>1</v>
      </c>
      <c r="M389" s="9">
        <v>15</v>
      </c>
      <c r="R389" s="9" t="s">
        <v>791</v>
      </c>
      <c r="T389" s="86" t="s">
        <v>587</v>
      </c>
      <c r="U389" s="9">
        <f ca="1">IFERROR(OFFSET(ITEM_RES!$A$5,MATCH(BUILDING!T389,ITEM_RES!$J$5:$J$229,0)-1,0),0)</f>
        <v>211020401</v>
      </c>
      <c r="V389" s="11">
        <v>1</v>
      </c>
      <c r="W389" s="86" t="s">
        <v>582</v>
      </c>
      <c r="X389" s="9">
        <f ca="1">IFERROR(OFFSET(ITEM_RES!$A$5,MATCH(BUILDING!W389,ITEM_RES!$J$5:$J$229,0)-1,0),0)</f>
        <v>211020501</v>
      </c>
      <c r="Z389" s="9" t="s">
        <v>560</v>
      </c>
      <c r="AA389" s="9">
        <v>5</v>
      </c>
      <c r="AC389" s="9">
        <v>1600</v>
      </c>
      <c r="AE389" s="56">
        <f t="shared" si="119"/>
        <v>840</v>
      </c>
      <c r="AF389" s="10">
        <f t="shared" si="126"/>
        <v>1365</v>
      </c>
      <c r="AH389" s="11">
        <f t="shared" si="118"/>
        <v>25</v>
      </c>
      <c r="AI389" s="10">
        <v>25</v>
      </c>
      <c r="AJ389" s="11">
        <f t="shared" si="125"/>
        <v>40</v>
      </c>
      <c r="AK389" s="10">
        <v>40</v>
      </c>
      <c r="AL389" s="11">
        <f t="shared" si="125"/>
        <v>40</v>
      </c>
      <c r="AM389" s="10">
        <v>40</v>
      </c>
      <c r="AN389" s="56">
        <f t="shared" si="120"/>
        <v>2</v>
      </c>
      <c r="AP389" s="11">
        <f ca="1">IFERROR(OFFSET(ITEM_RES!$A$1,MATCH(AQ389,ITEM_RES!$J:$J,0)-1,0),0)</f>
        <v>211020401</v>
      </c>
      <c r="AQ389" s="10" t="s">
        <v>459</v>
      </c>
      <c r="AR389" s="11">
        <v>200</v>
      </c>
      <c r="AU389" s="11">
        <f ca="1">IFERROR(OFFSET(ITEM_RES!$A$1,MATCH(AV389,ITEM_RES!$J:$J,0)-1,0),0)</f>
        <v>211020801</v>
      </c>
      <c r="AV389" s="10" t="s">
        <v>460</v>
      </c>
      <c r="AW389" s="11">
        <v>200</v>
      </c>
      <c r="AZ389" s="11">
        <f ca="1">IFERROR(OFFSET(ITEM_RES!$A$1,MATCH(BA389,ITEM_RES!$J:$J,0)-1,0),0)</f>
        <v>0</v>
      </c>
      <c r="BE389" s="11">
        <f ca="1">IFERROR(OFFSET(ITEM_RES!$A$1,MATCH(BF389,ITEM_RES!$J:$J,0)-1,0),0)</f>
        <v>0</v>
      </c>
      <c r="BJ389" s="11">
        <f ca="1">IFERROR(OFFSET(ITEM_RES!$A$1,MATCH(BK389,ITEM_RES!$J:$J,0)-1,0),0)</f>
        <v>0</v>
      </c>
    </row>
    <row r="390" spans="1:65" x14ac:dyDescent="0.3">
      <c r="A390" s="14">
        <f t="shared" si="122"/>
        <v>112060006</v>
      </c>
      <c r="B390" s="13">
        <v>11</v>
      </c>
      <c r="C390" s="12">
        <f t="shared" si="123"/>
        <v>2</v>
      </c>
      <c r="D390" s="13">
        <v>6</v>
      </c>
      <c r="E390" s="13">
        <v>0</v>
      </c>
      <c r="F390" s="12">
        <f t="shared" si="124"/>
        <v>6</v>
      </c>
      <c r="H390" s="9">
        <v>2</v>
      </c>
      <c r="I390" s="9">
        <v>6</v>
      </c>
      <c r="K390" s="9" t="s">
        <v>443</v>
      </c>
      <c r="L390" s="9">
        <v>1</v>
      </c>
      <c r="M390" s="9">
        <v>15</v>
      </c>
      <c r="R390" s="9" t="s">
        <v>791</v>
      </c>
      <c r="T390" s="86" t="s">
        <v>587</v>
      </c>
      <c r="U390" s="9">
        <f ca="1">IFERROR(OFFSET(ITEM_RES!$A$5,MATCH(BUILDING!T390,ITEM_RES!$J$5:$J$229,0)-1,0),0)</f>
        <v>211020401</v>
      </c>
      <c r="V390" s="11">
        <v>1</v>
      </c>
      <c r="W390" s="86" t="s">
        <v>582</v>
      </c>
      <c r="X390" s="9">
        <f ca="1">IFERROR(OFFSET(ITEM_RES!$A$5,MATCH(BUILDING!W390,ITEM_RES!$J$5:$J$229,0)-1,0),0)</f>
        <v>211020501</v>
      </c>
      <c r="Z390" s="9" t="s">
        <v>560</v>
      </c>
      <c r="AA390" s="9">
        <v>6</v>
      </c>
      <c r="AC390" s="9">
        <v>2000</v>
      </c>
      <c r="AE390" s="56">
        <f t="shared" si="119"/>
        <v>1550</v>
      </c>
      <c r="AF390" s="10">
        <f t="shared" si="126"/>
        <v>2390</v>
      </c>
      <c r="AH390" s="11">
        <f t="shared" si="118"/>
        <v>30</v>
      </c>
      <c r="AI390" s="10">
        <v>30</v>
      </c>
      <c r="AJ390" s="11">
        <f t="shared" si="125"/>
        <v>50</v>
      </c>
      <c r="AK390" s="10">
        <v>50</v>
      </c>
      <c r="AL390" s="11">
        <f t="shared" si="125"/>
        <v>50</v>
      </c>
      <c r="AM390" s="10">
        <v>50</v>
      </c>
      <c r="AN390" s="56">
        <f t="shared" si="120"/>
        <v>3</v>
      </c>
      <c r="AP390" s="11">
        <f ca="1">IFERROR(OFFSET(ITEM_RES!$A$1,MATCH(AQ390,ITEM_RES!$J:$J,0)-1,0),0)</f>
        <v>211020401</v>
      </c>
      <c r="AQ390" s="10" t="s">
        <v>459</v>
      </c>
      <c r="AR390" s="11">
        <v>250</v>
      </c>
      <c r="AU390" s="11">
        <f ca="1">IFERROR(OFFSET(ITEM_RES!$A$1,MATCH(AV390,ITEM_RES!$J:$J,0)-1,0),0)</f>
        <v>211020801</v>
      </c>
      <c r="AV390" s="10" t="s">
        <v>460</v>
      </c>
      <c r="AW390" s="11">
        <v>250</v>
      </c>
      <c r="AZ390" s="11">
        <f ca="1">IFERROR(OFFSET(ITEM_RES!$A$1,MATCH(BA390,ITEM_RES!$J:$J,0)-1,0),0)</f>
        <v>0</v>
      </c>
      <c r="BE390" s="11">
        <f ca="1">IFERROR(OFFSET(ITEM_RES!$A$1,MATCH(BF390,ITEM_RES!$J:$J,0)-1,0),0)</f>
        <v>213011301</v>
      </c>
      <c r="BF390" s="10" t="s">
        <v>498</v>
      </c>
      <c r="BG390" s="11">
        <v>1</v>
      </c>
      <c r="BJ390" s="11">
        <f ca="1">IFERROR(OFFSET(ITEM_RES!$A$1,MATCH(BK390,ITEM_RES!$J:$J,0)-1,0),0)</f>
        <v>0</v>
      </c>
    </row>
    <row r="391" spans="1:65" x14ac:dyDescent="0.3">
      <c r="A391" s="14">
        <f t="shared" si="122"/>
        <v>112060007</v>
      </c>
      <c r="B391" s="13">
        <v>11</v>
      </c>
      <c r="C391" s="12">
        <f t="shared" si="123"/>
        <v>2</v>
      </c>
      <c r="D391" s="13">
        <v>6</v>
      </c>
      <c r="E391" s="13">
        <v>0</v>
      </c>
      <c r="F391" s="12">
        <f t="shared" si="124"/>
        <v>7</v>
      </c>
      <c r="H391" s="9">
        <v>2</v>
      </c>
      <c r="I391" s="9">
        <v>7</v>
      </c>
      <c r="K391" s="9" t="s">
        <v>443</v>
      </c>
      <c r="L391" s="9">
        <v>1</v>
      </c>
      <c r="M391" s="9">
        <v>15</v>
      </c>
      <c r="R391" s="9" t="s">
        <v>791</v>
      </c>
      <c r="T391" s="86" t="s">
        <v>587</v>
      </c>
      <c r="U391" s="9">
        <f ca="1">IFERROR(OFFSET(ITEM_RES!$A$5,MATCH(BUILDING!T391,ITEM_RES!$J$5:$J$229,0)-1,0),0)</f>
        <v>211020401</v>
      </c>
      <c r="V391" s="11">
        <v>1</v>
      </c>
      <c r="W391" s="86" t="s">
        <v>582</v>
      </c>
      <c r="X391" s="9">
        <f ca="1">IFERROR(OFFSET(ITEM_RES!$A$5,MATCH(BUILDING!W391,ITEM_RES!$J$5:$J$229,0)-1,0),0)</f>
        <v>211020501</v>
      </c>
      <c r="Z391" s="9" t="s">
        <v>560</v>
      </c>
      <c r="AA391" s="9">
        <v>7</v>
      </c>
      <c r="AC391" s="9">
        <v>4000</v>
      </c>
      <c r="AE391" s="56">
        <f t="shared" si="119"/>
        <v>2100</v>
      </c>
      <c r="AF391" s="10">
        <f t="shared" si="126"/>
        <v>3650</v>
      </c>
      <c r="AH391" s="11">
        <f t="shared" si="118"/>
        <v>35</v>
      </c>
      <c r="AI391" s="10">
        <v>35</v>
      </c>
      <c r="AJ391" s="11">
        <f t="shared" si="125"/>
        <v>100</v>
      </c>
      <c r="AK391" s="10">
        <v>100</v>
      </c>
      <c r="AL391" s="11">
        <f t="shared" si="125"/>
        <v>100</v>
      </c>
      <c r="AM391" s="10">
        <v>100</v>
      </c>
      <c r="AN391" s="56">
        <f t="shared" si="120"/>
        <v>2</v>
      </c>
      <c r="AP391" s="11">
        <f ca="1">IFERROR(OFFSET(ITEM_RES!$A$1,MATCH(AQ391,ITEM_RES!$J:$J,0)-1,0),0)</f>
        <v>211020401</v>
      </c>
      <c r="AQ391" s="10" t="s">
        <v>459</v>
      </c>
      <c r="AR391" s="11">
        <v>500</v>
      </c>
      <c r="AU391" s="11">
        <f ca="1">IFERROR(OFFSET(ITEM_RES!$A$1,MATCH(AV391,ITEM_RES!$J:$J,0)-1,0),0)</f>
        <v>211020801</v>
      </c>
      <c r="AV391" s="10" t="s">
        <v>460</v>
      </c>
      <c r="AW391" s="11">
        <v>500</v>
      </c>
      <c r="AZ391" s="11">
        <f ca="1">IFERROR(OFFSET(ITEM_RES!$A$1,MATCH(BA391,ITEM_RES!$J:$J,0)-1,0),0)</f>
        <v>0</v>
      </c>
      <c r="BE391" s="11">
        <f ca="1">IFERROR(OFFSET(ITEM_RES!$A$1,MATCH(BF391,ITEM_RES!$J:$J,0)-1,0),0)</f>
        <v>0</v>
      </c>
      <c r="BJ391" s="11">
        <f ca="1">IFERROR(OFFSET(ITEM_RES!$A$1,MATCH(BK391,ITEM_RES!$J:$J,0)-1,0),0)</f>
        <v>0</v>
      </c>
    </row>
    <row r="392" spans="1:65" x14ac:dyDescent="0.3">
      <c r="A392" s="14">
        <f t="shared" si="122"/>
        <v>112060008</v>
      </c>
      <c r="B392" s="13">
        <v>11</v>
      </c>
      <c r="C392" s="12">
        <f t="shared" si="123"/>
        <v>2</v>
      </c>
      <c r="D392" s="13">
        <v>6</v>
      </c>
      <c r="E392" s="13">
        <v>0</v>
      </c>
      <c r="F392" s="12">
        <f t="shared" si="124"/>
        <v>8</v>
      </c>
      <c r="H392" s="9">
        <v>2</v>
      </c>
      <c r="I392" s="9">
        <v>8</v>
      </c>
      <c r="K392" s="9" t="s">
        <v>443</v>
      </c>
      <c r="L392" s="9">
        <v>1</v>
      </c>
      <c r="M392" s="9">
        <v>15</v>
      </c>
      <c r="R392" s="9" t="s">
        <v>791</v>
      </c>
      <c r="T392" s="86" t="s">
        <v>587</v>
      </c>
      <c r="U392" s="9">
        <f ca="1">IFERROR(OFFSET(ITEM_RES!$A$5,MATCH(BUILDING!T392,ITEM_RES!$J$5:$J$229,0)-1,0),0)</f>
        <v>211020401</v>
      </c>
      <c r="V392" s="11">
        <v>1</v>
      </c>
      <c r="W392" s="86" t="s">
        <v>582</v>
      </c>
      <c r="X392" s="9">
        <f ca="1">IFERROR(OFFSET(ITEM_RES!$A$5,MATCH(BUILDING!W392,ITEM_RES!$J$5:$J$229,0)-1,0),0)</f>
        <v>211020501</v>
      </c>
      <c r="Z392" s="9" t="s">
        <v>560</v>
      </c>
      <c r="AA392" s="9">
        <v>8</v>
      </c>
      <c r="AC392" s="9">
        <v>4000</v>
      </c>
      <c r="AE392" s="56">
        <f t="shared" si="119"/>
        <v>2100</v>
      </c>
      <c r="AF392" s="10">
        <f t="shared" si="126"/>
        <v>4200</v>
      </c>
      <c r="AH392" s="11">
        <f t="shared" si="118"/>
        <v>40</v>
      </c>
      <c r="AI392" s="10">
        <v>40</v>
      </c>
      <c r="AJ392" s="11">
        <f t="shared" si="125"/>
        <v>100</v>
      </c>
      <c r="AK392" s="10">
        <v>100</v>
      </c>
      <c r="AL392" s="11">
        <f t="shared" si="125"/>
        <v>100</v>
      </c>
      <c r="AM392" s="10">
        <v>100</v>
      </c>
      <c r="AN392" s="56">
        <f t="shared" si="120"/>
        <v>2</v>
      </c>
      <c r="AP392" s="11">
        <f ca="1">IFERROR(OFFSET(ITEM_RES!$A$1,MATCH(AQ392,ITEM_RES!$J:$J,0)-1,0),0)</f>
        <v>211020401</v>
      </c>
      <c r="AQ392" s="10" t="s">
        <v>459</v>
      </c>
      <c r="AR392" s="11">
        <v>500</v>
      </c>
      <c r="AU392" s="11">
        <f ca="1">IFERROR(OFFSET(ITEM_RES!$A$1,MATCH(AV392,ITEM_RES!$J:$J,0)-1,0),0)</f>
        <v>211020801</v>
      </c>
      <c r="AV392" s="10" t="s">
        <v>460</v>
      </c>
      <c r="AW392" s="11">
        <v>500</v>
      </c>
      <c r="AZ392" s="11">
        <f ca="1">IFERROR(OFFSET(ITEM_RES!$A$1,MATCH(BA392,ITEM_RES!$J:$J,0)-1,0),0)</f>
        <v>0</v>
      </c>
      <c r="BE392" s="11">
        <f ca="1">IFERROR(OFFSET(ITEM_RES!$A$1,MATCH(BF392,ITEM_RES!$J:$J,0)-1,0),0)</f>
        <v>0</v>
      </c>
      <c r="BJ392" s="11">
        <f ca="1">IFERROR(OFFSET(ITEM_RES!$A$1,MATCH(BK392,ITEM_RES!$J:$J,0)-1,0),0)</f>
        <v>0</v>
      </c>
    </row>
    <row r="393" spans="1:65" x14ac:dyDescent="0.3">
      <c r="A393" s="14">
        <f t="shared" si="122"/>
        <v>112060009</v>
      </c>
      <c r="B393" s="13">
        <v>11</v>
      </c>
      <c r="C393" s="12">
        <f t="shared" si="123"/>
        <v>2</v>
      </c>
      <c r="D393" s="13">
        <v>6</v>
      </c>
      <c r="E393" s="13">
        <v>0</v>
      </c>
      <c r="F393" s="12">
        <f t="shared" si="124"/>
        <v>9</v>
      </c>
      <c r="H393" s="9">
        <v>2</v>
      </c>
      <c r="I393" s="9">
        <v>9</v>
      </c>
      <c r="K393" s="9" t="s">
        <v>443</v>
      </c>
      <c r="L393" s="9">
        <v>1</v>
      </c>
      <c r="M393" s="9">
        <v>15</v>
      </c>
      <c r="R393" s="9" t="s">
        <v>791</v>
      </c>
      <c r="T393" s="86" t="s">
        <v>587</v>
      </c>
      <c r="U393" s="9">
        <f ca="1">IFERROR(OFFSET(ITEM_RES!$A$5,MATCH(BUILDING!T393,ITEM_RES!$J$5:$J$229,0)-1,0),0)</f>
        <v>211020401</v>
      </c>
      <c r="V393" s="11">
        <v>1</v>
      </c>
      <c r="W393" s="86" t="s">
        <v>582</v>
      </c>
      <c r="X393" s="9">
        <f ca="1">IFERROR(OFFSET(ITEM_RES!$A$5,MATCH(BUILDING!W393,ITEM_RES!$J$5:$J$229,0)-1,0),0)</f>
        <v>211020501</v>
      </c>
      <c r="Z393" s="9" t="s">
        <v>560</v>
      </c>
      <c r="AA393" s="9">
        <v>9</v>
      </c>
      <c r="AC393" s="9">
        <v>6000</v>
      </c>
      <c r="AE393" s="56">
        <f t="shared" si="119"/>
        <v>3150</v>
      </c>
      <c r="AF393" s="10">
        <f t="shared" si="126"/>
        <v>5250</v>
      </c>
      <c r="AH393" s="11">
        <f t="shared" si="118"/>
        <v>45</v>
      </c>
      <c r="AI393" s="10">
        <v>45</v>
      </c>
      <c r="AJ393" s="11">
        <f t="shared" si="125"/>
        <v>150</v>
      </c>
      <c r="AK393" s="10">
        <v>150</v>
      </c>
      <c r="AL393" s="11">
        <f t="shared" si="125"/>
        <v>150</v>
      </c>
      <c r="AM393" s="10">
        <v>150</v>
      </c>
      <c r="AN393" s="56">
        <f t="shared" si="120"/>
        <v>2</v>
      </c>
      <c r="AP393" s="11">
        <f ca="1">IFERROR(OFFSET(ITEM_RES!$A$1,MATCH(AQ393,ITEM_RES!$J:$J,0)-1,0),0)</f>
        <v>211020401</v>
      </c>
      <c r="AQ393" s="10" t="s">
        <v>459</v>
      </c>
      <c r="AR393" s="11">
        <v>750</v>
      </c>
      <c r="AU393" s="11">
        <f ca="1">IFERROR(OFFSET(ITEM_RES!$A$1,MATCH(AV393,ITEM_RES!$J:$J,0)-1,0),0)</f>
        <v>211020801</v>
      </c>
      <c r="AV393" s="10" t="s">
        <v>460</v>
      </c>
      <c r="AW393" s="11">
        <v>750</v>
      </c>
      <c r="AZ393" s="11">
        <f ca="1">IFERROR(OFFSET(ITEM_RES!$A$1,MATCH(BA393,ITEM_RES!$J:$J,0)-1,0),0)</f>
        <v>0</v>
      </c>
      <c r="BE393" s="11">
        <f ca="1">IFERROR(OFFSET(ITEM_RES!$A$1,MATCH(BF393,ITEM_RES!$J:$J,0)-1,0),0)</f>
        <v>0</v>
      </c>
      <c r="BJ393" s="11">
        <f ca="1">IFERROR(OFFSET(ITEM_RES!$A$1,MATCH(BK393,ITEM_RES!$J:$J,0)-1,0),0)</f>
        <v>0</v>
      </c>
    </row>
    <row r="394" spans="1:65" x14ac:dyDescent="0.3">
      <c r="A394" s="14">
        <f t="shared" si="122"/>
        <v>112060010</v>
      </c>
      <c r="B394" s="13">
        <v>11</v>
      </c>
      <c r="C394" s="12">
        <f t="shared" si="123"/>
        <v>2</v>
      </c>
      <c r="D394" s="13">
        <v>6</v>
      </c>
      <c r="E394" s="13">
        <v>0</v>
      </c>
      <c r="F394" s="12">
        <f t="shared" si="124"/>
        <v>10</v>
      </c>
      <c r="H394" s="9">
        <v>2</v>
      </c>
      <c r="I394" s="9">
        <v>10</v>
      </c>
      <c r="K394" s="9" t="s">
        <v>443</v>
      </c>
      <c r="L394" s="9">
        <v>1</v>
      </c>
      <c r="M394" s="9">
        <v>15</v>
      </c>
      <c r="R394" s="9" t="s">
        <v>791</v>
      </c>
      <c r="T394" s="86" t="s">
        <v>587</v>
      </c>
      <c r="U394" s="9">
        <f ca="1">IFERROR(OFFSET(ITEM_RES!$A$5,MATCH(BUILDING!T394,ITEM_RES!$J$5:$J$229,0)-1,0),0)</f>
        <v>211020401</v>
      </c>
      <c r="V394" s="11">
        <v>1</v>
      </c>
      <c r="W394" s="86" t="s">
        <v>582</v>
      </c>
      <c r="X394" s="9">
        <f ca="1">IFERROR(OFFSET(ITEM_RES!$A$5,MATCH(BUILDING!W394,ITEM_RES!$J$5:$J$229,0)-1,0),0)</f>
        <v>211020501</v>
      </c>
      <c r="Z394" s="9" t="s">
        <v>560</v>
      </c>
      <c r="AA394" s="9">
        <v>10</v>
      </c>
      <c r="AC394" s="9">
        <v>8000</v>
      </c>
      <c r="AE394" s="56">
        <f t="shared" si="119"/>
        <v>4200</v>
      </c>
      <c r="AF394" s="10">
        <f t="shared" si="126"/>
        <v>7350</v>
      </c>
      <c r="AH394" s="11">
        <f t="shared" si="118"/>
        <v>50</v>
      </c>
      <c r="AI394" s="10">
        <v>50</v>
      </c>
      <c r="AJ394" s="11">
        <f t="shared" si="125"/>
        <v>200</v>
      </c>
      <c r="AK394" s="10">
        <v>200</v>
      </c>
      <c r="AL394" s="11">
        <f t="shared" si="125"/>
        <v>200</v>
      </c>
      <c r="AM394" s="10">
        <v>200</v>
      </c>
      <c r="AN394" s="56">
        <f t="shared" si="120"/>
        <v>2</v>
      </c>
      <c r="AP394" s="11">
        <f ca="1">IFERROR(OFFSET(ITEM_RES!$A$1,MATCH(AQ394,ITEM_RES!$J:$J,0)-1,0),0)</f>
        <v>211020401</v>
      </c>
      <c r="AQ394" s="10" t="s">
        <v>459</v>
      </c>
      <c r="AR394" s="11">
        <v>1000</v>
      </c>
      <c r="AU394" s="11">
        <f ca="1">IFERROR(OFFSET(ITEM_RES!$A$1,MATCH(AV394,ITEM_RES!$J:$J,0)-1,0),0)</f>
        <v>211020801</v>
      </c>
      <c r="AV394" s="10" t="s">
        <v>460</v>
      </c>
      <c r="AW394" s="11">
        <v>1000</v>
      </c>
      <c r="AZ394" s="11">
        <f ca="1">IFERROR(OFFSET(ITEM_RES!$A$1,MATCH(BA394,ITEM_RES!$J:$J,0)-1,0),0)</f>
        <v>0</v>
      </c>
      <c r="BE394" s="11">
        <f ca="1">IFERROR(OFFSET(ITEM_RES!$A$1,MATCH(BF394,ITEM_RES!$J:$J,0)-1,0),0)</f>
        <v>0</v>
      </c>
      <c r="BJ394" s="11">
        <f ca="1">IFERROR(OFFSET(ITEM_RES!$A$1,MATCH(BK394,ITEM_RES!$J:$J,0)-1,0),0)</f>
        <v>0</v>
      </c>
    </row>
    <row r="395" spans="1:65" x14ac:dyDescent="0.3">
      <c r="A395" s="14">
        <f t="shared" si="122"/>
        <v>112060011</v>
      </c>
      <c r="B395" s="13">
        <v>11</v>
      </c>
      <c r="C395" s="12">
        <f t="shared" si="123"/>
        <v>2</v>
      </c>
      <c r="D395" s="13">
        <v>6</v>
      </c>
      <c r="E395" s="13">
        <v>0</v>
      </c>
      <c r="F395" s="12">
        <f t="shared" si="124"/>
        <v>11</v>
      </c>
      <c r="H395" s="9">
        <v>2</v>
      </c>
      <c r="I395" s="9">
        <v>11</v>
      </c>
      <c r="K395" s="9" t="s">
        <v>443</v>
      </c>
      <c r="L395" s="9">
        <v>1</v>
      </c>
      <c r="M395" s="9">
        <v>15</v>
      </c>
      <c r="R395" s="9" t="s">
        <v>791</v>
      </c>
      <c r="T395" s="86" t="s">
        <v>587</v>
      </c>
      <c r="U395" s="9">
        <f ca="1">IFERROR(OFFSET(ITEM_RES!$A$5,MATCH(BUILDING!T395,ITEM_RES!$J$5:$J$229,0)-1,0),0)</f>
        <v>211020401</v>
      </c>
      <c r="V395" s="11">
        <v>1</v>
      </c>
      <c r="W395" s="86" t="s">
        <v>582</v>
      </c>
      <c r="X395" s="9">
        <f ca="1">IFERROR(OFFSET(ITEM_RES!$A$5,MATCH(BUILDING!W395,ITEM_RES!$J$5:$J$229,0)-1,0),0)</f>
        <v>211020501</v>
      </c>
      <c r="Z395" s="9" t="s">
        <v>560</v>
      </c>
      <c r="AA395" s="9">
        <v>11</v>
      </c>
      <c r="AC395" s="9">
        <v>10000</v>
      </c>
      <c r="AE395" s="56">
        <f t="shared" si="119"/>
        <v>5250</v>
      </c>
      <c r="AF395" s="10">
        <f t="shared" si="126"/>
        <v>9450</v>
      </c>
      <c r="AH395" s="11">
        <f t="shared" si="118"/>
        <v>55</v>
      </c>
      <c r="AI395" s="10">
        <v>55</v>
      </c>
      <c r="AJ395" s="11">
        <f t="shared" si="125"/>
        <v>250</v>
      </c>
      <c r="AK395" s="10">
        <v>250</v>
      </c>
      <c r="AL395" s="11">
        <f t="shared" si="125"/>
        <v>250</v>
      </c>
      <c r="AM395" s="10">
        <v>250</v>
      </c>
      <c r="AN395" s="56">
        <f t="shared" si="120"/>
        <v>2</v>
      </c>
      <c r="AP395" s="11">
        <f ca="1">IFERROR(OFFSET(ITEM_RES!$A$1,MATCH(AQ395,ITEM_RES!$J:$J,0)-1,0),0)</f>
        <v>211020401</v>
      </c>
      <c r="AQ395" s="10" t="s">
        <v>459</v>
      </c>
      <c r="AR395" s="11">
        <v>1250</v>
      </c>
      <c r="AU395" s="11">
        <f ca="1">IFERROR(OFFSET(ITEM_RES!$A$1,MATCH(AV395,ITEM_RES!$J:$J,0)-1,0),0)</f>
        <v>211020801</v>
      </c>
      <c r="AV395" s="10" t="s">
        <v>460</v>
      </c>
      <c r="AW395" s="11">
        <v>1250</v>
      </c>
      <c r="AZ395" s="11">
        <f ca="1">IFERROR(OFFSET(ITEM_RES!$A$1,MATCH(BA395,ITEM_RES!$J:$J,0)-1,0),0)</f>
        <v>0</v>
      </c>
      <c r="BE395" s="11">
        <f ca="1">IFERROR(OFFSET(ITEM_RES!$A$1,MATCH(BF395,ITEM_RES!$J:$J,0)-1,0),0)</f>
        <v>0</v>
      </c>
      <c r="BJ395" s="11">
        <f ca="1">IFERROR(OFFSET(ITEM_RES!$A$1,MATCH(BK395,ITEM_RES!$J:$J,0)-1,0),0)</f>
        <v>0</v>
      </c>
    </row>
    <row r="396" spans="1:65" x14ac:dyDescent="0.3">
      <c r="A396" s="14">
        <f t="shared" si="122"/>
        <v>112060012</v>
      </c>
      <c r="B396" s="13">
        <v>11</v>
      </c>
      <c r="C396" s="12">
        <f t="shared" si="123"/>
        <v>2</v>
      </c>
      <c r="D396" s="13">
        <v>6</v>
      </c>
      <c r="E396" s="13">
        <v>0</v>
      </c>
      <c r="F396" s="12">
        <f t="shared" si="124"/>
        <v>12</v>
      </c>
      <c r="H396" s="9">
        <v>2</v>
      </c>
      <c r="I396" s="9">
        <v>12</v>
      </c>
      <c r="K396" s="9" t="s">
        <v>443</v>
      </c>
      <c r="L396" s="9">
        <v>1</v>
      </c>
      <c r="M396" s="9">
        <v>15</v>
      </c>
      <c r="R396" s="9" t="s">
        <v>791</v>
      </c>
      <c r="T396" s="86" t="s">
        <v>587</v>
      </c>
      <c r="U396" s="9">
        <f ca="1">IFERROR(OFFSET(ITEM_RES!$A$5,MATCH(BUILDING!T396,ITEM_RES!$J$5:$J$229,0)-1,0),0)</f>
        <v>211020401</v>
      </c>
      <c r="V396" s="11">
        <v>1</v>
      </c>
      <c r="W396" s="86" t="s">
        <v>582</v>
      </c>
      <c r="X396" s="9">
        <f ca="1">IFERROR(OFFSET(ITEM_RES!$A$5,MATCH(BUILDING!W396,ITEM_RES!$J$5:$J$229,0)-1,0),0)</f>
        <v>211020501</v>
      </c>
      <c r="Z396" s="9" t="s">
        <v>560</v>
      </c>
      <c r="AA396" s="9">
        <v>12</v>
      </c>
      <c r="AC396" s="9">
        <v>12000</v>
      </c>
      <c r="AE396" s="56">
        <f t="shared" si="119"/>
        <v>6300</v>
      </c>
      <c r="AF396" s="10">
        <f t="shared" si="126"/>
        <v>11550</v>
      </c>
      <c r="AH396" s="11">
        <f t="shared" si="118"/>
        <v>60</v>
      </c>
      <c r="AI396" s="10">
        <v>60</v>
      </c>
      <c r="AJ396" s="11">
        <f t="shared" si="125"/>
        <v>300</v>
      </c>
      <c r="AK396" s="10">
        <v>300</v>
      </c>
      <c r="AL396" s="11">
        <f t="shared" si="125"/>
        <v>300</v>
      </c>
      <c r="AM396" s="10">
        <v>300</v>
      </c>
      <c r="AN396" s="56">
        <f t="shared" si="120"/>
        <v>2</v>
      </c>
      <c r="AP396" s="11">
        <f ca="1">IFERROR(OFFSET(ITEM_RES!$A$1,MATCH(AQ396,ITEM_RES!$J:$J,0)-1,0),0)</f>
        <v>211020401</v>
      </c>
      <c r="AQ396" s="10" t="s">
        <v>459</v>
      </c>
      <c r="AR396" s="11">
        <v>1500</v>
      </c>
      <c r="AU396" s="11">
        <f ca="1">IFERROR(OFFSET(ITEM_RES!$A$1,MATCH(AV396,ITEM_RES!$J:$J,0)-1,0),0)</f>
        <v>211020801</v>
      </c>
      <c r="AV396" s="10" t="s">
        <v>460</v>
      </c>
      <c r="AW396" s="11">
        <v>1500</v>
      </c>
      <c r="AZ396" s="11">
        <f ca="1">IFERROR(OFFSET(ITEM_RES!$A$1,MATCH(BA396,ITEM_RES!$J:$J,0)-1,0),0)</f>
        <v>0</v>
      </c>
      <c r="BE396" s="11">
        <f ca="1">IFERROR(OFFSET(ITEM_RES!$A$1,MATCH(BF396,ITEM_RES!$J:$J,0)-1,0),0)</f>
        <v>0</v>
      </c>
      <c r="BJ396" s="11">
        <f ca="1">IFERROR(OFFSET(ITEM_RES!$A$1,MATCH(BK396,ITEM_RES!$J:$J,0)-1,0),0)</f>
        <v>0</v>
      </c>
    </row>
    <row r="397" spans="1:65" x14ac:dyDescent="0.3">
      <c r="A397" s="14">
        <f t="shared" si="122"/>
        <v>112060013</v>
      </c>
      <c r="B397" s="13">
        <v>11</v>
      </c>
      <c r="C397" s="12">
        <f t="shared" si="123"/>
        <v>2</v>
      </c>
      <c r="D397" s="13">
        <v>6</v>
      </c>
      <c r="E397" s="13">
        <v>0</v>
      </c>
      <c r="F397" s="12">
        <f t="shared" si="124"/>
        <v>13</v>
      </c>
      <c r="H397" s="9">
        <v>2</v>
      </c>
      <c r="I397" s="9">
        <v>13</v>
      </c>
      <c r="K397" s="9" t="s">
        <v>443</v>
      </c>
      <c r="L397" s="9">
        <v>1</v>
      </c>
      <c r="M397" s="9">
        <v>15</v>
      </c>
      <c r="R397" s="9" t="s">
        <v>791</v>
      </c>
      <c r="T397" s="86" t="s">
        <v>587</v>
      </c>
      <c r="U397" s="9">
        <f ca="1">IFERROR(OFFSET(ITEM_RES!$A$5,MATCH(BUILDING!T397,ITEM_RES!$J$5:$J$229,0)-1,0),0)</f>
        <v>211020401</v>
      </c>
      <c r="V397" s="11">
        <v>1</v>
      </c>
      <c r="W397" s="86" t="s">
        <v>582</v>
      </c>
      <c r="X397" s="9">
        <f ca="1">IFERROR(OFFSET(ITEM_RES!$A$5,MATCH(BUILDING!W397,ITEM_RES!$J$5:$J$229,0)-1,0),0)</f>
        <v>211020501</v>
      </c>
      <c r="Z397" s="9" t="s">
        <v>560</v>
      </c>
      <c r="AA397" s="9">
        <v>13</v>
      </c>
      <c r="AC397" s="9">
        <v>14000</v>
      </c>
      <c r="AE397" s="56">
        <f t="shared" si="119"/>
        <v>7350</v>
      </c>
      <c r="AF397" s="10">
        <f t="shared" si="126"/>
        <v>13650</v>
      </c>
      <c r="AH397" s="11">
        <f t="shared" si="118"/>
        <v>65</v>
      </c>
      <c r="AI397" s="10">
        <v>65</v>
      </c>
      <c r="AJ397" s="11">
        <f t="shared" si="125"/>
        <v>350</v>
      </c>
      <c r="AK397" s="10">
        <v>350</v>
      </c>
      <c r="AL397" s="11">
        <f t="shared" si="125"/>
        <v>350</v>
      </c>
      <c r="AM397" s="10">
        <v>350</v>
      </c>
      <c r="AN397" s="56">
        <f t="shared" si="120"/>
        <v>2</v>
      </c>
      <c r="AP397" s="11">
        <f ca="1">IFERROR(OFFSET(ITEM_RES!$A$1,MATCH(AQ397,ITEM_RES!$J:$J,0)-1,0),0)</f>
        <v>211020401</v>
      </c>
      <c r="AQ397" s="10" t="s">
        <v>459</v>
      </c>
      <c r="AR397" s="11">
        <v>1750</v>
      </c>
      <c r="AU397" s="11">
        <f ca="1">IFERROR(OFFSET(ITEM_RES!$A$1,MATCH(AV397,ITEM_RES!$J:$J,0)-1,0),0)</f>
        <v>211020801</v>
      </c>
      <c r="AV397" s="10" t="s">
        <v>460</v>
      </c>
      <c r="AW397" s="11">
        <v>1750</v>
      </c>
      <c r="AZ397" s="11">
        <f ca="1">IFERROR(OFFSET(ITEM_RES!$A$1,MATCH(BA397,ITEM_RES!$J:$J,0)-1,0),0)</f>
        <v>0</v>
      </c>
      <c r="BE397" s="11">
        <f ca="1">IFERROR(OFFSET(ITEM_RES!$A$1,MATCH(BF397,ITEM_RES!$J:$J,0)-1,0),0)</f>
        <v>0</v>
      </c>
      <c r="BJ397" s="11">
        <f ca="1">IFERROR(OFFSET(ITEM_RES!$A$1,MATCH(BK397,ITEM_RES!$J:$J,0)-1,0),0)</f>
        <v>0</v>
      </c>
    </row>
    <row r="398" spans="1:65" x14ac:dyDescent="0.3">
      <c r="A398" s="14">
        <f t="shared" si="122"/>
        <v>112060014</v>
      </c>
      <c r="B398" s="13">
        <v>11</v>
      </c>
      <c r="C398" s="12">
        <f t="shared" si="123"/>
        <v>2</v>
      </c>
      <c r="D398" s="13">
        <v>6</v>
      </c>
      <c r="E398" s="13">
        <v>0</v>
      </c>
      <c r="F398" s="12">
        <f t="shared" si="124"/>
        <v>14</v>
      </c>
      <c r="H398" s="9">
        <v>2</v>
      </c>
      <c r="I398" s="9">
        <v>14</v>
      </c>
      <c r="K398" s="9" t="s">
        <v>443</v>
      </c>
      <c r="L398" s="9">
        <v>1</v>
      </c>
      <c r="M398" s="9">
        <v>15</v>
      </c>
      <c r="R398" s="9" t="s">
        <v>791</v>
      </c>
      <c r="T398" s="86" t="s">
        <v>587</v>
      </c>
      <c r="U398" s="9">
        <f ca="1">IFERROR(OFFSET(ITEM_RES!$A$5,MATCH(BUILDING!T398,ITEM_RES!$J$5:$J$229,0)-1,0),0)</f>
        <v>211020401</v>
      </c>
      <c r="V398" s="11">
        <v>1</v>
      </c>
      <c r="W398" s="86" t="s">
        <v>582</v>
      </c>
      <c r="X398" s="9">
        <f ca="1">IFERROR(OFFSET(ITEM_RES!$A$5,MATCH(BUILDING!W398,ITEM_RES!$J$5:$J$229,0)-1,0),0)</f>
        <v>211020501</v>
      </c>
      <c r="Z398" s="9" t="s">
        <v>560</v>
      </c>
      <c r="AA398" s="9">
        <v>14</v>
      </c>
      <c r="AC398" s="9">
        <v>18000</v>
      </c>
      <c r="AE398" s="56">
        <f t="shared" si="119"/>
        <v>9450</v>
      </c>
      <c r="AF398" s="10">
        <f t="shared" si="126"/>
        <v>16800</v>
      </c>
      <c r="AH398" s="11">
        <f t="shared" si="118"/>
        <v>70</v>
      </c>
      <c r="AI398" s="10">
        <v>70</v>
      </c>
      <c r="AJ398" s="11">
        <f t="shared" si="125"/>
        <v>450</v>
      </c>
      <c r="AK398" s="10">
        <v>450</v>
      </c>
      <c r="AL398" s="11">
        <f t="shared" si="125"/>
        <v>450</v>
      </c>
      <c r="AM398" s="10">
        <v>450</v>
      </c>
      <c r="AN398" s="56">
        <f t="shared" si="120"/>
        <v>2</v>
      </c>
      <c r="AP398" s="11">
        <f ca="1">IFERROR(OFFSET(ITEM_RES!$A$1,MATCH(AQ398,ITEM_RES!$J:$J,0)-1,0),0)</f>
        <v>211020401</v>
      </c>
      <c r="AQ398" s="10" t="s">
        <v>459</v>
      </c>
      <c r="AR398" s="11">
        <v>2250</v>
      </c>
      <c r="AU398" s="11">
        <f ca="1">IFERROR(OFFSET(ITEM_RES!$A$1,MATCH(AV398,ITEM_RES!$J:$J,0)-1,0),0)</f>
        <v>211020801</v>
      </c>
      <c r="AV398" s="10" t="s">
        <v>460</v>
      </c>
      <c r="AW398" s="11">
        <v>2250</v>
      </c>
      <c r="AZ398" s="11">
        <f ca="1">IFERROR(OFFSET(ITEM_RES!$A$1,MATCH(BA398,ITEM_RES!$J:$J,0)-1,0),0)</f>
        <v>0</v>
      </c>
      <c r="BE398" s="11">
        <f ca="1">IFERROR(OFFSET(ITEM_RES!$A$1,MATCH(BF398,ITEM_RES!$J:$J,0)-1,0),0)</f>
        <v>0</v>
      </c>
      <c r="BJ398" s="11">
        <f ca="1">IFERROR(OFFSET(ITEM_RES!$A$1,MATCH(BK398,ITEM_RES!$J:$J,0)-1,0),0)</f>
        <v>0</v>
      </c>
    </row>
    <row r="399" spans="1:65" x14ac:dyDescent="0.3">
      <c r="A399" s="14">
        <f t="shared" si="122"/>
        <v>112060015</v>
      </c>
      <c r="B399" s="13">
        <v>11</v>
      </c>
      <c r="C399" s="12">
        <f t="shared" si="123"/>
        <v>2</v>
      </c>
      <c r="D399" s="13">
        <v>6</v>
      </c>
      <c r="E399" s="13">
        <v>0</v>
      </c>
      <c r="F399" s="12">
        <f t="shared" si="124"/>
        <v>15</v>
      </c>
      <c r="H399" s="9">
        <v>2</v>
      </c>
      <c r="I399" s="9">
        <v>15</v>
      </c>
      <c r="K399" s="9" t="s">
        <v>443</v>
      </c>
      <c r="L399" s="9">
        <v>1</v>
      </c>
      <c r="M399" s="9">
        <v>15</v>
      </c>
      <c r="R399" s="9" t="s">
        <v>791</v>
      </c>
      <c r="T399" s="86" t="s">
        <v>587</v>
      </c>
      <c r="U399" s="9">
        <f ca="1">IFERROR(OFFSET(ITEM_RES!$A$5,MATCH(BUILDING!T399,ITEM_RES!$J$5:$J$229,0)-1,0),0)</f>
        <v>211020401</v>
      </c>
      <c r="V399" s="11">
        <v>1</v>
      </c>
      <c r="W399" s="86" t="s">
        <v>582</v>
      </c>
      <c r="X399" s="9">
        <f ca="1">IFERROR(OFFSET(ITEM_RES!$A$5,MATCH(BUILDING!W399,ITEM_RES!$J$5:$J$229,0)-1,0),0)</f>
        <v>211020501</v>
      </c>
      <c r="Z399" s="9" t="s">
        <v>560</v>
      </c>
      <c r="AA399" s="9">
        <v>15</v>
      </c>
      <c r="AC399" s="9">
        <v>22000</v>
      </c>
      <c r="AE399" s="56">
        <f t="shared" si="119"/>
        <v>11550</v>
      </c>
      <c r="AF399" s="10">
        <f t="shared" si="126"/>
        <v>21000</v>
      </c>
      <c r="AH399" s="11">
        <f t="shared" si="118"/>
        <v>75</v>
      </c>
      <c r="AI399" s="10">
        <v>75</v>
      </c>
      <c r="AJ399" s="11">
        <f t="shared" si="125"/>
        <v>550</v>
      </c>
      <c r="AK399" s="10">
        <v>550</v>
      </c>
      <c r="AL399" s="11">
        <f t="shared" si="125"/>
        <v>550</v>
      </c>
      <c r="AM399" s="10">
        <v>550</v>
      </c>
      <c r="AN399" s="56">
        <f t="shared" si="120"/>
        <v>2</v>
      </c>
      <c r="AP399" s="11">
        <f ca="1">IFERROR(OFFSET(ITEM_RES!$A$1,MATCH(AQ399,ITEM_RES!$J:$J,0)-1,0),0)</f>
        <v>211020501</v>
      </c>
      <c r="AQ399" s="10" t="s">
        <v>455</v>
      </c>
      <c r="AR399" s="11">
        <v>2750</v>
      </c>
      <c r="AU399" s="11">
        <f ca="1">IFERROR(OFFSET(ITEM_RES!$A$1,MATCH(AV399,ITEM_RES!$J:$J,0)-1,0),0)</f>
        <v>211020801</v>
      </c>
      <c r="AV399" s="10" t="s">
        <v>460</v>
      </c>
      <c r="AW399" s="11">
        <v>2750</v>
      </c>
      <c r="AZ399" s="11">
        <f ca="1">IFERROR(OFFSET(ITEM_RES!$A$1,MATCH(BA399,ITEM_RES!$J:$J,0)-1,0),0)</f>
        <v>0</v>
      </c>
      <c r="BE399" s="11">
        <f ca="1">IFERROR(OFFSET(ITEM_RES!$A$1,MATCH(BF399,ITEM_RES!$J:$J,0)-1,0),0)</f>
        <v>0</v>
      </c>
      <c r="BJ399" s="11">
        <f ca="1">IFERROR(OFFSET(ITEM_RES!$A$1,MATCH(BK399,ITEM_RES!$J:$J,0)-1,0),0)</f>
        <v>0</v>
      </c>
    </row>
    <row r="400" spans="1:65" x14ac:dyDescent="0.3">
      <c r="A400" s="14">
        <f t="shared" si="122"/>
        <v>112060016</v>
      </c>
      <c r="B400" s="13">
        <v>11</v>
      </c>
      <c r="C400" s="12">
        <f t="shared" si="123"/>
        <v>2</v>
      </c>
      <c r="D400" s="13">
        <v>6</v>
      </c>
      <c r="E400" s="13">
        <v>0</v>
      </c>
      <c r="F400" s="12">
        <f t="shared" si="124"/>
        <v>16</v>
      </c>
      <c r="H400" s="9">
        <v>2</v>
      </c>
      <c r="I400" s="9">
        <v>16</v>
      </c>
      <c r="K400" s="9" t="s">
        <v>443</v>
      </c>
      <c r="L400" s="9">
        <v>0</v>
      </c>
      <c r="M400" s="9">
        <v>15</v>
      </c>
      <c r="R400" s="9" t="s">
        <v>791</v>
      </c>
      <c r="T400" s="86" t="s">
        <v>587</v>
      </c>
      <c r="U400" s="9">
        <f ca="1">IFERROR(OFFSET(ITEM_RES!$A$5,MATCH(BUILDING!T400,ITEM_RES!$J$5:$J$229,0)-1,0),0)</f>
        <v>211020401</v>
      </c>
      <c r="V400" s="11">
        <v>1</v>
      </c>
      <c r="W400" s="86" t="s">
        <v>582</v>
      </c>
      <c r="X400" s="9">
        <f ca="1">IFERROR(OFFSET(ITEM_RES!$A$5,MATCH(BUILDING!W400,ITEM_RES!$J$5:$J$229,0)-1,0),0)</f>
        <v>211020501</v>
      </c>
      <c r="Z400" s="9" t="s">
        <v>560</v>
      </c>
      <c r="AA400" s="9">
        <v>16</v>
      </c>
      <c r="AC400" s="9">
        <v>28000</v>
      </c>
      <c r="AE400" s="56">
        <f t="shared" si="119"/>
        <v>14700</v>
      </c>
      <c r="AF400" s="10">
        <f t="shared" si="126"/>
        <v>26250</v>
      </c>
      <c r="AH400" s="11">
        <f t="shared" si="118"/>
        <v>80</v>
      </c>
      <c r="AI400" s="10">
        <v>80</v>
      </c>
      <c r="AJ400" s="11">
        <f t="shared" si="125"/>
        <v>700</v>
      </c>
      <c r="AK400" s="10">
        <v>700</v>
      </c>
      <c r="AL400" s="11">
        <f t="shared" si="125"/>
        <v>700</v>
      </c>
      <c r="AM400" s="10">
        <v>700</v>
      </c>
      <c r="AN400" s="56">
        <f t="shared" si="120"/>
        <v>2</v>
      </c>
      <c r="AP400" s="11">
        <f ca="1">IFERROR(OFFSET(ITEM_RES!$A$1,MATCH(AQ400,ITEM_RES!$J:$J,0)-1,0),0)</f>
        <v>211020501</v>
      </c>
      <c r="AQ400" s="10" t="s">
        <v>455</v>
      </c>
      <c r="AR400" s="11">
        <v>3500</v>
      </c>
      <c r="AU400" s="11">
        <f ca="1">IFERROR(OFFSET(ITEM_RES!$A$1,MATCH(AV400,ITEM_RES!$J:$J,0)-1,0),0)</f>
        <v>211020801</v>
      </c>
      <c r="AV400" s="10" t="s">
        <v>460</v>
      </c>
      <c r="AW400" s="11">
        <v>3500</v>
      </c>
      <c r="AZ400" s="11">
        <f ca="1">IFERROR(OFFSET(ITEM_RES!$A$1,MATCH(BA400,ITEM_RES!$J:$J,0)-1,0),0)</f>
        <v>0</v>
      </c>
      <c r="BE400" s="11">
        <f ca="1">IFERROR(OFFSET(ITEM_RES!$A$1,MATCH(BF400,ITEM_RES!$J:$J,0)-1,0),0)</f>
        <v>0</v>
      </c>
      <c r="BJ400" s="11">
        <f ca="1">IFERROR(OFFSET(ITEM_RES!$A$1,MATCH(BK400,ITEM_RES!$J:$J,0)-1,0),0)</f>
        <v>0</v>
      </c>
    </row>
    <row r="401" spans="1:65" x14ac:dyDescent="0.3">
      <c r="A401" s="14">
        <f t="shared" si="122"/>
        <v>112060017</v>
      </c>
      <c r="B401" s="13">
        <v>11</v>
      </c>
      <c r="C401" s="12">
        <f t="shared" si="123"/>
        <v>2</v>
      </c>
      <c r="D401" s="13">
        <v>6</v>
      </c>
      <c r="E401" s="13">
        <v>0</v>
      </c>
      <c r="F401" s="12">
        <f t="shared" si="124"/>
        <v>17</v>
      </c>
      <c r="H401" s="9">
        <v>2</v>
      </c>
      <c r="I401" s="9">
        <v>17</v>
      </c>
      <c r="K401" s="9" t="s">
        <v>443</v>
      </c>
      <c r="L401" s="9">
        <v>0</v>
      </c>
      <c r="M401" s="9">
        <v>15</v>
      </c>
      <c r="R401" s="9" t="s">
        <v>791</v>
      </c>
      <c r="T401" s="86" t="s">
        <v>587</v>
      </c>
      <c r="U401" s="9">
        <f ca="1">IFERROR(OFFSET(ITEM_RES!$A$5,MATCH(BUILDING!T401,ITEM_RES!$J$5:$J$229,0)-1,0),0)</f>
        <v>211020401</v>
      </c>
      <c r="V401" s="11">
        <v>1</v>
      </c>
      <c r="W401" s="86" t="s">
        <v>582</v>
      </c>
      <c r="X401" s="9">
        <f ca="1">IFERROR(OFFSET(ITEM_RES!$A$5,MATCH(BUILDING!W401,ITEM_RES!$J$5:$J$229,0)-1,0),0)</f>
        <v>211020501</v>
      </c>
      <c r="Z401" s="9" t="s">
        <v>560</v>
      </c>
      <c r="AA401" s="9">
        <v>17</v>
      </c>
      <c r="AC401" s="9">
        <v>34000</v>
      </c>
      <c r="AE401" s="56">
        <f t="shared" si="119"/>
        <v>17850</v>
      </c>
      <c r="AF401" s="10">
        <f t="shared" si="126"/>
        <v>32550</v>
      </c>
      <c r="AH401" s="11">
        <f t="shared" si="118"/>
        <v>85</v>
      </c>
      <c r="AI401" s="10">
        <v>85</v>
      </c>
      <c r="AJ401" s="11">
        <f t="shared" si="125"/>
        <v>850</v>
      </c>
      <c r="AK401" s="10">
        <v>850</v>
      </c>
      <c r="AL401" s="11">
        <f t="shared" si="125"/>
        <v>850</v>
      </c>
      <c r="AM401" s="10">
        <v>850</v>
      </c>
      <c r="AN401" s="56">
        <f t="shared" si="120"/>
        <v>2</v>
      </c>
      <c r="AP401" s="11">
        <f ca="1">IFERROR(OFFSET(ITEM_RES!$A$1,MATCH(AQ401,ITEM_RES!$J:$J,0)-1,0),0)</f>
        <v>211020501</v>
      </c>
      <c r="AQ401" s="10" t="s">
        <v>455</v>
      </c>
      <c r="AR401" s="11">
        <v>4250</v>
      </c>
      <c r="AU401" s="11">
        <f ca="1">IFERROR(OFFSET(ITEM_RES!$A$1,MATCH(AV401,ITEM_RES!$J:$J,0)-1,0),0)</f>
        <v>211020801</v>
      </c>
      <c r="AV401" s="10" t="s">
        <v>460</v>
      </c>
      <c r="AW401" s="11">
        <v>4250</v>
      </c>
      <c r="AZ401" s="11">
        <f ca="1">IFERROR(OFFSET(ITEM_RES!$A$1,MATCH(BA401,ITEM_RES!$J:$J,0)-1,0),0)</f>
        <v>0</v>
      </c>
      <c r="BE401" s="11">
        <f ca="1">IFERROR(OFFSET(ITEM_RES!$A$1,MATCH(BF401,ITEM_RES!$J:$J,0)-1,0),0)</f>
        <v>0</v>
      </c>
      <c r="BJ401" s="11">
        <f ca="1">IFERROR(OFFSET(ITEM_RES!$A$1,MATCH(BK401,ITEM_RES!$J:$J,0)-1,0),0)</f>
        <v>0</v>
      </c>
    </row>
    <row r="402" spans="1:65" x14ac:dyDescent="0.3">
      <c r="A402" s="14">
        <f t="shared" si="122"/>
        <v>112060018</v>
      </c>
      <c r="B402" s="13">
        <v>11</v>
      </c>
      <c r="C402" s="12">
        <f t="shared" si="123"/>
        <v>2</v>
      </c>
      <c r="D402" s="13">
        <v>6</v>
      </c>
      <c r="E402" s="13">
        <v>0</v>
      </c>
      <c r="F402" s="12">
        <f t="shared" si="124"/>
        <v>18</v>
      </c>
      <c r="H402" s="9">
        <v>2</v>
      </c>
      <c r="I402" s="9">
        <v>18</v>
      </c>
      <c r="K402" s="9" t="s">
        <v>443</v>
      </c>
      <c r="L402" s="9">
        <v>0</v>
      </c>
      <c r="M402" s="9">
        <v>15</v>
      </c>
      <c r="R402" s="9" t="s">
        <v>791</v>
      </c>
      <c r="T402" s="86" t="s">
        <v>587</v>
      </c>
      <c r="U402" s="9">
        <f ca="1">IFERROR(OFFSET(ITEM_RES!$A$5,MATCH(BUILDING!T402,ITEM_RES!$J$5:$J$229,0)-1,0),0)</f>
        <v>211020401</v>
      </c>
      <c r="V402" s="11">
        <v>1</v>
      </c>
      <c r="W402" s="86" t="s">
        <v>582</v>
      </c>
      <c r="X402" s="9">
        <f ca="1">IFERROR(OFFSET(ITEM_RES!$A$5,MATCH(BUILDING!W402,ITEM_RES!$J$5:$J$229,0)-1,0),0)</f>
        <v>211020501</v>
      </c>
      <c r="Z402" s="9" t="s">
        <v>560</v>
      </c>
      <c r="AA402" s="9">
        <v>18</v>
      </c>
      <c r="AC402" s="9">
        <v>42000</v>
      </c>
      <c r="AE402" s="56">
        <f t="shared" si="119"/>
        <v>22050</v>
      </c>
      <c r="AF402" s="10">
        <f t="shared" si="126"/>
        <v>39900</v>
      </c>
      <c r="AH402" s="11">
        <f t="shared" si="118"/>
        <v>90</v>
      </c>
      <c r="AI402" s="10">
        <v>90</v>
      </c>
      <c r="AJ402" s="11">
        <f t="shared" si="125"/>
        <v>1050</v>
      </c>
      <c r="AK402" s="10">
        <v>1050</v>
      </c>
      <c r="AL402" s="11">
        <f t="shared" si="125"/>
        <v>1050</v>
      </c>
      <c r="AM402" s="10">
        <v>1050</v>
      </c>
      <c r="AN402" s="56">
        <f t="shared" si="120"/>
        <v>2</v>
      </c>
      <c r="AP402" s="11">
        <f ca="1">IFERROR(OFFSET(ITEM_RES!$A$1,MATCH(AQ402,ITEM_RES!$J:$J,0)-1,0),0)</f>
        <v>211020501</v>
      </c>
      <c r="AQ402" s="10" t="s">
        <v>455</v>
      </c>
      <c r="AR402" s="11">
        <v>5250</v>
      </c>
      <c r="AU402" s="11">
        <f ca="1">IFERROR(OFFSET(ITEM_RES!$A$1,MATCH(AV402,ITEM_RES!$J:$J,0)-1,0),0)</f>
        <v>211020801</v>
      </c>
      <c r="AV402" s="10" t="s">
        <v>460</v>
      </c>
      <c r="AW402" s="11">
        <v>5250</v>
      </c>
      <c r="AZ402" s="11">
        <f ca="1">IFERROR(OFFSET(ITEM_RES!$A$1,MATCH(BA402,ITEM_RES!$J:$J,0)-1,0),0)</f>
        <v>0</v>
      </c>
      <c r="BE402" s="11">
        <f ca="1">IFERROR(OFFSET(ITEM_RES!$A$1,MATCH(BF402,ITEM_RES!$J:$J,0)-1,0),0)</f>
        <v>0</v>
      </c>
      <c r="BJ402" s="11">
        <f ca="1">IFERROR(OFFSET(ITEM_RES!$A$1,MATCH(BK402,ITEM_RES!$J:$J,0)-1,0),0)</f>
        <v>0</v>
      </c>
    </row>
    <row r="403" spans="1:65" x14ac:dyDescent="0.3">
      <c r="A403" s="14">
        <f t="shared" si="122"/>
        <v>112060019</v>
      </c>
      <c r="B403" s="13">
        <v>11</v>
      </c>
      <c r="C403" s="12">
        <f t="shared" si="123"/>
        <v>2</v>
      </c>
      <c r="D403" s="13">
        <v>6</v>
      </c>
      <c r="E403" s="13">
        <v>0</v>
      </c>
      <c r="F403" s="12">
        <f t="shared" si="124"/>
        <v>19</v>
      </c>
      <c r="H403" s="9">
        <v>2</v>
      </c>
      <c r="I403" s="9">
        <v>19</v>
      </c>
      <c r="K403" s="9" t="s">
        <v>443</v>
      </c>
      <c r="L403" s="9">
        <v>0</v>
      </c>
      <c r="M403" s="9">
        <v>15</v>
      </c>
      <c r="R403" s="9" t="s">
        <v>791</v>
      </c>
      <c r="T403" s="86" t="s">
        <v>587</v>
      </c>
      <c r="U403" s="9">
        <f ca="1">IFERROR(OFFSET(ITEM_RES!$A$5,MATCH(BUILDING!T403,ITEM_RES!$J$5:$J$229,0)-1,0),0)</f>
        <v>211020401</v>
      </c>
      <c r="V403" s="11">
        <v>1</v>
      </c>
      <c r="W403" s="86" t="s">
        <v>582</v>
      </c>
      <c r="X403" s="9">
        <f ca="1">IFERROR(OFFSET(ITEM_RES!$A$5,MATCH(BUILDING!W403,ITEM_RES!$J$5:$J$229,0)-1,0),0)</f>
        <v>211020501</v>
      </c>
      <c r="Z403" s="9" t="s">
        <v>560</v>
      </c>
      <c r="AA403" s="9">
        <v>19</v>
      </c>
      <c r="AC403" s="9">
        <v>50000</v>
      </c>
      <c r="AE403" s="56">
        <f t="shared" si="119"/>
        <v>26250</v>
      </c>
      <c r="AF403" s="10">
        <f t="shared" si="126"/>
        <v>48300</v>
      </c>
      <c r="AH403" s="11">
        <f t="shared" si="118"/>
        <v>95</v>
      </c>
      <c r="AI403" s="10">
        <v>95</v>
      </c>
      <c r="AJ403" s="11">
        <f t="shared" si="125"/>
        <v>1250</v>
      </c>
      <c r="AK403" s="10">
        <v>1250</v>
      </c>
      <c r="AL403" s="11">
        <f t="shared" si="125"/>
        <v>1250</v>
      </c>
      <c r="AM403" s="10">
        <v>1250</v>
      </c>
      <c r="AN403" s="56">
        <f t="shared" si="120"/>
        <v>2</v>
      </c>
      <c r="AP403" s="11">
        <f ca="1">IFERROR(OFFSET(ITEM_RES!$A$1,MATCH(AQ403,ITEM_RES!$J:$J,0)-1,0),0)</f>
        <v>211020501</v>
      </c>
      <c r="AQ403" s="10" t="s">
        <v>455</v>
      </c>
      <c r="AR403" s="11">
        <v>6250</v>
      </c>
      <c r="AU403" s="11">
        <f ca="1">IFERROR(OFFSET(ITEM_RES!$A$1,MATCH(AV403,ITEM_RES!$J:$J,0)-1,0),0)</f>
        <v>211020801</v>
      </c>
      <c r="AV403" s="10" t="s">
        <v>460</v>
      </c>
      <c r="AW403" s="11">
        <v>6250</v>
      </c>
      <c r="AZ403" s="11">
        <f ca="1">IFERROR(OFFSET(ITEM_RES!$A$1,MATCH(BA403,ITEM_RES!$J:$J,0)-1,0),0)</f>
        <v>0</v>
      </c>
      <c r="BE403" s="11">
        <f ca="1">IFERROR(OFFSET(ITEM_RES!$A$1,MATCH(BF403,ITEM_RES!$J:$J,0)-1,0),0)</f>
        <v>0</v>
      </c>
      <c r="BJ403" s="11">
        <f ca="1">IFERROR(OFFSET(ITEM_RES!$A$1,MATCH(BK403,ITEM_RES!$J:$J,0)-1,0),0)</f>
        <v>0</v>
      </c>
    </row>
    <row r="404" spans="1:65" ht="17.25" thickBot="1" x14ac:dyDescent="0.35">
      <c r="A404" s="14">
        <f t="shared" si="122"/>
        <v>112060020</v>
      </c>
      <c r="B404" s="13">
        <v>11</v>
      </c>
      <c r="C404" s="12">
        <f t="shared" si="123"/>
        <v>2</v>
      </c>
      <c r="D404" s="13">
        <v>6</v>
      </c>
      <c r="E404" s="13">
        <v>0</v>
      </c>
      <c r="F404" s="12">
        <f t="shared" si="124"/>
        <v>20</v>
      </c>
      <c r="H404" s="9">
        <v>2</v>
      </c>
      <c r="I404" s="9">
        <v>20</v>
      </c>
      <c r="K404" s="9" t="s">
        <v>443</v>
      </c>
      <c r="L404" s="9">
        <v>0</v>
      </c>
      <c r="M404" s="9">
        <v>15</v>
      </c>
      <c r="R404" s="9" t="s">
        <v>791</v>
      </c>
      <c r="T404" s="86" t="s">
        <v>587</v>
      </c>
      <c r="U404" s="9">
        <f ca="1">IFERROR(OFFSET(ITEM_RES!$A$5,MATCH(BUILDING!T404,ITEM_RES!$J$5:$J$229,0)-1,0),0)</f>
        <v>211020401</v>
      </c>
      <c r="V404" s="11">
        <v>1</v>
      </c>
      <c r="W404" s="86" t="s">
        <v>582</v>
      </c>
      <c r="X404" s="9">
        <f ca="1">IFERROR(OFFSET(ITEM_RES!$A$5,MATCH(BUILDING!W404,ITEM_RES!$J$5:$J$229,0)-1,0),0)</f>
        <v>211020501</v>
      </c>
      <c r="Z404" s="9" t="s">
        <v>560</v>
      </c>
      <c r="AA404" s="9">
        <v>20</v>
      </c>
      <c r="AC404" s="9">
        <v>60000</v>
      </c>
      <c r="AE404" s="56">
        <f t="shared" si="119"/>
        <v>31500</v>
      </c>
      <c r="AF404" s="10">
        <f t="shared" si="126"/>
        <v>57750</v>
      </c>
      <c r="AH404" s="11">
        <f t="shared" si="118"/>
        <v>100</v>
      </c>
      <c r="AI404" s="10">
        <v>100</v>
      </c>
      <c r="AJ404" s="11">
        <f t="shared" si="125"/>
        <v>1500</v>
      </c>
      <c r="AK404" s="10">
        <v>1500</v>
      </c>
      <c r="AL404" s="11">
        <f t="shared" si="125"/>
        <v>1500</v>
      </c>
      <c r="AM404" s="10">
        <v>1500</v>
      </c>
      <c r="AN404" s="56">
        <f t="shared" si="120"/>
        <v>2</v>
      </c>
      <c r="AP404" s="11">
        <f ca="1">IFERROR(OFFSET(ITEM_RES!$A$1,MATCH(AQ404,ITEM_RES!$J:$J,0)-1,0),0)</f>
        <v>211020501</v>
      </c>
      <c r="AQ404" s="10" t="s">
        <v>455</v>
      </c>
      <c r="AR404" s="11">
        <v>7500</v>
      </c>
      <c r="AU404" s="11">
        <f ca="1">IFERROR(OFFSET(ITEM_RES!$A$1,MATCH(AV404,ITEM_RES!$J:$J,0)-1,0),0)</f>
        <v>211020801</v>
      </c>
      <c r="AV404" s="10" t="s">
        <v>460</v>
      </c>
      <c r="AW404" s="11">
        <v>7500</v>
      </c>
      <c r="AZ404" s="11">
        <f ca="1">IFERROR(OFFSET(ITEM_RES!$A$1,MATCH(BA404,ITEM_RES!$J:$J,0)-1,0),0)</f>
        <v>0</v>
      </c>
      <c r="BE404" s="11">
        <f ca="1">IFERROR(OFFSET(ITEM_RES!$A$1,MATCH(BF404,ITEM_RES!$J:$J,0)-1,0),0)</f>
        <v>0</v>
      </c>
      <c r="BJ404" s="11">
        <f ca="1">IFERROR(OFFSET(ITEM_RES!$A$1,MATCH(BK404,ITEM_RES!$J:$J,0)-1,0),0)</f>
        <v>0</v>
      </c>
    </row>
    <row r="405" spans="1:65" s="15" customFormat="1" x14ac:dyDescent="0.3">
      <c r="A405" s="21">
        <f t="shared" si="122"/>
        <v>112070001</v>
      </c>
      <c r="B405" s="20">
        <v>11</v>
      </c>
      <c r="C405" s="19">
        <f t="shared" si="123"/>
        <v>2</v>
      </c>
      <c r="D405" s="20">
        <v>7</v>
      </c>
      <c r="E405" s="20">
        <v>0</v>
      </c>
      <c r="F405" s="19">
        <f t="shared" si="124"/>
        <v>1</v>
      </c>
      <c r="G405" s="80"/>
      <c r="H405" s="16">
        <v>2</v>
      </c>
      <c r="I405" s="16">
        <v>1</v>
      </c>
      <c r="J405" s="80"/>
      <c r="K405" s="16" t="s">
        <v>566</v>
      </c>
      <c r="L405" s="16">
        <v>1</v>
      </c>
      <c r="M405" s="16">
        <v>15</v>
      </c>
      <c r="N405" s="16"/>
      <c r="O405" s="17"/>
      <c r="P405" s="17"/>
      <c r="Q405" s="18"/>
      <c r="R405" s="16" t="s">
        <v>787</v>
      </c>
      <c r="S405" s="80"/>
      <c r="T405" s="88" t="s">
        <v>581</v>
      </c>
      <c r="U405" s="16">
        <f ca="1">IFERROR(OFFSET(ITEM_RES!$A$5,MATCH(BUILDING!T405,ITEM_RES!$J$5:$J$229,0)-1,0),0)</f>
        <v>211020201</v>
      </c>
      <c r="V405" s="18">
        <v>1</v>
      </c>
      <c r="W405" s="88" t="s">
        <v>583</v>
      </c>
      <c r="X405" s="16">
        <f ca="1">IFERROR(OFFSET(ITEM_RES!$A$5,MATCH(BUILDING!W405,ITEM_RES!$J$5:$J$229,0)-1,0),0)</f>
        <v>211020301</v>
      </c>
      <c r="Y405" s="80"/>
      <c r="Z405" s="16" t="s">
        <v>561</v>
      </c>
      <c r="AA405" s="16">
        <v>1</v>
      </c>
      <c r="AB405" s="80"/>
      <c r="AC405" s="16">
        <v>0</v>
      </c>
      <c r="AD405" s="80"/>
      <c r="AE405" s="57">
        <f t="shared" si="119"/>
        <v>605</v>
      </c>
      <c r="AF405" s="17">
        <f>AE405</f>
        <v>605</v>
      </c>
      <c r="AG405" s="80"/>
      <c r="AH405" s="18">
        <f t="shared" si="118"/>
        <v>5</v>
      </c>
      <c r="AI405" s="17">
        <v>5</v>
      </c>
      <c r="AJ405" s="18">
        <f t="shared" si="125"/>
        <v>5</v>
      </c>
      <c r="AK405" s="17">
        <v>5</v>
      </c>
      <c r="AL405" s="18">
        <f t="shared" si="125"/>
        <v>5</v>
      </c>
      <c r="AM405" s="17">
        <v>5</v>
      </c>
      <c r="AN405" s="57">
        <f t="shared" si="120"/>
        <v>3</v>
      </c>
      <c r="AO405" s="18"/>
      <c r="AP405" s="18">
        <f ca="1">IFERROR(OFFSET(ITEM_RES!$A$1,MATCH(AQ405,ITEM_RES!$J:$J,0)-1,0),0)</f>
        <v>211020401</v>
      </c>
      <c r="AQ405" s="17" t="s">
        <v>459</v>
      </c>
      <c r="AR405" s="18">
        <v>25</v>
      </c>
      <c r="AS405" s="17"/>
      <c r="AT405" s="18"/>
      <c r="AU405" s="18">
        <f ca="1">IFERROR(OFFSET(ITEM_RES!$A$1,MATCH(AV405,ITEM_RES!$J:$J,0)-1,0),0)</f>
        <v>211020201</v>
      </c>
      <c r="AV405" s="17" t="s">
        <v>452</v>
      </c>
      <c r="AW405" s="18">
        <v>25</v>
      </c>
      <c r="AX405" s="17"/>
      <c r="AY405" s="18"/>
      <c r="AZ405" s="18">
        <f ca="1">IFERROR(OFFSET(ITEM_RES!$A$1,MATCH(BA405,ITEM_RES!$J:$J,0)-1,0),0)</f>
        <v>213010101</v>
      </c>
      <c r="BA405" s="17" t="s">
        <v>481</v>
      </c>
      <c r="BB405" s="18">
        <v>1</v>
      </c>
      <c r="BC405" s="17"/>
      <c r="BD405" s="18"/>
      <c r="BE405" s="18">
        <f ca="1">IFERROR(OFFSET(ITEM_RES!$A$1,MATCH(BF405,ITEM_RES!$J:$J,0)-1,0),0)</f>
        <v>0</v>
      </c>
      <c r="BF405" s="17"/>
      <c r="BG405" s="18"/>
      <c r="BH405" s="17"/>
      <c r="BI405" s="18"/>
      <c r="BJ405" s="18">
        <f ca="1">IFERROR(OFFSET(ITEM_RES!$A$1,MATCH(BK405,ITEM_RES!$J:$J,0)-1,0),0)</f>
        <v>0</v>
      </c>
      <c r="BK405" s="17"/>
      <c r="BL405" s="18"/>
      <c r="BM405" s="17"/>
    </row>
    <row r="406" spans="1:65" x14ac:dyDescent="0.3">
      <c r="A406" s="14">
        <f t="shared" si="122"/>
        <v>112070002</v>
      </c>
      <c r="B406" s="13">
        <v>11</v>
      </c>
      <c r="C406" s="12">
        <f t="shared" si="123"/>
        <v>2</v>
      </c>
      <c r="D406" s="13">
        <v>7</v>
      </c>
      <c r="E406" s="13">
        <v>0</v>
      </c>
      <c r="F406" s="12">
        <f t="shared" si="124"/>
        <v>2</v>
      </c>
      <c r="H406" s="9">
        <v>2</v>
      </c>
      <c r="I406" s="9">
        <v>2</v>
      </c>
      <c r="K406" s="9" t="s">
        <v>369</v>
      </c>
      <c r="L406" s="9">
        <v>1</v>
      </c>
      <c r="M406" s="9">
        <v>15</v>
      </c>
      <c r="R406" s="9" t="s">
        <v>787</v>
      </c>
      <c r="T406" s="86" t="s">
        <v>581</v>
      </c>
      <c r="U406" s="9">
        <f ca="1">IFERROR(OFFSET(ITEM_RES!$A$5,MATCH(BUILDING!T406,ITEM_RES!$J$5:$J$229,0)-1,0),0)</f>
        <v>211020201</v>
      </c>
      <c r="V406" s="11">
        <v>1</v>
      </c>
      <c r="W406" s="86" t="s">
        <v>583</v>
      </c>
      <c r="X406" s="9">
        <f ca="1">IFERROR(OFFSET(ITEM_RES!$A$5,MATCH(BUILDING!W406,ITEM_RES!$J$5:$J$229,0)-1,0),0)</f>
        <v>211020301</v>
      </c>
      <c r="Z406" s="9" t="s">
        <v>561</v>
      </c>
      <c r="AA406" s="9">
        <v>2</v>
      </c>
      <c r="AC406" s="9">
        <v>800</v>
      </c>
      <c r="AE406" s="56">
        <f t="shared" si="119"/>
        <v>210</v>
      </c>
      <c r="AF406" s="10">
        <f>AE405+AE406</f>
        <v>815</v>
      </c>
      <c r="AH406" s="11">
        <f t="shared" si="118"/>
        <v>10</v>
      </c>
      <c r="AI406" s="10">
        <v>10</v>
      </c>
      <c r="AJ406" s="11">
        <f t="shared" si="125"/>
        <v>10</v>
      </c>
      <c r="AK406" s="10">
        <v>10</v>
      </c>
      <c r="AL406" s="11">
        <f t="shared" si="125"/>
        <v>10</v>
      </c>
      <c r="AM406" s="10">
        <v>10</v>
      </c>
      <c r="AN406" s="56">
        <f t="shared" si="120"/>
        <v>2</v>
      </c>
      <c r="AP406" s="11">
        <f ca="1">IFERROR(OFFSET(ITEM_RES!$A$1,MATCH(AQ406,ITEM_RES!$J:$J,0)-1,0),0)</f>
        <v>211020401</v>
      </c>
      <c r="AQ406" s="10" t="s">
        <v>459</v>
      </c>
      <c r="AR406" s="11">
        <v>50</v>
      </c>
      <c r="AU406" s="11">
        <f ca="1">IFERROR(OFFSET(ITEM_RES!$A$1,MATCH(AV406,ITEM_RES!$J:$J,0)-1,0),0)</f>
        <v>211020201</v>
      </c>
      <c r="AV406" s="10" t="s">
        <v>452</v>
      </c>
      <c r="AW406" s="11">
        <v>50</v>
      </c>
      <c r="AZ406" s="11">
        <f ca="1">IFERROR(OFFSET(ITEM_RES!$A$1,MATCH(BA406,ITEM_RES!$J:$J,0)-1,0),0)</f>
        <v>0</v>
      </c>
      <c r="BE406" s="11">
        <f ca="1">IFERROR(OFFSET(ITEM_RES!$A$1,MATCH(BF406,ITEM_RES!$J:$J,0)-1,0),0)</f>
        <v>0</v>
      </c>
      <c r="BJ406" s="11">
        <f ca="1">IFERROR(OFFSET(ITEM_RES!$A$1,MATCH(BK406,ITEM_RES!$J:$J,0)-1,0),0)</f>
        <v>0</v>
      </c>
    </row>
    <row r="407" spans="1:65" x14ac:dyDescent="0.3">
      <c r="A407" s="14">
        <f t="shared" si="122"/>
        <v>112070003</v>
      </c>
      <c r="B407" s="13">
        <v>11</v>
      </c>
      <c r="C407" s="12">
        <f t="shared" si="123"/>
        <v>2</v>
      </c>
      <c r="D407" s="13">
        <v>7</v>
      </c>
      <c r="E407" s="13">
        <v>0</v>
      </c>
      <c r="F407" s="12">
        <f t="shared" si="124"/>
        <v>3</v>
      </c>
      <c r="H407" s="9">
        <v>2</v>
      </c>
      <c r="I407" s="9">
        <v>3</v>
      </c>
      <c r="K407" s="9" t="s">
        <v>369</v>
      </c>
      <c r="L407" s="9">
        <v>1</v>
      </c>
      <c r="M407" s="9">
        <v>15</v>
      </c>
      <c r="R407" s="9" t="s">
        <v>787</v>
      </c>
      <c r="T407" s="86" t="s">
        <v>581</v>
      </c>
      <c r="U407" s="9">
        <f ca="1">IFERROR(OFFSET(ITEM_RES!$A$5,MATCH(BUILDING!T407,ITEM_RES!$J$5:$J$229,0)-1,0),0)</f>
        <v>211020201</v>
      </c>
      <c r="V407" s="11">
        <v>1</v>
      </c>
      <c r="W407" s="86" t="s">
        <v>583</v>
      </c>
      <c r="X407" s="9">
        <f ca="1">IFERROR(OFFSET(ITEM_RES!$A$5,MATCH(BUILDING!W407,ITEM_RES!$J$5:$J$229,0)-1,0),0)</f>
        <v>211020301</v>
      </c>
      <c r="Z407" s="9" t="s">
        <v>561</v>
      </c>
      <c r="AA407" s="9">
        <v>3</v>
      </c>
      <c r="AC407" s="9">
        <v>1200</v>
      </c>
      <c r="AE407" s="56">
        <f t="shared" si="119"/>
        <v>315</v>
      </c>
      <c r="AF407" s="10">
        <f t="shared" ref="AF407:AF424" si="127">AE406+AE407</f>
        <v>525</v>
      </c>
      <c r="AH407" s="11">
        <f t="shared" si="118"/>
        <v>15</v>
      </c>
      <c r="AI407" s="10">
        <v>15</v>
      </c>
      <c r="AJ407" s="11">
        <f t="shared" si="125"/>
        <v>15</v>
      </c>
      <c r="AK407" s="10">
        <v>15</v>
      </c>
      <c r="AL407" s="11">
        <f t="shared" si="125"/>
        <v>15</v>
      </c>
      <c r="AM407" s="10">
        <v>15</v>
      </c>
      <c r="AN407" s="56">
        <f t="shared" si="120"/>
        <v>2</v>
      </c>
      <c r="AP407" s="11">
        <f ca="1">IFERROR(OFFSET(ITEM_RES!$A$1,MATCH(AQ407,ITEM_RES!$J:$J,0)-1,0),0)</f>
        <v>211020401</v>
      </c>
      <c r="AQ407" s="10" t="s">
        <v>459</v>
      </c>
      <c r="AR407" s="11">
        <v>75</v>
      </c>
      <c r="AU407" s="11">
        <f ca="1">IFERROR(OFFSET(ITEM_RES!$A$1,MATCH(AV407,ITEM_RES!$J:$J,0)-1,0),0)</f>
        <v>211020201</v>
      </c>
      <c r="AV407" s="10" t="s">
        <v>452</v>
      </c>
      <c r="AW407" s="11">
        <v>75</v>
      </c>
      <c r="AZ407" s="11">
        <f ca="1">IFERROR(OFFSET(ITEM_RES!$A$1,MATCH(BA407,ITEM_RES!$J:$J,0)-1,0),0)</f>
        <v>0</v>
      </c>
      <c r="BE407" s="11">
        <f ca="1">IFERROR(OFFSET(ITEM_RES!$A$1,MATCH(BF407,ITEM_RES!$J:$J,0)-1,0),0)</f>
        <v>0</v>
      </c>
      <c r="BJ407" s="11">
        <f ca="1">IFERROR(OFFSET(ITEM_RES!$A$1,MATCH(BK407,ITEM_RES!$J:$J,0)-1,0),0)</f>
        <v>0</v>
      </c>
    </row>
    <row r="408" spans="1:65" x14ac:dyDescent="0.3">
      <c r="A408" s="14">
        <f t="shared" si="122"/>
        <v>112070004</v>
      </c>
      <c r="B408" s="13">
        <v>11</v>
      </c>
      <c r="C408" s="12">
        <f t="shared" si="123"/>
        <v>2</v>
      </c>
      <c r="D408" s="13">
        <v>7</v>
      </c>
      <c r="E408" s="13">
        <v>0</v>
      </c>
      <c r="F408" s="12">
        <f t="shared" si="124"/>
        <v>4</v>
      </c>
      <c r="H408" s="9">
        <v>2</v>
      </c>
      <c r="I408" s="9">
        <v>4</v>
      </c>
      <c r="K408" s="9" t="s">
        <v>369</v>
      </c>
      <c r="L408" s="9">
        <v>1</v>
      </c>
      <c r="M408" s="9">
        <v>15</v>
      </c>
      <c r="R408" s="9" t="s">
        <v>787</v>
      </c>
      <c r="T408" s="86" t="s">
        <v>581</v>
      </c>
      <c r="U408" s="9">
        <f ca="1">IFERROR(OFFSET(ITEM_RES!$A$5,MATCH(BUILDING!T408,ITEM_RES!$J$5:$J$229,0)-1,0),0)</f>
        <v>211020201</v>
      </c>
      <c r="V408" s="11">
        <v>1</v>
      </c>
      <c r="W408" s="86" t="s">
        <v>583</v>
      </c>
      <c r="X408" s="9">
        <f ca="1">IFERROR(OFFSET(ITEM_RES!$A$5,MATCH(BUILDING!W408,ITEM_RES!$J$5:$J$229,0)-1,0),0)</f>
        <v>211020301</v>
      </c>
      <c r="Z408" s="9" t="s">
        <v>561</v>
      </c>
      <c r="AA408" s="9">
        <v>4</v>
      </c>
      <c r="AC408" s="9">
        <v>2000</v>
      </c>
      <c r="AE408" s="56">
        <f t="shared" si="119"/>
        <v>525</v>
      </c>
      <c r="AF408" s="10">
        <f t="shared" si="127"/>
        <v>840</v>
      </c>
      <c r="AH408" s="11">
        <f t="shared" si="118"/>
        <v>20</v>
      </c>
      <c r="AI408" s="10">
        <v>20</v>
      </c>
      <c r="AJ408" s="11">
        <f t="shared" si="125"/>
        <v>25</v>
      </c>
      <c r="AK408" s="10">
        <v>25</v>
      </c>
      <c r="AL408" s="11">
        <f t="shared" si="125"/>
        <v>25</v>
      </c>
      <c r="AM408" s="10">
        <v>25</v>
      </c>
      <c r="AN408" s="56">
        <f t="shared" si="120"/>
        <v>2</v>
      </c>
      <c r="AP408" s="11">
        <f ca="1">IFERROR(OFFSET(ITEM_RES!$A$1,MATCH(AQ408,ITEM_RES!$J:$J,0)-1,0),0)</f>
        <v>211020401</v>
      </c>
      <c r="AQ408" s="10" t="s">
        <v>459</v>
      </c>
      <c r="AR408" s="11">
        <v>125</v>
      </c>
      <c r="AU408" s="11">
        <f ca="1">IFERROR(OFFSET(ITEM_RES!$A$1,MATCH(AV408,ITEM_RES!$J:$J,0)-1,0),0)</f>
        <v>211020201</v>
      </c>
      <c r="AV408" s="10" t="s">
        <v>452</v>
      </c>
      <c r="AW408" s="11">
        <v>125</v>
      </c>
      <c r="AZ408" s="11">
        <f ca="1">IFERROR(OFFSET(ITEM_RES!$A$1,MATCH(BA408,ITEM_RES!$J:$J,0)-1,0),0)</f>
        <v>0</v>
      </c>
      <c r="BE408" s="11">
        <f ca="1">IFERROR(OFFSET(ITEM_RES!$A$1,MATCH(BF408,ITEM_RES!$J:$J,0)-1,0),0)</f>
        <v>0</v>
      </c>
      <c r="BJ408" s="11">
        <f ca="1">IFERROR(OFFSET(ITEM_RES!$A$1,MATCH(BK408,ITEM_RES!$J:$J,0)-1,0),0)</f>
        <v>0</v>
      </c>
    </row>
    <row r="409" spans="1:65" x14ac:dyDescent="0.3">
      <c r="A409" s="14">
        <f t="shared" si="122"/>
        <v>112070005</v>
      </c>
      <c r="B409" s="13">
        <v>11</v>
      </c>
      <c r="C409" s="12">
        <f t="shared" si="123"/>
        <v>2</v>
      </c>
      <c r="D409" s="13">
        <v>7</v>
      </c>
      <c r="E409" s="13">
        <v>0</v>
      </c>
      <c r="F409" s="12">
        <f t="shared" si="124"/>
        <v>5</v>
      </c>
      <c r="H409" s="9">
        <v>2</v>
      </c>
      <c r="I409" s="9">
        <v>5</v>
      </c>
      <c r="K409" s="9" t="s">
        <v>369</v>
      </c>
      <c r="L409" s="9">
        <v>1</v>
      </c>
      <c r="M409" s="9">
        <v>15</v>
      </c>
      <c r="R409" s="9" t="s">
        <v>787</v>
      </c>
      <c r="T409" s="86" t="s">
        <v>581</v>
      </c>
      <c r="U409" s="9">
        <f ca="1">IFERROR(OFFSET(ITEM_RES!$A$5,MATCH(BUILDING!T409,ITEM_RES!$J$5:$J$229,0)-1,0),0)</f>
        <v>211020201</v>
      </c>
      <c r="V409" s="11">
        <v>1</v>
      </c>
      <c r="W409" s="86" t="s">
        <v>583</v>
      </c>
      <c r="X409" s="9">
        <f ca="1">IFERROR(OFFSET(ITEM_RES!$A$5,MATCH(BUILDING!W409,ITEM_RES!$J$5:$J$229,0)-1,0),0)</f>
        <v>211020301</v>
      </c>
      <c r="Z409" s="9" t="s">
        <v>561</v>
      </c>
      <c r="AA409" s="9">
        <v>5</v>
      </c>
      <c r="AC409" s="9">
        <v>3200</v>
      </c>
      <c r="AE409" s="56">
        <f t="shared" si="119"/>
        <v>840</v>
      </c>
      <c r="AF409" s="10">
        <f t="shared" si="127"/>
        <v>1365</v>
      </c>
      <c r="AH409" s="11">
        <f t="shared" ref="AH409:AH472" si="128">ROUND(AI409,0)</f>
        <v>25</v>
      </c>
      <c r="AI409" s="10">
        <v>25</v>
      </c>
      <c r="AJ409" s="11">
        <f t="shared" si="125"/>
        <v>40</v>
      </c>
      <c r="AK409" s="10">
        <v>40</v>
      </c>
      <c r="AL409" s="11">
        <f t="shared" si="125"/>
        <v>40</v>
      </c>
      <c r="AM409" s="10">
        <v>40</v>
      </c>
      <c r="AN409" s="56">
        <f t="shared" si="120"/>
        <v>2</v>
      </c>
      <c r="AP409" s="11">
        <f ca="1">IFERROR(OFFSET(ITEM_RES!$A$1,MATCH(AQ409,ITEM_RES!$J:$J,0)-1,0),0)</f>
        <v>211020401</v>
      </c>
      <c r="AQ409" s="10" t="s">
        <v>459</v>
      </c>
      <c r="AR409" s="11">
        <v>200</v>
      </c>
      <c r="AU409" s="11">
        <f ca="1">IFERROR(OFFSET(ITEM_RES!$A$1,MATCH(AV409,ITEM_RES!$J:$J,0)-1,0),0)</f>
        <v>211020201</v>
      </c>
      <c r="AV409" s="10" t="s">
        <v>452</v>
      </c>
      <c r="AW409" s="11">
        <v>200</v>
      </c>
      <c r="AZ409" s="11">
        <f ca="1">IFERROR(OFFSET(ITEM_RES!$A$1,MATCH(BA409,ITEM_RES!$J:$J,0)-1,0),0)</f>
        <v>0</v>
      </c>
      <c r="BE409" s="11">
        <f ca="1">IFERROR(OFFSET(ITEM_RES!$A$1,MATCH(BF409,ITEM_RES!$J:$J,0)-1,0),0)</f>
        <v>0</v>
      </c>
      <c r="BJ409" s="11">
        <f ca="1">IFERROR(OFFSET(ITEM_RES!$A$1,MATCH(BK409,ITEM_RES!$J:$J,0)-1,0),0)</f>
        <v>0</v>
      </c>
    </row>
    <row r="410" spans="1:65" x14ac:dyDescent="0.3">
      <c r="A410" s="14">
        <f t="shared" si="122"/>
        <v>112070006</v>
      </c>
      <c r="B410" s="13">
        <v>11</v>
      </c>
      <c r="C410" s="12">
        <f t="shared" si="123"/>
        <v>2</v>
      </c>
      <c r="D410" s="13">
        <v>7</v>
      </c>
      <c r="E410" s="13">
        <v>0</v>
      </c>
      <c r="F410" s="12">
        <f t="shared" si="124"/>
        <v>6</v>
      </c>
      <c r="H410" s="9">
        <v>2</v>
      </c>
      <c r="I410" s="9">
        <v>6</v>
      </c>
      <c r="K410" s="9" t="s">
        <v>369</v>
      </c>
      <c r="L410" s="9">
        <v>1</v>
      </c>
      <c r="M410" s="9">
        <v>15</v>
      </c>
      <c r="R410" s="9" t="s">
        <v>787</v>
      </c>
      <c r="T410" s="86" t="s">
        <v>581</v>
      </c>
      <c r="U410" s="9">
        <f ca="1">IFERROR(OFFSET(ITEM_RES!$A$5,MATCH(BUILDING!T410,ITEM_RES!$J$5:$J$229,0)-1,0),0)</f>
        <v>211020201</v>
      </c>
      <c r="V410" s="11">
        <v>1</v>
      </c>
      <c r="W410" s="86" t="s">
        <v>583</v>
      </c>
      <c r="X410" s="9">
        <f ca="1">IFERROR(OFFSET(ITEM_RES!$A$5,MATCH(BUILDING!W410,ITEM_RES!$J$5:$J$229,0)-1,0),0)</f>
        <v>211020301</v>
      </c>
      <c r="Z410" s="9" t="s">
        <v>561</v>
      </c>
      <c r="AA410" s="9">
        <v>6</v>
      </c>
      <c r="AC410" s="9">
        <v>4000</v>
      </c>
      <c r="AE410" s="56">
        <f t="shared" ref="AE410:AE473" si="129">AK410*10+AM410+AR410+AW410+500*BB410+500*BG410+500*BL410</f>
        <v>1050</v>
      </c>
      <c r="AF410" s="10">
        <f t="shared" si="127"/>
        <v>1890</v>
      </c>
      <c r="AH410" s="11">
        <f t="shared" si="128"/>
        <v>30</v>
      </c>
      <c r="AI410" s="10">
        <v>30</v>
      </c>
      <c r="AJ410" s="11">
        <f t="shared" si="125"/>
        <v>50</v>
      </c>
      <c r="AK410" s="10">
        <v>50</v>
      </c>
      <c r="AL410" s="11">
        <f t="shared" si="125"/>
        <v>50</v>
      </c>
      <c r="AM410" s="10">
        <v>50</v>
      </c>
      <c r="AN410" s="56">
        <f t="shared" ref="AN410:AN473" si="130">(AR410&gt;0)*1+(AW410&gt;0)*1+(BB410&gt;0)*1+(BG410&gt;0)*1+(BL410&gt;0)*1</f>
        <v>2</v>
      </c>
      <c r="AP410" s="11">
        <f ca="1">IFERROR(OFFSET(ITEM_RES!$A$1,MATCH(AQ410,ITEM_RES!$J:$J,0)-1,0),0)</f>
        <v>211020401</v>
      </c>
      <c r="AQ410" s="10" t="s">
        <v>459</v>
      </c>
      <c r="AR410" s="11">
        <v>250</v>
      </c>
      <c r="AU410" s="11">
        <f ca="1">IFERROR(OFFSET(ITEM_RES!$A$1,MATCH(AV410,ITEM_RES!$J:$J,0)-1,0),0)</f>
        <v>211020201</v>
      </c>
      <c r="AV410" s="10" t="s">
        <v>452</v>
      </c>
      <c r="AW410" s="11">
        <v>250</v>
      </c>
      <c r="AZ410" s="11">
        <f ca="1">IFERROR(OFFSET(ITEM_RES!$A$1,MATCH(BA410,ITEM_RES!$J:$J,0)-1,0),0)</f>
        <v>0</v>
      </c>
      <c r="BE410" s="11">
        <f ca="1">IFERROR(OFFSET(ITEM_RES!$A$1,MATCH(BF410,ITEM_RES!$J:$J,0)-1,0),0)</f>
        <v>0</v>
      </c>
      <c r="BJ410" s="11">
        <f ca="1">IFERROR(OFFSET(ITEM_RES!$A$1,MATCH(BK410,ITEM_RES!$J:$J,0)-1,0),0)</f>
        <v>0</v>
      </c>
    </row>
    <row r="411" spans="1:65" x14ac:dyDescent="0.3">
      <c r="A411" s="14">
        <f t="shared" si="122"/>
        <v>112070007</v>
      </c>
      <c r="B411" s="13">
        <v>11</v>
      </c>
      <c r="C411" s="12">
        <f t="shared" si="123"/>
        <v>2</v>
      </c>
      <c r="D411" s="13">
        <v>7</v>
      </c>
      <c r="E411" s="13">
        <v>0</v>
      </c>
      <c r="F411" s="12">
        <f t="shared" si="124"/>
        <v>7</v>
      </c>
      <c r="H411" s="9">
        <v>2</v>
      </c>
      <c r="I411" s="9">
        <v>7</v>
      </c>
      <c r="K411" s="9" t="s">
        <v>369</v>
      </c>
      <c r="L411" s="9">
        <v>1</v>
      </c>
      <c r="M411" s="9">
        <v>15</v>
      </c>
      <c r="R411" s="9" t="s">
        <v>787</v>
      </c>
      <c r="T411" s="86" t="s">
        <v>581</v>
      </c>
      <c r="U411" s="9">
        <f ca="1">IFERROR(OFFSET(ITEM_RES!$A$5,MATCH(BUILDING!T411,ITEM_RES!$J$5:$J$229,0)-1,0),0)</f>
        <v>211020201</v>
      </c>
      <c r="V411" s="11">
        <v>1</v>
      </c>
      <c r="W411" s="86" t="s">
        <v>583</v>
      </c>
      <c r="X411" s="9">
        <f ca="1">IFERROR(OFFSET(ITEM_RES!$A$5,MATCH(BUILDING!W411,ITEM_RES!$J$5:$J$229,0)-1,0),0)</f>
        <v>211020301</v>
      </c>
      <c r="Z411" s="9" t="s">
        <v>561</v>
      </c>
      <c r="AA411" s="9">
        <v>7</v>
      </c>
      <c r="AC411" s="9">
        <v>8000</v>
      </c>
      <c r="AE411" s="56">
        <f t="shared" si="129"/>
        <v>2100</v>
      </c>
      <c r="AF411" s="10">
        <f t="shared" si="127"/>
        <v>3150</v>
      </c>
      <c r="AH411" s="11">
        <f t="shared" si="128"/>
        <v>35</v>
      </c>
      <c r="AI411" s="10">
        <v>35</v>
      </c>
      <c r="AJ411" s="11">
        <f t="shared" si="125"/>
        <v>100</v>
      </c>
      <c r="AK411" s="10">
        <v>100</v>
      </c>
      <c r="AL411" s="11">
        <f t="shared" si="125"/>
        <v>100</v>
      </c>
      <c r="AM411" s="10">
        <v>100</v>
      </c>
      <c r="AN411" s="56">
        <f t="shared" si="130"/>
        <v>2</v>
      </c>
      <c r="AP411" s="11">
        <f ca="1">IFERROR(OFFSET(ITEM_RES!$A$1,MATCH(AQ411,ITEM_RES!$J:$J,0)-1,0),0)</f>
        <v>211020401</v>
      </c>
      <c r="AQ411" s="10" t="s">
        <v>459</v>
      </c>
      <c r="AR411" s="11">
        <v>500</v>
      </c>
      <c r="AU411" s="11">
        <f ca="1">IFERROR(OFFSET(ITEM_RES!$A$1,MATCH(AV411,ITEM_RES!$J:$J,0)-1,0),0)</f>
        <v>211020201</v>
      </c>
      <c r="AV411" s="10" t="s">
        <v>452</v>
      </c>
      <c r="AW411" s="11">
        <v>500</v>
      </c>
      <c r="AZ411" s="11">
        <f ca="1">IFERROR(OFFSET(ITEM_RES!$A$1,MATCH(BA411,ITEM_RES!$J:$J,0)-1,0),0)</f>
        <v>0</v>
      </c>
      <c r="BE411" s="11">
        <f ca="1">IFERROR(OFFSET(ITEM_RES!$A$1,MATCH(BF411,ITEM_RES!$J:$J,0)-1,0),0)</f>
        <v>0</v>
      </c>
      <c r="BJ411" s="11">
        <f ca="1">IFERROR(OFFSET(ITEM_RES!$A$1,MATCH(BK411,ITEM_RES!$J:$J,0)-1,0),0)</f>
        <v>0</v>
      </c>
    </row>
    <row r="412" spans="1:65" x14ac:dyDescent="0.3">
      <c r="A412" s="14">
        <f t="shared" si="122"/>
        <v>112070008</v>
      </c>
      <c r="B412" s="13">
        <v>11</v>
      </c>
      <c r="C412" s="12">
        <f t="shared" si="123"/>
        <v>2</v>
      </c>
      <c r="D412" s="13">
        <v>7</v>
      </c>
      <c r="E412" s="13">
        <v>0</v>
      </c>
      <c r="F412" s="12">
        <f t="shared" si="124"/>
        <v>8</v>
      </c>
      <c r="H412" s="9">
        <v>2</v>
      </c>
      <c r="I412" s="9">
        <v>8</v>
      </c>
      <c r="K412" s="9" t="s">
        <v>369</v>
      </c>
      <c r="L412" s="9">
        <v>1</v>
      </c>
      <c r="M412" s="9">
        <v>15</v>
      </c>
      <c r="R412" s="9" t="s">
        <v>787</v>
      </c>
      <c r="T412" s="86" t="s">
        <v>581</v>
      </c>
      <c r="U412" s="9">
        <f ca="1">IFERROR(OFFSET(ITEM_RES!$A$5,MATCH(BUILDING!T412,ITEM_RES!$J$5:$J$229,0)-1,0),0)</f>
        <v>211020201</v>
      </c>
      <c r="V412" s="11">
        <v>1</v>
      </c>
      <c r="W412" s="86" t="s">
        <v>583</v>
      </c>
      <c r="X412" s="9">
        <f ca="1">IFERROR(OFFSET(ITEM_RES!$A$5,MATCH(BUILDING!W412,ITEM_RES!$J$5:$J$229,0)-1,0),0)</f>
        <v>211020301</v>
      </c>
      <c r="Z412" s="9" t="s">
        <v>561</v>
      </c>
      <c r="AA412" s="9">
        <v>8</v>
      </c>
      <c r="AC412" s="9">
        <v>8000</v>
      </c>
      <c r="AE412" s="56">
        <f t="shared" si="129"/>
        <v>2100</v>
      </c>
      <c r="AF412" s="10">
        <f t="shared" si="127"/>
        <v>4200</v>
      </c>
      <c r="AH412" s="11">
        <f t="shared" si="128"/>
        <v>40</v>
      </c>
      <c r="AI412" s="10">
        <v>40</v>
      </c>
      <c r="AJ412" s="11">
        <f t="shared" si="125"/>
        <v>100</v>
      </c>
      <c r="AK412" s="10">
        <v>100</v>
      </c>
      <c r="AL412" s="11">
        <f t="shared" si="125"/>
        <v>100</v>
      </c>
      <c r="AM412" s="10">
        <v>100</v>
      </c>
      <c r="AN412" s="56">
        <f t="shared" si="130"/>
        <v>2</v>
      </c>
      <c r="AP412" s="11">
        <f ca="1">IFERROR(OFFSET(ITEM_RES!$A$1,MATCH(AQ412,ITEM_RES!$J:$J,0)-1,0),0)</f>
        <v>211020401</v>
      </c>
      <c r="AQ412" s="10" t="s">
        <v>459</v>
      </c>
      <c r="AR412" s="11">
        <v>500</v>
      </c>
      <c r="AU412" s="11">
        <f ca="1">IFERROR(OFFSET(ITEM_RES!$A$1,MATCH(AV412,ITEM_RES!$J:$J,0)-1,0),0)</f>
        <v>211020201</v>
      </c>
      <c r="AV412" s="10" t="s">
        <v>452</v>
      </c>
      <c r="AW412" s="11">
        <v>500</v>
      </c>
      <c r="AZ412" s="11">
        <f ca="1">IFERROR(OFFSET(ITEM_RES!$A$1,MATCH(BA412,ITEM_RES!$J:$J,0)-1,0),0)</f>
        <v>0</v>
      </c>
      <c r="BE412" s="11">
        <f ca="1">IFERROR(OFFSET(ITEM_RES!$A$1,MATCH(BF412,ITEM_RES!$J:$J,0)-1,0),0)</f>
        <v>0</v>
      </c>
      <c r="BJ412" s="11">
        <f ca="1">IFERROR(OFFSET(ITEM_RES!$A$1,MATCH(BK412,ITEM_RES!$J:$J,0)-1,0),0)</f>
        <v>0</v>
      </c>
    </row>
    <row r="413" spans="1:65" x14ac:dyDescent="0.3">
      <c r="A413" s="14">
        <f t="shared" si="122"/>
        <v>112070009</v>
      </c>
      <c r="B413" s="13">
        <v>11</v>
      </c>
      <c r="C413" s="12">
        <f t="shared" si="123"/>
        <v>2</v>
      </c>
      <c r="D413" s="13">
        <v>7</v>
      </c>
      <c r="E413" s="13">
        <v>0</v>
      </c>
      <c r="F413" s="12">
        <f t="shared" si="124"/>
        <v>9</v>
      </c>
      <c r="H413" s="9">
        <v>2</v>
      </c>
      <c r="I413" s="9">
        <v>9</v>
      </c>
      <c r="K413" s="9" t="s">
        <v>369</v>
      </c>
      <c r="L413" s="9">
        <v>1</v>
      </c>
      <c r="M413" s="9">
        <v>15</v>
      </c>
      <c r="R413" s="9" t="s">
        <v>787</v>
      </c>
      <c r="T413" s="86" t="s">
        <v>581</v>
      </c>
      <c r="U413" s="9">
        <f ca="1">IFERROR(OFFSET(ITEM_RES!$A$5,MATCH(BUILDING!T413,ITEM_RES!$J$5:$J$229,0)-1,0),0)</f>
        <v>211020201</v>
      </c>
      <c r="V413" s="11">
        <v>1</v>
      </c>
      <c r="W413" s="86" t="s">
        <v>583</v>
      </c>
      <c r="X413" s="9">
        <f ca="1">IFERROR(OFFSET(ITEM_RES!$A$5,MATCH(BUILDING!W413,ITEM_RES!$J$5:$J$229,0)-1,0),0)</f>
        <v>211020301</v>
      </c>
      <c r="Z413" s="9" t="s">
        <v>561</v>
      </c>
      <c r="AA413" s="9">
        <v>9</v>
      </c>
      <c r="AC413" s="9">
        <v>12000</v>
      </c>
      <c r="AE413" s="56">
        <f t="shared" si="129"/>
        <v>3150</v>
      </c>
      <c r="AF413" s="10">
        <f t="shared" si="127"/>
        <v>5250</v>
      </c>
      <c r="AH413" s="11">
        <f t="shared" si="128"/>
        <v>45</v>
      </c>
      <c r="AI413" s="10">
        <v>45</v>
      </c>
      <c r="AJ413" s="11">
        <f t="shared" si="125"/>
        <v>150</v>
      </c>
      <c r="AK413" s="10">
        <v>150</v>
      </c>
      <c r="AL413" s="11">
        <f t="shared" si="125"/>
        <v>150</v>
      </c>
      <c r="AM413" s="10">
        <v>150</v>
      </c>
      <c r="AN413" s="56">
        <f t="shared" si="130"/>
        <v>2</v>
      </c>
      <c r="AP413" s="11">
        <f ca="1">IFERROR(OFFSET(ITEM_RES!$A$1,MATCH(AQ413,ITEM_RES!$J:$J,0)-1,0),0)</f>
        <v>211020401</v>
      </c>
      <c r="AQ413" s="10" t="s">
        <v>459</v>
      </c>
      <c r="AR413" s="11">
        <v>750</v>
      </c>
      <c r="AU413" s="11">
        <f ca="1">IFERROR(OFFSET(ITEM_RES!$A$1,MATCH(AV413,ITEM_RES!$J:$J,0)-1,0),0)</f>
        <v>211020201</v>
      </c>
      <c r="AV413" s="10" t="s">
        <v>452</v>
      </c>
      <c r="AW413" s="11">
        <v>750</v>
      </c>
      <c r="AZ413" s="11">
        <f ca="1">IFERROR(OFFSET(ITEM_RES!$A$1,MATCH(BA413,ITEM_RES!$J:$J,0)-1,0),0)</f>
        <v>0</v>
      </c>
      <c r="BE413" s="11">
        <f ca="1">IFERROR(OFFSET(ITEM_RES!$A$1,MATCH(BF413,ITEM_RES!$J:$J,0)-1,0),0)</f>
        <v>0</v>
      </c>
      <c r="BJ413" s="11">
        <f ca="1">IFERROR(OFFSET(ITEM_RES!$A$1,MATCH(BK413,ITEM_RES!$J:$J,0)-1,0),0)</f>
        <v>0</v>
      </c>
    </row>
    <row r="414" spans="1:65" x14ac:dyDescent="0.3">
      <c r="A414" s="14">
        <f t="shared" si="122"/>
        <v>112070010</v>
      </c>
      <c r="B414" s="13">
        <v>11</v>
      </c>
      <c r="C414" s="12">
        <f t="shared" si="123"/>
        <v>2</v>
      </c>
      <c r="D414" s="13">
        <v>7</v>
      </c>
      <c r="E414" s="13">
        <v>0</v>
      </c>
      <c r="F414" s="12">
        <f t="shared" si="124"/>
        <v>10</v>
      </c>
      <c r="H414" s="9">
        <v>2</v>
      </c>
      <c r="I414" s="9">
        <v>10</v>
      </c>
      <c r="K414" s="9" t="s">
        <v>369</v>
      </c>
      <c r="L414" s="9">
        <v>1</v>
      </c>
      <c r="M414" s="9">
        <v>15</v>
      </c>
      <c r="R414" s="9" t="s">
        <v>787</v>
      </c>
      <c r="T414" s="86" t="s">
        <v>581</v>
      </c>
      <c r="U414" s="9">
        <f ca="1">IFERROR(OFFSET(ITEM_RES!$A$5,MATCH(BUILDING!T414,ITEM_RES!$J$5:$J$229,0)-1,0),0)</f>
        <v>211020201</v>
      </c>
      <c r="V414" s="11">
        <v>1</v>
      </c>
      <c r="W414" s="86" t="s">
        <v>583</v>
      </c>
      <c r="X414" s="9">
        <f ca="1">IFERROR(OFFSET(ITEM_RES!$A$5,MATCH(BUILDING!W414,ITEM_RES!$J$5:$J$229,0)-1,0),0)</f>
        <v>211020301</v>
      </c>
      <c r="Z414" s="9" t="s">
        <v>561</v>
      </c>
      <c r="AA414" s="9">
        <v>10</v>
      </c>
      <c r="AC414" s="9">
        <v>16000</v>
      </c>
      <c r="AE414" s="56">
        <f t="shared" si="129"/>
        <v>4200</v>
      </c>
      <c r="AF414" s="10">
        <f t="shared" si="127"/>
        <v>7350</v>
      </c>
      <c r="AH414" s="11">
        <f t="shared" si="128"/>
        <v>50</v>
      </c>
      <c r="AI414" s="10">
        <v>50</v>
      </c>
      <c r="AJ414" s="11">
        <f t="shared" si="125"/>
        <v>200</v>
      </c>
      <c r="AK414" s="10">
        <v>200</v>
      </c>
      <c r="AL414" s="11">
        <f t="shared" si="125"/>
        <v>200</v>
      </c>
      <c r="AM414" s="10">
        <v>200</v>
      </c>
      <c r="AN414" s="56">
        <f t="shared" si="130"/>
        <v>2</v>
      </c>
      <c r="AP414" s="11">
        <f ca="1">IFERROR(OFFSET(ITEM_RES!$A$1,MATCH(AQ414,ITEM_RES!$J:$J,0)-1,0),0)</f>
        <v>211020401</v>
      </c>
      <c r="AQ414" s="10" t="s">
        <v>459</v>
      </c>
      <c r="AR414" s="11">
        <v>1000</v>
      </c>
      <c r="AU414" s="11">
        <f ca="1">IFERROR(OFFSET(ITEM_RES!$A$1,MATCH(AV414,ITEM_RES!$J:$J,0)-1,0),0)</f>
        <v>211020201</v>
      </c>
      <c r="AV414" s="10" t="s">
        <v>452</v>
      </c>
      <c r="AW414" s="11">
        <v>1000</v>
      </c>
      <c r="AZ414" s="11">
        <f ca="1">IFERROR(OFFSET(ITEM_RES!$A$1,MATCH(BA414,ITEM_RES!$J:$J,0)-1,0),0)</f>
        <v>0</v>
      </c>
      <c r="BE414" s="11">
        <f ca="1">IFERROR(OFFSET(ITEM_RES!$A$1,MATCH(BF414,ITEM_RES!$J:$J,0)-1,0),0)</f>
        <v>0</v>
      </c>
      <c r="BJ414" s="11">
        <f ca="1">IFERROR(OFFSET(ITEM_RES!$A$1,MATCH(BK414,ITEM_RES!$J:$J,0)-1,0),0)</f>
        <v>0</v>
      </c>
    </row>
    <row r="415" spans="1:65" x14ac:dyDescent="0.3">
      <c r="A415" s="14">
        <f t="shared" si="122"/>
        <v>112070011</v>
      </c>
      <c r="B415" s="13">
        <v>11</v>
      </c>
      <c r="C415" s="12">
        <f t="shared" si="123"/>
        <v>2</v>
      </c>
      <c r="D415" s="13">
        <v>7</v>
      </c>
      <c r="E415" s="13">
        <v>0</v>
      </c>
      <c r="F415" s="12">
        <f t="shared" si="124"/>
        <v>11</v>
      </c>
      <c r="H415" s="9">
        <v>2</v>
      </c>
      <c r="I415" s="9">
        <v>11</v>
      </c>
      <c r="K415" s="9" t="s">
        <v>369</v>
      </c>
      <c r="L415" s="9">
        <v>1</v>
      </c>
      <c r="M415" s="9">
        <v>15</v>
      </c>
      <c r="R415" s="9" t="s">
        <v>787</v>
      </c>
      <c r="T415" s="86" t="s">
        <v>581</v>
      </c>
      <c r="U415" s="9">
        <f ca="1">IFERROR(OFFSET(ITEM_RES!$A$5,MATCH(BUILDING!T415,ITEM_RES!$J$5:$J$229,0)-1,0),0)</f>
        <v>211020201</v>
      </c>
      <c r="V415" s="11">
        <v>1</v>
      </c>
      <c r="W415" s="86" t="s">
        <v>583</v>
      </c>
      <c r="X415" s="9">
        <f ca="1">IFERROR(OFFSET(ITEM_RES!$A$5,MATCH(BUILDING!W415,ITEM_RES!$J$5:$J$229,0)-1,0),0)</f>
        <v>211020301</v>
      </c>
      <c r="Z415" s="9" t="s">
        <v>561</v>
      </c>
      <c r="AA415" s="9">
        <v>11</v>
      </c>
      <c r="AC415" s="9">
        <v>20000</v>
      </c>
      <c r="AE415" s="56">
        <f t="shared" si="129"/>
        <v>5750</v>
      </c>
      <c r="AF415" s="10">
        <f t="shared" si="127"/>
        <v>9950</v>
      </c>
      <c r="AH415" s="11">
        <f t="shared" si="128"/>
        <v>55</v>
      </c>
      <c r="AI415" s="10">
        <v>55</v>
      </c>
      <c r="AJ415" s="11">
        <f t="shared" si="125"/>
        <v>250</v>
      </c>
      <c r="AK415" s="10">
        <v>250</v>
      </c>
      <c r="AL415" s="11">
        <f t="shared" si="125"/>
        <v>250</v>
      </c>
      <c r="AM415" s="10">
        <v>250</v>
      </c>
      <c r="AN415" s="56">
        <f t="shared" si="130"/>
        <v>3</v>
      </c>
      <c r="AP415" s="11">
        <f ca="1">IFERROR(OFFSET(ITEM_RES!$A$1,MATCH(AQ415,ITEM_RES!$J:$J,0)-1,0),0)</f>
        <v>211020401</v>
      </c>
      <c r="AQ415" s="10" t="s">
        <v>459</v>
      </c>
      <c r="AR415" s="11">
        <v>1250</v>
      </c>
      <c r="AU415" s="11">
        <f ca="1">IFERROR(OFFSET(ITEM_RES!$A$1,MATCH(AV415,ITEM_RES!$J:$J,0)-1,0),0)</f>
        <v>211020201</v>
      </c>
      <c r="AV415" s="10" t="s">
        <v>452</v>
      </c>
      <c r="AW415" s="11">
        <v>1250</v>
      </c>
      <c r="AZ415" s="11">
        <f ca="1">IFERROR(OFFSET(ITEM_RES!$A$1,MATCH(BA415,ITEM_RES!$J:$J,0)-1,0),0)</f>
        <v>0</v>
      </c>
      <c r="BE415" s="11">
        <f ca="1">IFERROR(OFFSET(ITEM_RES!$A$1,MATCH(BF415,ITEM_RES!$J:$J,0)-1,0),0)</f>
        <v>213011201</v>
      </c>
      <c r="BF415" s="10" t="s">
        <v>496</v>
      </c>
      <c r="BG415" s="11">
        <v>1</v>
      </c>
      <c r="BJ415" s="11">
        <f ca="1">IFERROR(OFFSET(ITEM_RES!$A$1,MATCH(BK415,ITEM_RES!$J:$J,0)-1,0),0)</f>
        <v>0</v>
      </c>
    </row>
    <row r="416" spans="1:65" x14ac:dyDescent="0.3">
      <c r="A416" s="14">
        <f t="shared" si="122"/>
        <v>112070012</v>
      </c>
      <c r="B416" s="13">
        <v>11</v>
      </c>
      <c r="C416" s="12">
        <f t="shared" si="123"/>
        <v>2</v>
      </c>
      <c r="D416" s="13">
        <v>7</v>
      </c>
      <c r="E416" s="13">
        <v>0</v>
      </c>
      <c r="F416" s="12">
        <f t="shared" si="124"/>
        <v>12</v>
      </c>
      <c r="H416" s="9">
        <v>2</v>
      </c>
      <c r="I416" s="9">
        <v>12</v>
      </c>
      <c r="K416" s="9" t="s">
        <v>369</v>
      </c>
      <c r="L416" s="9">
        <v>1</v>
      </c>
      <c r="M416" s="9">
        <v>15</v>
      </c>
      <c r="R416" s="9" t="s">
        <v>787</v>
      </c>
      <c r="T416" s="86" t="s">
        <v>581</v>
      </c>
      <c r="U416" s="9">
        <f ca="1">IFERROR(OFFSET(ITEM_RES!$A$5,MATCH(BUILDING!T416,ITEM_RES!$J$5:$J$229,0)-1,0),0)</f>
        <v>211020201</v>
      </c>
      <c r="V416" s="11">
        <v>1</v>
      </c>
      <c r="W416" s="86" t="s">
        <v>583</v>
      </c>
      <c r="X416" s="9">
        <f ca="1">IFERROR(OFFSET(ITEM_RES!$A$5,MATCH(BUILDING!W416,ITEM_RES!$J$5:$J$229,0)-1,0),0)</f>
        <v>211020301</v>
      </c>
      <c r="Z416" s="9" t="s">
        <v>561</v>
      </c>
      <c r="AA416" s="9">
        <v>12</v>
      </c>
      <c r="AC416" s="9">
        <v>24000</v>
      </c>
      <c r="AE416" s="56">
        <f t="shared" si="129"/>
        <v>6300</v>
      </c>
      <c r="AF416" s="10">
        <f t="shared" si="127"/>
        <v>12050</v>
      </c>
      <c r="AH416" s="11">
        <f t="shared" si="128"/>
        <v>60</v>
      </c>
      <c r="AI416" s="10">
        <v>60</v>
      </c>
      <c r="AJ416" s="11">
        <f t="shared" si="125"/>
        <v>300</v>
      </c>
      <c r="AK416" s="10">
        <v>300</v>
      </c>
      <c r="AL416" s="11">
        <f t="shared" si="125"/>
        <v>300</v>
      </c>
      <c r="AM416" s="10">
        <v>300</v>
      </c>
      <c r="AN416" s="56">
        <f t="shared" si="130"/>
        <v>2</v>
      </c>
      <c r="AP416" s="11">
        <f ca="1">IFERROR(OFFSET(ITEM_RES!$A$1,MATCH(AQ416,ITEM_RES!$J:$J,0)-1,0),0)</f>
        <v>211020401</v>
      </c>
      <c r="AQ416" s="10" t="s">
        <v>459</v>
      </c>
      <c r="AR416" s="11">
        <v>1500</v>
      </c>
      <c r="AU416" s="11">
        <f ca="1">IFERROR(OFFSET(ITEM_RES!$A$1,MATCH(AV416,ITEM_RES!$J:$J,0)-1,0),0)</f>
        <v>211020201</v>
      </c>
      <c r="AV416" s="10" t="s">
        <v>452</v>
      </c>
      <c r="AW416" s="11">
        <v>1500</v>
      </c>
      <c r="AZ416" s="11">
        <f ca="1">IFERROR(OFFSET(ITEM_RES!$A$1,MATCH(BA416,ITEM_RES!$J:$J,0)-1,0),0)</f>
        <v>0</v>
      </c>
      <c r="BE416" s="11">
        <f ca="1">IFERROR(OFFSET(ITEM_RES!$A$1,MATCH(BF416,ITEM_RES!$J:$J,0)-1,0),0)</f>
        <v>0</v>
      </c>
      <c r="BJ416" s="11">
        <f ca="1">IFERROR(OFFSET(ITEM_RES!$A$1,MATCH(BK416,ITEM_RES!$J:$J,0)-1,0),0)</f>
        <v>0</v>
      </c>
    </row>
    <row r="417" spans="1:65" x14ac:dyDescent="0.3">
      <c r="A417" s="14">
        <f t="shared" si="122"/>
        <v>112070013</v>
      </c>
      <c r="B417" s="13">
        <v>11</v>
      </c>
      <c r="C417" s="12">
        <f t="shared" si="123"/>
        <v>2</v>
      </c>
      <c r="D417" s="13">
        <v>7</v>
      </c>
      <c r="E417" s="13">
        <v>0</v>
      </c>
      <c r="F417" s="12">
        <f t="shared" si="124"/>
        <v>13</v>
      </c>
      <c r="H417" s="9">
        <v>2</v>
      </c>
      <c r="I417" s="9">
        <v>13</v>
      </c>
      <c r="K417" s="9" t="s">
        <v>369</v>
      </c>
      <c r="L417" s="9">
        <v>1</v>
      </c>
      <c r="M417" s="9">
        <v>15</v>
      </c>
      <c r="R417" s="9" t="s">
        <v>787</v>
      </c>
      <c r="T417" s="86" t="s">
        <v>581</v>
      </c>
      <c r="U417" s="9">
        <f ca="1">IFERROR(OFFSET(ITEM_RES!$A$5,MATCH(BUILDING!T417,ITEM_RES!$J$5:$J$229,0)-1,0),0)</f>
        <v>211020201</v>
      </c>
      <c r="V417" s="11">
        <v>1</v>
      </c>
      <c r="W417" s="86" t="s">
        <v>583</v>
      </c>
      <c r="X417" s="9">
        <f ca="1">IFERROR(OFFSET(ITEM_RES!$A$5,MATCH(BUILDING!W417,ITEM_RES!$J$5:$J$229,0)-1,0),0)</f>
        <v>211020301</v>
      </c>
      <c r="Z417" s="9" t="s">
        <v>561</v>
      </c>
      <c r="AA417" s="9">
        <v>13</v>
      </c>
      <c r="AC417" s="9">
        <v>28000</v>
      </c>
      <c r="AE417" s="56">
        <f t="shared" si="129"/>
        <v>7350</v>
      </c>
      <c r="AF417" s="10">
        <f t="shared" si="127"/>
        <v>13650</v>
      </c>
      <c r="AH417" s="11">
        <f t="shared" si="128"/>
        <v>65</v>
      </c>
      <c r="AI417" s="10">
        <v>65</v>
      </c>
      <c r="AJ417" s="11">
        <f t="shared" si="125"/>
        <v>350</v>
      </c>
      <c r="AK417" s="10">
        <v>350</v>
      </c>
      <c r="AL417" s="11">
        <f t="shared" si="125"/>
        <v>350</v>
      </c>
      <c r="AM417" s="10">
        <v>350</v>
      </c>
      <c r="AN417" s="56">
        <f t="shared" si="130"/>
        <v>2</v>
      </c>
      <c r="AP417" s="11">
        <f ca="1">IFERROR(OFFSET(ITEM_RES!$A$1,MATCH(AQ417,ITEM_RES!$J:$J,0)-1,0),0)</f>
        <v>211020401</v>
      </c>
      <c r="AQ417" s="10" t="s">
        <v>459</v>
      </c>
      <c r="AR417" s="11">
        <v>1750</v>
      </c>
      <c r="AU417" s="11">
        <f ca="1">IFERROR(OFFSET(ITEM_RES!$A$1,MATCH(AV417,ITEM_RES!$J:$J,0)-1,0),0)</f>
        <v>211020201</v>
      </c>
      <c r="AV417" s="10" t="s">
        <v>452</v>
      </c>
      <c r="AW417" s="11">
        <v>1750</v>
      </c>
      <c r="AZ417" s="11">
        <f ca="1">IFERROR(OFFSET(ITEM_RES!$A$1,MATCH(BA417,ITEM_RES!$J:$J,0)-1,0),0)</f>
        <v>0</v>
      </c>
      <c r="BE417" s="11">
        <f ca="1">IFERROR(OFFSET(ITEM_RES!$A$1,MATCH(BF417,ITEM_RES!$J:$J,0)-1,0),0)</f>
        <v>0</v>
      </c>
      <c r="BJ417" s="11">
        <f ca="1">IFERROR(OFFSET(ITEM_RES!$A$1,MATCH(BK417,ITEM_RES!$J:$J,0)-1,0),0)</f>
        <v>0</v>
      </c>
    </row>
    <row r="418" spans="1:65" x14ac:dyDescent="0.3">
      <c r="A418" s="14">
        <f t="shared" si="122"/>
        <v>112070014</v>
      </c>
      <c r="B418" s="13">
        <v>11</v>
      </c>
      <c r="C418" s="12">
        <f t="shared" si="123"/>
        <v>2</v>
      </c>
      <c r="D418" s="13">
        <v>7</v>
      </c>
      <c r="E418" s="13">
        <v>0</v>
      </c>
      <c r="F418" s="12">
        <f t="shared" si="124"/>
        <v>14</v>
      </c>
      <c r="H418" s="9">
        <v>2</v>
      </c>
      <c r="I418" s="9">
        <v>14</v>
      </c>
      <c r="K418" s="9" t="s">
        <v>369</v>
      </c>
      <c r="L418" s="9">
        <v>1</v>
      </c>
      <c r="M418" s="9">
        <v>15</v>
      </c>
      <c r="R418" s="9" t="s">
        <v>787</v>
      </c>
      <c r="T418" s="86" t="s">
        <v>581</v>
      </c>
      <c r="U418" s="9">
        <f ca="1">IFERROR(OFFSET(ITEM_RES!$A$5,MATCH(BUILDING!T418,ITEM_RES!$J$5:$J$229,0)-1,0),0)</f>
        <v>211020201</v>
      </c>
      <c r="V418" s="11">
        <v>1</v>
      </c>
      <c r="W418" s="86" t="s">
        <v>583</v>
      </c>
      <c r="X418" s="9">
        <f ca="1">IFERROR(OFFSET(ITEM_RES!$A$5,MATCH(BUILDING!W418,ITEM_RES!$J$5:$J$229,0)-1,0),0)</f>
        <v>211020301</v>
      </c>
      <c r="Z418" s="9" t="s">
        <v>561</v>
      </c>
      <c r="AA418" s="9">
        <v>14</v>
      </c>
      <c r="AC418" s="9">
        <v>36000</v>
      </c>
      <c r="AE418" s="56">
        <f t="shared" si="129"/>
        <v>9450</v>
      </c>
      <c r="AF418" s="10">
        <f t="shared" si="127"/>
        <v>16800</v>
      </c>
      <c r="AH418" s="11">
        <f t="shared" si="128"/>
        <v>70</v>
      </c>
      <c r="AI418" s="10">
        <v>70</v>
      </c>
      <c r="AJ418" s="11">
        <f t="shared" si="125"/>
        <v>450</v>
      </c>
      <c r="AK418" s="10">
        <v>450</v>
      </c>
      <c r="AL418" s="11">
        <f t="shared" si="125"/>
        <v>450</v>
      </c>
      <c r="AM418" s="10">
        <v>450</v>
      </c>
      <c r="AN418" s="56">
        <f t="shared" si="130"/>
        <v>2</v>
      </c>
      <c r="AP418" s="11">
        <f ca="1">IFERROR(OFFSET(ITEM_RES!$A$1,MATCH(AQ418,ITEM_RES!$J:$J,0)-1,0),0)</f>
        <v>211020401</v>
      </c>
      <c r="AQ418" s="10" t="s">
        <v>459</v>
      </c>
      <c r="AR418" s="11">
        <v>2250</v>
      </c>
      <c r="AU418" s="11">
        <f ca="1">IFERROR(OFFSET(ITEM_RES!$A$1,MATCH(AV418,ITEM_RES!$J:$J,0)-1,0),0)</f>
        <v>0</v>
      </c>
      <c r="AV418" s="10" t="s">
        <v>467</v>
      </c>
      <c r="AW418" s="11">
        <v>2250</v>
      </c>
      <c r="AZ418" s="11">
        <f ca="1">IFERROR(OFFSET(ITEM_RES!$A$1,MATCH(BA418,ITEM_RES!$J:$J,0)-1,0),0)</f>
        <v>0</v>
      </c>
      <c r="BE418" s="11">
        <f ca="1">IFERROR(OFFSET(ITEM_RES!$A$1,MATCH(BF418,ITEM_RES!$J:$J,0)-1,0),0)</f>
        <v>0</v>
      </c>
      <c r="BJ418" s="11">
        <f ca="1">IFERROR(OFFSET(ITEM_RES!$A$1,MATCH(BK418,ITEM_RES!$J:$J,0)-1,0),0)</f>
        <v>0</v>
      </c>
    </row>
    <row r="419" spans="1:65" x14ac:dyDescent="0.3">
      <c r="A419" s="14">
        <f t="shared" si="122"/>
        <v>112070015</v>
      </c>
      <c r="B419" s="13">
        <v>11</v>
      </c>
      <c r="C419" s="12">
        <f t="shared" si="123"/>
        <v>2</v>
      </c>
      <c r="D419" s="13">
        <v>7</v>
      </c>
      <c r="E419" s="13">
        <v>0</v>
      </c>
      <c r="F419" s="12">
        <f t="shared" si="124"/>
        <v>15</v>
      </c>
      <c r="H419" s="9">
        <v>2</v>
      </c>
      <c r="I419" s="9">
        <v>15</v>
      </c>
      <c r="K419" s="9" t="s">
        <v>369</v>
      </c>
      <c r="L419" s="9">
        <v>1</v>
      </c>
      <c r="M419" s="9">
        <v>15</v>
      </c>
      <c r="R419" s="9" t="s">
        <v>787</v>
      </c>
      <c r="T419" s="86" t="s">
        <v>581</v>
      </c>
      <c r="U419" s="9">
        <f ca="1">IFERROR(OFFSET(ITEM_RES!$A$5,MATCH(BUILDING!T419,ITEM_RES!$J$5:$J$229,0)-1,0),0)</f>
        <v>211020201</v>
      </c>
      <c r="V419" s="11">
        <v>1</v>
      </c>
      <c r="W419" s="86" t="s">
        <v>583</v>
      </c>
      <c r="X419" s="9">
        <f ca="1">IFERROR(OFFSET(ITEM_RES!$A$5,MATCH(BUILDING!W419,ITEM_RES!$J$5:$J$229,0)-1,0),0)</f>
        <v>211020301</v>
      </c>
      <c r="Z419" s="9" t="s">
        <v>561</v>
      </c>
      <c r="AA419" s="9">
        <v>15</v>
      </c>
      <c r="AC419" s="9">
        <v>44000</v>
      </c>
      <c r="AE419" s="56">
        <f t="shared" si="129"/>
        <v>11550</v>
      </c>
      <c r="AF419" s="10">
        <f t="shared" si="127"/>
        <v>21000</v>
      </c>
      <c r="AH419" s="11">
        <f t="shared" si="128"/>
        <v>75</v>
      </c>
      <c r="AI419" s="10">
        <v>75</v>
      </c>
      <c r="AJ419" s="11">
        <f t="shared" si="125"/>
        <v>550</v>
      </c>
      <c r="AK419" s="10">
        <v>550</v>
      </c>
      <c r="AL419" s="11">
        <f t="shared" si="125"/>
        <v>550</v>
      </c>
      <c r="AM419" s="10">
        <v>550</v>
      </c>
      <c r="AN419" s="56">
        <f t="shared" si="130"/>
        <v>2</v>
      </c>
      <c r="AP419" s="11">
        <f ca="1">IFERROR(OFFSET(ITEM_RES!$A$1,MATCH(AQ419,ITEM_RES!$J:$J,0)-1,0),0)</f>
        <v>211020501</v>
      </c>
      <c r="AQ419" s="10" t="s">
        <v>455</v>
      </c>
      <c r="AR419" s="11">
        <v>2750</v>
      </c>
      <c r="AU419" s="11">
        <f ca="1">IFERROR(OFFSET(ITEM_RES!$A$1,MATCH(AV419,ITEM_RES!$J:$J,0)-1,0),0)</f>
        <v>0</v>
      </c>
      <c r="AV419" s="10" t="s">
        <v>467</v>
      </c>
      <c r="AW419" s="11">
        <v>2750</v>
      </c>
      <c r="AZ419" s="11">
        <f ca="1">IFERROR(OFFSET(ITEM_RES!$A$1,MATCH(BA419,ITEM_RES!$J:$J,0)-1,0),0)</f>
        <v>0</v>
      </c>
      <c r="BE419" s="11">
        <f ca="1">IFERROR(OFFSET(ITEM_RES!$A$1,MATCH(BF419,ITEM_RES!$J:$J,0)-1,0),0)</f>
        <v>0</v>
      </c>
      <c r="BJ419" s="11">
        <f ca="1">IFERROR(OFFSET(ITEM_RES!$A$1,MATCH(BK419,ITEM_RES!$J:$J,0)-1,0),0)</f>
        <v>0</v>
      </c>
    </row>
    <row r="420" spans="1:65" x14ac:dyDescent="0.3">
      <c r="A420" s="14">
        <f t="shared" si="122"/>
        <v>112070016</v>
      </c>
      <c r="B420" s="13">
        <v>11</v>
      </c>
      <c r="C420" s="12">
        <f t="shared" si="123"/>
        <v>2</v>
      </c>
      <c r="D420" s="13">
        <v>7</v>
      </c>
      <c r="E420" s="13">
        <v>0</v>
      </c>
      <c r="F420" s="12">
        <f t="shared" si="124"/>
        <v>16</v>
      </c>
      <c r="H420" s="9">
        <v>2</v>
      </c>
      <c r="I420" s="9">
        <v>16</v>
      </c>
      <c r="K420" s="9" t="s">
        <v>369</v>
      </c>
      <c r="L420" s="9">
        <v>0</v>
      </c>
      <c r="M420" s="9">
        <v>15</v>
      </c>
      <c r="R420" s="9" t="s">
        <v>787</v>
      </c>
      <c r="T420" s="86" t="s">
        <v>581</v>
      </c>
      <c r="U420" s="9">
        <f ca="1">IFERROR(OFFSET(ITEM_RES!$A$5,MATCH(BUILDING!T420,ITEM_RES!$J$5:$J$229,0)-1,0),0)</f>
        <v>211020201</v>
      </c>
      <c r="V420" s="11">
        <v>1</v>
      </c>
      <c r="W420" s="86" t="s">
        <v>583</v>
      </c>
      <c r="X420" s="9">
        <f ca="1">IFERROR(OFFSET(ITEM_RES!$A$5,MATCH(BUILDING!W420,ITEM_RES!$J$5:$J$229,0)-1,0),0)</f>
        <v>211020301</v>
      </c>
      <c r="Z420" s="9" t="s">
        <v>561</v>
      </c>
      <c r="AA420" s="9">
        <v>16</v>
      </c>
      <c r="AC420" s="9">
        <v>56000</v>
      </c>
      <c r="AE420" s="56">
        <f t="shared" si="129"/>
        <v>14700</v>
      </c>
      <c r="AF420" s="10">
        <f t="shared" si="127"/>
        <v>26250</v>
      </c>
      <c r="AH420" s="11">
        <f t="shared" si="128"/>
        <v>80</v>
      </c>
      <c r="AI420" s="10">
        <v>80</v>
      </c>
      <c r="AJ420" s="11">
        <f t="shared" si="125"/>
        <v>700</v>
      </c>
      <c r="AK420" s="10">
        <v>700</v>
      </c>
      <c r="AL420" s="11">
        <f t="shared" si="125"/>
        <v>700</v>
      </c>
      <c r="AM420" s="10">
        <v>700</v>
      </c>
      <c r="AN420" s="56">
        <f t="shared" si="130"/>
        <v>2</v>
      </c>
      <c r="AP420" s="11">
        <f ca="1">IFERROR(OFFSET(ITEM_RES!$A$1,MATCH(AQ420,ITEM_RES!$J:$J,0)-1,0),0)</f>
        <v>211020501</v>
      </c>
      <c r="AQ420" s="10" t="s">
        <v>455</v>
      </c>
      <c r="AR420" s="11">
        <v>3500</v>
      </c>
      <c r="AU420" s="11">
        <f ca="1">IFERROR(OFFSET(ITEM_RES!$A$1,MATCH(AV420,ITEM_RES!$J:$J,0)-1,0),0)</f>
        <v>0</v>
      </c>
      <c r="AV420" s="10" t="s">
        <v>467</v>
      </c>
      <c r="AW420" s="11">
        <v>3500</v>
      </c>
      <c r="AZ420" s="11">
        <f ca="1">IFERROR(OFFSET(ITEM_RES!$A$1,MATCH(BA420,ITEM_RES!$J:$J,0)-1,0),0)</f>
        <v>0</v>
      </c>
      <c r="BE420" s="11">
        <f ca="1">IFERROR(OFFSET(ITEM_RES!$A$1,MATCH(BF420,ITEM_RES!$J:$J,0)-1,0),0)</f>
        <v>0</v>
      </c>
      <c r="BJ420" s="11">
        <f ca="1">IFERROR(OFFSET(ITEM_RES!$A$1,MATCH(BK420,ITEM_RES!$J:$J,0)-1,0),0)</f>
        <v>0</v>
      </c>
    </row>
    <row r="421" spans="1:65" x14ac:dyDescent="0.3">
      <c r="A421" s="14">
        <f t="shared" si="122"/>
        <v>112070017</v>
      </c>
      <c r="B421" s="13">
        <v>11</v>
      </c>
      <c r="C421" s="12">
        <f t="shared" si="123"/>
        <v>2</v>
      </c>
      <c r="D421" s="13">
        <v>7</v>
      </c>
      <c r="E421" s="13">
        <v>0</v>
      </c>
      <c r="F421" s="12">
        <f t="shared" si="124"/>
        <v>17</v>
      </c>
      <c r="H421" s="9">
        <v>2</v>
      </c>
      <c r="I421" s="9">
        <v>17</v>
      </c>
      <c r="K421" s="9" t="s">
        <v>369</v>
      </c>
      <c r="L421" s="9">
        <v>0</v>
      </c>
      <c r="M421" s="9">
        <v>15</v>
      </c>
      <c r="R421" s="9" t="s">
        <v>787</v>
      </c>
      <c r="T421" s="86" t="s">
        <v>581</v>
      </c>
      <c r="U421" s="9">
        <f ca="1">IFERROR(OFFSET(ITEM_RES!$A$5,MATCH(BUILDING!T421,ITEM_RES!$J$5:$J$229,0)-1,0),0)</f>
        <v>211020201</v>
      </c>
      <c r="V421" s="11">
        <v>1</v>
      </c>
      <c r="W421" s="86" t="s">
        <v>583</v>
      </c>
      <c r="X421" s="9">
        <f ca="1">IFERROR(OFFSET(ITEM_RES!$A$5,MATCH(BUILDING!W421,ITEM_RES!$J$5:$J$229,0)-1,0),0)</f>
        <v>211020301</v>
      </c>
      <c r="Z421" s="9" t="s">
        <v>561</v>
      </c>
      <c r="AA421" s="9">
        <v>17</v>
      </c>
      <c r="AC421" s="9">
        <v>68000</v>
      </c>
      <c r="AE421" s="56">
        <f t="shared" si="129"/>
        <v>17850</v>
      </c>
      <c r="AF421" s="10">
        <f t="shared" si="127"/>
        <v>32550</v>
      </c>
      <c r="AH421" s="11">
        <f t="shared" si="128"/>
        <v>85</v>
      </c>
      <c r="AI421" s="10">
        <v>85</v>
      </c>
      <c r="AJ421" s="11">
        <f t="shared" si="125"/>
        <v>850</v>
      </c>
      <c r="AK421" s="10">
        <v>850</v>
      </c>
      <c r="AL421" s="11">
        <f t="shared" si="125"/>
        <v>850</v>
      </c>
      <c r="AM421" s="10">
        <v>850</v>
      </c>
      <c r="AN421" s="56">
        <f t="shared" si="130"/>
        <v>2</v>
      </c>
      <c r="AP421" s="11">
        <f ca="1">IFERROR(OFFSET(ITEM_RES!$A$1,MATCH(AQ421,ITEM_RES!$J:$J,0)-1,0),0)</f>
        <v>211020501</v>
      </c>
      <c r="AQ421" s="10" t="s">
        <v>455</v>
      </c>
      <c r="AR421" s="11">
        <v>4250</v>
      </c>
      <c r="AU421" s="11">
        <f ca="1">IFERROR(OFFSET(ITEM_RES!$A$1,MATCH(AV421,ITEM_RES!$J:$J,0)-1,0),0)</f>
        <v>0</v>
      </c>
      <c r="AV421" s="10" t="s">
        <v>467</v>
      </c>
      <c r="AW421" s="11">
        <v>4250</v>
      </c>
      <c r="AZ421" s="11">
        <f ca="1">IFERROR(OFFSET(ITEM_RES!$A$1,MATCH(BA421,ITEM_RES!$J:$J,0)-1,0),0)</f>
        <v>0</v>
      </c>
      <c r="BE421" s="11">
        <f ca="1">IFERROR(OFFSET(ITEM_RES!$A$1,MATCH(BF421,ITEM_RES!$J:$J,0)-1,0),0)</f>
        <v>0</v>
      </c>
      <c r="BJ421" s="11">
        <f ca="1">IFERROR(OFFSET(ITEM_RES!$A$1,MATCH(BK421,ITEM_RES!$J:$J,0)-1,0),0)</f>
        <v>0</v>
      </c>
    </row>
    <row r="422" spans="1:65" x14ac:dyDescent="0.3">
      <c r="A422" s="14">
        <f t="shared" si="122"/>
        <v>112070018</v>
      </c>
      <c r="B422" s="13">
        <v>11</v>
      </c>
      <c r="C422" s="12">
        <f t="shared" si="123"/>
        <v>2</v>
      </c>
      <c r="D422" s="13">
        <v>7</v>
      </c>
      <c r="E422" s="13">
        <v>0</v>
      </c>
      <c r="F422" s="12">
        <f t="shared" si="124"/>
        <v>18</v>
      </c>
      <c r="H422" s="9">
        <v>2</v>
      </c>
      <c r="I422" s="9">
        <v>18</v>
      </c>
      <c r="K422" s="9" t="s">
        <v>369</v>
      </c>
      <c r="L422" s="9">
        <v>0</v>
      </c>
      <c r="M422" s="9">
        <v>15</v>
      </c>
      <c r="R422" s="9" t="s">
        <v>787</v>
      </c>
      <c r="T422" s="86" t="s">
        <v>581</v>
      </c>
      <c r="U422" s="9">
        <f ca="1">IFERROR(OFFSET(ITEM_RES!$A$5,MATCH(BUILDING!T422,ITEM_RES!$J$5:$J$229,0)-1,0),0)</f>
        <v>211020201</v>
      </c>
      <c r="V422" s="11">
        <v>1</v>
      </c>
      <c r="W422" s="86" t="s">
        <v>583</v>
      </c>
      <c r="X422" s="9">
        <f ca="1">IFERROR(OFFSET(ITEM_RES!$A$5,MATCH(BUILDING!W422,ITEM_RES!$J$5:$J$229,0)-1,0),0)</f>
        <v>211020301</v>
      </c>
      <c r="Z422" s="9" t="s">
        <v>561</v>
      </c>
      <c r="AA422" s="9">
        <v>18</v>
      </c>
      <c r="AC422" s="9">
        <v>84000</v>
      </c>
      <c r="AE422" s="56">
        <f t="shared" si="129"/>
        <v>22050</v>
      </c>
      <c r="AF422" s="10">
        <f t="shared" si="127"/>
        <v>39900</v>
      </c>
      <c r="AH422" s="11">
        <f t="shared" si="128"/>
        <v>90</v>
      </c>
      <c r="AI422" s="10">
        <v>90</v>
      </c>
      <c r="AJ422" s="11">
        <f t="shared" si="125"/>
        <v>1050</v>
      </c>
      <c r="AK422" s="10">
        <v>1050</v>
      </c>
      <c r="AL422" s="11">
        <f t="shared" si="125"/>
        <v>1050</v>
      </c>
      <c r="AM422" s="10">
        <v>1050</v>
      </c>
      <c r="AN422" s="56">
        <f t="shared" si="130"/>
        <v>2</v>
      </c>
      <c r="AP422" s="11">
        <f ca="1">IFERROR(OFFSET(ITEM_RES!$A$1,MATCH(AQ422,ITEM_RES!$J:$J,0)-1,0),0)</f>
        <v>211020501</v>
      </c>
      <c r="AQ422" s="10" t="s">
        <v>455</v>
      </c>
      <c r="AR422" s="11">
        <v>5250</v>
      </c>
      <c r="AU422" s="11">
        <f ca="1">IFERROR(OFFSET(ITEM_RES!$A$1,MATCH(AV422,ITEM_RES!$J:$J,0)-1,0),0)</f>
        <v>0</v>
      </c>
      <c r="AV422" s="10" t="s">
        <v>467</v>
      </c>
      <c r="AW422" s="11">
        <v>5250</v>
      </c>
      <c r="AZ422" s="11">
        <f ca="1">IFERROR(OFFSET(ITEM_RES!$A$1,MATCH(BA422,ITEM_RES!$J:$J,0)-1,0),0)</f>
        <v>0</v>
      </c>
      <c r="BE422" s="11">
        <f ca="1">IFERROR(OFFSET(ITEM_RES!$A$1,MATCH(BF422,ITEM_RES!$J:$J,0)-1,0),0)</f>
        <v>0</v>
      </c>
      <c r="BJ422" s="11">
        <f ca="1">IFERROR(OFFSET(ITEM_RES!$A$1,MATCH(BK422,ITEM_RES!$J:$J,0)-1,0),0)</f>
        <v>0</v>
      </c>
    </row>
    <row r="423" spans="1:65" x14ac:dyDescent="0.3">
      <c r="A423" s="14">
        <f t="shared" si="122"/>
        <v>112070019</v>
      </c>
      <c r="B423" s="13">
        <v>11</v>
      </c>
      <c r="C423" s="12">
        <f t="shared" si="123"/>
        <v>2</v>
      </c>
      <c r="D423" s="13">
        <v>7</v>
      </c>
      <c r="E423" s="13">
        <v>0</v>
      </c>
      <c r="F423" s="12">
        <f t="shared" si="124"/>
        <v>19</v>
      </c>
      <c r="H423" s="9">
        <v>2</v>
      </c>
      <c r="I423" s="9">
        <v>19</v>
      </c>
      <c r="K423" s="9" t="s">
        <v>369</v>
      </c>
      <c r="L423" s="9">
        <v>0</v>
      </c>
      <c r="M423" s="9">
        <v>15</v>
      </c>
      <c r="R423" s="9" t="s">
        <v>787</v>
      </c>
      <c r="T423" s="86" t="s">
        <v>581</v>
      </c>
      <c r="U423" s="9">
        <f ca="1">IFERROR(OFFSET(ITEM_RES!$A$5,MATCH(BUILDING!T423,ITEM_RES!$J$5:$J$229,0)-1,0),0)</f>
        <v>211020201</v>
      </c>
      <c r="V423" s="11">
        <v>1</v>
      </c>
      <c r="W423" s="86" t="s">
        <v>583</v>
      </c>
      <c r="X423" s="9">
        <f ca="1">IFERROR(OFFSET(ITEM_RES!$A$5,MATCH(BUILDING!W423,ITEM_RES!$J$5:$J$229,0)-1,0),0)</f>
        <v>211020301</v>
      </c>
      <c r="Z423" s="9" t="s">
        <v>561</v>
      </c>
      <c r="AA423" s="9">
        <v>19</v>
      </c>
      <c r="AC423" s="9">
        <v>100000</v>
      </c>
      <c r="AE423" s="56">
        <f t="shared" si="129"/>
        <v>26250</v>
      </c>
      <c r="AF423" s="10">
        <f t="shared" si="127"/>
        <v>48300</v>
      </c>
      <c r="AH423" s="11">
        <f t="shared" si="128"/>
        <v>95</v>
      </c>
      <c r="AI423" s="10">
        <v>95</v>
      </c>
      <c r="AJ423" s="11">
        <f t="shared" si="125"/>
        <v>1250</v>
      </c>
      <c r="AK423" s="10">
        <v>1250</v>
      </c>
      <c r="AL423" s="11">
        <f t="shared" si="125"/>
        <v>1250</v>
      </c>
      <c r="AM423" s="10">
        <v>1250</v>
      </c>
      <c r="AN423" s="56">
        <f t="shared" si="130"/>
        <v>2</v>
      </c>
      <c r="AP423" s="11">
        <f ca="1">IFERROR(OFFSET(ITEM_RES!$A$1,MATCH(AQ423,ITEM_RES!$J:$J,0)-1,0),0)</f>
        <v>211020501</v>
      </c>
      <c r="AQ423" s="10" t="s">
        <v>455</v>
      </c>
      <c r="AR423" s="11">
        <v>6250</v>
      </c>
      <c r="AU423" s="11">
        <f ca="1">IFERROR(OFFSET(ITEM_RES!$A$1,MATCH(AV423,ITEM_RES!$J:$J,0)-1,0),0)</f>
        <v>0</v>
      </c>
      <c r="AV423" s="10" t="s">
        <v>467</v>
      </c>
      <c r="AW423" s="11">
        <v>6250</v>
      </c>
      <c r="AZ423" s="11">
        <f ca="1">IFERROR(OFFSET(ITEM_RES!$A$1,MATCH(BA423,ITEM_RES!$J:$J,0)-1,0),0)</f>
        <v>0</v>
      </c>
      <c r="BE423" s="11">
        <f ca="1">IFERROR(OFFSET(ITEM_RES!$A$1,MATCH(BF423,ITEM_RES!$J:$J,0)-1,0),0)</f>
        <v>0</v>
      </c>
      <c r="BJ423" s="11">
        <f ca="1">IFERROR(OFFSET(ITEM_RES!$A$1,MATCH(BK423,ITEM_RES!$J:$J,0)-1,0),0)</f>
        <v>0</v>
      </c>
    </row>
    <row r="424" spans="1:65" ht="17.25" thickBot="1" x14ac:dyDescent="0.35">
      <c r="A424" s="14">
        <f t="shared" si="122"/>
        <v>112070020</v>
      </c>
      <c r="B424" s="13">
        <v>11</v>
      </c>
      <c r="C424" s="12">
        <f t="shared" si="123"/>
        <v>2</v>
      </c>
      <c r="D424" s="13">
        <v>7</v>
      </c>
      <c r="E424" s="13">
        <v>0</v>
      </c>
      <c r="F424" s="12">
        <f t="shared" si="124"/>
        <v>20</v>
      </c>
      <c r="H424" s="9">
        <v>2</v>
      </c>
      <c r="I424" s="9">
        <v>20</v>
      </c>
      <c r="K424" s="9" t="s">
        <v>369</v>
      </c>
      <c r="L424" s="9">
        <v>0</v>
      </c>
      <c r="M424" s="9">
        <v>15</v>
      </c>
      <c r="R424" s="9" t="s">
        <v>787</v>
      </c>
      <c r="T424" s="86" t="s">
        <v>581</v>
      </c>
      <c r="U424" s="9">
        <f ca="1">IFERROR(OFFSET(ITEM_RES!$A$5,MATCH(BUILDING!T424,ITEM_RES!$J$5:$J$229,0)-1,0),0)</f>
        <v>211020201</v>
      </c>
      <c r="V424" s="11">
        <v>1</v>
      </c>
      <c r="W424" s="86" t="s">
        <v>583</v>
      </c>
      <c r="X424" s="9">
        <f ca="1">IFERROR(OFFSET(ITEM_RES!$A$5,MATCH(BUILDING!W424,ITEM_RES!$J$5:$J$229,0)-1,0),0)</f>
        <v>211020301</v>
      </c>
      <c r="Z424" s="9" t="s">
        <v>561</v>
      </c>
      <c r="AA424" s="9">
        <v>20</v>
      </c>
      <c r="AC424" s="9">
        <v>120000</v>
      </c>
      <c r="AE424" s="56">
        <f t="shared" si="129"/>
        <v>31500</v>
      </c>
      <c r="AF424" s="10">
        <f t="shared" si="127"/>
        <v>57750</v>
      </c>
      <c r="AH424" s="11">
        <f t="shared" si="128"/>
        <v>100</v>
      </c>
      <c r="AI424" s="10">
        <v>100</v>
      </c>
      <c r="AJ424" s="11">
        <f t="shared" si="125"/>
        <v>1500</v>
      </c>
      <c r="AK424" s="10">
        <v>1500</v>
      </c>
      <c r="AL424" s="11">
        <f t="shared" si="125"/>
        <v>1500</v>
      </c>
      <c r="AM424" s="10">
        <v>1500</v>
      </c>
      <c r="AN424" s="56">
        <f t="shared" si="130"/>
        <v>2</v>
      </c>
      <c r="AP424" s="11">
        <f ca="1">IFERROR(OFFSET(ITEM_RES!$A$1,MATCH(AQ424,ITEM_RES!$J:$J,0)-1,0),0)</f>
        <v>211020501</v>
      </c>
      <c r="AQ424" s="10" t="s">
        <v>455</v>
      </c>
      <c r="AR424" s="11">
        <v>7500</v>
      </c>
      <c r="AU424" s="11">
        <f ca="1">IFERROR(OFFSET(ITEM_RES!$A$1,MATCH(AV424,ITEM_RES!$J:$J,0)-1,0),0)</f>
        <v>0</v>
      </c>
      <c r="AV424" s="10" t="s">
        <v>467</v>
      </c>
      <c r="AW424" s="11">
        <v>7500</v>
      </c>
      <c r="AZ424" s="11">
        <f ca="1">IFERROR(OFFSET(ITEM_RES!$A$1,MATCH(BA424,ITEM_RES!$J:$J,0)-1,0),0)</f>
        <v>0</v>
      </c>
      <c r="BE424" s="11">
        <f ca="1">IFERROR(OFFSET(ITEM_RES!$A$1,MATCH(BF424,ITEM_RES!$J:$J,0)-1,0),0)</f>
        <v>0</v>
      </c>
      <c r="BJ424" s="11">
        <f ca="1">IFERROR(OFFSET(ITEM_RES!$A$1,MATCH(BK424,ITEM_RES!$J:$J,0)-1,0),0)</f>
        <v>0</v>
      </c>
    </row>
    <row r="425" spans="1:65" s="15" customFormat="1" x14ac:dyDescent="0.3">
      <c r="A425" s="21">
        <f t="shared" si="122"/>
        <v>114010001</v>
      </c>
      <c r="B425" s="20">
        <v>11</v>
      </c>
      <c r="C425" s="19">
        <f t="shared" si="123"/>
        <v>4</v>
      </c>
      <c r="D425" s="20">
        <v>1</v>
      </c>
      <c r="E425" s="20">
        <v>0</v>
      </c>
      <c r="F425" s="19">
        <f t="shared" si="124"/>
        <v>1</v>
      </c>
      <c r="G425" s="80"/>
      <c r="H425" s="16">
        <v>4</v>
      </c>
      <c r="I425" s="16">
        <v>1</v>
      </c>
      <c r="J425" s="80"/>
      <c r="K425" s="16" t="s">
        <v>461</v>
      </c>
      <c r="L425" s="16">
        <v>1</v>
      </c>
      <c r="M425" s="16">
        <v>15</v>
      </c>
      <c r="N425" s="16"/>
      <c r="O425" s="17"/>
      <c r="P425" s="17"/>
      <c r="Q425" s="18"/>
      <c r="R425" s="16" t="s">
        <v>788</v>
      </c>
      <c r="S425" s="80"/>
      <c r="T425" s="88"/>
      <c r="U425" s="16">
        <f ca="1">IFERROR(OFFSET(ITEM_RES!$A$5,MATCH(BUILDING!T425,ITEM_RES!$J$5:$J$229,0)-1,0),0)</f>
        <v>0</v>
      </c>
      <c r="V425" s="18"/>
      <c r="W425" s="88"/>
      <c r="X425" s="16">
        <f ca="1">IFERROR(OFFSET(ITEM_RES!$A$5,MATCH(BUILDING!W425,ITEM_RES!$J$5:$J$229,0)-1,0),0)</f>
        <v>0</v>
      </c>
      <c r="Y425" s="80"/>
      <c r="Z425" s="16" t="s">
        <v>562</v>
      </c>
      <c r="AA425" s="16">
        <v>1</v>
      </c>
      <c r="AB425" s="80"/>
      <c r="AC425" s="16">
        <v>0</v>
      </c>
      <c r="AD425" s="80"/>
      <c r="AE425" s="57">
        <f t="shared" si="129"/>
        <v>580</v>
      </c>
      <c r="AF425" s="17">
        <f>AE425</f>
        <v>580</v>
      </c>
      <c r="AG425" s="80"/>
      <c r="AH425" s="18">
        <f t="shared" si="128"/>
        <v>5</v>
      </c>
      <c r="AI425" s="17">
        <v>5</v>
      </c>
      <c r="AJ425" s="18">
        <f t="shared" si="125"/>
        <v>5</v>
      </c>
      <c r="AK425" s="17">
        <v>5</v>
      </c>
      <c r="AL425" s="18">
        <f t="shared" si="125"/>
        <v>5</v>
      </c>
      <c r="AM425" s="17">
        <v>5</v>
      </c>
      <c r="AN425" s="57">
        <f t="shared" si="130"/>
        <v>2</v>
      </c>
      <c r="AO425" s="18"/>
      <c r="AP425" s="18">
        <f ca="1">IFERROR(OFFSET(ITEM_RES!$A$1,MATCH(AQ425,ITEM_RES!$J:$J,0)-1,0),0)</f>
        <v>211020401</v>
      </c>
      <c r="AQ425" s="17" t="s">
        <v>459</v>
      </c>
      <c r="AR425" s="18">
        <v>25</v>
      </c>
      <c r="AS425" s="17"/>
      <c r="AT425" s="18"/>
      <c r="AU425" s="18">
        <f ca="1">IFERROR(OFFSET(ITEM_RES!$A$1,MATCH(AV425,ITEM_RES!$J:$J,0)-1,0),0)</f>
        <v>0</v>
      </c>
      <c r="AV425" s="17"/>
      <c r="AW425" s="18"/>
      <c r="AX425" s="17"/>
      <c r="AY425" s="18"/>
      <c r="AZ425" s="18">
        <f ca="1">IFERROR(OFFSET(ITEM_RES!$A$1,MATCH(BA425,ITEM_RES!$J:$J,0)-1,0),0)</f>
        <v>213010101</v>
      </c>
      <c r="BA425" s="17" t="s">
        <v>481</v>
      </c>
      <c r="BB425" s="18">
        <v>1</v>
      </c>
      <c r="BC425" s="17"/>
      <c r="BD425" s="18"/>
      <c r="BE425" s="18">
        <f ca="1">IFERROR(OFFSET(ITEM_RES!$A$1,MATCH(BF425,ITEM_RES!$J:$J,0)-1,0),0)</f>
        <v>0</v>
      </c>
      <c r="BF425" s="17"/>
      <c r="BG425" s="18"/>
      <c r="BH425" s="17"/>
      <c r="BI425" s="18"/>
      <c r="BJ425" s="18">
        <f ca="1">IFERROR(OFFSET(ITEM_RES!$A$1,MATCH(BK425,ITEM_RES!$J:$J,0)-1,0),0)</f>
        <v>0</v>
      </c>
      <c r="BK425" s="17"/>
      <c r="BL425" s="18"/>
      <c r="BM425" s="17"/>
    </row>
    <row r="426" spans="1:65" x14ac:dyDescent="0.3">
      <c r="A426" s="14">
        <f t="shared" si="122"/>
        <v>114010002</v>
      </c>
      <c r="B426" s="13">
        <v>11</v>
      </c>
      <c r="C426" s="12">
        <f t="shared" si="123"/>
        <v>4</v>
      </c>
      <c r="D426" s="13">
        <v>1</v>
      </c>
      <c r="E426" s="13">
        <v>0</v>
      </c>
      <c r="F426" s="12">
        <f t="shared" si="124"/>
        <v>2</v>
      </c>
      <c r="H426" s="9">
        <v>4</v>
      </c>
      <c r="I426" s="9">
        <v>2</v>
      </c>
      <c r="K426" s="9" t="s">
        <v>461</v>
      </c>
      <c r="L426" s="9">
        <v>1</v>
      </c>
      <c r="M426" s="9">
        <v>15</v>
      </c>
      <c r="R426" s="9" t="s">
        <v>788</v>
      </c>
      <c r="U426" s="9">
        <f ca="1">IFERROR(OFFSET(ITEM_RES!$A$5,MATCH(BUILDING!T426,ITEM_RES!$J$5:$J$229,0)-1,0),0)</f>
        <v>0</v>
      </c>
      <c r="X426" s="9">
        <f ca="1">IFERROR(OFFSET(ITEM_RES!$A$5,MATCH(BUILDING!W426,ITEM_RES!$J$5:$J$229,0)-1,0),0)</f>
        <v>0</v>
      </c>
      <c r="Z426" s="9" t="s">
        <v>562</v>
      </c>
      <c r="AA426" s="9">
        <v>2</v>
      </c>
      <c r="AC426" s="9">
        <v>400</v>
      </c>
      <c r="AE426" s="56">
        <f t="shared" si="129"/>
        <v>160</v>
      </c>
      <c r="AF426" s="10">
        <f>AE425+AE426</f>
        <v>740</v>
      </c>
      <c r="AH426" s="11">
        <f t="shared" si="128"/>
        <v>10</v>
      </c>
      <c r="AI426" s="10">
        <v>10</v>
      </c>
      <c r="AJ426" s="11">
        <f t="shared" si="125"/>
        <v>10</v>
      </c>
      <c r="AK426" s="10">
        <v>10</v>
      </c>
      <c r="AL426" s="11">
        <f t="shared" si="125"/>
        <v>10</v>
      </c>
      <c r="AM426" s="10">
        <v>10</v>
      </c>
      <c r="AN426" s="56">
        <f t="shared" si="130"/>
        <v>1</v>
      </c>
      <c r="AP426" s="11">
        <f ca="1">IFERROR(OFFSET(ITEM_RES!$A$1,MATCH(AQ426,ITEM_RES!$J:$J,0)-1,0),0)</f>
        <v>211020401</v>
      </c>
      <c r="AQ426" s="10" t="s">
        <v>459</v>
      </c>
      <c r="AR426" s="11">
        <v>50</v>
      </c>
      <c r="AU426" s="11">
        <f ca="1">IFERROR(OFFSET(ITEM_RES!$A$1,MATCH(AV426,ITEM_RES!$J:$J,0)-1,0),0)</f>
        <v>0</v>
      </c>
      <c r="AZ426" s="11">
        <f ca="1">IFERROR(OFFSET(ITEM_RES!$A$1,MATCH(BA426,ITEM_RES!$J:$J,0)-1,0),0)</f>
        <v>0</v>
      </c>
      <c r="BE426" s="11">
        <f ca="1">IFERROR(OFFSET(ITEM_RES!$A$1,MATCH(BF426,ITEM_RES!$J:$J,0)-1,0),0)</f>
        <v>0</v>
      </c>
      <c r="BJ426" s="11">
        <f ca="1">IFERROR(OFFSET(ITEM_RES!$A$1,MATCH(BK426,ITEM_RES!$J:$J,0)-1,0),0)</f>
        <v>0</v>
      </c>
    </row>
    <row r="427" spans="1:65" x14ac:dyDescent="0.3">
      <c r="A427" s="14">
        <f t="shared" si="122"/>
        <v>114010003</v>
      </c>
      <c r="B427" s="13">
        <v>11</v>
      </c>
      <c r="C427" s="12">
        <f t="shared" si="123"/>
        <v>4</v>
      </c>
      <c r="D427" s="13">
        <v>1</v>
      </c>
      <c r="E427" s="13">
        <v>0</v>
      </c>
      <c r="F427" s="12">
        <f t="shared" si="124"/>
        <v>3</v>
      </c>
      <c r="H427" s="9">
        <v>4</v>
      </c>
      <c r="I427" s="9">
        <v>3</v>
      </c>
      <c r="K427" s="9" t="s">
        <v>461</v>
      </c>
      <c r="L427" s="9">
        <v>1</v>
      </c>
      <c r="M427" s="9">
        <v>15</v>
      </c>
      <c r="R427" s="9" t="s">
        <v>788</v>
      </c>
      <c r="U427" s="9">
        <f ca="1">IFERROR(OFFSET(ITEM_RES!$A$5,MATCH(BUILDING!T427,ITEM_RES!$J$5:$J$229,0)-1,0),0)</f>
        <v>0</v>
      </c>
      <c r="X427" s="9">
        <f ca="1">IFERROR(OFFSET(ITEM_RES!$A$5,MATCH(BUILDING!W427,ITEM_RES!$J$5:$J$229,0)-1,0),0)</f>
        <v>0</v>
      </c>
      <c r="Z427" s="9" t="s">
        <v>562</v>
      </c>
      <c r="AA427" s="9">
        <v>3</v>
      </c>
      <c r="AC427" s="9">
        <v>1200</v>
      </c>
      <c r="AE427" s="56">
        <f t="shared" si="129"/>
        <v>240</v>
      </c>
      <c r="AF427" s="10">
        <f t="shared" ref="AF427:AF444" si="131">AE426+AE427</f>
        <v>400</v>
      </c>
      <c r="AH427" s="11">
        <f t="shared" si="128"/>
        <v>15</v>
      </c>
      <c r="AI427" s="10">
        <v>15</v>
      </c>
      <c r="AJ427" s="11">
        <f t="shared" si="125"/>
        <v>15</v>
      </c>
      <c r="AK427" s="10">
        <v>15</v>
      </c>
      <c r="AL427" s="11">
        <f t="shared" si="125"/>
        <v>15</v>
      </c>
      <c r="AM427" s="10">
        <v>15</v>
      </c>
      <c r="AN427" s="56">
        <f t="shared" si="130"/>
        <v>1</v>
      </c>
      <c r="AP427" s="11">
        <f ca="1">IFERROR(OFFSET(ITEM_RES!$A$1,MATCH(AQ427,ITEM_RES!$J:$J,0)-1,0),0)</f>
        <v>211020401</v>
      </c>
      <c r="AQ427" s="10" t="s">
        <v>459</v>
      </c>
      <c r="AR427" s="11">
        <v>75</v>
      </c>
      <c r="AU427" s="11">
        <f ca="1">IFERROR(OFFSET(ITEM_RES!$A$1,MATCH(AV427,ITEM_RES!$J:$J,0)-1,0),0)</f>
        <v>0</v>
      </c>
      <c r="AZ427" s="11">
        <f ca="1">IFERROR(OFFSET(ITEM_RES!$A$1,MATCH(BA427,ITEM_RES!$J:$J,0)-1,0),0)</f>
        <v>0</v>
      </c>
      <c r="BE427" s="11">
        <f ca="1">IFERROR(OFFSET(ITEM_RES!$A$1,MATCH(BF427,ITEM_RES!$J:$J,0)-1,0),0)</f>
        <v>0</v>
      </c>
      <c r="BJ427" s="11">
        <f ca="1">IFERROR(OFFSET(ITEM_RES!$A$1,MATCH(BK427,ITEM_RES!$J:$J,0)-1,0),0)</f>
        <v>0</v>
      </c>
    </row>
    <row r="428" spans="1:65" x14ac:dyDescent="0.3">
      <c r="A428" s="14">
        <f t="shared" si="122"/>
        <v>114010004</v>
      </c>
      <c r="B428" s="13">
        <v>11</v>
      </c>
      <c r="C428" s="12">
        <f t="shared" si="123"/>
        <v>4</v>
      </c>
      <c r="D428" s="13">
        <v>1</v>
      </c>
      <c r="E428" s="13">
        <v>0</v>
      </c>
      <c r="F428" s="12">
        <f t="shared" si="124"/>
        <v>4</v>
      </c>
      <c r="H428" s="9">
        <v>4</v>
      </c>
      <c r="I428" s="9">
        <v>4</v>
      </c>
      <c r="K428" s="9" t="s">
        <v>461</v>
      </c>
      <c r="L428" s="9">
        <v>1</v>
      </c>
      <c r="M428" s="9">
        <v>15</v>
      </c>
      <c r="R428" s="9" t="s">
        <v>788</v>
      </c>
      <c r="U428" s="9">
        <f ca="1">IFERROR(OFFSET(ITEM_RES!$A$5,MATCH(BUILDING!T428,ITEM_RES!$J$5:$J$229,0)-1,0),0)</f>
        <v>0</v>
      </c>
      <c r="X428" s="9">
        <f ca="1">IFERROR(OFFSET(ITEM_RES!$A$5,MATCH(BUILDING!W428,ITEM_RES!$J$5:$J$229,0)-1,0),0)</f>
        <v>0</v>
      </c>
      <c r="Z428" s="9" t="s">
        <v>562</v>
      </c>
      <c r="AA428" s="9">
        <v>4</v>
      </c>
      <c r="AC428" s="9">
        <v>2000</v>
      </c>
      <c r="AE428" s="56">
        <f t="shared" si="129"/>
        <v>400</v>
      </c>
      <c r="AF428" s="10">
        <f t="shared" si="131"/>
        <v>640</v>
      </c>
      <c r="AH428" s="11">
        <f t="shared" si="128"/>
        <v>20</v>
      </c>
      <c r="AI428" s="10">
        <v>20</v>
      </c>
      <c r="AJ428" s="11">
        <f t="shared" si="125"/>
        <v>25</v>
      </c>
      <c r="AK428" s="10">
        <v>25</v>
      </c>
      <c r="AL428" s="11">
        <f t="shared" si="125"/>
        <v>25</v>
      </c>
      <c r="AM428" s="10">
        <v>25</v>
      </c>
      <c r="AN428" s="56">
        <f t="shared" si="130"/>
        <v>1</v>
      </c>
      <c r="AP428" s="11">
        <f ca="1">IFERROR(OFFSET(ITEM_RES!$A$1,MATCH(AQ428,ITEM_RES!$J:$J,0)-1,0),0)</f>
        <v>211020401</v>
      </c>
      <c r="AQ428" s="10" t="s">
        <v>459</v>
      </c>
      <c r="AR428" s="11">
        <v>125</v>
      </c>
      <c r="AU428" s="11">
        <f ca="1">IFERROR(OFFSET(ITEM_RES!$A$1,MATCH(AV428,ITEM_RES!$J:$J,0)-1,0),0)</f>
        <v>0</v>
      </c>
      <c r="AZ428" s="11">
        <f ca="1">IFERROR(OFFSET(ITEM_RES!$A$1,MATCH(BA428,ITEM_RES!$J:$J,0)-1,0),0)</f>
        <v>0</v>
      </c>
      <c r="BE428" s="11">
        <f ca="1">IFERROR(OFFSET(ITEM_RES!$A$1,MATCH(BF428,ITEM_RES!$J:$J,0)-1,0),0)</f>
        <v>0</v>
      </c>
      <c r="BJ428" s="11">
        <f ca="1">IFERROR(OFFSET(ITEM_RES!$A$1,MATCH(BK428,ITEM_RES!$J:$J,0)-1,0),0)</f>
        <v>0</v>
      </c>
    </row>
    <row r="429" spans="1:65" x14ac:dyDescent="0.3">
      <c r="A429" s="14">
        <f t="shared" ref="A429:A492" si="132">B429*10000000+C429*1000000+D429*10000+E429*100+F429</f>
        <v>114010005</v>
      </c>
      <c r="B429" s="13">
        <v>11</v>
      </c>
      <c r="C429" s="12">
        <f t="shared" ref="C429:C492" si="133">H429</f>
        <v>4</v>
      </c>
      <c r="D429" s="13">
        <v>1</v>
      </c>
      <c r="E429" s="13">
        <v>0</v>
      </c>
      <c r="F429" s="12">
        <f t="shared" ref="F429:F492" si="134">I429</f>
        <v>5</v>
      </c>
      <c r="H429" s="9">
        <v>4</v>
      </c>
      <c r="I429" s="9">
        <v>5</v>
      </c>
      <c r="K429" s="9" t="s">
        <v>461</v>
      </c>
      <c r="L429" s="9">
        <v>1</v>
      </c>
      <c r="M429" s="9">
        <v>15</v>
      </c>
      <c r="R429" s="9" t="s">
        <v>788</v>
      </c>
      <c r="U429" s="9">
        <f ca="1">IFERROR(OFFSET(ITEM_RES!$A$5,MATCH(BUILDING!T429,ITEM_RES!$J$5:$J$229,0)-1,0),0)</f>
        <v>0</v>
      </c>
      <c r="X429" s="9">
        <f ca="1">IFERROR(OFFSET(ITEM_RES!$A$5,MATCH(BUILDING!W429,ITEM_RES!$J$5:$J$229,0)-1,0),0)</f>
        <v>0</v>
      </c>
      <c r="Z429" s="9" t="s">
        <v>562</v>
      </c>
      <c r="AA429" s="9">
        <v>5</v>
      </c>
      <c r="AC429" s="9">
        <v>3200</v>
      </c>
      <c r="AE429" s="56">
        <f t="shared" si="129"/>
        <v>640</v>
      </c>
      <c r="AF429" s="10">
        <f t="shared" si="131"/>
        <v>1040</v>
      </c>
      <c r="AH429" s="11">
        <f t="shared" si="128"/>
        <v>25</v>
      </c>
      <c r="AI429" s="10">
        <v>25</v>
      </c>
      <c r="AJ429" s="11">
        <f t="shared" si="125"/>
        <v>40</v>
      </c>
      <c r="AK429" s="10">
        <v>40</v>
      </c>
      <c r="AL429" s="11">
        <f t="shared" si="125"/>
        <v>40</v>
      </c>
      <c r="AM429" s="10">
        <v>40</v>
      </c>
      <c r="AN429" s="56">
        <f t="shared" si="130"/>
        <v>1</v>
      </c>
      <c r="AP429" s="11">
        <f ca="1">IFERROR(OFFSET(ITEM_RES!$A$1,MATCH(AQ429,ITEM_RES!$J:$J,0)-1,0),0)</f>
        <v>211020401</v>
      </c>
      <c r="AQ429" s="10" t="s">
        <v>459</v>
      </c>
      <c r="AR429" s="11">
        <v>200</v>
      </c>
      <c r="AU429" s="11">
        <f ca="1">IFERROR(OFFSET(ITEM_RES!$A$1,MATCH(AV429,ITEM_RES!$J:$J,0)-1,0),0)</f>
        <v>0</v>
      </c>
      <c r="AZ429" s="11">
        <f ca="1">IFERROR(OFFSET(ITEM_RES!$A$1,MATCH(BA429,ITEM_RES!$J:$J,0)-1,0),0)</f>
        <v>0</v>
      </c>
      <c r="BE429" s="11">
        <f ca="1">IFERROR(OFFSET(ITEM_RES!$A$1,MATCH(BF429,ITEM_RES!$J:$J,0)-1,0),0)</f>
        <v>0</v>
      </c>
      <c r="BJ429" s="11">
        <f ca="1">IFERROR(OFFSET(ITEM_RES!$A$1,MATCH(BK429,ITEM_RES!$J:$J,0)-1,0),0)</f>
        <v>0</v>
      </c>
    </row>
    <row r="430" spans="1:65" x14ac:dyDescent="0.3">
      <c r="A430" s="14">
        <f t="shared" si="132"/>
        <v>114010006</v>
      </c>
      <c r="B430" s="13">
        <v>11</v>
      </c>
      <c r="C430" s="12">
        <f t="shared" si="133"/>
        <v>4</v>
      </c>
      <c r="D430" s="13">
        <v>1</v>
      </c>
      <c r="E430" s="13">
        <v>0</v>
      </c>
      <c r="F430" s="12">
        <f t="shared" si="134"/>
        <v>6</v>
      </c>
      <c r="H430" s="9">
        <v>4</v>
      </c>
      <c r="I430" s="9">
        <v>6</v>
      </c>
      <c r="K430" s="9" t="s">
        <v>461</v>
      </c>
      <c r="L430" s="9">
        <v>1</v>
      </c>
      <c r="M430" s="9">
        <v>15</v>
      </c>
      <c r="R430" s="9" t="s">
        <v>788</v>
      </c>
      <c r="U430" s="9">
        <f ca="1">IFERROR(OFFSET(ITEM_RES!$A$5,MATCH(BUILDING!T430,ITEM_RES!$J$5:$J$229,0)-1,0),0)</f>
        <v>0</v>
      </c>
      <c r="X430" s="9">
        <f ca="1">IFERROR(OFFSET(ITEM_RES!$A$5,MATCH(BUILDING!W430,ITEM_RES!$J$5:$J$229,0)-1,0),0)</f>
        <v>0</v>
      </c>
      <c r="Z430" s="9" t="s">
        <v>562</v>
      </c>
      <c r="AA430" s="9">
        <v>6</v>
      </c>
      <c r="AC430" s="9">
        <v>4000</v>
      </c>
      <c r="AE430" s="56">
        <f t="shared" si="129"/>
        <v>800</v>
      </c>
      <c r="AF430" s="10">
        <f t="shared" si="131"/>
        <v>1440</v>
      </c>
      <c r="AH430" s="11">
        <f t="shared" si="128"/>
        <v>30</v>
      </c>
      <c r="AI430" s="10">
        <v>30</v>
      </c>
      <c r="AJ430" s="11">
        <f t="shared" ref="AJ430:AL493" si="135">ROUND(AK430,0)</f>
        <v>50</v>
      </c>
      <c r="AK430" s="10">
        <v>50</v>
      </c>
      <c r="AL430" s="11">
        <f t="shared" si="135"/>
        <v>50</v>
      </c>
      <c r="AM430" s="10">
        <v>50</v>
      </c>
      <c r="AN430" s="56">
        <f t="shared" si="130"/>
        <v>1</v>
      </c>
      <c r="AP430" s="11">
        <f ca="1">IFERROR(OFFSET(ITEM_RES!$A$1,MATCH(AQ430,ITEM_RES!$J:$J,0)-1,0),0)</f>
        <v>211020401</v>
      </c>
      <c r="AQ430" s="10" t="s">
        <v>459</v>
      </c>
      <c r="AR430" s="11">
        <v>250</v>
      </c>
      <c r="AU430" s="11">
        <f ca="1">IFERROR(OFFSET(ITEM_RES!$A$1,MATCH(AV430,ITEM_RES!$J:$J,0)-1,0),0)</f>
        <v>0</v>
      </c>
      <c r="AZ430" s="11">
        <f ca="1">IFERROR(OFFSET(ITEM_RES!$A$1,MATCH(BA430,ITEM_RES!$J:$J,0)-1,0),0)</f>
        <v>0</v>
      </c>
      <c r="BE430" s="11">
        <f ca="1">IFERROR(OFFSET(ITEM_RES!$A$1,MATCH(BF430,ITEM_RES!$J:$J,0)-1,0),0)</f>
        <v>0</v>
      </c>
      <c r="BJ430" s="11">
        <f ca="1">IFERROR(OFFSET(ITEM_RES!$A$1,MATCH(BK430,ITEM_RES!$J:$J,0)-1,0),0)</f>
        <v>0</v>
      </c>
    </row>
    <row r="431" spans="1:65" x14ac:dyDescent="0.3">
      <c r="A431" s="14">
        <f t="shared" si="132"/>
        <v>114010007</v>
      </c>
      <c r="B431" s="13">
        <v>11</v>
      </c>
      <c r="C431" s="12">
        <f t="shared" si="133"/>
        <v>4</v>
      </c>
      <c r="D431" s="13">
        <v>1</v>
      </c>
      <c r="E431" s="13">
        <v>0</v>
      </c>
      <c r="F431" s="12">
        <f t="shared" si="134"/>
        <v>7</v>
      </c>
      <c r="H431" s="9">
        <v>4</v>
      </c>
      <c r="I431" s="9">
        <v>7</v>
      </c>
      <c r="K431" s="9" t="s">
        <v>461</v>
      </c>
      <c r="L431" s="9">
        <v>1</v>
      </c>
      <c r="M431" s="9">
        <v>15</v>
      </c>
      <c r="R431" s="9" t="s">
        <v>788</v>
      </c>
      <c r="U431" s="9">
        <f ca="1">IFERROR(OFFSET(ITEM_RES!$A$5,MATCH(BUILDING!T431,ITEM_RES!$J$5:$J$229,0)-1,0),0)</f>
        <v>0</v>
      </c>
      <c r="X431" s="9">
        <f ca="1">IFERROR(OFFSET(ITEM_RES!$A$5,MATCH(BUILDING!W431,ITEM_RES!$J$5:$J$229,0)-1,0),0)</f>
        <v>0</v>
      </c>
      <c r="Z431" s="9" t="s">
        <v>562</v>
      </c>
      <c r="AA431" s="9">
        <v>7</v>
      </c>
      <c r="AC431" s="9">
        <v>8000</v>
      </c>
      <c r="AE431" s="56">
        <f t="shared" si="129"/>
        <v>1600</v>
      </c>
      <c r="AF431" s="10">
        <f t="shared" si="131"/>
        <v>2400</v>
      </c>
      <c r="AH431" s="11">
        <f t="shared" si="128"/>
        <v>35</v>
      </c>
      <c r="AI431" s="10">
        <v>35</v>
      </c>
      <c r="AJ431" s="11">
        <f t="shared" si="135"/>
        <v>100</v>
      </c>
      <c r="AK431" s="10">
        <v>100</v>
      </c>
      <c r="AL431" s="11">
        <f t="shared" si="135"/>
        <v>100</v>
      </c>
      <c r="AM431" s="10">
        <v>100</v>
      </c>
      <c r="AN431" s="56">
        <f t="shared" si="130"/>
        <v>1</v>
      </c>
      <c r="AP431" s="11">
        <f ca="1">IFERROR(OFFSET(ITEM_RES!$A$1,MATCH(AQ431,ITEM_RES!$J:$J,0)-1,0),0)</f>
        <v>211020401</v>
      </c>
      <c r="AQ431" s="10" t="s">
        <v>459</v>
      </c>
      <c r="AR431" s="11">
        <v>500</v>
      </c>
      <c r="AU431" s="11">
        <f ca="1">IFERROR(OFFSET(ITEM_RES!$A$1,MATCH(AV431,ITEM_RES!$J:$J,0)-1,0),0)</f>
        <v>0</v>
      </c>
      <c r="AZ431" s="11">
        <f ca="1">IFERROR(OFFSET(ITEM_RES!$A$1,MATCH(BA431,ITEM_RES!$J:$J,0)-1,0),0)</f>
        <v>0</v>
      </c>
      <c r="BE431" s="11">
        <f ca="1">IFERROR(OFFSET(ITEM_RES!$A$1,MATCH(BF431,ITEM_RES!$J:$J,0)-1,0),0)</f>
        <v>0</v>
      </c>
      <c r="BJ431" s="11">
        <f ca="1">IFERROR(OFFSET(ITEM_RES!$A$1,MATCH(BK431,ITEM_RES!$J:$J,0)-1,0),0)</f>
        <v>0</v>
      </c>
    </row>
    <row r="432" spans="1:65" x14ac:dyDescent="0.3">
      <c r="A432" s="14">
        <f t="shared" si="132"/>
        <v>114010008</v>
      </c>
      <c r="B432" s="13">
        <v>11</v>
      </c>
      <c r="C432" s="12">
        <f t="shared" si="133"/>
        <v>4</v>
      </c>
      <c r="D432" s="13">
        <v>1</v>
      </c>
      <c r="E432" s="13">
        <v>0</v>
      </c>
      <c r="F432" s="12">
        <f t="shared" si="134"/>
        <v>8</v>
      </c>
      <c r="H432" s="9">
        <v>4</v>
      </c>
      <c r="I432" s="9">
        <v>8</v>
      </c>
      <c r="K432" s="9" t="s">
        <v>381</v>
      </c>
      <c r="L432" s="9">
        <v>1</v>
      </c>
      <c r="M432" s="9">
        <v>15</v>
      </c>
      <c r="R432" s="9" t="s">
        <v>789</v>
      </c>
      <c r="U432" s="9">
        <f ca="1">IFERROR(OFFSET(ITEM_RES!$A$5,MATCH(BUILDING!T432,ITEM_RES!$J$5:$J$229,0)-1,0),0)</f>
        <v>0</v>
      </c>
      <c r="X432" s="9">
        <f ca="1">IFERROR(OFFSET(ITEM_RES!$A$5,MATCH(BUILDING!W432,ITEM_RES!$J$5:$J$229,0)-1,0),0)</f>
        <v>0</v>
      </c>
      <c r="Z432" s="9" t="s">
        <v>562</v>
      </c>
      <c r="AA432" s="9">
        <v>8</v>
      </c>
      <c r="AC432" s="9">
        <v>8000</v>
      </c>
      <c r="AE432" s="56">
        <f t="shared" si="129"/>
        <v>1600</v>
      </c>
      <c r="AF432" s="10">
        <f t="shared" si="131"/>
        <v>3200</v>
      </c>
      <c r="AH432" s="11">
        <f t="shared" si="128"/>
        <v>40</v>
      </c>
      <c r="AI432" s="10">
        <v>40</v>
      </c>
      <c r="AJ432" s="11">
        <f t="shared" si="135"/>
        <v>100</v>
      </c>
      <c r="AK432" s="10">
        <v>100</v>
      </c>
      <c r="AL432" s="11">
        <f t="shared" si="135"/>
        <v>100</v>
      </c>
      <c r="AM432" s="10">
        <v>100</v>
      </c>
      <c r="AN432" s="56">
        <f t="shared" si="130"/>
        <v>1</v>
      </c>
      <c r="AP432" s="11">
        <f ca="1">IFERROR(OFFSET(ITEM_RES!$A$1,MATCH(AQ432,ITEM_RES!$J:$J,0)-1,0),0)</f>
        <v>211020501</v>
      </c>
      <c r="AQ432" s="10" t="s">
        <v>455</v>
      </c>
      <c r="AR432" s="11">
        <v>500</v>
      </c>
      <c r="AU432" s="11">
        <f ca="1">IFERROR(OFFSET(ITEM_RES!$A$1,MATCH(AV432,ITEM_RES!$J:$J,0)-1,0),0)</f>
        <v>0</v>
      </c>
      <c r="AZ432" s="11">
        <f ca="1">IFERROR(OFFSET(ITEM_RES!$A$1,MATCH(BA432,ITEM_RES!$J:$J,0)-1,0),0)</f>
        <v>0</v>
      </c>
      <c r="BE432" s="11">
        <f ca="1">IFERROR(OFFSET(ITEM_RES!$A$1,MATCH(BF432,ITEM_RES!$J:$J,0)-1,0),0)</f>
        <v>0</v>
      </c>
      <c r="BJ432" s="11">
        <f ca="1">IFERROR(OFFSET(ITEM_RES!$A$1,MATCH(BK432,ITEM_RES!$J:$J,0)-1,0),0)</f>
        <v>0</v>
      </c>
    </row>
    <row r="433" spans="1:65" x14ac:dyDescent="0.3">
      <c r="A433" s="14">
        <f t="shared" si="132"/>
        <v>114010009</v>
      </c>
      <c r="B433" s="13">
        <v>11</v>
      </c>
      <c r="C433" s="12">
        <f t="shared" si="133"/>
        <v>4</v>
      </c>
      <c r="D433" s="13">
        <v>1</v>
      </c>
      <c r="E433" s="13">
        <v>0</v>
      </c>
      <c r="F433" s="12">
        <f t="shared" si="134"/>
        <v>9</v>
      </c>
      <c r="H433" s="9">
        <v>4</v>
      </c>
      <c r="I433" s="9">
        <v>9</v>
      </c>
      <c r="K433" s="9" t="s">
        <v>381</v>
      </c>
      <c r="L433" s="9">
        <v>1</v>
      </c>
      <c r="M433" s="9">
        <v>15</v>
      </c>
      <c r="R433" s="9" t="s">
        <v>789</v>
      </c>
      <c r="U433" s="9">
        <f ca="1">IFERROR(OFFSET(ITEM_RES!$A$5,MATCH(BUILDING!T433,ITEM_RES!$J$5:$J$229,0)-1,0),0)</f>
        <v>0</v>
      </c>
      <c r="X433" s="9">
        <f ca="1">IFERROR(OFFSET(ITEM_RES!$A$5,MATCH(BUILDING!W433,ITEM_RES!$J$5:$J$229,0)-1,0),0)</f>
        <v>0</v>
      </c>
      <c r="Z433" s="9" t="s">
        <v>562</v>
      </c>
      <c r="AA433" s="9">
        <v>9</v>
      </c>
      <c r="AC433" s="9">
        <v>12000</v>
      </c>
      <c r="AE433" s="56">
        <f t="shared" si="129"/>
        <v>2400</v>
      </c>
      <c r="AF433" s="10">
        <f t="shared" si="131"/>
        <v>4000</v>
      </c>
      <c r="AH433" s="11">
        <f t="shared" si="128"/>
        <v>45</v>
      </c>
      <c r="AI433" s="10">
        <v>45</v>
      </c>
      <c r="AJ433" s="11">
        <f t="shared" si="135"/>
        <v>150</v>
      </c>
      <c r="AK433" s="10">
        <v>150</v>
      </c>
      <c r="AL433" s="11">
        <f t="shared" si="135"/>
        <v>150</v>
      </c>
      <c r="AM433" s="10">
        <v>150</v>
      </c>
      <c r="AN433" s="56">
        <f t="shared" si="130"/>
        <v>1</v>
      </c>
      <c r="AP433" s="11">
        <f ca="1">IFERROR(OFFSET(ITEM_RES!$A$1,MATCH(AQ433,ITEM_RES!$J:$J,0)-1,0),0)</f>
        <v>211020501</v>
      </c>
      <c r="AQ433" s="10" t="s">
        <v>455</v>
      </c>
      <c r="AR433" s="11">
        <v>750</v>
      </c>
      <c r="AU433" s="11">
        <f ca="1">IFERROR(OFFSET(ITEM_RES!$A$1,MATCH(AV433,ITEM_RES!$J:$J,0)-1,0),0)</f>
        <v>0</v>
      </c>
      <c r="AZ433" s="11">
        <f ca="1">IFERROR(OFFSET(ITEM_RES!$A$1,MATCH(BA433,ITEM_RES!$J:$J,0)-1,0),0)</f>
        <v>0</v>
      </c>
      <c r="BE433" s="11">
        <f ca="1">IFERROR(OFFSET(ITEM_RES!$A$1,MATCH(BF433,ITEM_RES!$J:$J,0)-1,0),0)</f>
        <v>0</v>
      </c>
      <c r="BJ433" s="11">
        <f ca="1">IFERROR(OFFSET(ITEM_RES!$A$1,MATCH(BK433,ITEM_RES!$J:$J,0)-1,0),0)</f>
        <v>0</v>
      </c>
    </row>
    <row r="434" spans="1:65" x14ac:dyDescent="0.3">
      <c r="A434" s="14">
        <f t="shared" si="132"/>
        <v>114010010</v>
      </c>
      <c r="B434" s="13">
        <v>11</v>
      </c>
      <c r="C434" s="12">
        <f t="shared" si="133"/>
        <v>4</v>
      </c>
      <c r="D434" s="13">
        <v>1</v>
      </c>
      <c r="E434" s="13">
        <v>0</v>
      </c>
      <c r="F434" s="12">
        <f t="shared" si="134"/>
        <v>10</v>
      </c>
      <c r="H434" s="9">
        <v>4</v>
      </c>
      <c r="I434" s="9">
        <v>10</v>
      </c>
      <c r="K434" s="9" t="s">
        <v>381</v>
      </c>
      <c r="L434" s="9">
        <v>1</v>
      </c>
      <c r="M434" s="9">
        <v>15</v>
      </c>
      <c r="R434" s="9" t="s">
        <v>789</v>
      </c>
      <c r="U434" s="9">
        <f ca="1">IFERROR(OFFSET(ITEM_RES!$A$5,MATCH(BUILDING!T434,ITEM_RES!$J$5:$J$229,0)-1,0),0)</f>
        <v>0</v>
      </c>
      <c r="X434" s="9">
        <f ca="1">IFERROR(OFFSET(ITEM_RES!$A$5,MATCH(BUILDING!W434,ITEM_RES!$J$5:$J$229,0)-1,0),0)</f>
        <v>0</v>
      </c>
      <c r="Z434" s="9" t="s">
        <v>562</v>
      </c>
      <c r="AA434" s="9">
        <v>10</v>
      </c>
      <c r="AC434" s="9">
        <v>16000</v>
      </c>
      <c r="AE434" s="56">
        <f t="shared" si="129"/>
        <v>3200</v>
      </c>
      <c r="AF434" s="10">
        <f t="shared" si="131"/>
        <v>5600</v>
      </c>
      <c r="AH434" s="11">
        <f t="shared" si="128"/>
        <v>50</v>
      </c>
      <c r="AI434" s="10">
        <v>50</v>
      </c>
      <c r="AJ434" s="11">
        <f t="shared" si="135"/>
        <v>200</v>
      </c>
      <c r="AK434" s="10">
        <v>200</v>
      </c>
      <c r="AL434" s="11">
        <f t="shared" si="135"/>
        <v>200</v>
      </c>
      <c r="AM434" s="10">
        <v>200</v>
      </c>
      <c r="AN434" s="56">
        <f t="shared" si="130"/>
        <v>1</v>
      </c>
      <c r="AP434" s="11">
        <f ca="1">IFERROR(OFFSET(ITEM_RES!$A$1,MATCH(AQ434,ITEM_RES!$J:$J,0)-1,0),0)</f>
        <v>211020501</v>
      </c>
      <c r="AQ434" s="10" t="s">
        <v>455</v>
      </c>
      <c r="AR434" s="11">
        <v>1000</v>
      </c>
      <c r="AU434" s="11">
        <f ca="1">IFERROR(OFFSET(ITEM_RES!$A$1,MATCH(AV434,ITEM_RES!$J:$J,0)-1,0),0)</f>
        <v>0</v>
      </c>
      <c r="AZ434" s="11">
        <f ca="1">IFERROR(OFFSET(ITEM_RES!$A$1,MATCH(BA434,ITEM_RES!$J:$J,0)-1,0),0)</f>
        <v>0</v>
      </c>
      <c r="BE434" s="11">
        <f ca="1">IFERROR(OFFSET(ITEM_RES!$A$1,MATCH(BF434,ITEM_RES!$J:$J,0)-1,0),0)</f>
        <v>0</v>
      </c>
      <c r="BJ434" s="11">
        <f ca="1">IFERROR(OFFSET(ITEM_RES!$A$1,MATCH(BK434,ITEM_RES!$J:$J,0)-1,0),0)</f>
        <v>0</v>
      </c>
    </row>
    <row r="435" spans="1:65" x14ac:dyDescent="0.3">
      <c r="A435" s="14">
        <f t="shared" si="132"/>
        <v>114010011</v>
      </c>
      <c r="B435" s="13">
        <v>11</v>
      </c>
      <c r="C435" s="12">
        <f t="shared" si="133"/>
        <v>4</v>
      </c>
      <c r="D435" s="13">
        <v>1</v>
      </c>
      <c r="E435" s="13">
        <v>0</v>
      </c>
      <c r="F435" s="12">
        <f t="shared" si="134"/>
        <v>11</v>
      </c>
      <c r="H435" s="9">
        <v>4</v>
      </c>
      <c r="I435" s="9">
        <v>11</v>
      </c>
      <c r="K435" s="9" t="s">
        <v>381</v>
      </c>
      <c r="L435" s="9">
        <v>1</v>
      </c>
      <c r="M435" s="9">
        <v>15</v>
      </c>
      <c r="R435" s="9" t="s">
        <v>789</v>
      </c>
      <c r="U435" s="9">
        <f ca="1">IFERROR(OFFSET(ITEM_RES!$A$5,MATCH(BUILDING!T435,ITEM_RES!$J$5:$J$229,0)-1,0),0)</f>
        <v>0</v>
      </c>
      <c r="X435" s="9">
        <f ca="1">IFERROR(OFFSET(ITEM_RES!$A$5,MATCH(BUILDING!W435,ITEM_RES!$J$5:$J$229,0)-1,0),0)</f>
        <v>0</v>
      </c>
      <c r="Z435" s="9" t="s">
        <v>562</v>
      </c>
      <c r="AA435" s="9">
        <v>11</v>
      </c>
      <c r="AC435" s="9">
        <v>20000</v>
      </c>
      <c r="AE435" s="56">
        <f t="shared" si="129"/>
        <v>4000</v>
      </c>
      <c r="AF435" s="10">
        <f t="shared" si="131"/>
        <v>7200</v>
      </c>
      <c r="AH435" s="11">
        <f t="shared" si="128"/>
        <v>55</v>
      </c>
      <c r="AI435" s="10">
        <v>55</v>
      </c>
      <c r="AJ435" s="11">
        <f t="shared" si="135"/>
        <v>250</v>
      </c>
      <c r="AK435" s="10">
        <v>250</v>
      </c>
      <c r="AL435" s="11">
        <f t="shared" si="135"/>
        <v>250</v>
      </c>
      <c r="AM435" s="10">
        <v>250</v>
      </c>
      <c r="AN435" s="56">
        <f t="shared" si="130"/>
        <v>1</v>
      </c>
      <c r="AP435" s="11">
        <f ca="1">IFERROR(OFFSET(ITEM_RES!$A$1,MATCH(AQ435,ITEM_RES!$J:$J,0)-1,0),0)</f>
        <v>211020501</v>
      </c>
      <c r="AQ435" s="10" t="s">
        <v>455</v>
      </c>
      <c r="AR435" s="11">
        <v>1250</v>
      </c>
      <c r="AU435" s="11">
        <f ca="1">IFERROR(OFFSET(ITEM_RES!$A$1,MATCH(AV435,ITEM_RES!$J:$J,0)-1,0),0)</f>
        <v>0</v>
      </c>
      <c r="AZ435" s="11">
        <f ca="1">IFERROR(OFFSET(ITEM_RES!$A$1,MATCH(BA435,ITEM_RES!$J:$J,0)-1,0),0)</f>
        <v>0</v>
      </c>
      <c r="BE435" s="11">
        <f ca="1">IFERROR(OFFSET(ITEM_RES!$A$1,MATCH(BF435,ITEM_RES!$J:$J,0)-1,0),0)</f>
        <v>0</v>
      </c>
      <c r="BJ435" s="11">
        <f ca="1">IFERROR(OFFSET(ITEM_RES!$A$1,MATCH(BK435,ITEM_RES!$J:$J,0)-1,0),0)</f>
        <v>0</v>
      </c>
    </row>
    <row r="436" spans="1:65" x14ac:dyDescent="0.3">
      <c r="A436" s="14">
        <f t="shared" si="132"/>
        <v>114010012</v>
      </c>
      <c r="B436" s="13">
        <v>11</v>
      </c>
      <c r="C436" s="12">
        <f t="shared" si="133"/>
        <v>4</v>
      </c>
      <c r="D436" s="13">
        <v>1</v>
      </c>
      <c r="E436" s="13">
        <v>0</v>
      </c>
      <c r="F436" s="12">
        <f t="shared" si="134"/>
        <v>12</v>
      </c>
      <c r="H436" s="9">
        <v>4</v>
      </c>
      <c r="I436" s="9">
        <v>12</v>
      </c>
      <c r="K436" s="9" t="s">
        <v>381</v>
      </c>
      <c r="L436" s="9">
        <v>1</v>
      </c>
      <c r="M436" s="9">
        <v>15</v>
      </c>
      <c r="R436" s="9" t="s">
        <v>789</v>
      </c>
      <c r="U436" s="9">
        <f ca="1">IFERROR(OFFSET(ITEM_RES!$A$5,MATCH(BUILDING!T436,ITEM_RES!$J$5:$J$229,0)-1,0),0)</f>
        <v>0</v>
      </c>
      <c r="X436" s="9">
        <f ca="1">IFERROR(OFFSET(ITEM_RES!$A$5,MATCH(BUILDING!W436,ITEM_RES!$J$5:$J$229,0)-1,0),0)</f>
        <v>0</v>
      </c>
      <c r="Z436" s="9" t="s">
        <v>562</v>
      </c>
      <c r="AA436" s="9">
        <v>12</v>
      </c>
      <c r="AC436" s="9">
        <v>24000</v>
      </c>
      <c r="AE436" s="56">
        <f t="shared" si="129"/>
        <v>4800</v>
      </c>
      <c r="AF436" s="10">
        <f t="shared" si="131"/>
        <v>8800</v>
      </c>
      <c r="AH436" s="11">
        <f t="shared" si="128"/>
        <v>60</v>
      </c>
      <c r="AI436" s="10">
        <v>60</v>
      </c>
      <c r="AJ436" s="11">
        <f t="shared" si="135"/>
        <v>300</v>
      </c>
      <c r="AK436" s="10">
        <v>300</v>
      </c>
      <c r="AL436" s="11">
        <f t="shared" si="135"/>
        <v>300</v>
      </c>
      <c r="AM436" s="10">
        <v>300</v>
      </c>
      <c r="AN436" s="56">
        <f t="shared" si="130"/>
        <v>1</v>
      </c>
      <c r="AP436" s="11">
        <f ca="1">IFERROR(OFFSET(ITEM_RES!$A$1,MATCH(AQ436,ITEM_RES!$J:$J,0)-1,0),0)</f>
        <v>211020501</v>
      </c>
      <c r="AQ436" s="10" t="s">
        <v>455</v>
      </c>
      <c r="AR436" s="11">
        <v>1500</v>
      </c>
      <c r="AU436" s="11">
        <f ca="1">IFERROR(OFFSET(ITEM_RES!$A$1,MATCH(AV436,ITEM_RES!$J:$J,0)-1,0),0)</f>
        <v>0</v>
      </c>
      <c r="AZ436" s="11">
        <f ca="1">IFERROR(OFFSET(ITEM_RES!$A$1,MATCH(BA436,ITEM_RES!$J:$J,0)-1,0),0)</f>
        <v>0</v>
      </c>
      <c r="BE436" s="11">
        <f ca="1">IFERROR(OFFSET(ITEM_RES!$A$1,MATCH(BF436,ITEM_RES!$J:$J,0)-1,0),0)</f>
        <v>0</v>
      </c>
      <c r="BJ436" s="11">
        <f ca="1">IFERROR(OFFSET(ITEM_RES!$A$1,MATCH(BK436,ITEM_RES!$J:$J,0)-1,0),0)</f>
        <v>0</v>
      </c>
    </row>
    <row r="437" spans="1:65" x14ac:dyDescent="0.3">
      <c r="A437" s="14">
        <f t="shared" si="132"/>
        <v>114010013</v>
      </c>
      <c r="B437" s="13">
        <v>11</v>
      </c>
      <c r="C437" s="12">
        <f t="shared" si="133"/>
        <v>4</v>
      </c>
      <c r="D437" s="13">
        <v>1</v>
      </c>
      <c r="E437" s="13">
        <v>0</v>
      </c>
      <c r="F437" s="12">
        <f t="shared" si="134"/>
        <v>13</v>
      </c>
      <c r="H437" s="9">
        <v>4</v>
      </c>
      <c r="I437" s="9">
        <v>13</v>
      </c>
      <c r="K437" s="9" t="s">
        <v>381</v>
      </c>
      <c r="L437" s="9">
        <v>1</v>
      </c>
      <c r="M437" s="9">
        <v>15</v>
      </c>
      <c r="R437" s="9" t="s">
        <v>789</v>
      </c>
      <c r="U437" s="9">
        <f ca="1">IFERROR(OFFSET(ITEM_RES!$A$5,MATCH(BUILDING!T437,ITEM_RES!$J$5:$J$229,0)-1,0),0)</f>
        <v>0</v>
      </c>
      <c r="X437" s="9">
        <f ca="1">IFERROR(OFFSET(ITEM_RES!$A$5,MATCH(BUILDING!W437,ITEM_RES!$J$5:$J$229,0)-1,0),0)</f>
        <v>0</v>
      </c>
      <c r="Z437" s="9" t="s">
        <v>562</v>
      </c>
      <c r="AA437" s="9">
        <v>13</v>
      </c>
      <c r="AC437" s="9">
        <v>28000</v>
      </c>
      <c r="AE437" s="56">
        <f t="shared" si="129"/>
        <v>6100</v>
      </c>
      <c r="AF437" s="10">
        <f t="shared" si="131"/>
        <v>10900</v>
      </c>
      <c r="AH437" s="11">
        <f t="shared" si="128"/>
        <v>65</v>
      </c>
      <c r="AI437" s="10">
        <v>65</v>
      </c>
      <c r="AJ437" s="11">
        <f t="shared" si="135"/>
        <v>350</v>
      </c>
      <c r="AK437" s="10">
        <v>350</v>
      </c>
      <c r="AL437" s="11">
        <f t="shared" si="135"/>
        <v>350</v>
      </c>
      <c r="AM437" s="10">
        <v>350</v>
      </c>
      <c r="AN437" s="56">
        <f t="shared" si="130"/>
        <v>2</v>
      </c>
      <c r="AP437" s="11">
        <f ca="1">IFERROR(OFFSET(ITEM_RES!$A$1,MATCH(AQ437,ITEM_RES!$J:$J,0)-1,0),0)</f>
        <v>211020501</v>
      </c>
      <c r="AQ437" s="10" t="s">
        <v>455</v>
      </c>
      <c r="AR437" s="11">
        <v>1750</v>
      </c>
      <c r="AU437" s="11">
        <f ca="1">IFERROR(OFFSET(ITEM_RES!$A$1,MATCH(AV437,ITEM_RES!$J:$J,0)-1,0),0)</f>
        <v>0</v>
      </c>
      <c r="AZ437" s="11">
        <f ca="1">IFERROR(OFFSET(ITEM_RES!$A$1,MATCH(BA437,ITEM_RES!$J:$J,0)-1,0),0)</f>
        <v>0</v>
      </c>
      <c r="BE437" s="11">
        <f ca="1">IFERROR(OFFSET(ITEM_RES!$A$1,MATCH(BF437,ITEM_RES!$J:$J,0)-1,0),0)</f>
        <v>213011301</v>
      </c>
      <c r="BF437" s="10" t="s">
        <v>499</v>
      </c>
      <c r="BG437" s="11">
        <v>1</v>
      </c>
      <c r="BJ437" s="11">
        <f ca="1">IFERROR(OFFSET(ITEM_RES!$A$1,MATCH(BK437,ITEM_RES!$J:$J,0)-1,0),0)</f>
        <v>0</v>
      </c>
    </row>
    <row r="438" spans="1:65" x14ac:dyDescent="0.3">
      <c r="A438" s="14">
        <f t="shared" si="132"/>
        <v>114010014</v>
      </c>
      <c r="B438" s="13">
        <v>11</v>
      </c>
      <c r="C438" s="12">
        <f t="shared" si="133"/>
        <v>4</v>
      </c>
      <c r="D438" s="13">
        <v>1</v>
      </c>
      <c r="E438" s="13">
        <v>0</v>
      </c>
      <c r="F438" s="12">
        <f t="shared" si="134"/>
        <v>14</v>
      </c>
      <c r="H438" s="9">
        <v>4</v>
      </c>
      <c r="I438" s="9">
        <v>14</v>
      </c>
      <c r="K438" s="9" t="s">
        <v>381</v>
      </c>
      <c r="L438" s="9">
        <v>1</v>
      </c>
      <c r="M438" s="9">
        <v>15</v>
      </c>
      <c r="R438" s="9" t="s">
        <v>789</v>
      </c>
      <c r="U438" s="9">
        <f ca="1">IFERROR(OFFSET(ITEM_RES!$A$5,MATCH(BUILDING!T438,ITEM_RES!$J$5:$J$229,0)-1,0),0)</f>
        <v>0</v>
      </c>
      <c r="X438" s="9">
        <f ca="1">IFERROR(OFFSET(ITEM_RES!$A$5,MATCH(BUILDING!W438,ITEM_RES!$J$5:$J$229,0)-1,0),0)</f>
        <v>0</v>
      </c>
      <c r="Z438" s="9" t="s">
        <v>562</v>
      </c>
      <c r="AA438" s="9">
        <v>14</v>
      </c>
      <c r="AC438" s="9">
        <v>36000</v>
      </c>
      <c r="AE438" s="56">
        <f t="shared" si="129"/>
        <v>7200</v>
      </c>
      <c r="AF438" s="10">
        <f t="shared" si="131"/>
        <v>13300</v>
      </c>
      <c r="AH438" s="11">
        <f t="shared" si="128"/>
        <v>70</v>
      </c>
      <c r="AI438" s="10">
        <v>70</v>
      </c>
      <c r="AJ438" s="11">
        <f t="shared" si="135"/>
        <v>450</v>
      </c>
      <c r="AK438" s="10">
        <v>450</v>
      </c>
      <c r="AL438" s="11">
        <f t="shared" si="135"/>
        <v>450</v>
      </c>
      <c r="AM438" s="10">
        <v>450</v>
      </c>
      <c r="AN438" s="56">
        <f t="shared" si="130"/>
        <v>1</v>
      </c>
      <c r="AP438" s="11">
        <f ca="1">IFERROR(OFFSET(ITEM_RES!$A$1,MATCH(AQ438,ITEM_RES!$J:$J,0)-1,0),0)</f>
        <v>211020501</v>
      </c>
      <c r="AQ438" s="10" t="s">
        <v>455</v>
      </c>
      <c r="AR438" s="11">
        <v>2250</v>
      </c>
      <c r="AU438" s="11">
        <f ca="1">IFERROR(OFFSET(ITEM_RES!$A$1,MATCH(AV438,ITEM_RES!$J:$J,0)-1,0),0)</f>
        <v>0</v>
      </c>
      <c r="AZ438" s="11">
        <f ca="1">IFERROR(OFFSET(ITEM_RES!$A$1,MATCH(BA438,ITEM_RES!$J:$J,0)-1,0),0)</f>
        <v>0</v>
      </c>
      <c r="BE438" s="11">
        <f ca="1">IFERROR(OFFSET(ITEM_RES!$A$1,MATCH(BF438,ITEM_RES!$J:$J,0)-1,0),0)</f>
        <v>0</v>
      </c>
      <c r="BJ438" s="11">
        <f ca="1">IFERROR(OFFSET(ITEM_RES!$A$1,MATCH(BK438,ITEM_RES!$J:$J,0)-1,0),0)</f>
        <v>0</v>
      </c>
    </row>
    <row r="439" spans="1:65" x14ac:dyDescent="0.3">
      <c r="A439" s="14">
        <f t="shared" si="132"/>
        <v>114010015</v>
      </c>
      <c r="B439" s="13">
        <v>11</v>
      </c>
      <c r="C439" s="12">
        <f t="shared" si="133"/>
        <v>4</v>
      </c>
      <c r="D439" s="13">
        <v>1</v>
      </c>
      <c r="E439" s="13">
        <v>0</v>
      </c>
      <c r="F439" s="12">
        <f t="shared" si="134"/>
        <v>15</v>
      </c>
      <c r="H439" s="9">
        <v>4</v>
      </c>
      <c r="I439" s="9">
        <v>15</v>
      </c>
      <c r="K439" s="9" t="s">
        <v>381</v>
      </c>
      <c r="L439" s="9">
        <v>1</v>
      </c>
      <c r="M439" s="9">
        <v>15</v>
      </c>
      <c r="R439" s="9" t="s">
        <v>789</v>
      </c>
      <c r="U439" s="9">
        <f ca="1">IFERROR(OFFSET(ITEM_RES!$A$5,MATCH(BUILDING!T439,ITEM_RES!$J$5:$J$229,0)-1,0),0)</f>
        <v>0</v>
      </c>
      <c r="X439" s="9">
        <f ca="1">IFERROR(OFFSET(ITEM_RES!$A$5,MATCH(BUILDING!W439,ITEM_RES!$J$5:$J$229,0)-1,0),0)</f>
        <v>0</v>
      </c>
      <c r="Z439" s="9" t="s">
        <v>562</v>
      </c>
      <c r="AA439" s="9">
        <v>15</v>
      </c>
      <c r="AC439" s="9">
        <v>44000</v>
      </c>
      <c r="AE439" s="56">
        <f t="shared" si="129"/>
        <v>8800</v>
      </c>
      <c r="AF439" s="10">
        <f t="shared" si="131"/>
        <v>16000</v>
      </c>
      <c r="AH439" s="11">
        <f t="shared" si="128"/>
        <v>75</v>
      </c>
      <c r="AI439" s="10">
        <v>75</v>
      </c>
      <c r="AJ439" s="11">
        <f t="shared" si="135"/>
        <v>550</v>
      </c>
      <c r="AK439" s="10">
        <v>550</v>
      </c>
      <c r="AL439" s="11">
        <f t="shared" si="135"/>
        <v>550</v>
      </c>
      <c r="AM439" s="10">
        <v>550</v>
      </c>
      <c r="AN439" s="56">
        <f t="shared" si="130"/>
        <v>1</v>
      </c>
      <c r="AP439" s="11">
        <f ca="1">IFERROR(OFFSET(ITEM_RES!$A$1,MATCH(AQ439,ITEM_RES!$J:$J,0)-1,0),0)</f>
        <v>211020501</v>
      </c>
      <c r="AQ439" s="10" t="s">
        <v>455</v>
      </c>
      <c r="AR439" s="11">
        <v>2750</v>
      </c>
      <c r="AU439" s="11">
        <f ca="1">IFERROR(OFFSET(ITEM_RES!$A$1,MATCH(AV439,ITEM_RES!$J:$J,0)-1,0),0)</f>
        <v>0</v>
      </c>
      <c r="AZ439" s="11">
        <f ca="1">IFERROR(OFFSET(ITEM_RES!$A$1,MATCH(BA439,ITEM_RES!$J:$J,0)-1,0),0)</f>
        <v>0</v>
      </c>
      <c r="BE439" s="11">
        <f ca="1">IFERROR(OFFSET(ITEM_RES!$A$1,MATCH(BF439,ITEM_RES!$J:$J,0)-1,0),0)</f>
        <v>0</v>
      </c>
      <c r="BJ439" s="11">
        <f ca="1">IFERROR(OFFSET(ITEM_RES!$A$1,MATCH(BK439,ITEM_RES!$J:$J,0)-1,0),0)</f>
        <v>0</v>
      </c>
    </row>
    <row r="440" spans="1:65" x14ac:dyDescent="0.3">
      <c r="A440" s="14">
        <f t="shared" si="132"/>
        <v>114010016</v>
      </c>
      <c r="B440" s="13">
        <v>11</v>
      </c>
      <c r="C440" s="12">
        <f t="shared" si="133"/>
        <v>4</v>
      </c>
      <c r="D440" s="13">
        <v>1</v>
      </c>
      <c r="E440" s="13">
        <v>0</v>
      </c>
      <c r="F440" s="12">
        <f t="shared" si="134"/>
        <v>16</v>
      </c>
      <c r="H440" s="9">
        <v>4</v>
      </c>
      <c r="I440" s="9">
        <v>16</v>
      </c>
      <c r="K440" s="9" t="s">
        <v>381</v>
      </c>
      <c r="L440" s="9">
        <v>0</v>
      </c>
      <c r="M440" s="9">
        <v>15</v>
      </c>
      <c r="R440" s="9" t="s">
        <v>789</v>
      </c>
      <c r="U440" s="9">
        <f ca="1">IFERROR(OFFSET(ITEM_RES!$A$5,MATCH(BUILDING!T440,ITEM_RES!$J$5:$J$229,0)-1,0),0)</f>
        <v>0</v>
      </c>
      <c r="X440" s="9">
        <f ca="1">IFERROR(OFFSET(ITEM_RES!$A$5,MATCH(BUILDING!W440,ITEM_RES!$J$5:$J$229,0)-1,0),0)</f>
        <v>0</v>
      </c>
      <c r="Z440" s="9" t="s">
        <v>562</v>
      </c>
      <c r="AA440" s="9">
        <v>16</v>
      </c>
      <c r="AC440" s="9">
        <v>56000</v>
      </c>
      <c r="AE440" s="56">
        <f t="shared" si="129"/>
        <v>11200</v>
      </c>
      <c r="AF440" s="10">
        <f t="shared" si="131"/>
        <v>20000</v>
      </c>
      <c r="AH440" s="11">
        <f t="shared" si="128"/>
        <v>80</v>
      </c>
      <c r="AI440" s="10">
        <v>80</v>
      </c>
      <c r="AJ440" s="11">
        <f t="shared" si="135"/>
        <v>700</v>
      </c>
      <c r="AK440" s="10">
        <v>700</v>
      </c>
      <c r="AL440" s="11">
        <f t="shared" si="135"/>
        <v>700</v>
      </c>
      <c r="AM440" s="10">
        <v>700</v>
      </c>
      <c r="AN440" s="56">
        <f t="shared" si="130"/>
        <v>1</v>
      </c>
      <c r="AP440" s="11">
        <f ca="1">IFERROR(OFFSET(ITEM_RES!$A$1,MATCH(AQ440,ITEM_RES!$J:$J,0)-1,0),0)</f>
        <v>211020501</v>
      </c>
      <c r="AQ440" s="10" t="s">
        <v>455</v>
      </c>
      <c r="AR440" s="11">
        <v>3500</v>
      </c>
      <c r="AU440" s="11">
        <f ca="1">IFERROR(OFFSET(ITEM_RES!$A$1,MATCH(AV440,ITEM_RES!$J:$J,0)-1,0),0)</f>
        <v>0</v>
      </c>
      <c r="AZ440" s="11">
        <f ca="1">IFERROR(OFFSET(ITEM_RES!$A$1,MATCH(BA440,ITEM_RES!$J:$J,0)-1,0),0)</f>
        <v>0</v>
      </c>
      <c r="BE440" s="11">
        <f ca="1">IFERROR(OFFSET(ITEM_RES!$A$1,MATCH(BF440,ITEM_RES!$J:$J,0)-1,0),0)</f>
        <v>0</v>
      </c>
      <c r="BJ440" s="11">
        <f ca="1">IFERROR(OFFSET(ITEM_RES!$A$1,MATCH(BK440,ITEM_RES!$J:$J,0)-1,0),0)</f>
        <v>0</v>
      </c>
    </row>
    <row r="441" spans="1:65" x14ac:dyDescent="0.3">
      <c r="A441" s="14">
        <f t="shared" si="132"/>
        <v>114010017</v>
      </c>
      <c r="B441" s="13">
        <v>11</v>
      </c>
      <c r="C441" s="12">
        <f t="shared" si="133"/>
        <v>4</v>
      </c>
      <c r="D441" s="13">
        <v>1</v>
      </c>
      <c r="E441" s="13">
        <v>0</v>
      </c>
      <c r="F441" s="12">
        <f t="shared" si="134"/>
        <v>17</v>
      </c>
      <c r="H441" s="9">
        <v>4</v>
      </c>
      <c r="I441" s="9">
        <v>17</v>
      </c>
      <c r="K441" s="9" t="s">
        <v>381</v>
      </c>
      <c r="L441" s="9">
        <v>0</v>
      </c>
      <c r="M441" s="9">
        <v>15</v>
      </c>
      <c r="R441" s="9" t="s">
        <v>789</v>
      </c>
      <c r="U441" s="9">
        <f ca="1">IFERROR(OFFSET(ITEM_RES!$A$5,MATCH(BUILDING!T441,ITEM_RES!$J$5:$J$229,0)-1,0),0)</f>
        <v>0</v>
      </c>
      <c r="X441" s="9">
        <f ca="1">IFERROR(OFFSET(ITEM_RES!$A$5,MATCH(BUILDING!W441,ITEM_RES!$J$5:$J$229,0)-1,0),0)</f>
        <v>0</v>
      </c>
      <c r="Z441" s="9" t="s">
        <v>562</v>
      </c>
      <c r="AA441" s="9">
        <v>17</v>
      </c>
      <c r="AC441" s="9">
        <v>68000</v>
      </c>
      <c r="AE441" s="56">
        <f t="shared" si="129"/>
        <v>13600</v>
      </c>
      <c r="AF441" s="10">
        <f t="shared" si="131"/>
        <v>24800</v>
      </c>
      <c r="AH441" s="11">
        <f t="shared" si="128"/>
        <v>85</v>
      </c>
      <c r="AI441" s="10">
        <v>85</v>
      </c>
      <c r="AJ441" s="11">
        <f t="shared" si="135"/>
        <v>850</v>
      </c>
      <c r="AK441" s="10">
        <v>850</v>
      </c>
      <c r="AL441" s="11">
        <f t="shared" si="135"/>
        <v>850</v>
      </c>
      <c r="AM441" s="10">
        <v>850</v>
      </c>
      <c r="AN441" s="56">
        <f t="shared" si="130"/>
        <v>1</v>
      </c>
      <c r="AP441" s="11">
        <f ca="1">IFERROR(OFFSET(ITEM_RES!$A$1,MATCH(AQ441,ITEM_RES!$J:$J,0)-1,0),0)</f>
        <v>211020501</v>
      </c>
      <c r="AQ441" s="10" t="s">
        <v>455</v>
      </c>
      <c r="AR441" s="11">
        <v>4250</v>
      </c>
      <c r="AU441" s="11">
        <f ca="1">IFERROR(OFFSET(ITEM_RES!$A$1,MATCH(AV441,ITEM_RES!$J:$J,0)-1,0),0)</f>
        <v>0</v>
      </c>
      <c r="AZ441" s="11">
        <f ca="1">IFERROR(OFFSET(ITEM_RES!$A$1,MATCH(BA441,ITEM_RES!$J:$J,0)-1,0),0)</f>
        <v>0</v>
      </c>
      <c r="BE441" s="11">
        <f ca="1">IFERROR(OFFSET(ITEM_RES!$A$1,MATCH(BF441,ITEM_RES!$J:$J,0)-1,0),0)</f>
        <v>0</v>
      </c>
      <c r="BJ441" s="11">
        <f ca="1">IFERROR(OFFSET(ITEM_RES!$A$1,MATCH(BK441,ITEM_RES!$J:$J,0)-1,0),0)</f>
        <v>0</v>
      </c>
    </row>
    <row r="442" spans="1:65" x14ac:dyDescent="0.3">
      <c r="A442" s="14">
        <f t="shared" si="132"/>
        <v>114010018</v>
      </c>
      <c r="B442" s="13">
        <v>11</v>
      </c>
      <c r="C442" s="12">
        <f t="shared" si="133"/>
        <v>4</v>
      </c>
      <c r="D442" s="13">
        <v>1</v>
      </c>
      <c r="E442" s="13">
        <v>0</v>
      </c>
      <c r="F442" s="12">
        <f t="shared" si="134"/>
        <v>18</v>
      </c>
      <c r="H442" s="9">
        <v>4</v>
      </c>
      <c r="I442" s="9">
        <v>18</v>
      </c>
      <c r="K442" s="9" t="s">
        <v>381</v>
      </c>
      <c r="L442" s="9">
        <v>0</v>
      </c>
      <c r="M442" s="9">
        <v>15</v>
      </c>
      <c r="R442" s="9" t="s">
        <v>789</v>
      </c>
      <c r="U442" s="9">
        <f ca="1">IFERROR(OFFSET(ITEM_RES!$A$5,MATCH(BUILDING!T442,ITEM_RES!$J$5:$J$229,0)-1,0),0)</f>
        <v>0</v>
      </c>
      <c r="X442" s="9">
        <f ca="1">IFERROR(OFFSET(ITEM_RES!$A$5,MATCH(BUILDING!W442,ITEM_RES!$J$5:$J$229,0)-1,0),0)</f>
        <v>0</v>
      </c>
      <c r="Z442" s="9" t="s">
        <v>562</v>
      </c>
      <c r="AA442" s="9">
        <v>18</v>
      </c>
      <c r="AC442" s="9">
        <v>84000</v>
      </c>
      <c r="AE442" s="56">
        <f t="shared" si="129"/>
        <v>16800</v>
      </c>
      <c r="AF442" s="10">
        <f t="shared" si="131"/>
        <v>30400</v>
      </c>
      <c r="AH442" s="11">
        <f t="shared" si="128"/>
        <v>90</v>
      </c>
      <c r="AI442" s="10">
        <v>90</v>
      </c>
      <c r="AJ442" s="11">
        <f t="shared" si="135"/>
        <v>1050</v>
      </c>
      <c r="AK442" s="10">
        <v>1050</v>
      </c>
      <c r="AL442" s="11">
        <f t="shared" si="135"/>
        <v>1050</v>
      </c>
      <c r="AM442" s="10">
        <v>1050</v>
      </c>
      <c r="AN442" s="56">
        <f t="shared" si="130"/>
        <v>1</v>
      </c>
      <c r="AP442" s="11">
        <f ca="1">IFERROR(OFFSET(ITEM_RES!$A$1,MATCH(AQ442,ITEM_RES!$J:$J,0)-1,0),0)</f>
        <v>211020501</v>
      </c>
      <c r="AQ442" s="10" t="s">
        <v>455</v>
      </c>
      <c r="AR442" s="11">
        <v>5250</v>
      </c>
      <c r="AU442" s="11">
        <f ca="1">IFERROR(OFFSET(ITEM_RES!$A$1,MATCH(AV442,ITEM_RES!$J:$J,0)-1,0),0)</f>
        <v>0</v>
      </c>
      <c r="AZ442" s="11">
        <f ca="1">IFERROR(OFFSET(ITEM_RES!$A$1,MATCH(BA442,ITEM_RES!$J:$J,0)-1,0),0)</f>
        <v>0</v>
      </c>
      <c r="BE442" s="11">
        <f ca="1">IFERROR(OFFSET(ITEM_RES!$A$1,MATCH(BF442,ITEM_RES!$J:$J,0)-1,0),0)</f>
        <v>0</v>
      </c>
      <c r="BJ442" s="11">
        <f ca="1">IFERROR(OFFSET(ITEM_RES!$A$1,MATCH(BK442,ITEM_RES!$J:$J,0)-1,0),0)</f>
        <v>0</v>
      </c>
    </row>
    <row r="443" spans="1:65" x14ac:dyDescent="0.3">
      <c r="A443" s="14">
        <f t="shared" si="132"/>
        <v>114010019</v>
      </c>
      <c r="B443" s="13">
        <v>11</v>
      </c>
      <c r="C443" s="12">
        <f t="shared" si="133"/>
        <v>4</v>
      </c>
      <c r="D443" s="13">
        <v>1</v>
      </c>
      <c r="E443" s="13">
        <v>0</v>
      </c>
      <c r="F443" s="12">
        <f t="shared" si="134"/>
        <v>19</v>
      </c>
      <c r="H443" s="9">
        <v>4</v>
      </c>
      <c r="I443" s="9">
        <v>19</v>
      </c>
      <c r="K443" s="9" t="s">
        <v>381</v>
      </c>
      <c r="L443" s="9">
        <v>0</v>
      </c>
      <c r="M443" s="9">
        <v>15</v>
      </c>
      <c r="R443" s="9" t="s">
        <v>789</v>
      </c>
      <c r="U443" s="9">
        <f ca="1">IFERROR(OFFSET(ITEM_RES!$A$5,MATCH(BUILDING!T443,ITEM_RES!$J$5:$J$229,0)-1,0),0)</f>
        <v>0</v>
      </c>
      <c r="X443" s="9">
        <f ca="1">IFERROR(OFFSET(ITEM_RES!$A$5,MATCH(BUILDING!W443,ITEM_RES!$J$5:$J$229,0)-1,0),0)</f>
        <v>0</v>
      </c>
      <c r="Z443" s="9" t="s">
        <v>562</v>
      </c>
      <c r="AA443" s="9">
        <v>19</v>
      </c>
      <c r="AC443" s="9">
        <v>100000</v>
      </c>
      <c r="AE443" s="56">
        <f t="shared" si="129"/>
        <v>20000</v>
      </c>
      <c r="AF443" s="10">
        <f t="shared" si="131"/>
        <v>36800</v>
      </c>
      <c r="AH443" s="11">
        <f t="shared" si="128"/>
        <v>95</v>
      </c>
      <c r="AI443" s="10">
        <v>95</v>
      </c>
      <c r="AJ443" s="11">
        <f t="shared" si="135"/>
        <v>1250</v>
      </c>
      <c r="AK443" s="10">
        <v>1250</v>
      </c>
      <c r="AL443" s="11">
        <f t="shared" si="135"/>
        <v>1250</v>
      </c>
      <c r="AM443" s="10">
        <v>1250</v>
      </c>
      <c r="AN443" s="56">
        <f t="shared" si="130"/>
        <v>1</v>
      </c>
      <c r="AP443" s="11">
        <f ca="1">IFERROR(OFFSET(ITEM_RES!$A$1,MATCH(AQ443,ITEM_RES!$J:$J,0)-1,0),0)</f>
        <v>211020501</v>
      </c>
      <c r="AQ443" s="10" t="s">
        <v>455</v>
      </c>
      <c r="AR443" s="11">
        <v>6250</v>
      </c>
      <c r="AU443" s="11">
        <f ca="1">IFERROR(OFFSET(ITEM_RES!$A$1,MATCH(AV443,ITEM_RES!$J:$J,0)-1,0),0)</f>
        <v>0</v>
      </c>
      <c r="AZ443" s="11">
        <f ca="1">IFERROR(OFFSET(ITEM_RES!$A$1,MATCH(BA443,ITEM_RES!$J:$J,0)-1,0),0)</f>
        <v>0</v>
      </c>
      <c r="BE443" s="11">
        <f ca="1">IFERROR(OFFSET(ITEM_RES!$A$1,MATCH(BF443,ITEM_RES!$J:$J,0)-1,0),0)</f>
        <v>0</v>
      </c>
      <c r="BJ443" s="11">
        <f ca="1">IFERROR(OFFSET(ITEM_RES!$A$1,MATCH(BK443,ITEM_RES!$J:$J,0)-1,0),0)</f>
        <v>0</v>
      </c>
    </row>
    <row r="444" spans="1:65" ht="17.25" thickBot="1" x14ac:dyDescent="0.35">
      <c r="A444" s="14">
        <f t="shared" si="132"/>
        <v>114010020</v>
      </c>
      <c r="B444" s="13">
        <v>11</v>
      </c>
      <c r="C444" s="12">
        <f t="shared" si="133"/>
        <v>4</v>
      </c>
      <c r="D444" s="13">
        <v>1</v>
      </c>
      <c r="E444" s="13">
        <v>0</v>
      </c>
      <c r="F444" s="12">
        <f t="shared" si="134"/>
        <v>20</v>
      </c>
      <c r="H444" s="9">
        <v>4</v>
      </c>
      <c r="I444" s="9">
        <v>20</v>
      </c>
      <c r="K444" s="9" t="s">
        <v>381</v>
      </c>
      <c r="L444" s="9">
        <v>0</v>
      </c>
      <c r="M444" s="9">
        <v>15</v>
      </c>
      <c r="R444" s="9" t="s">
        <v>789</v>
      </c>
      <c r="U444" s="9">
        <f ca="1">IFERROR(OFFSET(ITEM_RES!$A$5,MATCH(BUILDING!T444,ITEM_RES!$J$5:$J$229,0)-1,0),0)</f>
        <v>0</v>
      </c>
      <c r="X444" s="9">
        <f ca="1">IFERROR(OFFSET(ITEM_RES!$A$5,MATCH(BUILDING!W444,ITEM_RES!$J$5:$J$229,0)-1,0),0)</f>
        <v>0</v>
      </c>
      <c r="Z444" s="9" t="s">
        <v>562</v>
      </c>
      <c r="AA444" s="9">
        <v>20</v>
      </c>
      <c r="AC444" s="9">
        <v>120000</v>
      </c>
      <c r="AE444" s="56">
        <f t="shared" si="129"/>
        <v>24000</v>
      </c>
      <c r="AF444" s="10">
        <f t="shared" si="131"/>
        <v>44000</v>
      </c>
      <c r="AH444" s="11">
        <f t="shared" si="128"/>
        <v>100</v>
      </c>
      <c r="AI444" s="10">
        <v>100</v>
      </c>
      <c r="AJ444" s="11">
        <f t="shared" si="135"/>
        <v>1500</v>
      </c>
      <c r="AK444" s="10">
        <v>1500</v>
      </c>
      <c r="AL444" s="11">
        <f t="shared" si="135"/>
        <v>1500</v>
      </c>
      <c r="AM444" s="10">
        <v>1500</v>
      </c>
      <c r="AN444" s="56">
        <f t="shared" si="130"/>
        <v>1</v>
      </c>
      <c r="AP444" s="11">
        <f ca="1">IFERROR(OFFSET(ITEM_RES!$A$1,MATCH(AQ444,ITEM_RES!$J:$J,0)-1,0),0)</f>
        <v>211020501</v>
      </c>
      <c r="AQ444" s="10" t="s">
        <v>455</v>
      </c>
      <c r="AR444" s="11">
        <v>7500</v>
      </c>
      <c r="AU444" s="11">
        <f ca="1">IFERROR(OFFSET(ITEM_RES!$A$1,MATCH(AV444,ITEM_RES!$J:$J,0)-1,0),0)</f>
        <v>0</v>
      </c>
      <c r="AZ444" s="11">
        <f ca="1">IFERROR(OFFSET(ITEM_RES!$A$1,MATCH(BA444,ITEM_RES!$J:$J,0)-1,0),0)</f>
        <v>0</v>
      </c>
      <c r="BE444" s="11">
        <f ca="1">IFERROR(OFFSET(ITEM_RES!$A$1,MATCH(BF444,ITEM_RES!$J:$J,0)-1,0),0)</f>
        <v>0</v>
      </c>
      <c r="BJ444" s="11">
        <f ca="1">IFERROR(OFFSET(ITEM_RES!$A$1,MATCH(BK444,ITEM_RES!$J:$J,0)-1,0),0)</f>
        <v>0</v>
      </c>
    </row>
    <row r="445" spans="1:65" s="15" customFormat="1" x14ac:dyDescent="0.3">
      <c r="A445" s="21">
        <f t="shared" si="132"/>
        <v>114020001</v>
      </c>
      <c r="B445" s="20">
        <v>11</v>
      </c>
      <c r="C445" s="19">
        <f t="shared" si="133"/>
        <v>4</v>
      </c>
      <c r="D445" s="20">
        <v>2</v>
      </c>
      <c r="E445" s="20">
        <v>0</v>
      </c>
      <c r="F445" s="19">
        <f t="shared" si="134"/>
        <v>1</v>
      </c>
      <c r="G445" s="80"/>
      <c r="H445" s="16">
        <v>4</v>
      </c>
      <c r="I445" s="16">
        <v>1</v>
      </c>
      <c r="J445" s="80"/>
      <c r="K445" s="16" t="s">
        <v>387</v>
      </c>
      <c r="L445" s="16">
        <v>1</v>
      </c>
      <c r="M445" s="16">
        <v>15</v>
      </c>
      <c r="N445" s="16"/>
      <c r="O445" s="17"/>
      <c r="P445" s="17"/>
      <c r="Q445" s="18"/>
      <c r="R445" s="16" t="s">
        <v>790</v>
      </c>
      <c r="S445" s="80"/>
      <c r="T445" s="88"/>
      <c r="U445" s="16">
        <f ca="1">IFERROR(OFFSET(ITEM_RES!$A$5,MATCH(BUILDING!T445,ITEM_RES!$J$5:$J$229,0)-1,0),0)</f>
        <v>0</v>
      </c>
      <c r="V445" s="18"/>
      <c r="W445" s="88"/>
      <c r="X445" s="16">
        <f ca="1">IFERROR(OFFSET(ITEM_RES!$A$5,MATCH(BUILDING!W445,ITEM_RES!$J$5:$J$229,0)-1,0),0)</f>
        <v>0</v>
      </c>
      <c r="Y445" s="80"/>
      <c r="Z445" s="16" t="s">
        <v>563</v>
      </c>
      <c r="AA445" s="16">
        <v>1</v>
      </c>
      <c r="AB445" s="80"/>
      <c r="AC445" s="16">
        <v>0</v>
      </c>
      <c r="AD445" s="80"/>
      <c r="AE445" s="57">
        <f t="shared" si="129"/>
        <v>580</v>
      </c>
      <c r="AF445" s="17">
        <f>AE445</f>
        <v>580</v>
      </c>
      <c r="AG445" s="80"/>
      <c r="AH445" s="18">
        <f t="shared" si="128"/>
        <v>5</v>
      </c>
      <c r="AI445" s="17">
        <v>5</v>
      </c>
      <c r="AJ445" s="18">
        <f t="shared" si="135"/>
        <v>5</v>
      </c>
      <c r="AK445" s="17">
        <v>5</v>
      </c>
      <c r="AL445" s="18">
        <f t="shared" si="135"/>
        <v>5</v>
      </c>
      <c r="AM445" s="17">
        <v>5</v>
      </c>
      <c r="AN445" s="57">
        <f t="shared" si="130"/>
        <v>2</v>
      </c>
      <c r="AO445" s="18"/>
      <c r="AP445" s="18">
        <f ca="1">IFERROR(OFFSET(ITEM_RES!$A$1,MATCH(AQ445,ITEM_RES!$J:$J,0)-1,0),0)</f>
        <v>211020801</v>
      </c>
      <c r="AQ445" s="17" t="s">
        <v>460</v>
      </c>
      <c r="AR445" s="18">
        <v>25</v>
      </c>
      <c r="AS445" s="17"/>
      <c r="AT445" s="18"/>
      <c r="AU445" s="18">
        <f ca="1">IFERROR(OFFSET(ITEM_RES!$A$1,MATCH(AV445,ITEM_RES!$J:$J,0)-1,0),0)</f>
        <v>0</v>
      </c>
      <c r="AV445" s="17"/>
      <c r="AW445" s="18"/>
      <c r="AX445" s="17"/>
      <c r="AY445" s="18"/>
      <c r="AZ445" s="18">
        <f ca="1">IFERROR(OFFSET(ITEM_RES!$A$1,MATCH(BA445,ITEM_RES!$J:$J,0)-1,0),0)</f>
        <v>213010101</v>
      </c>
      <c r="BA445" s="17" t="s">
        <v>481</v>
      </c>
      <c r="BB445" s="18">
        <v>1</v>
      </c>
      <c r="BC445" s="17"/>
      <c r="BD445" s="18"/>
      <c r="BE445" s="18">
        <f ca="1">IFERROR(OFFSET(ITEM_RES!$A$1,MATCH(BF445,ITEM_RES!$J:$J,0)-1,0),0)</f>
        <v>0</v>
      </c>
      <c r="BF445" s="17"/>
      <c r="BG445" s="18"/>
      <c r="BH445" s="17"/>
      <c r="BI445" s="18"/>
      <c r="BJ445" s="18">
        <f ca="1">IFERROR(OFFSET(ITEM_RES!$A$1,MATCH(BK445,ITEM_RES!$J:$J,0)-1,0),0)</f>
        <v>0</v>
      </c>
      <c r="BK445" s="17"/>
      <c r="BL445" s="18"/>
      <c r="BM445" s="17"/>
    </row>
    <row r="446" spans="1:65" x14ac:dyDescent="0.3">
      <c r="A446" s="14">
        <f t="shared" si="132"/>
        <v>114020002</v>
      </c>
      <c r="B446" s="13">
        <v>11</v>
      </c>
      <c r="C446" s="12">
        <f t="shared" si="133"/>
        <v>4</v>
      </c>
      <c r="D446" s="13">
        <v>2</v>
      </c>
      <c r="E446" s="13">
        <v>0</v>
      </c>
      <c r="F446" s="12">
        <f t="shared" si="134"/>
        <v>2</v>
      </c>
      <c r="H446" s="9">
        <v>4</v>
      </c>
      <c r="I446" s="9">
        <v>2</v>
      </c>
      <c r="K446" s="9" t="s">
        <v>387</v>
      </c>
      <c r="L446" s="9">
        <v>1</v>
      </c>
      <c r="M446" s="9">
        <v>15</v>
      </c>
      <c r="R446" s="9" t="s">
        <v>790</v>
      </c>
      <c r="U446" s="9">
        <f ca="1">IFERROR(OFFSET(ITEM_RES!$A$5,MATCH(BUILDING!T446,ITEM_RES!$J$5:$J$229,0)-1,0),0)</f>
        <v>0</v>
      </c>
      <c r="X446" s="9">
        <f ca="1">IFERROR(OFFSET(ITEM_RES!$A$5,MATCH(BUILDING!W446,ITEM_RES!$J$5:$J$229,0)-1,0),0)</f>
        <v>0</v>
      </c>
      <c r="Z446" s="9" t="s">
        <v>563</v>
      </c>
      <c r="AA446" s="9">
        <v>2</v>
      </c>
      <c r="AC446" s="9">
        <v>400</v>
      </c>
      <c r="AE446" s="56">
        <f t="shared" si="129"/>
        <v>160</v>
      </c>
      <c r="AF446" s="10">
        <f>AE445+AE446</f>
        <v>740</v>
      </c>
      <c r="AH446" s="11">
        <f t="shared" si="128"/>
        <v>10</v>
      </c>
      <c r="AI446" s="10">
        <v>10</v>
      </c>
      <c r="AJ446" s="11">
        <f t="shared" si="135"/>
        <v>10</v>
      </c>
      <c r="AK446" s="10">
        <v>10</v>
      </c>
      <c r="AL446" s="11">
        <f t="shared" si="135"/>
        <v>10</v>
      </c>
      <c r="AM446" s="10">
        <v>10</v>
      </c>
      <c r="AN446" s="56">
        <f t="shared" si="130"/>
        <v>1</v>
      </c>
      <c r="AP446" s="11">
        <f ca="1">IFERROR(OFFSET(ITEM_RES!$A$1,MATCH(AQ446,ITEM_RES!$J:$J,0)-1,0),0)</f>
        <v>211020801</v>
      </c>
      <c r="AQ446" s="10" t="s">
        <v>460</v>
      </c>
      <c r="AR446" s="11">
        <v>50</v>
      </c>
      <c r="AU446" s="11">
        <f ca="1">IFERROR(OFFSET(ITEM_RES!$A$1,MATCH(AV446,ITEM_RES!$J:$J,0)-1,0),0)</f>
        <v>0</v>
      </c>
      <c r="AZ446" s="11">
        <f ca="1">IFERROR(OFFSET(ITEM_RES!$A$1,MATCH(BA446,ITEM_RES!$J:$J,0)-1,0),0)</f>
        <v>0</v>
      </c>
      <c r="BE446" s="11">
        <f ca="1">IFERROR(OFFSET(ITEM_RES!$A$1,MATCH(BF446,ITEM_RES!$J:$J,0)-1,0),0)</f>
        <v>0</v>
      </c>
      <c r="BJ446" s="11">
        <f ca="1">IFERROR(OFFSET(ITEM_RES!$A$1,MATCH(BK446,ITEM_RES!$J:$J,0)-1,0),0)</f>
        <v>0</v>
      </c>
    </row>
    <row r="447" spans="1:65" x14ac:dyDescent="0.3">
      <c r="A447" s="14">
        <f t="shared" si="132"/>
        <v>114020003</v>
      </c>
      <c r="B447" s="13">
        <v>11</v>
      </c>
      <c r="C447" s="12">
        <f t="shared" si="133"/>
        <v>4</v>
      </c>
      <c r="D447" s="13">
        <v>2</v>
      </c>
      <c r="E447" s="13">
        <v>0</v>
      </c>
      <c r="F447" s="12">
        <f t="shared" si="134"/>
        <v>3</v>
      </c>
      <c r="H447" s="9">
        <v>4</v>
      </c>
      <c r="I447" s="9">
        <v>3</v>
      </c>
      <c r="K447" s="9" t="s">
        <v>387</v>
      </c>
      <c r="L447" s="9">
        <v>1</v>
      </c>
      <c r="M447" s="9">
        <v>15</v>
      </c>
      <c r="R447" s="9" t="s">
        <v>790</v>
      </c>
      <c r="U447" s="9">
        <f ca="1">IFERROR(OFFSET(ITEM_RES!$A$5,MATCH(BUILDING!T447,ITEM_RES!$J$5:$J$229,0)-1,0),0)</f>
        <v>0</v>
      </c>
      <c r="X447" s="9">
        <f ca="1">IFERROR(OFFSET(ITEM_RES!$A$5,MATCH(BUILDING!W447,ITEM_RES!$J$5:$J$229,0)-1,0),0)</f>
        <v>0</v>
      </c>
      <c r="Z447" s="9" t="s">
        <v>563</v>
      </c>
      <c r="AA447" s="9">
        <v>3</v>
      </c>
      <c r="AC447" s="9">
        <v>1200</v>
      </c>
      <c r="AE447" s="56">
        <f t="shared" si="129"/>
        <v>240</v>
      </c>
      <c r="AF447" s="10">
        <f t="shared" ref="AF447:AF464" si="136">AE446+AE447</f>
        <v>400</v>
      </c>
      <c r="AH447" s="11">
        <f t="shared" si="128"/>
        <v>15</v>
      </c>
      <c r="AI447" s="10">
        <v>15</v>
      </c>
      <c r="AJ447" s="11">
        <f t="shared" si="135"/>
        <v>15</v>
      </c>
      <c r="AK447" s="10">
        <v>15</v>
      </c>
      <c r="AL447" s="11">
        <f t="shared" si="135"/>
        <v>15</v>
      </c>
      <c r="AM447" s="10">
        <v>15</v>
      </c>
      <c r="AN447" s="56">
        <f t="shared" si="130"/>
        <v>1</v>
      </c>
      <c r="AP447" s="11">
        <f ca="1">IFERROR(OFFSET(ITEM_RES!$A$1,MATCH(AQ447,ITEM_RES!$J:$J,0)-1,0),0)</f>
        <v>211020801</v>
      </c>
      <c r="AQ447" s="10" t="s">
        <v>460</v>
      </c>
      <c r="AR447" s="11">
        <v>75</v>
      </c>
      <c r="AU447" s="11">
        <f ca="1">IFERROR(OFFSET(ITEM_RES!$A$1,MATCH(AV447,ITEM_RES!$J:$J,0)-1,0),0)</f>
        <v>0</v>
      </c>
      <c r="AZ447" s="11">
        <f ca="1">IFERROR(OFFSET(ITEM_RES!$A$1,MATCH(BA447,ITEM_RES!$J:$J,0)-1,0),0)</f>
        <v>0</v>
      </c>
      <c r="BE447" s="11">
        <f ca="1">IFERROR(OFFSET(ITEM_RES!$A$1,MATCH(BF447,ITEM_RES!$J:$J,0)-1,0),0)</f>
        <v>0</v>
      </c>
      <c r="BJ447" s="11">
        <f ca="1">IFERROR(OFFSET(ITEM_RES!$A$1,MATCH(BK447,ITEM_RES!$J:$J,0)-1,0),0)</f>
        <v>0</v>
      </c>
    </row>
    <row r="448" spans="1:65" x14ac:dyDescent="0.3">
      <c r="A448" s="14">
        <f t="shared" si="132"/>
        <v>114020004</v>
      </c>
      <c r="B448" s="13">
        <v>11</v>
      </c>
      <c r="C448" s="12">
        <f t="shared" si="133"/>
        <v>4</v>
      </c>
      <c r="D448" s="13">
        <v>2</v>
      </c>
      <c r="E448" s="13">
        <v>0</v>
      </c>
      <c r="F448" s="12">
        <f t="shared" si="134"/>
        <v>4</v>
      </c>
      <c r="H448" s="9">
        <v>4</v>
      </c>
      <c r="I448" s="9">
        <v>4</v>
      </c>
      <c r="K448" s="9" t="s">
        <v>387</v>
      </c>
      <c r="L448" s="9">
        <v>1</v>
      </c>
      <c r="M448" s="9">
        <v>15</v>
      </c>
      <c r="R448" s="9" t="s">
        <v>790</v>
      </c>
      <c r="U448" s="9">
        <f ca="1">IFERROR(OFFSET(ITEM_RES!$A$5,MATCH(BUILDING!T448,ITEM_RES!$J$5:$J$229,0)-1,0),0)</f>
        <v>0</v>
      </c>
      <c r="X448" s="9">
        <f ca="1">IFERROR(OFFSET(ITEM_RES!$A$5,MATCH(BUILDING!W448,ITEM_RES!$J$5:$J$229,0)-1,0),0)</f>
        <v>0</v>
      </c>
      <c r="Z448" s="9" t="s">
        <v>563</v>
      </c>
      <c r="AA448" s="9">
        <v>4</v>
      </c>
      <c r="AC448" s="9">
        <v>2000</v>
      </c>
      <c r="AE448" s="56">
        <f t="shared" si="129"/>
        <v>400</v>
      </c>
      <c r="AF448" s="10">
        <f t="shared" si="136"/>
        <v>640</v>
      </c>
      <c r="AH448" s="11">
        <f t="shared" si="128"/>
        <v>20</v>
      </c>
      <c r="AI448" s="10">
        <v>20</v>
      </c>
      <c r="AJ448" s="11">
        <f t="shared" si="135"/>
        <v>25</v>
      </c>
      <c r="AK448" s="10">
        <v>25</v>
      </c>
      <c r="AL448" s="11">
        <f t="shared" si="135"/>
        <v>25</v>
      </c>
      <c r="AM448" s="10">
        <v>25</v>
      </c>
      <c r="AN448" s="56">
        <f t="shared" si="130"/>
        <v>1</v>
      </c>
      <c r="AP448" s="11">
        <f ca="1">IFERROR(OFFSET(ITEM_RES!$A$1,MATCH(AQ448,ITEM_RES!$J:$J,0)-1,0),0)</f>
        <v>211020801</v>
      </c>
      <c r="AQ448" s="10" t="s">
        <v>460</v>
      </c>
      <c r="AR448" s="11">
        <v>125</v>
      </c>
      <c r="AU448" s="11">
        <f ca="1">IFERROR(OFFSET(ITEM_RES!$A$1,MATCH(AV448,ITEM_RES!$J:$J,0)-1,0),0)</f>
        <v>0</v>
      </c>
      <c r="AZ448" s="11">
        <f ca="1">IFERROR(OFFSET(ITEM_RES!$A$1,MATCH(BA448,ITEM_RES!$J:$J,0)-1,0),0)</f>
        <v>0</v>
      </c>
      <c r="BE448" s="11">
        <f ca="1">IFERROR(OFFSET(ITEM_RES!$A$1,MATCH(BF448,ITEM_RES!$J:$J,0)-1,0),0)</f>
        <v>0</v>
      </c>
      <c r="BJ448" s="11">
        <f ca="1">IFERROR(OFFSET(ITEM_RES!$A$1,MATCH(BK448,ITEM_RES!$J:$J,0)-1,0),0)</f>
        <v>0</v>
      </c>
    </row>
    <row r="449" spans="1:62" x14ac:dyDescent="0.3">
      <c r="A449" s="14">
        <f t="shared" si="132"/>
        <v>114020005</v>
      </c>
      <c r="B449" s="13">
        <v>11</v>
      </c>
      <c r="C449" s="12">
        <f t="shared" si="133"/>
        <v>4</v>
      </c>
      <c r="D449" s="13">
        <v>2</v>
      </c>
      <c r="E449" s="13">
        <v>0</v>
      </c>
      <c r="F449" s="12">
        <f t="shared" si="134"/>
        <v>5</v>
      </c>
      <c r="H449" s="9">
        <v>4</v>
      </c>
      <c r="I449" s="9">
        <v>5</v>
      </c>
      <c r="K449" s="9" t="s">
        <v>387</v>
      </c>
      <c r="L449" s="9">
        <v>1</v>
      </c>
      <c r="M449" s="9">
        <v>15</v>
      </c>
      <c r="R449" s="9" t="s">
        <v>790</v>
      </c>
      <c r="U449" s="9">
        <f ca="1">IFERROR(OFFSET(ITEM_RES!$A$5,MATCH(BUILDING!T449,ITEM_RES!$J$5:$J$229,0)-1,0),0)</f>
        <v>0</v>
      </c>
      <c r="X449" s="9">
        <f ca="1">IFERROR(OFFSET(ITEM_RES!$A$5,MATCH(BUILDING!W449,ITEM_RES!$J$5:$J$229,0)-1,0),0)</f>
        <v>0</v>
      </c>
      <c r="Z449" s="9" t="s">
        <v>563</v>
      </c>
      <c r="AA449" s="9">
        <v>5</v>
      </c>
      <c r="AC449" s="9">
        <v>3200</v>
      </c>
      <c r="AE449" s="56">
        <f t="shared" si="129"/>
        <v>640</v>
      </c>
      <c r="AF449" s="10">
        <f t="shared" si="136"/>
        <v>1040</v>
      </c>
      <c r="AH449" s="11">
        <f t="shared" si="128"/>
        <v>25</v>
      </c>
      <c r="AI449" s="10">
        <v>25</v>
      </c>
      <c r="AJ449" s="11">
        <f t="shared" si="135"/>
        <v>40</v>
      </c>
      <c r="AK449" s="10">
        <v>40</v>
      </c>
      <c r="AL449" s="11">
        <f t="shared" si="135"/>
        <v>40</v>
      </c>
      <c r="AM449" s="10">
        <v>40</v>
      </c>
      <c r="AN449" s="56">
        <f t="shared" si="130"/>
        <v>1</v>
      </c>
      <c r="AP449" s="11">
        <f ca="1">IFERROR(OFFSET(ITEM_RES!$A$1,MATCH(AQ449,ITEM_RES!$J:$J,0)-1,0),0)</f>
        <v>211020801</v>
      </c>
      <c r="AQ449" s="10" t="s">
        <v>460</v>
      </c>
      <c r="AR449" s="11">
        <v>200</v>
      </c>
      <c r="AU449" s="11">
        <f ca="1">IFERROR(OFFSET(ITEM_RES!$A$1,MATCH(AV449,ITEM_RES!$J:$J,0)-1,0),0)</f>
        <v>0</v>
      </c>
      <c r="AZ449" s="11">
        <f ca="1">IFERROR(OFFSET(ITEM_RES!$A$1,MATCH(BA449,ITEM_RES!$J:$J,0)-1,0),0)</f>
        <v>0</v>
      </c>
      <c r="BE449" s="11">
        <f ca="1">IFERROR(OFFSET(ITEM_RES!$A$1,MATCH(BF449,ITEM_RES!$J:$J,0)-1,0),0)</f>
        <v>0</v>
      </c>
      <c r="BJ449" s="11">
        <f ca="1">IFERROR(OFFSET(ITEM_RES!$A$1,MATCH(BK449,ITEM_RES!$J:$J,0)-1,0),0)</f>
        <v>0</v>
      </c>
    </row>
    <row r="450" spans="1:62" x14ac:dyDescent="0.3">
      <c r="A450" s="14">
        <f t="shared" si="132"/>
        <v>114020006</v>
      </c>
      <c r="B450" s="13">
        <v>11</v>
      </c>
      <c r="C450" s="12">
        <f t="shared" si="133"/>
        <v>4</v>
      </c>
      <c r="D450" s="13">
        <v>2</v>
      </c>
      <c r="E450" s="13">
        <v>0</v>
      </c>
      <c r="F450" s="12">
        <f t="shared" si="134"/>
        <v>6</v>
      </c>
      <c r="H450" s="9">
        <v>4</v>
      </c>
      <c r="I450" s="9">
        <v>6</v>
      </c>
      <c r="K450" s="9" t="s">
        <v>387</v>
      </c>
      <c r="L450" s="9">
        <v>1</v>
      </c>
      <c r="M450" s="9">
        <v>15</v>
      </c>
      <c r="R450" s="9" t="s">
        <v>790</v>
      </c>
      <c r="U450" s="9">
        <f ca="1">IFERROR(OFFSET(ITEM_RES!$A$5,MATCH(BUILDING!T450,ITEM_RES!$J$5:$J$229,0)-1,0),0)</f>
        <v>0</v>
      </c>
      <c r="X450" s="9">
        <f ca="1">IFERROR(OFFSET(ITEM_RES!$A$5,MATCH(BUILDING!W450,ITEM_RES!$J$5:$J$229,0)-1,0),0)</f>
        <v>0</v>
      </c>
      <c r="Z450" s="9" t="s">
        <v>563</v>
      </c>
      <c r="AA450" s="9">
        <v>6</v>
      </c>
      <c r="AC450" s="9">
        <v>4000</v>
      </c>
      <c r="AE450" s="56">
        <f t="shared" si="129"/>
        <v>800</v>
      </c>
      <c r="AF450" s="10">
        <f t="shared" si="136"/>
        <v>1440</v>
      </c>
      <c r="AH450" s="11">
        <f t="shared" si="128"/>
        <v>30</v>
      </c>
      <c r="AI450" s="10">
        <v>30</v>
      </c>
      <c r="AJ450" s="11">
        <f t="shared" si="135"/>
        <v>50</v>
      </c>
      <c r="AK450" s="10">
        <v>50</v>
      </c>
      <c r="AL450" s="11">
        <f t="shared" si="135"/>
        <v>50</v>
      </c>
      <c r="AM450" s="10">
        <v>50</v>
      </c>
      <c r="AN450" s="56">
        <f t="shared" si="130"/>
        <v>1</v>
      </c>
      <c r="AP450" s="11">
        <f ca="1">IFERROR(OFFSET(ITEM_RES!$A$1,MATCH(AQ450,ITEM_RES!$J:$J,0)-1,0),0)</f>
        <v>211020801</v>
      </c>
      <c r="AQ450" s="10" t="s">
        <v>472</v>
      </c>
      <c r="AR450" s="11">
        <v>250</v>
      </c>
      <c r="AU450" s="11">
        <f ca="1">IFERROR(OFFSET(ITEM_RES!$A$1,MATCH(AV450,ITEM_RES!$J:$J,0)-1,0),0)</f>
        <v>0</v>
      </c>
      <c r="AZ450" s="11">
        <f ca="1">IFERROR(OFFSET(ITEM_RES!$A$1,MATCH(BA450,ITEM_RES!$J:$J,0)-1,0),0)</f>
        <v>0</v>
      </c>
      <c r="BE450" s="11">
        <f ca="1">IFERROR(OFFSET(ITEM_RES!$A$1,MATCH(BF450,ITEM_RES!$J:$J,0)-1,0),0)</f>
        <v>0</v>
      </c>
      <c r="BJ450" s="11">
        <f ca="1">IFERROR(OFFSET(ITEM_RES!$A$1,MATCH(BK450,ITEM_RES!$J:$J,0)-1,0),0)</f>
        <v>0</v>
      </c>
    </row>
    <row r="451" spans="1:62" x14ac:dyDescent="0.3">
      <c r="A451" s="14">
        <f t="shared" si="132"/>
        <v>114020007</v>
      </c>
      <c r="B451" s="13">
        <v>11</v>
      </c>
      <c r="C451" s="12">
        <f t="shared" si="133"/>
        <v>4</v>
      </c>
      <c r="D451" s="13">
        <v>2</v>
      </c>
      <c r="E451" s="13">
        <v>0</v>
      </c>
      <c r="F451" s="12">
        <f t="shared" si="134"/>
        <v>7</v>
      </c>
      <c r="H451" s="9">
        <v>4</v>
      </c>
      <c r="I451" s="9">
        <v>7</v>
      </c>
      <c r="K451" s="9" t="s">
        <v>387</v>
      </c>
      <c r="L451" s="9">
        <v>1</v>
      </c>
      <c r="M451" s="9">
        <v>15</v>
      </c>
      <c r="R451" s="9" t="s">
        <v>790</v>
      </c>
      <c r="U451" s="9">
        <f ca="1">IFERROR(OFFSET(ITEM_RES!$A$5,MATCH(BUILDING!T451,ITEM_RES!$J$5:$J$229,0)-1,0),0)</f>
        <v>0</v>
      </c>
      <c r="X451" s="9">
        <f ca="1">IFERROR(OFFSET(ITEM_RES!$A$5,MATCH(BUILDING!W451,ITEM_RES!$J$5:$J$229,0)-1,0),0)</f>
        <v>0</v>
      </c>
      <c r="Z451" s="9" t="s">
        <v>563</v>
      </c>
      <c r="AA451" s="9">
        <v>7</v>
      </c>
      <c r="AC451" s="9">
        <v>8000</v>
      </c>
      <c r="AE451" s="56">
        <f t="shared" si="129"/>
        <v>1600</v>
      </c>
      <c r="AF451" s="10">
        <f t="shared" si="136"/>
        <v>2400</v>
      </c>
      <c r="AH451" s="11">
        <f t="shared" si="128"/>
        <v>35</v>
      </c>
      <c r="AI451" s="10">
        <v>35</v>
      </c>
      <c r="AJ451" s="11">
        <f t="shared" si="135"/>
        <v>100</v>
      </c>
      <c r="AK451" s="10">
        <v>100</v>
      </c>
      <c r="AL451" s="11">
        <f t="shared" si="135"/>
        <v>100</v>
      </c>
      <c r="AM451" s="10">
        <v>100</v>
      </c>
      <c r="AN451" s="56">
        <f t="shared" si="130"/>
        <v>1</v>
      </c>
      <c r="AP451" s="11">
        <f ca="1">IFERROR(OFFSET(ITEM_RES!$A$1,MATCH(AQ451,ITEM_RES!$J:$J,0)-1,0),0)</f>
        <v>211020801</v>
      </c>
      <c r="AQ451" s="10" t="s">
        <v>460</v>
      </c>
      <c r="AR451" s="11">
        <v>500</v>
      </c>
      <c r="AU451" s="11">
        <f ca="1">IFERROR(OFFSET(ITEM_RES!$A$1,MATCH(AV451,ITEM_RES!$J:$J,0)-1,0),0)</f>
        <v>0</v>
      </c>
      <c r="AZ451" s="11">
        <f ca="1">IFERROR(OFFSET(ITEM_RES!$A$1,MATCH(BA451,ITEM_RES!$J:$J,0)-1,0),0)</f>
        <v>0</v>
      </c>
      <c r="BE451" s="11">
        <f ca="1">IFERROR(OFFSET(ITEM_RES!$A$1,MATCH(BF451,ITEM_RES!$J:$J,0)-1,0),0)</f>
        <v>0</v>
      </c>
      <c r="BJ451" s="11">
        <f ca="1">IFERROR(OFFSET(ITEM_RES!$A$1,MATCH(BK451,ITEM_RES!$J:$J,0)-1,0),0)</f>
        <v>0</v>
      </c>
    </row>
    <row r="452" spans="1:62" x14ac:dyDescent="0.3">
      <c r="A452" s="14">
        <f t="shared" si="132"/>
        <v>114020008</v>
      </c>
      <c r="B452" s="13">
        <v>11</v>
      </c>
      <c r="C452" s="12">
        <f t="shared" si="133"/>
        <v>4</v>
      </c>
      <c r="D452" s="13">
        <v>2</v>
      </c>
      <c r="E452" s="13">
        <v>0</v>
      </c>
      <c r="F452" s="12">
        <f t="shared" si="134"/>
        <v>8</v>
      </c>
      <c r="H452" s="9">
        <v>4</v>
      </c>
      <c r="I452" s="9">
        <v>8</v>
      </c>
      <c r="K452" s="9" t="s">
        <v>387</v>
      </c>
      <c r="L452" s="9">
        <v>1</v>
      </c>
      <c r="M452" s="9">
        <v>15</v>
      </c>
      <c r="R452" s="9" t="s">
        <v>790</v>
      </c>
      <c r="U452" s="9">
        <f ca="1">IFERROR(OFFSET(ITEM_RES!$A$5,MATCH(BUILDING!T452,ITEM_RES!$J$5:$J$229,0)-1,0),0)</f>
        <v>0</v>
      </c>
      <c r="X452" s="9">
        <f ca="1">IFERROR(OFFSET(ITEM_RES!$A$5,MATCH(BUILDING!W452,ITEM_RES!$J$5:$J$229,0)-1,0),0)</f>
        <v>0</v>
      </c>
      <c r="Z452" s="9" t="s">
        <v>563</v>
      </c>
      <c r="AA452" s="9">
        <v>8</v>
      </c>
      <c r="AC452" s="9">
        <v>8000</v>
      </c>
      <c r="AE452" s="56">
        <f t="shared" si="129"/>
        <v>1600</v>
      </c>
      <c r="AF452" s="10">
        <f t="shared" si="136"/>
        <v>3200</v>
      </c>
      <c r="AH452" s="11">
        <f t="shared" si="128"/>
        <v>40</v>
      </c>
      <c r="AI452" s="10">
        <v>40</v>
      </c>
      <c r="AJ452" s="11">
        <f t="shared" si="135"/>
        <v>100</v>
      </c>
      <c r="AK452" s="10">
        <v>100</v>
      </c>
      <c r="AL452" s="11">
        <f t="shared" si="135"/>
        <v>100</v>
      </c>
      <c r="AM452" s="10">
        <v>100</v>
      </c>
      <c r="AN452" s="56">
        <f t="shared" si="130"/>
        <v>1</v>
      </c>
      <c r="AP452" s="11">
        <f ca="1">IFERROR(OFFSET(ITEM_RES!$A$1,MATCH(AQ452,ITEM_RES!$J:$J,0)-1,0),0)</f>
        <v>211020801</v>
      </c>
      <c r="AQ452" s="10" t="s">
        <v>460</v>
      </c>
      <c r="AR452" s="11">
        <v>500</v>
      </c>
      <c r="AU452" s="11">
        <f ca="1">IFERROR(OFFSET(ITEM_RES!$A$1,MATCH(AV452,ITEM_RES!$J:$J,0)-1,0),0)</f>
        <v>0</v>
      </c>
      <c r="AZ452" s="11">
        <f ca="1">IFERROR(OFFSET(ITEM_RES!$A$1,MATCH(BA452,ITEM_RES!$J:$J,0)-1,0),0)</f>
        <v>0</v>
      </c>
      <c r="BE452" s="11">
        <f ca="1">IFERROR(OFFSET(ITEM_RES!$A$1,MATCH(BF452,ITEM_RES!$J:$J,0)-1,0),0)</f>
        <v>0</v>
      </c>
      <c r="BJ452" s="11">
        <f ca="1">IFERROR(OFFSET(ITEM_RES!$A$1,MATCH(BK452,ITEM_RES!$J:$J,0)-1,0),0)</f>
        <v>0</v>
      </c>
    </row>
    <row r="453" spans="1:62" x14ac:dyDescent="0.3">
      <c r="A453" s="14">
        <f t="shared" si="132"/>
        <v>114020009</v>
      </c>
      <c r="B453" s="13">
        <v>11</v>
      </c>
      <c r="C453" s="12">
        <f t="shared" si="133"/>
        <v>4</v>
      </c>
      <c r="D453" s="13">
        <v>2</v>
      </c>
      <c r="E453" s="13">
        <v>0</v>
      </c>
      <c r="F453" s="12">
        <f t="shared" si="134"/>
        <v>9</v>
      </c>
      <c r="H453" s="9">
        <v>4</v>
      </c>
      <c r="I453" s="9">
        <v>9</v>
      </c>
      <c r="K453" s="9" t="s">
        <v>387</v>
      </c>
      <c r="L453" s="9">
        <v>1</v>
      </c>
      <c r="M453" s="9">
        <v>15</v>
      </c>
      <c r="N453" s="56"/>
      <c r="R453" s="9" t="s">
        <v>790</v>
      </c>
      <c r="U453" s="9">
        <f ca="1">IFERROR(OFFSET(ITEM_RES!$A$5,MATCH(BUILDING!T453,ITEM_RES!$J$5:$J$229,0)-1,0),0)</f>
        <v>0</v>
      </c>
      <c r="X453" s="9">
        <f ca="1">IFERROR(OFFSET(ITEM_RES!$A$5,MATCH(BUILDING!W453,ITEM_RES!$J$5:$J$229,0)-1,0),0)</f>
        <v>0</v>
      </c>
      <c r="Z453" s="9" t="s">
        <v>563</v>
      </c>
      <c r="AA453" s="9">
        <v>9</v>
      </c>
      <c r="AC453" s="9">
        <v>12000</v>
      </c>
      <c r="AE453" s="56">
        <f t="shared" si="129"/>
        <v>2400</v>
      </c>
      <c r="AF453" s="10">
        <f t="shared" si="136"/>
        <v>4000</v>
      </c>
      <c r="AH453" s="11">
        <f t="shared" si="128"/>
        <v>45</v>
      </c>
      <c r="AI453" s="10">
        <v>45</v>
      </c>
      <c r="AJ453" s="11">
        <f t="shared" si="135"/>
        <v>150</v>
      </c>
      <c r="AK453" s="10">
        <v>150</v>
      </c>
      <c r="AL453" s="11">
        <f t="shared" si="135"/>
        <v>150</v>
      </c>
      <c r="AM453" s="10">
        <v>150</v>
      </c>
      <c r="AN453" s="56">
        <f t="shared" si="130"/>
        <v>1</v>
      </c>
      <c r="AP453" s="11">
        <f ca="1">IFERROR(OFFSET(ITEM_RES!$A$1,MATCH(AQ453,ITEM_RES!$J:$J,0)-1,0),0)</f>
        <v>211020901</v>
      </c>
      <c r="AQ453" s="10" t="s">
        <v>473</v>
      </c>
      <c r="AR453" s="11">
        <v>750</v>
      </c>
      <c r="AU453" s="11">
        <f ca="1">IFERROR(OFFSET(ITEM_RES!$A$1,MATCH(AV453,ITEM_RES!$J:$J,0)-1,0),0)</f>
        <v>0</v>
      </c>
      <c r="AZ453" s="11">
        <f ca="1">IFERROR(OFFSET(ITEM_RES!$A$1,MATCH(BA453,ITEM_RES!$J:$J,0)-1,0),0)</f>
        <v>0</v>
      </c>
      <c r="BE453" s="11">
        <f ca="1">IFERROR(OFFSET(ITEM_RES!$A$1,MATCH(BF453,ITEM_RES!$J:$J,0)-1,0),0)</f>
        <v>0</v>
      </c>
      <c r="BJ453" s="11">
        <f ca="1">IFERROR(OFFSET(ITEM_RES!$A$1,MATCH(BK453,ITEM_RES!$J:$J,0)-1,0),0)</f>
        <v>0</v>
      </c>
    </row>
    <row r="454" spans="1:62" x14ac:dyDescent="0.3">
      <c r="A454" s="14">
        <f t="shared" si="132"/>
        <v>114020010</v>
      </c>
      <c r="B454" s="13">
        <v>11</v>
      </c>
      <c r="C454" s="12">
        <f t="shared" si="133"/>
        <v>4</v>
      </c>
      <c r="D454" s="13">
        <v>2</v>
      </c>
      <c r="E454" s="13">
        <v>0</v>
      </c>
      <c r="F454" s="12">
        <f t="shared" si="134"/>
        <v>10</v>
      </c>
      <c r="H454" s="9">
        <v>4</v>
      </c>
      <c r="I454" s="9">
        <v>10</v>
      </c>
      <c r="K454" s="9" t="s">
        <v>387</v>
      </c>
      <c r="L454" s="9">
        <v>1</v>
      </c>
      <c r="M454" s="9">
        <v>15</v>
      </c>
      <c r="N454" s="63"/>
      <c r="R454" s="9" t="s">
        <v>790</v>
      </c>
      <c r="U454" s="9">
        <f ca="1">IFERROR(OFFSET(ITEM_RES!$A$5,MATCH(BUILDING!T454,ITEM_RES!$J$5:$J$229,0)-1,0),0)</f>
        <v>0</v>
      </c>
      <c r="X454" s="9">
        <f ca="1">IFERROR(OFFSET(ITEM_RES!$A$5,MATCH(BUILDING!W454,ITEM_RES!$J$5:$J$229,0)-1,0),0)</f>
        <v>0</v>
      </c>
      <c r="Z454" s="9" t="s">
        <v>563</v>
      </c>
      <c r="AA454" s="9">
        <v>10</v>
      </c>
      <c r="AC454" s="9">
        <v>16000</v>
      </c>
      <c r="AE454" s="56">
        <f t="shared" si="129"/>
        <v>3200</v>
      </c>
      <c r="AF454" s="10">
        <f t="shared" si="136"/>
        <v>5600</v>
      </c>
      <c r="AH454" s="11">
        <f t="shared" si="128"/>
        <v>50</v>
      </c>
      <c r="AI454" s="10">
        <v>50</v>
      </c>
      <c r="AJ454" s="11">
        <f t="shared" si="135"/>
        <v>200</v>
      </c>
      <c r="AK454" s="10">
        <v>200</v>
      </c>
      <c r="AL454" s="11">
        <f t="shared" si="135"/>
        <v>200</v>
      </c>
      <c r="AM454" s="10">
        <v>200</v>
      </c>
      <c r="AN454" s="56">
        <f t="shared" si="130"/>
        <v>1</v>
      </c>
      <c r="AP454" s="11">
        <f ca="1">IFERROR(OFFSET(ITEM_RES!$A$1,MATCH(AQ454,ITEM_RES!$J:$J,0)-1,0),0)</f>
        <v>211020901</v>
      </c>
      <c r="AQ454" s="10" t="s">
        <v>473</v>
      </c>
      <c r="AR454" s="11">
        <v>1000</v>
      </c>
      <c r="AU454" s="11">
        <f ca="1">IFERROR(OFFSET(ITEM_RES!$A$1,MATCH(AV454,ITEM_RES!$J:$J,0)-1,0),0)</f>
        <v>0</v>
      </c>
      <c r="AZ454" s="11">
        <f ca="1">IFERROR(OFFSET(ITEM_RES!$A$1,MATCH(BA454,ITEM_RES!$J:$J,0)-1,0),0)</f>
        <v>0</v>
      </c>
      <c r="BE454" s="11">
        <f ca="1">IFERROR(OFFSET(ITEM_RES!$A$1,MATCH(BF454,ITEM_RES!$J:$J,0)-1,0),0)</f>
        <v>0</v>
      </c>
      <c r="BJ454" s="11">
        <f ca="1">IFERROR(OFFSET(ITEM_RES!$A$1,MATCH(BK454,ITEM_RES!$J:$J,0)-1,0),0)</f>
        <v>0</v>
      </c>
    </row>
    <row r="455" spans="1:62" x14ac:dyDescent="0.3">
      <c r="A455" s="14">
        <f t="shared" si="132"/>
        <v>114020011</v>
      </c>
      <c r="B455" s="13">
        <v>11</v>
      </c>
      <c r="C455" s="12">
        <f t="shared" si="133"/>
        <v>4</v>
      </c>
      <c r="D455" s="13">
        <v>2</v>
      </c>
      <c r="E455" s="13">
        <v>0</v>
      </c>
      <c r="F455" s="12">
        <f t="shared" si="134"/>
        <v>11</v>
      </c>
      <c r="H455" s="9">
        <v>4</v>
      </c>
      <c r="I455" s="9">
        <v>11</v>
      </c>
      <c r="K455" s="9" t="s">
        <v>387</v>
      </c>
      <c r="L455" s="9">
        <v>1</v>
      </c>
      <c r="M455" s="9">
        <v>15</v>
      </c>
      <c r="N455" s="63"/>
      <c r="R455" s="9" t="s">
        <v>790</v>
      </c>
      <c r="U455" s="9">
        <f ca="1">IFERROR(OFFSET(ITEM_RES!$A$5,MATCH(BUILDING!T455,ITEM_RES!$J$5:$J$229,0)-1,0),0)</f>
        <v>0</v>
      </c>
      <c r="X455" s="9">
        <f ca="1">IFERROR(OFFSET(ITEM_RES!$A$5,MATCH(BUILDING!W455,ITEM_RES!$J$5:$J$229,0)-1,0),0)</f>
        <v>0</v>
      </c>
      <c r="Z455" s="9" t="s">
        <v>563</v>
      </c>
      <c r="AA455" s="9">
        <v>11</v>
      </c>
      <c r="AC455" s="9">
        <v>20000</v>
      </c>
      <c r="AE455" s="56">
        <f t="shared" si="129"/>
        <v>4000</v>
      </c>
      <c r="AF455" s="10">
        <f t="shared" si="136"/>
        <v>7200</v>
      </c>
      <c r="AH455" s="11">
        <f t="shared" si="128"/>
        <v>55</v>
      </c>
      <c r="AI455" s="10">
        <v>55</v>
      </c>
      <c r="AJ455" s="11">
        <f t="shared" si="135"/>
        <v>250</v>
      </c>
      <c r="AK455" s="10">
        <v>250</v>
      </c>
      <c r="AL455" s="11">
        <f t="shared" si="135"/>
        <v>250</v>
      </c>
      <c r="AM455" s="10">
        <v>250</v>
      </c>
      <c r="AN455" s="56">
        <f t="shared" si="130"/>
        <v>1</v>
      </c>
      <c r="AP455" s="11">
        <f ca="1">IFERROR(OFFSET(ITEM_RES!$A$1,MATCH(AQ455,ITEM_RES!$J:$J,0)-1,0),0)</f>
        <v>211020901</v>
      </c>
      <c r="AQ455" s="10" t="s">
        <v>473</v>
      </c>
      <c r="AR455" s="11">
        <v>1250</v>
      </c>
      <c r="AU455" s="11">
        <f ca="1">IFERROR(OFFSET(ITEM_RES!$A$1,MATCH(AV455,ITEM_RES!$J:$J,0)-1,0),0)</f>
        <v>0</v>
      </c>
      <c r="AZ455" s="11">
        <f ca="1">IFERROR(OFFSET(ITEM_RES!$A$1,MATCH(BA455,ITEM_RES!$J:$J,0)-1,0),0)</f>
        <v>0</v>
      </c>
      <c r="BE455" s="11">
        <f ca="1">IFERROR(OFFSET(ITEM_RES!$A$1,MATCH(BF455,ITEM_RES!$J:$J,0)-1,0),0)</f>
        <v>0</v>
      </c>
      <c r="BJ455" s="11">
        <f ca="1">IFERROR(OFFSET(ITEM_RES!$A$1,MATCH(BK455,ITEM_RES!$J:$J,0)-1,0),0)</f>
        <v>0</v>
      </c>
    </row>
    <row r="456" spans="1:62" x14ac:dyDescent="0.3">
      <c r="A456" s="14">
        <f t="shared" si="132"/>
        <v>114020012</v>
      </c>
      <c r="B456" s="13">
        <v>11</v>
      </c>
      <c r="C456" s="12">
        <f t="shared" si="133"/>
        <v>4</v>
      </c>
      <c r="D456" s="13">
        <v>2</v>
      </c>
      <c r="E456" s="13">
        <v>0</v>
      </c>
      <c r="F456" s="12">
        <f t="shared" si="134"/>
        <v>12</v>
      </c>
      <c r="H456" s="9">
        <v>4</v>
      </c>
      <c r="I456" s="9">
        <v>12</v>
      </c>
      <c r="K456" s="9" t="s">
        <v>387</v>
      </c>
      <c r="L456" s="9">
        <v>1</v>
      </c>
      <c r="M456" s="9">
        <v>15</v>
      </c>
      <c r="R456" s="9" t="s">
        <v>790</v>
      </c>
      <c r="U456" s="9">
        <f ca="1">IFERROR(OFFSET(ITEM_RES!$A$5,MATCH(BUILDING!T456,ITEM_RES!$J$5:$J$229,0)-1,0),0)</f>
        <v>0</v>
      </c>
      <c r="X456" s="9">
        <f ca="1">IFERROR(OFFSET(ITEM_RES!$A$5,MATCH(BUILDING!W456,ITEM_RES!$J$5:$J$229,0)-1,0),0)</f>
        <v>0</v>
      </c>
      <c r="Z456" s="9" t="s">
        <v>563</v>
      </c>
      <c r="AA456" s="9">
        <v>12</v>
      </c>
      <c r="AC456" s="9">
        <v>24000</v>
      </c>
      <c r="AE456" s="56">
        <f t="shared" si="129"/>
        <v>5300</v>
      </c>
      <c r="AF456" s="10">
        <f t="shared" si="136"/>
        <v>9300</v>
      </c>
      <c r="AH456" s="11">
        <f t="shared" si="128"/>
        <v>60</v>
      </c>
      <c r="AI456" s="10">
        <v>60</v>
      </c>
      <c r="AJ456" s="11">
        <f t="shared" si="135"/>
        <v>300</v>
      </c>
      <c r="AK456" s="10">
        <v>300</v>
      </c>
      <c r="AL456" s="11">
        <f t="shared" si="135"/>
        <v>300</v>
      </c>
      <c r="AM456" s="10">
        <v>300</v>
      </c>
      <c r="AN456" s="56">
        <f t="shared" si="130"/>
        <v>2</v>
      </c>
      <c r="AP456" s="11">
        <f ca="1">IFERROR(OFFSET(ITEM_RES!$A$1,MATCH(AQ456,ITEM_RES!$J:$J,0)-1,0),0)</f>
        <v>211020901</v>
      </c>
      <c r="AQ456" s="10" t="s">
        <v>473</v>
      </c>
      <c r="AR456" s="11">
        <v>1500</v>
      </c>
      <c r="AU456" s="11">
        <f ca="1">IFERROR(OFFSET(ITEM_RES!$A$1,MATCH(AV456,ITEM_RES!$J:$J,0)-1,0),0)</f>
        <v>0</v>
      </c>
      <c r="AZ456" s="11">
        <f ca="1">IFERROR(OFFSET(ITEM_RES!$A$1,MATCH(BA456,ITEM_RES!$J:$J,0)-1,0),0)</f>
        <v>0</v>
      </c>
      <c r="BE456" s="11">
        <f ca="1">IFERROR(OFFSET(ITEM_RES!$A$1,MATCH(BF456,ITEM_RES!$J:$J,0)-1,0),0)</f>
        <v>213011401</v>
      </c>
      <c r="BF456" s="10" t="s">
        <v>500</v>
      </c>
      <c r="BG456" s="11">
        <v>1</v>
      </c>
      <c r="BJ456" s="11">
        <f ca="1">IFERROR(OFFSET(ITEM_RES!$A$1,MATCH(BK456,ITEM_RES!$J:$J,0)-1,0),0)</f>
        <v>0</v>
      </c>
    </row>
    <row r="457" spans="1:62" x14ac:dyDescent="0.3">
      <c r="A457" s="14">
        <f t="shared" si="132"/>
        <v>114020013</v>
      </c>
      <c r="B457" s="13">
        <v>11</v>
      </c>
      <c r="C457" s="12">
        <f t="shared" si="133"/>
        <v>4</v>
      </c>
      <c r="D457" s="13">
        <v>2</v>
      </c>
      <c r="E457" s="13">
        <v>0</v>
      </c>
      <c r="F457" s="12">
        <f t="shared" si="134"/>
        <v>13</v>
      </c>
      <c r="H457" s="9">
        <v>4</v>
      </c>
      <c r="I457" s="9">
        <v>13</v>
      </c>
      <c r="K457" s="9" t="s">
        <v>387</v>
      </c>
      <c r="L457" s="9">
        <v>1</v>
      </c>
      <c r="M457" s="9">
        <v>15</v>
      </c>
      <c r="R457" s="9" t="s">
        <v>790</v>
      </c>
      <c r="U457" s="9">
        <f ca="1">IFERROR(OFFSET(ITEM_RES!$A$5,MATCH(BUILDING!T457,ITEM_RES!$J$5:$J$229,0)-1,0),0)</f>
        <v>0</v>
      </c>
      <c r="X457" s="9">
        <f ca="1">IFERROR(OFFSET(ITEM_RES!$A$5,MATCH(BUILDING!W457,ITEM_RES!$J$5:$J$229,0)-1,0),0)</f>
        <v>0</v>
      </c>
      <c r="Z457" s="9" t="s">
        <v>563</v>
      </c>
      <c r="AA457" s="9">
        <v>13</v>
      </c>
      <c r="AC457" s="9">
        <v>28000</v>
      </c>
      <c r="AE457" s="56">
        <f t="shared" si="129"/>
        <v>5600</v>
      </c>
      <c r="AF457" s="10">
        <f t="shared" si="136"/>
        <v>10900</v>
      </c>
      <c r="AH457" s="11">
        <f t="shared" si="128"/>
        <v>65</v>
      </c>
      <c r="AI457" s="10">
        <v>65</v>
      </c>
      <c r="AJ457" s="11">
        <f t="shared" si="135"/>
        <v>350</v>
      </c>
      <c r="AK457" s="10">
        <v>350</v>
      </c>
      <c r="AL457" s="11">
        <f t="shared" si="135"/>
        <v>350</v>
      </c>
      <c r="AM457" s="10">
        <v>350</v>
      </c>
      <c r="AN457" s="56">
        <f t="shared" si="130"/>
        <v>1</v>
      </c>
      <c r="AP457" s="11">
        <f ca="1">IFERROR(OFFSET(ITEM_RES!$A$1,MATCH(AQ457,ITEM_RES!$J:$J,0)-1,0),0)</f>
        <v>211020901</v>
      </c>
      <c r="AQ457" s="10" t="s">
        <v>473</v>
      </c>
      <c r="AR457" s="11">
        <v>1750</v>
      </c>
      <c r="AU457" s="11">
        <f ca="1">IFERROR(OFFSET(ITEM_RES!$A$1,MATCH(AV457,ITEM_RES!$J:$J,0)-1,0),0)</f>
        <v>0</v>
      </c>
      <c r="AZ457" s="11">
        <f ca="1">IFERROR(OFFSET(ITEM_RES!$A$1,MATCH(BA457,ITEM_RES!$J:$J,0)-1,0),0)</f>
        <v>0</v>
      </c>
      <c r="BE457" s="11">
        <f ca="1">IFERROR(OFFSET(ITEM_RES!$A$1,MATCH(BF457,ITEM_RES!$J:$J,0)-1,0),0)</f>
        <v>0</v>
      </c>
      <c r="BJ457" s="11">
        <f ca="1">IFERROR(OFFSET(ITEM_RES!$A$1,MATCH(BK457,ITEM_RES!$J:$J,0)-1,0),0)</f>
        <v>0</v>
      </c>
    </row>
    <row r="458" spans="1:62" x14ac:dyDescent="0.3">
      <c r="A458" s="14">
        <f t="shared" si="132"/>
        <v>114020014</v>
      </c>
      <c r="B458" s="13">
        <v>11</v>
      </c>
      <c r="C458" s="12">
        <f t="shared" si="133"/>
        <v>4</v>
      </c>
      <c r="D458" s="13">
        <v>2</v>
      </c>
      <c r="E458" s="13">
        <v>0</v>
      </c>
      <c r="F458" s="12">
        <f t="shared" si="134"/>
        <v>14</v>
      </c>
      <c r="H458" s="9">
        <v>4</v>
      </c>
      <c r="I458" s="9">
        <v>14</v>
      </c>
      <c r="K458" s="9" t="s">
        <v>387</v>
      </c>
      <c r="L458" s="9">
        <v>1</v>
      </c>
      <c r="M458" s="9">
        <v>15</v>
      </c>
      <c r="R458" s="9" t="s">
        <v>790</v>
      </c>
      <c r="U458" s="9">
        <f ca="1">IFERROR(OFFSET(ITEM_RES!$A$5,MATCH(BUILDING!T458,ITEM_RES!$J$5:$J$229,0)-1,0),0)</f>
        <v>0</v>
      </c>
      <c r="X458" s="9">
        <f ca="1">IFERROR(OFFSET(ITEM_RES!$A$5,MATCH(BUILDING!W458,ITEM_RES!$J$5:$J$229,0)-1,0),0)</f>
        <v>0</v>
      </c>
      <c r="Z458" s="9" t="s">
        <v>563</v>
      </c>
      <c r="AA458" s="9">
        <v>14</v>
      </c>
      <c r="AC458" s="9">
        <v>36000</v>
      </c>
      <c r="AE458" s="56">
        <f t="shared" si="129"/>
        <v>7200</v>
      </c>
      <c r="AF458" s="10">
        <f t="shared" si="136"/>
        <v>12800</v>
      </c>
      <c r="AH458" s="11">
        <f t="shared" si="128"/>
        <v>70</v>
      </c>
      <c r="AI458" s="10">
        <v>70</v>
      </c>
      <c r="AJ458" s="11">
        <f t="shared" si="135"/>
        <v>450</v>
      </c>
      <c r="AK458" s="10">
        <v>450</v>
      </c>
      <c r="AL458" s="11">
        <f t="shared" si="135"/>
        <v>450</v>
      </c>
      <c r="AM458" s="10">
        <v>450</v>
      </c>
      <c r="AN458" s="56">
        <f t="shared" si="130"/>
        <v>1</v>
      </c>
      <c r="AP458" s="11">
        <f ca="1">IFERROR(OFFSET(ITEM_RES!$A$1,MATCH(AQ458,ITEM_RES!$J:$J,0)-1,0),0)</f>
        <v>211020901</v>
      </c>
      <c r="AQ458" s="10" t="s">
        <v>473</v>
      </c>
      <c r="AR458" s="11">
        <v>2250</v>
      </c>
      <c r="AU458" s="11">
        <f ca="1">IFERROR(OFFSET(ITEM_RES!$A$1,MATCH(AV458,ITEM_RES!$J:$J,0)-1,0),0)</f>
        <v>0</v>
      </c>
      <c r="AZ458" s="11">
        <f ca="1">IFERROR(OFFSET(ITEM_RES!$A$1,MATCH(BA458,ITEM_RES!$J:$J,0)-1,0),0)</f>
        <v>0</v>
      </c>
      <c r="BE458" s="11">
        <f ca="1">IFERROR(OFFSET(ITEM_RES!$A$1,MATCH(BF458,ITEM_RES!$J:$J,0)-1,0),0)</f>
        <v>0</v>
      </c>
      <c r="BJ458" s="11">
        <f ca="1">IFERROR(OFFSET(ITEM_RES!$A$1,MATCH(BK458,ITEM_RES!$J:$J,0)-1,0),0)</f>
        <v>0</v>
      </c>
    </row>
    <row r="459" spans="1:62" x14ac:dyDescent="0.3">
      <c r="A459" s="14">
        <f t="shared" si="132"/>
        <v>114020015</v>
      </c>
      <c r="B459" s="13">
        <v>11</v>
      </c>
      <c r="C459" s="12">
        <f t="shared" si="133"/>
        <v>4</v>
      </c>
      <c r="D459" s="13">
        <v>2</v>
      </c>
      <c r="E459" s="13">
        <v>0</v>
      </c>
      <c r="F459" s="12">
        <f t="shared" si="134"/>
        <v>15</v>
      </c>
      <c r="H459" s="9">
        <v>4</v>
      </c>
      <c r="I459" s="9">
        <v>15</v>
      </c>
      <c r="K459" s="9" t="s">
        <v>387</v>
      </c>
      <c r="L459" s="9">
        <v>1</v>
      </c>
      <c r="M459" s="9">
        <v>15</v>
      </c>
      <c r="R459" s="9" t="s">
        <v>790</v>
      </c>
      <c r="U459" s="9">
        <f ca="1">IFERROR(OFFSET(ITEM_RES!$A$5,MATCH(BUILDING!T459,ITEM_RES!$J$5:$J$229,0)-1,0),0)</f>
        <v>0</v>
      </c>
      <c r="X459" s="9">
        <f ca="1">IFERROR(OFFSET(ITEM_RES!$A$5,MATCH(BUILDING!W459,ITEM_RES!$J$5:$J$229,0)-1,0),0)</f>
        <v>0</v>
      </c>
      <c r="Z459" s="9" t="s">
        <v>563</v>
      </c>
      <c r="AA459" s="9">
        <v>15</v>
      </c>
      <c r="AC459" s="9">
        <v>44000</v>
      </c>
      <c r="AE459" s="56">
        <f t="shared" si="129"/>
        <v>8800</v>
      </c>
      <c r="AF459" s="10">
        <f t="shared" si="136"/>
        <v>16000</v>
      </c>
      <c r="AH459" s="11">
        <f t="shared" si="128"/>
        <v>75</v>
      </c>
      <c r="AI459" s="10">
        <v>75</v>
      </c>
      <c r="AJ459" s="11">
        <f t="shared" si="135"/>
        <v>550</v>
      </c>
      <c r="AK459" s="10">
        <v>550</v>
      </c>
      <c r="AL459" s="11">
        <f t="shared" si="135"/>
        <v>550</v>
      </c>
      <c r="AM459" s="10">
        <v>550</v>
      </c>
      <c r="AN459" s="56">
        <f t="shared" si="130"/>
        <v>1</v>
      </c>
      <c r="AP459" s="11">
        <f ca="1">IFERROR(OFFSET(ITEM_RES!$A$1,MATCH(AQ459,ITEM_RES!$J:$J,0)-1,0),0)</f>
        <v>211020901</v>
      </c>
      <c r="AQ459" s="10" t="s">
        <v>473</v>
      </c>
      <c r="AR459" s="11">
        <v>2750</v>
      </c>
      <c r="AU459" s="11">
        <f ca="1">IFERROR(OFFSET(ITEM_RES!$A$1,MATCH(AV459,ITEM_RES!$J:$J,0)-1,0),0)</f>
        <v>0</v>
      </c>
      <c r="AZ459" s="11">
        <f ca="1">IFERROR(OFFSET(ITEM_RES!$A$1,MATCH(BA459,ITEM_RES!$J:$J,0)-1,0),0)</f>
        <v>0</v>
      </c>
      <c r="BE459" s="11">
        <f ca="1">IFERROR(OFFSET(ITEM_RES!$A$1,MATCH(BF459,ITEM_RES!$J:$J,0)-1,0),0)</f>
        <v>0</v>
      </c>
      <c r="BJ459" s="11">
        <f ca="1">IFERROR(OFFSET(ITEM_RES!$A$1,MATCH(BK459,ITEM_RES!$J:$J,0)-1,0),0)</f>
        <v>0</v>
      </c>
    </row>
    <row r="460" spans="1:62" x14ac:dyDescent="0.3">
      <c r="A460" s="14">
        <f t="shared" si="132"/>
        <v>114020016</v>
      </c>
      <c r="B460" s="13">
        <v>11</v>
      </c>
      <c r="C460" s="12">
        <f t="shared" si="133"/>
        <v>4</v>
      </c>
      <c r="D460" s="13">
        <v>2</v>
      </c>
      <c r="E460" s="13">
        <v>0</v>
      </c>
      <c r="F460" s="12">
        <f t="shared" si="134"/>
        <v>16</v>
      </c>
      <c r="H460" s="9">
        <v>4</v>
      </c>
      <c r="I460" s="9">
        <v>16</v>
      </c>
      <c r="K460" s="9" t="s">
        <v>387</v>
      </c>
      <c r="L460" s="9">
        <v>0</v>
      </c>
      <c r="M460" s="9">
        <v>15</v>
      </c>
      <c r="R460" s="9" t="s">
        <v>790</v>
      </c>
      <c r="U460" s="9">
        <f ca="1">IFERROR(OFFSET(ITEM_RES!$A$5,MATCH(BUILDING!T460,ITEM_RES!$J$5:$J$229,0)-1,0),0)</f>
        <v>0</v>
      </c>
      <c r="X460" s="9">
        <f ca="1">IFERROR(OFFSET(ITEM_RES!$A$5,MATCH(BUILDING!W460,ITEM_RES!$J$5:$J$229,0)-1,0),0)</f>
        <v>0</v>
      </c>
      <c r="Z460" s="9" t="s">
        <v>563</v>
      </c>
      <c r="AA460" s="9">
        <v>16</v>
      </c>
      <c r="AC460" s="9">
        <v>56000</v>
      </c>
      <c r="AE460" s="56">
        <f t="shared" si="129"/>
        <v>11200</v>
      </c>
      <c r="AF460" s="10">
        <f t="shared" si="136"/>
        <v>20000</v>
      </c>
      <c r="AH460" s="11">
        <f t="shared" si="128"/>
        <v>80</v>
      </c>
      <c r="AI460" s="10">
        <v>80</v>
      </c>
      <c r="AJ460" s="11">
        <f t="shared" si="135"/>
        <v>700</v>
      </c>
      <c r="AK460" s="10">
        <v>700</v>
      </c>
      <c r="AL460" s="11">
        <f t="shared" si="135"/>
        <v>700</v>
      </c>
      <c r="AM460" s="10">
        <v>700</v>
      </c>
      <c r="AN460" s="56">
        <f t="shared" si="130"/>
        <v>1</v>
      </c>
      <c r="AP460" s="11">
        <f ca="1">IFERROR(OFFSET(ITEM_RES!$A$1,MATCH(AQ460,ITEM_RES!$J:$J,0)-1,0),0)</f>
        <v>211020901</v>
      </c>
      <c r="AQ460" s="10" t="s">
        <v>473</v>
      </c>
      <c r="AR460" s="11">
        <v>3500</v>
      </c>
      <c r="AU460" s="11">
        <f ca="1">IFERROR(OFFSET(ITEM_RES!$A$1,MATCH(AV460,ITEM_RES!$J:$J,0)-1,0),0)</f>
        <v>0</v>
      </c>
      <c r="AZ460" s="11">
        <f ca="1">IFERROR(OFFSET(ITEM_RES!$A$1,MATCH(BA460,ITEM_RES!$J:$J,0)-1,0),0)</f>
        <v>0</v>
      </c>
      <c r="BE460" s="11">
        <f ca="1">IFERROR(OFFSET(ITEM_RES!$A$1,MATCH(BF460,ITEM_RES!$J:$J,0)-1,0),0)</f>
        <v>0</v>
      </c>
      <c r="BJ460" s="11">
        <f ca="1">IFERROR(OFFSET(ITEM_RES!$A$1,MATCH(BK460,ITEM_RES!$J:$J,0)-1,0),0)</f>
        <v>0</v>
      </c>
    </row>
    <row r="461" spans="1:62" x14ac:dyDescent="0.3">
      <c r="A461" s="14">
        <f t="shared" si="132"/>
        <v>114020017</v>
      </c>
      <c r="B461" s="13">
        <v>11</v>
      </c>
      <c r="C461" s="12">
        <f t="shared" si="133"/>
        <v>4</v>
      </c>
      <c r="D461" s="13">
        <v>2</v>
      </c>
      <c r="E461" s="13">
        <v>0</v>
      </c>
      <c r="F461" s="12">
        <f t="shared" si="134"/>
        <v>17</v>
      </c>
      <c r="H461" s="9">
        <v>4</v>
      </c>
      <c r="I461" s="9">
        <v>17</v>
      </c>
      <c r="K461" s="9" t="s">
        <v>387</v>
      </c>
      <c r="L461" s="9">
        <v>0</v>
      </c>
      <c r="M461" s="9">
        <v>15</v>
      </c>
      <c r="R461" s="9" t="s">
        <v>790</v>
      </c>
      <c r="U461" s="9">
        <f ca="1">IFERROR(OFFSET(ITEM_RES!$A$5,MATCH(BUILDING!T461,ITEM_RES!$J$5:$J$229,0)-1,0),0)</f>
        <v>0</v>
      </c>
      <c r="X461" s="9">
        <f ca="1">IFERROR(OFFSET(ITEM_RES!$A$5,MATCH(BUILDING!W461,ITEM_RES!$J$5:$J$229,0)-1,0),0)</f>
        <v>0</v>
      </c>
      <c r="Z461" s="9" t="s">
        <v>563</v>
      </c>
      <c r="AA461" s="9">
        <v>17</v>
      </c>
      <c r="AC461" s="9">
        <v>68000</v>
      </c>
      <c r="AE461" s="56">
        <f t="shared" si="129"/>
        <v>13600</v>
      </c>
      <c r="AF461" s="10">
        <f t="shared" si="136"/>
        <v>24800</v>
      </c>
      <c r="AH461" s="11">
        <f t="shared" si="128"/>
        <v>85</v>
      </c>
      <c r="AI461" s="10">
        <v>85</v>
      </c>
      <c r="AJ461" s="11">
        <f t="shared" si="135"/>
        <v>850</v>
      </c>
      <c r="AK461" s="10">
        <v>850</v>
      </c>
      <c r="AL461" s="11">
        <f t="shared" si="135"/>
        <v>850</v>
      </c>
      <c r="AM461" s="10">
        <v>850</v>
      </c>
      <c r="AN461" s="56">
        <f t="shared" si="130"/>
        <v>1</v>
      </c>
      <c r="AP461" s="11">
        <f ca="1">IFERROR(OFFSET(ITEM_RES!$A$1,MATCH(AQ461,ITEM_RES!$J:$J,0)-1,0),0)</f>
        <v>211020901</v>
      </c>
      <c r="AQ461" s="10" t="s">
        <v>473</v>
      </c>
      <c r="AR461" s="11">
        <v>4250</v>
      </c>
      <c r="AU461" s="11">
        <f ca="1">IFERROR(OFFSET(ITEM_RES!$A$1,MATCH(AV461,ITEM_RES!$J:$J,0)-1,0),0)</f>
        <v>0</v>
      </c>
      <c r="AZ461" s="11">
        <f ca="1">IFERROR(OFFSET(ITEM_RES!$A$1,MATCH(BA461,ITEM_RES!$J:$J,0)-1,0),0)</f>
        <v>0</v>
      </c>
      <c r="BE461" s="11">
        <f ca="1">IFERROR(OFFSET(ITEM_RES!$A$1,MATCH(BF461,ITEM_RES!$J:$J,0)-1,0),0)</f>
        <v>0</v>
      </c>
      <c r="BJ461" s="11">
        <f ca="1">IFERROR(OFFSET(ITEM_RES!$A$1,MATCH(BK461,ITEM_RES!$J:$J,0)-1,0),0)</f>
        <v>0</v>
      </c>
    </row>
    <row r="462" spans="1:62" x14ac:dyDescent="0.3">
      <c r="A462" s="14">
        <f t="shared" si="132"/>
        <v>114020018</v>
      </c>
      <c r="B462" s="13">
        <v>11</v>
      </c>
      <c r="C462" s="12">
        <f t="shared" si="133"/>
        <v>4</v>
      </c>
      <c r="D462" s="13">
        <v>2</v>
      </c>
      <c r="E462" s="13">
        <v>0</v>
      </c>
      <c r="F462" s="12">
        <f t="shared" si="134"/>
        <v>18</v>
      </c>
      <c r="H462" s="9">
        <v>4</v>
      </c>
      <c r="I462" s="9">
        <v>18</v>
      </c>
      <c r="K462" s="9" t="s">
        <v>387</v>
      </c>
      <c r="L462" s="9">
        <v>0</v>
      </c>
      <c r="M462" s="9">
        <v>15</v>
      </c>
      <c r="R462" s="9" t="s">
        <v>790</v>
      </c>
      <c r="U462" s="9">
        <f ca="1">IFERROR(OFFSET(ITEM_RES!$A$5,MATCH(BUILDING!T462,ITEM_RES!$J$5:$J$229,0)-1,0),0)</f>
        <v>0</v>
      </c>
      <c r="X462" s="9">
        <f ca="1">IFERROR(OFFSET(ITEM_RES!$A$5,MATCH(BUILDING!W462,ITEM_RES!$J$5:$J$229,0)-1,0),0)</f>
        <v>0</v>
      </c>
      <c r="Z462" s="9" t="s">
        <v>563</v>
      </c>
      <c r="AA462" s="9">
        <v>18</v>
      </c>
      <c r="AC462" s="9">
        <v>84000</v>
      </c>
      <c r="AE462" s="56">
        <f t="shared" si="129"/>
        <v>16800</v>
      </c>
      <c r="AF462" s="10">
        <f t="shared" si="136"/>
        <v>30400</v>
      </c>
      <c r="AH462" s="11">
        <f t="shared" si="128"/>
        <v>90</v>
      </c>
      <c r="AI462" s="10">
        <v>90</v>
      </c>
      <c r="AJ462" s="11">
        <f t="shared" si="135"/>
        <v>1050</v>
      </c>
      <c r="AK462" s="10">
        <v>1050</v>
      </c>
      <c r="AL462" s="11">
        <f t="shared" si="135"/>
        <v>1050</v>
      </c>
      <c r="AM462" s="10">
        <v>1050</v>
      </c>
      <c r="AN462" s="56">
        <f t="shared" si="130"/>
        <v>1</v>
      </c>
      <c r="AP462" s="11">
        <f ca="1">IFERROR(OFFSET(ITEM_RES!$A$1,MATCH(AQ462,ITEM_RES!$J:$J,0)-1,0),0)</f>
        <v>211020901</v>
      </c>
      <c r="AQ462" s="10" t="s">
        <v>473</v>
      </c>
      <c r="AR462" s="11">
        <v>5250</v>
      </c>
      <c r="AU462" s="11">
        <f ca="1">IFERROR(OFFSET(ITEM_RES!$A$1,MATCH(AV462,ITEM_RES!$J:$J,0)-1,0),0)</f>
        <v>0</v>
      </c>
      <c r="AZ462" s="11">
        <f ca="1">IFERROR(OFFSET(ITEM_RES!$A$1,MATCH(BA462,ITEM_RES!$J:$J,0)-1,0),0)</f>
        <v>0</v>
      </c>
      <c r="BE462" s="11">
        <f ca="1">IFERROR(OFFSET(ITEM_RES!$A$1,MATCH(BF462,ITEM_RES!$J:$J,0)-1,0),0)</f>
        <v>0</v>
      </c>
      <c r="BJ462" s="11">
        <f ca="1">IFERROR(OFFSET(ITEM_RES!$A$1,MATCH(BK462,ITEM_RES!$J:$J,0)-1,0),0)</f>
        <v>0</v>
      </c>
    </row>
    <row r="463" spans="1:62" x14ac:dyDescent="0.3">
      <c r="A463" s="14">
        <f t="shared" si="132"/>
        <v>114020019</v>
      </c>
      <c r="B463" s="13">
        <v>11</v>
      </c>
      <c r="C463" s="12">
        <f t="shared" si="133"/>
        <v>4</v>
      </c>
      <c r="D463" s="13">
        <v>2</v>
      </c>
      <c r="E463" s="13">
        <v>0</v>
      </c>
      <c r="F463" s="12">
        <f t="shared" si="134"/>
        <v>19</v>
      </c>
      <c r="H463" s="9">
        <v>4</v>
      </c>
      <c r="I463" s="9">
        <v>19</v>
      </c>
      <c r="K463" s="9" t="s">
        <v>387</v>
      </c>
      <c r="L463" s="9">
        <v>0</v>
      </c>
      <c r="M463" s="9">
        <v>15</v>
      </c>
      <c r="R463" s="9" t="s">
        <v>790</v>
      </c>
      <c r="U463" s="9">
        <f ca="1">IFERROR(OFFSET(ITEM_RES!$A$5,MATCH(BUILDING!T463,ITEM_RES!$J$5:$J$229,0)-1,0),0)</f>
        <v>0</v>
      </c>
      <c r="X463" s="9">
        <f ca="1">IFERROR(OFFSET(ITEM_RES!$A$5,MATCH(BUILDING!W463,ITEM_RES!$J$5:$J$229,0)-1,0),0)</f>
        <v>0</v>
      </c>
      <c r="Z463" s="9" t="s">
        <v>563</v>
      </c>
      <c r="AA463" s="9">
        <v>19</v>
      </c>
      <c r="AC463" s="9">
        <v>100000</v>
      </c>
      <c r="AE463" s="56">
        <f t="shared" si="129"/>
        <v>20000</v>
      </c>
      <c r="AF463" s="10">
        <f t="shared" si="136"/>
        <v>36800</v>
      </c>
      <c r="AH463" s="11">
        <f t="shared" si="128"/>
        <v>95</v>
      </c>
      <c r="AI463" s="10">
        <v>95</v>
      </c>
      <c r="AJ463" s="11">
        <f t="shared" si="135"/>
        <v>1250</v>
      </c>
      <c r="AK463" s="10">
        <v>1250</v>
      </c>
      <c r="AL463" s="11">
        <f t="shared" si="135"/>
        <v>1250</v>
      </c>
      <c r="AM463" s="10">
        <v>1250</v>
      </c>
      <c r="AN463" s="56">
        <f t="shared" si="130"/>
        <v>1</v>
      </c>
      <c r="AP463" s="11">
        <f ca="1">IFERROR(OFFSET(ITEM_RES!$A$1,MATCH(AQ463,ITEM_RES!$J:$J,0)-1,0),0)</f>
        <v>211020901</v>
      </c>
      <c r="AQ463" s="10" t="s">
        <v>473</v>
      </c>
      <c r="AR463" s="11">
        <v>6250</v>
      </c>
      <c r="AU463" s="11">
        <f ca="1">IFERROR(OFFSET(ITEM_RES!$A$1,MATCH(AV463,ITEM_RES!$J:$J,0)-1,0),0)</f>
        <v>0</v>
      </c>
      <c r="AZ463" s="11">
        <f ca="1">IFERROR(OFFSET(ITEM_RES!$A$1,MATCH(BA463,ITEM_RES!$J:$J,0)-1,0),0)</f>
        <v>0</v>
      </c>
      <c r="BE463" s="11">
        <f ca="1">IFERROR(OFFSET(ITEM_RES!$A$1,MATCH(BF463,ITEM_RES!$J:$J,0)-1,0),0)</f>
        <v>0</v>
      </c>
      <c r="BJ463" s="11">
        <f ca="1">IFERROR(OFFSET(ITEM_RES!$A$1,MATCH(BK463,ITEM_RES!$J:$J,0)-1,0),0)</f>
        <v>0</v>
      </c>
    </row>
    <row r="464" spans="1:62" ht="17.25" thickBot="1" x14ac:dyDescent="0.35">
      <c r="A464" s="14">
        <f t="shared" si="132"/>
        <v>114020020</v>
      </c>
      <c r="B464" s="13">
        <v>11</v>
      </c>
      <c r="C464" s="12">
        <f t="shared" si="133"/>
        <v>4</v>
      </c>
      <c r="D464" s="13">
        <v>2</v>
      </c>
      <c r="E464" s="13">
        <v>0</v>
      </c>
      <c r="F464" s="12">
        <f t="shared" si="134"/>
        <v>20</v>
      </c>
      <c r="H464" s="9">
        <v>4</v>
      </c>
      <c r="I464" s="9">
        <v>20</v>
      </c>
      <c r="K464" s="9" t="s">
        <v>387</v>
      </c>
      <c r="L464" s="9">
        <v>0</v>
      </c>
      <c r="M464" s="9">
        <v>15</v>
      </c>
      <c r="R464" s="9" t="s">
        <v>790</v>
      </c>
      <c r="U464" s="9">
        <f ca="1">IFERROR(OFFSET(ITEM_RES!$A$5,MATCH(BUILDING!T464,ITEM_RES!$J$5:$J$229,0)-1,0),0)</f>
        <v>0</v>
      </c>
      <c r="X464" s="9">
        <f ca="1">IFERROR(OFFSET(ITEM_RES!$A$5,MATCH(BUILDING!W464,ITEM_RES!$J$5:$J$229,0)-1,0),0)</f>
        <v>0</v>
      </c>
      <c r="Z464" s="9" t="s">
        <v>563</v>
      </c>
      <c r="AA464" s="9">
        <v>20</v>
      </c>
      <c r="AC464" s="9">
        <v>120000</v>
      </c>
      <c r="AE464" s="56">
        <f t="shared" si="129"/>
        <v>24000</v>
      </c>
      <c r="AF464" s="10">
        <f t="shared" si="136"/>
        <v>44000</v>
      </c>
      <c r="AH464" s="11">
        <f t="shared" si="128"/>
        <v>100</v>
      </c>
      <c r="AI464" s="10">
        <v>100</v>
      </c>
      <c r="AJ464" s="11">
        <f t="shared" si="135"/>
        <v>1500</v>
      </c>
      <c r="AK464" s="10">
        <v>1500</v>
      </c>
      <c r="AL464" s="11">
        <f t="shared" si="135"/>
        <v>1500</v>
      </c>
      <c r="AM464" s="10">
        <v>1500</v>
      </c>
      <c r="AN464" s="56">
        <f t="shared" si="130"/>
        <v>1</v>
      </c>
      <c r="AP464" s="11">
        <f ca="1">IFERROR(OFFSET(ITEM_RES!$A$1,MATCH(AQ464,ITEM_RES!$J:$J,0)-1,0),0)</f>
        <v>211020901</v>
      </c>
      <c r="AQ464" s="10" t="s">
        <v>473</v>
      </c>
      <c r="AR464" s="11">
        <v>7500</v>
      </c>
      <c r="AU464" s="11">
        <f ca="1">IFERROR(OFFSET(ITEM_RES!$A$1,MATCH(AV464,ITEM_RES!$J:$J,0)-1,0),0)</f>
        <v>0</v>
      </c>
      <c r="AZ464" s="11">
        <f ca="1">IFERROR(OFFSET(ITEM_RES!$A$1,MATCH(BA464,ITEM_RES!$J:$J,0)-1,0),0)</f>
        <v>0</v>
      </c>
      <c r="BE464" s="11">
        <f ca="1">IFERROR(OFFSET(ITEM_RES!$A$1,MATCH(BF464,ITEM_RES!$J:$J,0)-1,0),0)</f>
        <v>0</v>
      </c>
      <c r="BJ464" s="11">
        <f ca="1">IFERROR(OFFSET(ITEM_RES!$A$1,MATCH(BK464,ITEM_RES!$J:$J,0)-1,0),0)</f>
        <v>0</v>
      </c>
    </row>
    <row r="465" spans="1:65" s="15" customFormat="1" x14ac:dyDescent="0.3">
      <c r="A465" s="21">
        <f t="shared" si="132"/>
        <v>115010001</v>
      </c>
      <c r="B465" s="20">
        <v>11</v>
      </c>
      <c r="C465" s="19">
        <f t="shared" si="133"/>
        <v>5</v>
      </c>
      <c r="D465" s="20">
        <v>1</v>
      </c>
      <c r="E465" s="20">
        <v>0</v>
      </c>
      <c r="F465" s="19">
        <f t="shared" si="134"/>
        <v>1</v>
      </c>
      <c r="G465" s="80"/>
      <c r="H465" s="16">
        <v>5</v>
      </c>
      <c r="I465" s="16">
        <v>1</v>
      </c>
      <c r="J465" s="80"/>
      <c r="K465" s="16" t="s">
        <v>365</v>
      </c>
      <c r="L465" s="16">
        <v>1</v>
      </c>
      <c r="M465" s="16">
        <v>15</v>
      </c>
      <c r="N465" s="16"/>
      <c r="O465" s="17"/>
      <c r="P465" s="17"/>
      <c r="Q465" s="18"/>
      <c r="R465" s="16">
        <v>2222</v>
      </c>
      <c r="S465" s="80"/>
      <c r="T465" s="88"/>
      <c r="U465" s="16">
        <f ca="1">IFERROR(OFFSET(ITEM_RES!$A$5,MATCH(BUILDING!T465,ITEM_RES!$J$5:$J$229,0)-1,0),0)</f>
        <v>0</v>
      </c>
      <c r="V465" s="18"/>
      <c r="W465" s="88"/>
      <c r="X465" s="16">
        <f ca="1">IFERROR(OFFSET(ITEM_RES!$A$5,MATCH(BUILDING!W465,ITEM_RES!$J$5:$J$229,0)-1,0),0)</f>
        <v>0</v>
      </c>
      <c r="Y465" s="80"/>
      <c r="Z465" s="16" t="s">
        <v>564</v>
      </c>
      <c r="AA465" s="16">
        <v>1</v>
      </c>
      <c r="AB465" s="80"/>
      <c r="AC465" s="16">
        <v>0</v>
      </c>
      <c r="AD465" s="80"/>
      <c r="AE465" s="57">
        <f t="shared" si="129"/>
        <v>1080</v>
      </c>
      <c r="AF465" s="17">
        <f>AE465</f>
        <v>1080</v>
      </c>
      <c r="AG465" s="80"/>
      <c r="AH465" s="18">
        <f t="shared" si="128"/>
        <v>5</v>
      </c>
      <c r="AI465" s="17">
        <v>5</v>
      </c>
      <c r="AJ465" s="18">
        <f t="shared" si="135"/>
        <v>5</v>
      </c>
      <c r="AK465" s="17">
        <v>5</v>
      </c>
      <c r="AL465" s="18">
        <f t="shared" si="135"/>
        <v>5</v>
      </c>
      <c r="AM465" s="17">
        <v>5</v>
      </c>
      <c r="AN465" s="57">
        <f t="shared" si="130"/>
        <v>3</v>
      </c>
      <c r="AO465" s="18"/>
      <c r="AP465" s="18">
        <f ca="1">IFERROR(OFFSET(ITEM_RES!$A$1,MATCH(AQ465,ITEM_RES!$J:$J,0)-1,0),0)</f>
        <v>211020801</v>
      </c>
      <c r="AQ465" s="17" t="s">
        <v>460</v>
      </c>
      <c r="AR465" s="18">
        <v>25</v>
      </c>
      <c r="AS465" s="17"/>
      <c r="AT465" s="18"/>
      <c r="AU465" s="18">
        <f ca="1">IFERROR(OFFSET(ITEM_RES!$A$1,MATCH(AV465,ITEM_RES!$J:$J,0)-1,0),0)</f>
        <v>0</v>
      </c>
      <c r="AV465" s="17"/>
      <c r="AW465" s="18"/>
      <c r="AX465" s="17"/>
      <c r="AY465" s="18"/>
      <c r="AZ465" s="18">
        <f ca="1">IFERROR(OFFSET(ITEM_RES!$A$1,MATCH(BA465,ITEM_RES!$J:$J,0)-1,0),0)</f>
        <v>213010101</v>
      </c>
      <c r="BA465" s="17" t="s">
        <v>481</v>
      </c>
      <c r="BB465" s="18">
        <v>1</v>
      </c>
      <c r="BC465" s="17"/>
      <c r="BD465" s="18"/>
      <c r="BE465" s="18">
        <f ca="1">IFERROR(OFFSET(ITEM_RES!$A$1,MATCH(BF465,ITEM_RES!$J:$J,0)-1,0),0)</f>
        <v>213010201</v>
      </c>
      <c r="BF465" s="17" t="s">
        <v>503</v>
      </c>
      <c r="BG465" s="18">
        <v>1</v>
      </c>
      <c r="BH465" s="17"/>
      <c r="BI465" s="18"/>
      <c r="BJ465" s="18">
        <f ca="1">IFERROR(OFFSET(ITEM_RES!$A$1,MATCH(BK465,ITEM_RES!$J:$J,0)-1,0),0)</f>
        <v>0</v>
      </c>
      <c r="BK465" s="17"/>
      <c r="BL465" s="18"/>
      <c r="BM465" s="17"/>
    </row>
    <row r="466" spans="1:65" x14ac:dyDescent="0.3">
      <c r="A466" s="14">
        <f t="shared" si="132"/>
        <v>115010002</v>
      </c>
      <c r="B466" s="13">
        <v>11</v>
      </c>
      <c r="C466" s="12">
        <f t="shared" si="133"/>
        <v>5</v>
      </c>
      <c r="D466" s="13">
        <v>1</v>
      </c>
      <c r="E466" s="13">
        <v>0</v>
      </c>
      <c r="F466" s="12">
        <f t="shared" si="134"/>
        <v>2</v>
      </c>
      <c r="H466" s="9">
        <v>5</v>
      </c>
      <c r="I466" s="9">
        <v>2</v>
      </c>
      <c r="K466" s="9" t="s">
        <v>365</v>
      </c>
      <c r="L466" s="9">
        <v>1</v>
      </c>
      <c r="M466" s="9">
        <v>15</v>
      </c>
      <c r="R466" s="9">
        <v>2222</v>
      </c>
      <c r="U466" s="9">
        <f ca="1">IFERROR(OFFSET(ITEM_RES!$A$5,MATCH(BUILDING!T466,ITEM_RES!$J$5:$J$229,0)-1,0),0)</f>
        <v>0</v>
      </c>
      <c r="X466" s="9">
        <f ca="1">IFERROR(OFFSET(ITEM_RES!$A$5,MATCH(BUILDING!W466,ITEM_RES!$J$5:$J$229,0)-1,0),0)</f>
        <v>0</v>
      </c>
      <c r="Z466" s="9" t="s">
        <v>564</v>
      </c>
      <c r="AA466" s="9">
        <v>2</v>
      </c>
      <c r="AC466" s="9">
        <v>200</v>
      </c>
      <c r="AE466" s="56">
        <f t="shared" si="129"/>
        <v>160</v>
      </c>
      <c r="AF466" s="10">
        <f>AE465+AE466</f>
        <v>1240</v>
      </c>
      <c r="AH466" s="11">
        <f t="shared" si="128"/>
        <v>10</v>
      </c>
      <c r="AI466" s="10">
        <v>10</v>
      </c>
      <c r="AJ466" s="11">
        <f t="shared" si="135"/>
        <v>10</v>
      </c>
      <c r="AK466" s="10">
        <v>10</v>
      </c>
      <c r="AL466" s="11">
        <f t="shared" si="135"/>
        <v>10</v>
      </c>
      <c r="AM466" s="10">
        <v>10</v>
      </c>
      <c r="AN466" s="56">
        <f t="shared" si="130"/>
        <v>1</v>
      </c>
      <c r="AP466" s="11">
        <f ca="1">IFERROR(OFFSET(ITEM_RES!$A$1,MATCH(AQ466,ITEM_RES!$J:$J,0)-1,0),0)</f>
        <v>211020801</v>
      </c>
      <c r="AQ466" s="10" t="s">
        <v>460</v>
      </c>
      <c r="AR466" s="11">
        <v>50</v>
      </c>
      <c r="AU466" s="11">
        <f ca="1">IFERROR(OFFSET(ITEM_RES!$A$1,MATCH(AV466,ITEM_RES!$J:$J,0)-1,0),0)</f>
        <v>0</v>
      </c>
      <c r="AZ466" s="11">
        <f ca="1">IFERROR(OFFSET(ITEM_RES!$A$1,MATCH(BA466,ITEM_RES!$J:$J,0)-1,0),0)</f>
        <v>0</v>
      </c>
      <c r="BE466" s="11">
        <f ca="1">IFERROR(OFFSET(ITEM_RES!$A$1,MATCH(BF466,ITEM_RES!$J:$J,0)-1,0),0)</f>
        <v>0</v>
      </c>
      <c r="BJ466" s="11">
        <f ca="1">IFERROR(OFFSET(ITEM_RES!$A$1,MATCH(BK466,ITEM_RES!$J:$J,0)-1,0),0)</f>
        <v>0</v>
      </c>
    </row>
    <row r="467" spans="1:65" x14ac:dyDescent="0.3">
      <c r="A467" s="14">
        <f t="shared" si="132"/>
        <v>115010003</v>
      </c>
      <c r="B467" s="13">
        <v>11</v>
      </c>
      <c r="C467" s="12">
        <f t="shared" si="133"/>
        <v>5</v>
      </c>
      <c r="D467" s="13">
        <v>1</v>
      </c>
      <c r="E467" s="13">
        <v>0</v>
      </c>
      <c r="F467" s="12">
        <f t="shared" si="134"/>
        <v>3</v>
      </c>
      <c r="H467" s="9">
        <v>5</v>
      </c>
      <c r="I467" s="9">
        <v>3</v>
      </c>
      <c r="K467" s="9" t="s">
        <v>364</v>
      </c>
      <c r="L467" s="9">
        <v>1</v>
      </c>
      <c r="M467" s="9">
        <v>15</v>
      </c>
      <c r="R467" s="9">
        <v>2222</v>
      </c>
      <c r="U467" s="9">
        <f ca="1">IFERROR(OFFSET(ITEM_RES!$A$5,MATCH(BUILDING!T467,ITEM_RES!$J$5:$J$229,0)-1,0),0)</f>
        <v>0</v>
      </c>
      <c r="X467" s="9">
        <f ca="1">IFERROR(OFFSET(ITEM_RES!$A$5,MATCH(BUILDING!W467,ITEM_RES!$J$5:$J$229,0)-1,0),0)</f>
        <v>0</v>
      </c>
      <c r="Z467" s="9" t="s">
        <v>564</v>
      </c>
      <c r="AA467" s="9">
        <v>3</v>
      </c>
      <c r="AC467" s="9">
        <v>600</v>
      </c>
      <c r="AE467" s="56">
        <f t="shared" si="129"/>
        <v>240</v>
      </c>
      <c r="AF467" s="10">
        <f t="shared" ref="AF467:AF484" si="137">AE466+AE467</f>
        <v>400</v>
      </c>
      <c r="AH467" s="11">
        <f t="shared" si="128"/>
        <v>15</v>
      </c>
      <c r="AI467" s="10">
        <v>15</v>
      </c>
      <c r="AJ467" s="11">
        <f t="shared" si="135"/>
        <v>15</v>
      </c>
      <c r="AK467" s="10">
        <v>15</v>
      </c>
      <c r="AL467" s="11">
        <f t="shared" si="135"/>
        <v>15</v>
      </c>
      <c r="AM467" s="10">
        <v>15</v>
      </c>
      <c r="AN467" s="56">
        <f t="shared" si="130"/>
        <v>1</v>
      </c>
      <c r="AP467" s="11">
        <f ca="1">IFERROR(OFFSET(ITEM_RES!$A$1,MATCH(AQ467,ITEM_RES!$J:$J,0)-1,0),0)</f>
        <v>211020801</v>
      </c>
      <c r="AQ467" s="10" t="s">
        <v>460</v>
      </c>
      <c r="AR467" s="11">
        <v>75</v>
      </c>
      <c r="AU467" s="11">
        <f ca="1">IFERROR(OFFSET(ITEM_RES!$A$1,MATCH(AV467,ITEM_RES!$J:$J,0)-1,0),0)</f>
        <v>0</v>
      </c>
      <c r="AZ467" s="11">
        <f ca="1">IFERROR(OFFSET(ITEM_RES!$A$1,MATCH(BA467,ITEM_RES!$J:$J,0)-1,0),0)</f>
        <v>0</v>
      </c>
      <c r="BE467" s="11">
        <f ca="1">IFERROR(OFFSET(ITEM_RES!$A$1,MATCH(BF467,ITEM_RES!$J:$J,0)-1,0),0)</f>
        <v>0</v>
      </c>
      <c r="BJ467" s="11">
        <f ca="1">IFERROR(OFFSET(ITEM_RES!$A$1,MATCH(BK467,ITEM_RES!$J:$J,0)-1,0),0)</f>
        <v>0</v>
      </c>
    </row>
    <row r="468" spans="1:65" x14ac:dyDescent="0.3">
      <c r="A468" s="14">
        <f t="shared" si="132"/>
        <v>115010004</v>
      </c>
      <c r="B468" s="13">
        <v>11</v>
      </c>
      <c r="C468" s="12">
        <f t="shared" si="133"/>
        <v>5</v>
      </c>
      <c r="D468" s="13">
        <v>1</v>
      </c>
      <c r="E468" s="13">
        <v>0</v>
      </c>
      <c r="F468" s="12">
        <f t="shared" si="134"/>
        <v>4</v>
      </c>
      <c r="H468" s="9">
        <v>5</v>
      </c>
      <c r="I468" s="9">
        <v>4</v>
      </c>
      <c r="K468" s="9" t="s">
        <v>364</v>
      </c>
      <c r="L468" s="9">
        <v>1</v>
      </c>
      <c r="M468" s="9">
        <v>15</v>
      </c>
      <c r="R468" s="9">
        <v>2222</v>
      </c>
      <c r="U468" s="9">
        <f ca="1">IFERROR(OFFSET(ITEM_RES!$A$5,MATCH(BUILDING!T468,ITEM_RES!$J$5:$J$229,0)-1,0),0)</f>
        <v>0</v>
      </c>
      <c r="X468" s="9">
        <f ca="1">IFERROR(OFFSET(ITEM_RES!$A$5,MATCH(BUILDING!W468,ITEM_RES!$J$5:$J$229,0)-1,0),0)</f>
        <v>0</v>
      </c>
      <c r="Z468" s="9" t="s">
        <v>564</v>
      </c>
      <c r="AA468" s="9">
        <v>4</v>
      </c>
      <c r="AC468" s="9">
        <v>1000</v>
      </c>
      <c r="AE468" s="56">
        <f t="shared" si="129"/>
        <v>400</v>
      </c>
      <c r="AF468" s="10">
        <f t="shared" si="137"/>
        <v>640</v>
      </c>
      <c r="AH468" s="11">
        <f t="shared" si="128"/>
        <v>20</v>
      </c>
      <c r="AI468" s="10">
        <v>20</v>
      </c>
      <c r="AJ468" s="11">
        <f t="shared" si="135"/>
        <v>25</v>
      </c>
      <c r="AK468" s="10">
        <v>25</v>
      </c>
      <c r="AL468" s="11">
        <f t="shared" si="135"/>
        <v>25</v>
      </c>
      <c r="AM468" s="10">
        <v>25</v>
      </c>
      <c r="AN468" s="56">
        <f t="shared" si="130"/>
        <v>1</v>
      </c>
      <c r="AP468" s="11">
        <f ca="1">IFERROR(OFFSET(ITEM_RES!$A$1,MATCH(AQ468,ITEM_RES!$J:$J,0)-1,0),0)</f>
        <v>211020801</v>
      </c>
      <c r="AQ468" s="10" t="s">
        <v>460</v>
      </c>
      <c r="AR468" s="11">
        <v>125</v>
      </c>
      <c r="AU468" s="11">
        <f ca="1">IFERROR(OFFSET(ITEM_RES!$A$1,MATCH(AV468,ITEM_RES!$J:$J,0)-1,0),0)</f>
        <v>0</v>
      </c>
      <c r="AZ468" s="11">
        <f ca="1">IFERROR(OFFSET(ITEM_RES!$A$1,MATCH(BA468,ITEM_RES!$J:$J,0)-1,0),0)</f>
        <v>0</v>
      </c>
      <c r="BE468" s="11">
        <f ca="1">IFERROR(OFFSET(ITEM_RES!$A$1,MATCH(BF468,ITEM_RES!$J:$J,0)-1,0),0)</f>
        <v>0</v>
      </c>
      <c r="BJ468" s="11">
        <f ca="1">IFERROR(OFFSET(ITEM_RES!$A$1,MATCH(BK468,ITEM_RES!$J:$J,0)-1,0),0)</f>
        <v>0</v>
      </c>
    </row>
    <row r="469" spans="1:65" x14ac:dyDescent="0.3">
      <c r="A469" s="14">
        <f t="shared" si="132"/>
        <v>115010005</v>
      </c>
      <c r="B469" s="13">
        <v>11</v>
      </c>
      <c r="C469" s="12">
        <f t="shared" si="133"/>
        <v>5</v>
      </c>
      <c r="D469" s="13">
        <v>1</v>
      </c>
      <c r="E469" s="13">
        <v>0</v>
      </c>
      <c r="F469" s="12">
        <f t="shared" si="134"/>
        <v>5</v>
      </c>
      <c r="H469" s="9">
        <v>5</v>
      </c>
      <c r="I469" s="9">
        <v>5</v>
      </c>
      <c r="K469" s="9" t="s">
        <v>364</v>
      </c>
      <c r="L469" s="9">
        <v>1</v>
      </c>
      <c r="M469" s="9">
        <v>15</v>
      </c>
      <c r="R469" s="9">
        <v>2222</v>
      </c>
      <c r="U469" s="9">
        <f ca="1">IFERROR(OFFSET(ITEM_RES!$A$5,MATCH(BUILDING!T469,ITEM_RES!$J$5:$J$229,0)-1,0),0)</f>
        <v>0</v>
      </c>
      <c r="X469" s="9">
        <f ca="1">IFERROR(OFFSET(ITEM_RES!$A$5,MATCH(BUILDING!W469,ITEM_RES!$J$5:$J$229,0)-1,0),0)</f>
        <v>0</v>
      </c>
      <c r="Z469" s="9" t="s">
        <v>564</v>
      </c>
      <c r="AA469" s="9">
        <v>5</v>
      </c>
      <c r="AC469" s="9">
        <v>1600</v>
      </c>
      <c r="AE469" s="56">
        <f t="shared" si="129"/>
        <v>640</v>
      </c>
      <c r="AF469" s="10">
        <f t="shared" si="137"/>
        <v>1040</v>
      </c>
      <c r="AH469" s="11">
        <f t="shared" si="128"/>
        <v>25</v>
      </c>
      <c r="AI469" s="10">
        <v>25</v>
      </c>
      <c r="AJ469" s="11">
        <f t="shared" si="135"/>
        <v>40</v>
      </c>
      <c r="AK469" s="10">
        <v>40</v>
      </c>
      <c r="AL469" s="11">
        <f t="shared" si="135"/>
        <v>40</v>
      </c>
      <c r="AM469" s="10">
        <v>40</v>
      </c>
      <c r="AN469" s="56">
        <f t="shared" si="130"/>
        <v>1</v>
      </c>
      <c r="AP469" s="11">
        <f ca="1">IFERROR(OFFSET(ITEM_RES!$A$1,MATCH(AQ469,ITEM_RES!$J:$J,0)-1,0),0)</f>
        <v>211020801</v>
      </c>
      <c r="AQ469" s="10" t="s">
        <v>460</v>
      </c>
      <c r="AR469" s="11">
        <v>200</v>
      </c>
      <c r="AU469" s="11">
        <f ca="1">IFERROR(OFFSET(ITEM_RES!$A$1,MATCH(AV469,ITEM_RES!$J:$J,0)-1,0),0)</f>
        <v>0</v>
      </c>
      <c r="AZ469" s="11">
        <f ca="1">IFERROR(OFFSET(ITEM_RES!$A$1,MATCH(BA469,ITEM_RES!$J:$J,0)-1,0),0)</f>
        <v>0</v>
      </c>
      <c r="BE469" s="11">
        <f ca="1">IFERROR(OFFSET(ITEM_RES!$A$1,MATCH(BF469,ITEM_RES!$J:$J,0)-1,0),0)</f>
        <v>0</v>
      </c>
      <c r="BJ469" s="11">
        <f ca="1">IFERROR(OFFSET(ITEM_RES!$A$1,MATCH(BK469,ITEM_RES!$J:$J,0)-1,0),0)</f>
        <v>0</v>
      </c>
    </row>
    <row r="470" spans="1:65" x14ac:dyDescent="0.3">
      <c r="A470" s="14">
        <f t="shared" si="132"/>
        <v>115010006</v>
      </c>
      <c r="B470" s="13">
        <v>11</v>
      </c>
      <c r="C470" s="12">
        <f t="shared" si="133"/>
        <v>5</v>
      </c>
      <c r="D470" s="13">
        <v>1</v>
      </c>
      <c r="E470" s="13">
        <v>0</v>
      </c>
      <c r="F470" s="12">
        <f t="shared" si="134"/>
        <v>6</v>
      </c>
      <c r="H470" s="9">
        <v>5</v>
      </c>
      <c r="I470" s="9">
        <v>6</v>
      </c>
      <c r="K470" s="9" t="s">
        <v>364</v>
      </c>
      <c r="L470" s="9">
        <v>1</v>
      </c>
      <c r="M470" s="9">
        <v>15</v>
      </c>
      <c r="R470" s="9">
        <v>2222</v>
      </c>
      <c r="U470" s="9">
        <f ca="1">IFERROR(OFFSET(ITEM_RES!$A$5,MATCH(BUILDING!T470,ITEM_RES!$J$5:$J$229,0)-1,0),0)</f>
        <v>0</v>
      </c>
      <c r="X470" s="9">
        <f ca="1">IFERROR(OFFSET(ITEM_RES!$A$5,MATCH(BUILDING!W470,ITEM_RES!$J$5:$J$229,0)-1,0),0)</f>
        <v>0</v>
      </c>
      <c r="Z470" s="9" t="s">
        <v>564</v>
      </c>
      <c r="AA470" s="9">
        <v>6</v>
      </c>
      <c r="AC470" s="9">
        <v>2000</v>
      </c>
      <c r="AE470" s="56">
        <f t="shared" si="129"/>
        <v>800</v>
      </c>
      <c r="AF470" s="10">
        <f t="shared" si="137"/>
        <v>1440</v>
      </c>
      <c r="AH470" s="11">
        <f t="shared" si="128"/>
        <v>30</v>
      </c>
      <c r="AI470" s="10">
        <v>30</v>
      </c>
      <c r="AJ470" s="11">
        <f t="shared" si="135"/>
        <v>50</v>
      </c>
      <c r="AK470" s="10">
        <v>50</v>
      </c>
      <c r="AL470" s="11">
        <f t="shared" si="135"/>
        <v>50</v>
      </c>
      <c r="AM470" s="10">
        <v>50</v>
      </c>
      <c r="AN470" s="56">
        <f t="shared" si="130"/>
        <v>1</v>
      </c>
      <c r="AP470" s="11">
        <f ca="1">IFERROR(OFFSET(ITEM_RES!$A$1,MATCH(AQ470,ITEM_RES!$J:$J,0)-1,0),0)</f>
        <v>211020801</v>
      </c>
      <c r="AQ470" s="10" t="s">
        <v>460</v>
      </c>
      <c r="AR470" s="11">
        <v>250</v>
      </c>
      <c r="AU470" s="11">
        <f ca="1">IFERROR(OFFSET(ITEM_RES!$A$1,MATCH(AV470,ITEM_RES!$J:$J,0)-1,0),0)</f>
        <v>0</v>
      </c>
      <c r="AZ470" s="11">
        <f ca="1">IFERROR(OFFSET(ITEM_RES!$A$1,MATCH(BA470,ITEM_RES!$J:$J,0)-1,0),0)</f>
        <v>0</v>
      </c>
      <c r="BE470" s="11">
        <f ca="1">IFERROR(OFFSET(ITEM_RES!$A$1,MATCH(BF470,ITEM_RES!$J:$J,0)-1,0),0)</f>
        <v>0</v>
      </c>
      <c r="BJ470" s="11">
        <f ca="1">IFERROR(OFFSET(ITEM_RES!$A$1,MATCH(BK470,ITEM_RES!$J:$J,0)-1,0),0)</f>
        <v>0</v>
      </c>
    </row>
    <row r="471" spans="1:65" x14ac:dyDescent="0.3">
      <c r="A471" s="14">
        <f t="shared" si="132"/>
        <v>115010007</v>
      </c>
      <c r="B471" s="13">
        <v>11</v>
      </c>
      <c r="C471" s="12">
        <f t="shared" si="133"/>
        <v>5</v>
      </c>
      <c r="D471" s="13">
        <v>1</v>
      </c>
      <c r="E471" s="13">
        <v>0</v>
      </c>
      <c r="F471" s="12">
        <f t="shared" si="134"/>
        <v>7</v>
      </c>
      <c r="H471" s="9">
        <v>5</v>
      </c>
      <c r="I471" s="9">
        <v>7</v>
      </c>
      <c r="K471" s="9" t="s">
        <v>364</v>
      </c>
      <c r="L471" s="9">
        <v>1</v>
      </c>
      <c r="M471" s="9">
        <v>15</v>
      </c>
      <c r="R471" s="9">
        <v>2222</v>
      </c>
      <c r="U471" s="9">
        <f ca="1">IFERROR(OFFSET(ITEM_RES!$A$5,MATCH(BUILDING!T471,ITEM_RES!$J$5:$J$229,0)-1,0),0)</f>
        <v>0</v>
      </c>
      <c r="X471" s="9">
        <f ca="1">IFERROR(OFFSET(ITEM_RES!$A$5,MATCH(BUILDING!W471,ITEM_RES!$J$5:$J$229,0)-1,0),0)</f>
        <v>0</v>
      </c>
      <c r="Z471" s="9" t="s">
        <v>564</v>
      </c>
      <c r="AA471" s="9">
        <v>7</v>
      </c>
      <c r="AC471" s="9">
        <v>4000</v>
      </c>
      <c r="AE471" s="56">
        <f t="shared" si="129"/>
        <v>1600</v>
      </c>
      <c r="AF471" s="10">
        <f t="shared" si="137"/>
        <v>2400</v>
      </c>
      <c r="AH471" s="11">
        <f t="shared" si="128"/>
        <v>35</v>
      </c>
      <c r="AI471" s="10">
        <v>35</v>
      </c>
      <c r="AJ471" s="11">
        <f t="shared" si="135"/>
        <v>100</v>
      </c>
      <c r="AK471" s="10">
        <v>100</v>
      </c>
      <c r="AL471" s="11">
        <f t="shared" si="135"/>
        <v>100</v>
      </c>
      <c r="AM471" s="10">
        <v>100</v>
      </c>
      <c r="AN471" s="56">
        <f t="shared" si="130"/>
        <v>1</v>
      </c>
      <c r="AP471" s="11">
        <f ca="1">IFERROR(OFFSET(ITEM_RES!$A$1,MATCH(AQ471,ITEM_RES!$J:$J,0)-1,0),0)</f>
        <v>211020801</v>
      </c>
      <c r="AQ471" s="10" t="s">
        <v>460</v>
      </c>
      <c r="AR471" s="11">
        <v>500</v>
      </c>
      <c r="AU471" s="11">
        <f ca="1">IFERROR(OFFSET(ITEM_RES!$A$1,MATCH(AV471,ITEM_RES!$J:$J,0)-1,0),0)</f>
        <v>0</v>
      </c>
      <c r="AZ471" s="11">
        <f ca="1">IFERROR(OFFSET(ITEM_RES!$A$1,MATCH(BA471,ITEM_RES!$J:$J,0)-1,0),0)</f>
        <v>0</v>
      </c>
      <c r="BE471" s="11">
        <f ca="1">IFERROR(OFFSET(ITEM_RES!$A$1,MATCH(BF471,ITEM_RES!$J:$J,0)-1,0),0)</f>
        <v>0</v>
      </c>
      <c r="BJ471" s="11">
        <f ca="1">IFERROR(OFFSET(ITEM_RES!$A$1,MATCH(BK471,ITEM_RES!$J:$J,0)-1,0),0)</f>
        <v>0</v>
      </c>
    </row>
    <row r="472" spans="1:65" x14ac:dyDescent="0.3">
      <c r="A472" s="14">
        <f t="shared" si="132"/>
        <v>115010008</v>
      </c>
      <c r="B472" s="13">
        <v>11</v>
      </c>
      <c r="C472" s="12">
        <f t="shared" si="133"/>
        <v>5</v>
      </c>
      <c r="D472" s="13">
        <v>1</v>
      </c>
      <c r="E472" s="13">
        <v>0</v>
      </c>
      <c r="F472" s="12">
        <f t="shared" si="134"/>
        <v>8</v>
      </c>
      <c r="H472" s="9">
        <v>5</v>
      </c>
      <c r="I472" s="9">
        <v>8</v>
      </c>
      <c r="K472" s="9" t="s">
        <v>364</v>
      </c>
      <c r="L472" s="9">
        <v>1</v>
      </c>
      <c r="M472" s="9">
        <v>15</v>
      </c>
      <c r="R472" s="9">
        <v>2222</v>
      </c>
      <c r="U472" s="9">
        <f ca="1">IFERROR(OFFSET(ITEM_RES!$A$5,MATCH(BUILDING!T472,ITEM_RES!$J$5:$J$229,0)-1,0),0)</f>
        <v>0</v>
      </c>
      <c r="X472" s="9">
        <f ca="1">IFERROR(OFFSET(ITEM_RES!$A$5,MATCH(BUILDING!W472,ITEM_RES!$J$5:$J$229,0)-1,0),0)</f>
        <v>0</v>
      </c>
      <c r="Z472" s="9" t="s">
        <v>564</v>
      </c>
      <c r="AA472" s="9">
        <v>8</v>
      </c>
      <c r="AC472" s="9">
        <v>4000</v>
      </c>
      <c r="AE472" s="56">
        <f t="shared" si="129"/>
        <v>1600</v>
      </c>
      <c r="AF472" s="10">
        <f t="shared" si="137"/>
        <v>3200</v>
      </c>
      <c r="AH472" s="11">
        <f t="shared" si="128"/>
        <v>40</v>
      </c>
      <c r="AI472" s="10">
        <v>40</v>
      </c>
      <c r="AJ472" s="11">
        <f t="shared" si="135"/>
        <v>100</v>
      </c>
      <c r="AK472" s="10">
        <v>100</v>
      </c>
      <c r="AL472" s="11">
        <f t="shared" si="135"/>
        <v>100</v>
      </c>
      <c r="AM472" s="10">
        <v>100</v>
      </c>
      <c r="AN472" s="56">
        <f t="shared" si="130"/>
        <v>1</v>
      </c>
      <c r="AP472" s="11">
        <f ca="1">IFERROR(OFFSET(ITEM_RES!$A$1,MATCH(AQ472,ITEM_RES!$J:$J,0)-1,0),0)</f>
        <v>211020801</v>
      </c>
      <c r="AQ472" s="10" t="s">
        <v>460</v>
      </c>
      <c r="AR472" s="11">
        <v>500</v>
      </c>
      <c r="AU472" s="11">
        <f ca="1">IFERROR(OFFSET(ITEM_RES!$A$1,MATCH(AV472,ITEM_RES!$J:$J,0)-1,0),0)</f>
        <v>0</v>
      </c>
      <c r="AZ472" s="11">
        <f ca="1">IFERROR(OFFSET(ITEM_RES!$A$1,MATCH(BA472,ITEM_RES!$J:$J,0)-1,0),0)</f>
        <v>0</v>
      </c>
      <c r="BE472" s="11">
        <f ca="1">IFERROR(OFFSET(ITEM_RES!$A$1,MATCH(BF472,ITEM_RES!$J:$J,0)-1,0),0)</f>
        <v>0</v>
      </c>
      <c r="BJ472" s="11">
        <f ca="1">IFERROR(OFFSET(ITEM_RES!$A$1,MATCH(BK472,ITEM_RES!$J:$J,0)-1,0),0)</f>
        <v>0</v>
      </c>
    </row>
    <row r="473" spans="1:65" x14ac:dyDescent="0.3">
      <c r="A473" s="14">
        <f t="shared" si="132"/>
        <v>115010009</v>
      </c>
      <c r="B473" s="13">
        <v>11</v>
      </c>
      <c r="C473" s="12">
        <f t="shared" si="133"/>
        <v>5</v>
      </c>
      <c r="D473" s="13">
        <v>1</v>
      </c>
      <c r="E473" s="13">
        <v>0</v>
      </c>
      <c r="F473" s="12">
        <f t="shared" si="134"/>
        <v>9</v>
      </c>
      <c r="H473" s="9">
        <v>5</v>
      </c>
      <c r="I473" s="9">
        <v>9</v>
      </c>
      <c r="K473" s="9" t="s">
        <v>364</v>
      </c>
      <c r="L473" s="9">
        <v>1</v>
      </c>
      <c r="M473" s="9">
        <v>15</v>
      </c>
      <c r="R473" s="9">
        <v>2222</v>
      </c>
      <c r="U473" s="9">
        <f ca="1">IFERROR(OFFSET(ITEM_RES!$A$5,MATCH(BUILDING!T473,ITEM_RES!$J$5:$J$229,0)-1,0),0)</f>
        <v>0</v>
      </c>
      <c r="X473" s="9">
        <f ca="1">IFERROR(OFFSET(ITEM_RES!$A$5,MATCH(BUILDING!W473,ITEM_RES!$J$5:$J$229,0)-1,0),0)</f>
        <v>0</v>
      </c>
      <c r="Z473" s="9" t="s">
        <v>564</v>
      </c>
      <c r="AA473" s="9">
        <v>9</v>
      </c>
      <c r="AC473" s="9">
        <v>6000</v>
      </c>
      <c r="AE473" s="56">
        <f t="shared" si="129"/>
        <v>2400</v>
      </c>
      <c r="AF473" s="10">
        <f t="shared" si="137"/>
        <v>4000</v>
      </c>
      <c r="AH473" s="11">
        <f t="shared" ref="AH473:AH536" si="138">ROUND(AI473,0)</f>
        <v>45</v>
      </c>
      <c r="AI473" s="10">
        <v>45</v>
      </c>
      <c r="AJ473" s="11">
        <f t="shared" si="135"/>
        <v>150</v>
      </c>
      <c r="AK473" s="10">
        <v>150</v>
      </c>
      <c r="AL473" s="11">
        <f t="shared" si="135"/>
        <v>150</v>
      </c>
      <c r="AM473" s="10">
        <v>150</v>
      </c>
      <c r="AN473" s="56">
        <f t="shared" si="130"/>
        <v>1</v>
      </c>
      <c r="AP473" s="11">
        <f ca="1">IFERROR(OFFSET(ITEM_RES!$A$1,MATCH(AQ473,ITEM_RES!$J:$J,0)-1,0),0)</f>
        <v>211020801</v>
      </c>
      <c r="AQ473" s="10" t="s">
        <v>460</v>
      </c>
      <c r="AR473" s="11">
        <v>750</v>
      </c>
      <c r="AU473" s="11">
        <f ca="1">IFERROR(OFFSET(ITEM_RES!$A$1,MATCH(AV473,ITEM_RES!$J:$J,0)-1,0),0)</f>
        <v>0</v>
      </c>
      <c r="AZ473" s="11">
        <f ca="1">IFERROR(OFFSET(ITEM_RES!$A$1,MATCH(BA473,ITEM_RES!$J:$J,0)-1,0),0)</f>
        <v>0</v>
      </c>
      <c r="BE473" s="11">
        <f ca="1">IFERROR(OFFSET(ITEM_RES!$A$1,MATCH(BF473,ITEM_RES!$J:$J,0)-1,0),0)</f>
        <v>0</v>
      </c>
      <c r="BJ473" s="11">
        <f ca="1">IFERROR(OFFSET(ITEM_RES!$A$1,MATCH(BK473,ITEM_RES!$J:$J,0)-1,0),0)</f>
        <v>0</v>
      </c>
    </row>
    <row r="474" spans="1:65" x14ac:dyDescent="0.3">
      <c r="A474" s="14">
        <f t="shared" si="132"/>
        <v>115010010</v>
      </c>
      <c r="B474" s="13">
        <v>11</v>
      </c>
      <c r="C474" s="12">
        <f t="shared" si="133"/>
        <v>5</v>
      </c>
      <c r="D474" s="13">
        <v>1</v>
      </c>
      <c r="E474" s="13">
        <v>0</v>
      </c>
      <c r="F474" s="12">
        <f t="shared" si="134"/>
        <v>10</v>
      </c>
      <c r="H474" s="9">
        <v>5</v>
      </c>
      <c r="I474" s="9">
        <v>10</v>
      </c>
      <c r="K474" s="9" t="s">
        <v>364</v>
      </c>
      <c r="L474" s="9">
        <v>1</v>
      </c>
      <c r="M474" s="9">
        <v>15</v>
      </c>
      <c r="R474" s="9">
        <v>2222</v>
      </c>
      <c r="U474" s="9">
        <f ca="1">IFERROR(OFFSET(ITEM_RES!$A$5,MATCH(BUILDING!T474,ITEM_RES!$J$5:$J$229,0)-1,0),0)</f>
        <v>0</v>
      </c>
      <c r="X474" s="9">
        <f ca="1">IFERROR(OFFSET(ITEM_RES!$A$5,MATCH(BUILDING!W474,ITEM_RES!$J$5:$J$229,0)-1,0),0)</f>
        <v>0</v>
      </c>
      <c r="Z474" s="9" t="s">
        <v>564</v>
      </c>
      <c r="AA474" s="9">
        <v>10</v>
      </c>
      <c r="AC474" s="9">
        <v>8000</v>
      </c>
      <c r="AE474" s="56">
        <f t="shared" ref="AE474:AE537" si="139">AK474*10+AM474+AR474+AW474+500*BB474+500*BG474+500*BL474</f>
        <v>3700</v>
      </c>
      <c r="AF474" s="10">
        <f t="shared" si="137"/>
        <v>6100</v>
      </c>
      <c r="AH474" s="11">
        <f t="shared" si="138"/>
        <v>50</v>
      </c>
      <c r="AI474" s="10">
        <v>50</v>
      </c>
      <c r="AJ474" s="11">
        <f t="shared" si="135"/>
        <v>200</v>
      </c>
      <c r="AK474" s="10">
        <v>200</v>
      </c>
      <c r="AL474" s="11">
        <f t="shared" si="135"/>
        <v>200</v>
      </c>
      <c r="AM474" s="10">
        <v>200</v>
      </c>
      <c r="AN474" s="56">
        <f t="shared" ref="AN474:AN537" si="140">(AR474&gt;0)*1+(AW474&gt;0)*1+(BB474&gt;0)*1+(BG474&gt;0)*1+(BL474&gt;0)*1</f>
        <v>2</v>
      </c>
      <c r="AP474" s="11">
        <f ca="1">IFERROR(OFFSET(ITEM_RES!$A$1,MATCH(AQ474,ITEM_RES!$J:$J,0)-1,0),0)</f>
        <v>211020801</v>
      </c>
      <c r="AQ474" s="10" t="s">
        <v>460</v>
      </c>
      <c r="AR474" s="11">
        <v>1000</v>
      </c>
      <c r="AU474" s="11">
        <f ca="1">IFERROR(OFFSET(ITEM_RES!$A$1,MATCH(AV474,ITEM_RES!$J:$J,0)-1,0),0)</f>
        <v>0</v>
      </c>
      <c r="AZ474" s="11">
        <f ca="1">IFERROR(OFFSET(ITEM_RES!$A$1,MATCH(BA474,ITEM_RES!$J:$J,0)-1,0),0)</f>
        <v>0</v>
      </c>
      <c r="BE474" s="11">
        <f ca="1">IFERROR(OFFSET(ITEM_RES!$A$1,MATCH(BF474,ITEM_RES!$J:$J,0)-1,0),0)</f>
        <v>213011501</v>
      </c>
      <c r="BF474" s="10" t="s">
        <v>506</v>
      </c>
      <c r="BG474" s="11">
        <v>1</v>
      </c>
      <c r="BJ474" s="11">
        <f ca="1">IFERROR(OFFSET(ITEM_RES!$A$1,MATCH(BK474,ITEM_RES!$J:$J,0)-1,0),0)</f>
        <v>0</v>
      </c>
    </row>
    <row r="475" spans="1:65" x14ac:dyDescent="0.3">
      <c r="A475" s="14">
        <f t="shared" si="132"/>
        <v>115010011</v>
      </c>
      <c r="B475" s="13">
        <v>11</v>
      </c>
      <c r="C475" s="12">
        <f t="shared" si="133"/>
        <v>5</v>
      </c>
      <c r="D475" s="13">
        <v>1</v>
      </c>
      <c r="E475" s="13">
        <v>0</v>
      </c>
      <c r="F475" s="12">
        <f t="shared" si="134"/>
        <v>11</v>
      </c>
      <c r="H475" s="9">
        <v>5</v>
      </c>
      <c r="I475" s="9">
        <v>11</v>
      </c>
      <c r="K475" s="9" t="s">
        <v>364</v>
      </c>
      <c r="L475" s="9">
        <v>1</v>
      </c>
      <c r="M475" s="9">
        <v>15</v>
      </c>
      <c r="R475" s="9">
        <v>2222</v>
      </c>
      <c r="U475" s="9">
        <f ca="1">IFERROR(OFFSET(ITEM_RES!$A$5,MATCH(BUILDING!T475,ITEM_RES!$J$5:$J$229,0)-1,0),0)</f>
        <v>0</v>
      </c>
      <c r="X475" s="9">
        <f ca="1">IFERROR(OFFSET(ITEM_RES!$A$5,MATCH(BUILDING!W475,ITEM_RES!$J$5:$J$229,0)-1,0),0)</f>
        <v>0</v>
      </c>
      <c r="Z475" s="9" t="s">
        <v>564</v>
      </c>
      <c r="AA475" s="9">
        <v>11</v>
      </c>
      <c r="AC475" s="9">
        <v>10000</v>
      </c>
      <c r="AE475" s="56">
        <f t="shared" si="139"/>
        <v>4000</v>
      </c>
      <c r="AF475" s="10">
        <f t="shared" si="137"/>
        <v>7700</v>
      </c>
      <c r="AH475" s="11">
        <f t="shared" si="138"/>
        <v>55</v>
      </c>
      <c r="AI475" s="10">
        <v>55</v>
      </c>
      <c r="AJ475" s="11">
        <f t="shared" si="135"/>
        <v>250</v>
      </c>
      <c r="AK475" s="10">
        <v>250</v>
      </c>
      <c r="AL475" s="11">
        <f t="shared" si="135"/>
        <v>250</v>
      </c>
      <c r="AM475" s="10">
        <v>250</v>
      </c>
      <c r="AN475" s="56">
        <f t="shared" si="140"/>
        <v>1</v>
      </c>
      <c r="AP475" s="11">
        <f ca="1">IFERROR(OFFSET(ITEM_RES!$A$1,MATCH(AQ475,ITEM_RES!$J:$J,0)-1,0),0)</f>
        <v>211020801</v>
      </c>
      <c r="AQ475" s="10" t="s">
        <v>460</v>
      </c>
      <c r="AR475" s="11">
        <v>1250</v>
      </c>
      <c r="AU475" s="11">
        <f ca="1">IFERROR(OFFSET(ITEM_RES!$A$1,MATCH(AV475,ITEM_RES!$J:$J,0)-1,0),0)</f>
        <v>0</v>
      </c>
      <c r="AZ475" s="11">
        <f ca="1">IFERROR(OFFSET(ITEM_RES!$A$1,MATCH(BA475,ITEM_RES!$J:$J,0)-1,0),0)</f>
        <v>0</v>
      </c>
      <c r="BE475" s="11">
        <f ca="1">IFERROR(OFFSET(ITEM_RES!$A$1,MATCH(BF475,ITEM_RES!$J:$J,0)-1,0),0)</f>
        <v>0</v>
      </c>
      <c r="BJ475" s="11">
        <f ca="1">IFERROR(OFFSET(ITEM_RES!$A$1,MATCH(BK475,ITEM_RES!$J:$J,0)-1,0),0)</f>
        <v>0</v>
      </c>
    </row>
    <row r="476" spans="1:65" x14ac:dyDescent="0.3">
      <c r="A476" s="14">
        <f t="shared" si="132"/>
        <v>115010012</v>
      </c>
      <c r="B476" s="13">
        <v>11</v>
      </c>
      <c r="C476" s="12">
        <f t="shared" si="133"/>
        <v>5</v>
      </c>
      <c r="D476" s="13">
        <v>1</v>
      </c>
      <c r="E476" s="13">
        <v>0</v>
      </c>
      <c r="F476" s="12">
        <f t="shared" si="134"/>
        <v>12</v>
      </c>
      <c r="H476" s="9">
        <v>5</v>
      </c>
      <c r="I476" s="9">
        <v>12</v>
      </c>
      <c r="K476" s="9" t="s">
        <v>364</v>
      </c>
      <c r="L476" s="9">
        <v>1</v>
      </c>
      <c r="M476" s="9">
        <v>15</v>
      </c>
      <c r="R476" s="9">
        <v>2222</v>
      </c>
      <c r="U476" s="9">
        <f ca="1">IFERROR(OFFSET(ITEM_RES!$A$5,MATCH(BUILDING!T476,ITEM_RES!$J$5:$J$229,0)-1,0),0)</f>
        <v>0</v>
      </c>
      <c r="X476" s="9">
        <f ca="1">IFERROR(OFFSET(ITEM_RES!$A$5,MATCH(BUILDING!W476,ITEM_RES!$J$5:$J$229,0)-1,0),0)</f>
        <v>0</v>
      </c>
      <c r="Z476" s="9" t="s">
        <v>564</v>
      </c>
      <c r="AA476" s="9">
        <v>12</v>
      </c>
      <c r="AC476" s="9">
        <v>12000</v>
      </c>
      <c r="AE476" s="56">
        <f t="shared" si="139"/>
        <v>4800</v>
      </c>
      <c r="AF476" s="10">
        <f t="shared" si="137"/>
        <v>8800</v>
      </c>
      <c r="AH476" s="11">
        <f t="shared" si="138"/>
        <v>60</v>
      </c>
      <c r="AI476" s="10">
        <v>60</v>
      </c>
      <c r="AJ476" s="11">
        <f t="shared" si="135"/>
        <v>300</v>
      </c>
      <c r="AK476" s="10">
        <v>300</v>
      </c>
      <c r="AL476" s="11">
        <f t="shared" si="135"/>
        <v>300</v>
      </c>
      <c r="AM476" s="10">
        <v>300</v>
      </c>
      <c r="AN476" s="56">
        <f t="shared" si="140"/>
        <v>1</v>
      </c>
      <c r="AP476" s="11">
        <f ca="1">IFERROR(OFFSET(ITEM_RES!$A$1,MATCH(AQ476,ITEM_RES!$J:$J,0)-1,0),0)</f>
        <v>211020801</v>
      </c>
      <c r="AQ476" s="10" t="s">
        <v>460</v>
      </c>
      <c r="AR476" s="11">
        <v>1500</v>
      </c>
      <c r="AU476" s="11">
        <f ca="1">IFERROR(OFFSET(ITEM_RES!$A$1,MATCH(AV476,ITEM_RES!$J:$J,0)-1,0),0)</f>
        <v>0</v>
      </c>
      <c r="AZ476" s="11">
        <f ca="1">IFERROR(OFFSET(ITEM_RES!$A$1,MATCH(BA476,ITEM_RES!$J:$J,0)-1,0),0)</f>
        <v>0</v>
      </c>
      <c r="BE476" s="11">
        <f ca="1">IFERROR(OFFSET(ITEM_RES!$A$1,MATCH(BF476,ITEM_RES!$J:$J,0)-1,0),0)</f>
        <v>0</v>
      </c>
      <c r="BJ476" s="11">
        <f ca="1">IFERROR(OFFSET(ITEM_RES!$A$1,MATCH(BK476,ITEM_RES!$J:$J,0)-1,0),0)</f>
        <v>0</v>
      </c>
    </row>
    <row r="477" spans="1:65" x14ac:dyDescent="0.3">
      <c r="A477" s="14">
        <f t="shared" si="132"/>
        <v>115010013</v>
      </c>
      <c r="B477" s="13">
        <v>11</v>
      </c>
      <c r="C477" s="12">
        <f t="shared" si="133"/>
        <v>5</v>
      </c>
      <c r="D477" s="13">
        <v>1</v>
      </c>
      <c r="E477" s="13">
        <v>0</v>
      </c>
      <c r="F477" s="12">
        <f t="shared" si="134"/>
        <v>13</v>
      </c>
      <c r="H477" s="9">
        <v>5</v>
      </c>
      <c r="I477" s="9">
        <v>13</v>
      </c>
      <c r="K477" s="9" t="s">
        <v>364</v>
      </c>
      <c r="L477" s="9">
        <v>1</v>
      </c>
      <c r="M477" s="9">
        <v>15</v>
      </c>
      <c r="R477" s="9">
        <v>2222</v>
      </c>
      <c r="U477" s="9">
        <f ca="1">IFERROR(OFFSET(ITEM_RES!$A$5,MATCH(BUILDING!T477,ITEM_RES!$J$5:$J$229,0)-1,0),0)</f>
        <v>0</v>
      </c>
      <c r="X477" s="9">
        <f ca="1">IFERROR(OFFSET(ITEM_RES!$A$5,MATCH(BUILDING!W477,ITEM_RES!$J$5:$J$229,0)-1,0),0)</f>
        <v>0</v>
      </c>
      <c r="Z477" s="9" t="s">
        <v>564</v>
      </c>
      <c r="AA477" s="9">
        <v>13</v>
      </c>
      <c r="AC477" s="9">
        <v>14000</v>
      </c>
      <c r="AE477" s="56">
        <f t="shared" si="139"/>
        <v>5600</v>
      </c>
      <c r="AF477" s="10">
        <f t="shared" si="137"/>
        <v>10400</v>
      </c>
      <c r="AH477" s="11">
        <f t="shared" si="138"/>
        <v>65</v>
      </c>
      <c r="AI477" s="10">
        <v>65</v>
      </c>
      <c r="AJ477" s="11">
        <f t="shared" si="135"/>
        <v>350</v>
      </c>
      <c r="AK477" s="10">
        <v>350</v>
      </c>
      <c r="AL477" s="11">
        <f t="shared" si="135"/>
        <v>350</v>
      </c>
      <c r="AM477" s="10">
        <v>350</v>
      </c>
      <c r="AN477" s="56">
        <f t="shared" si="140"/>
        <v>1</v>
      </c>
      <c r="AP477" s="11">
        <f ca="1">IFERROR(OFFSET(ITEM_RES!$A$1,MATCH(AQ477,ITEM_RES!$J:$J,0)-1,0),0)</f>
        <v>211020801</v>
      </c>
      <c r="AQ477" s="10" t="s">
        <v>460</v>
      </c>
      <c r="AR477" s="11">
        <v>1750</v>
      </c>
      <c r="AU477" s="11">
        <f ca="1">IFERROR(OFFSET(ITEM_RES!$A$1,MATCH(AV477,ITEM_RES!$J:$J,0)-1,0),0)</f>
        <v>0</v>
      </c>
      <c r="AZ477" s="11">
        <f ca="1">IFERROR(OFFSET(ITEM_RES!$A$1,MATCH(BA477,ITEM_RES!$J:$J,0)-1,0),0)</f>
        <v>0</v>
      </c>
      <c r="BE477" s="11">
        <f ca="1">IFERROR(OFFSET(ITEM_RES!$A$1,MATCH(BF477,ITEM_RES!$J:$J,0)-1,0),0)</f>
        <v>0</v>
      </c>
      <c r="BJ477" s="11">
        <f ca="1">IFERROR(OFFSET(ITEM_RES!$A$1,MATCH(BK477,ITEM_RES!$J:$J,0)-1,0),0)</f>
        <v>0</v>
      </c>
    </row>
    <row r="478" spans="1:65" x14ac:dyDescent="0.3">
      <c r="A478" s="14">
        <f t="shared" si="132"/>
        <v>115010014</v>
      </c>
      <c r="B478" s="13">
        <v>11</v>
      </c>
      <c r="C478" s="12">
        <f t="shared" si="133"/>
        <v>5</v>
      </c>
      <c r="D478" s="13">
        <v>1</v>
      </c>
      <c r="E478" s="13">
        <v>0</v>
      </c>
      <c r="F478" s="12">
        <f t="shared" si="134"/>
        <v>14</v>
      </c>
      <c r="H478" s="9">
        <v>5</v>
      </c>
      <c r="I478" s="9">
        <v>14</v>
      </c>
      <c r="K478" s="9" t="s">
        <v>364</v>
      </c>
      <c r="L478" s="9">
        <v>1</v>
      </c>
      <c r="M478" s="9">
        <v>15</v>
      </c>
      <c r="R478" s="9">
        <v>2222</v>
      </c>
      <c r="U478" s="9">
        <f ca="1">IFERROR(OFFSET(ITEM_RES!$A$5,MATCH(BUILDING!T478,ITEM_RES!$J$5:$J$229,0)-1,0),0)</f>
        <v>0</v>
      </c>
      <c r="X478" s="9">
        <f ca="1">IFERROR(OFFSET(ITEM_RES!$A$5,MATCH(BUILDING!W478,ITEM_RES!$J$5:$J$229,0)-1,0),0)</f>
        <v>0</v>
      </c>
      <c r="Z478" s="9" t="s">
        <v>564</v>
      </c>
      <c r="AA478" s="9">
        <v>14</v>
      </c>
      <c r="AC478" s="9">
        <v>18000</v>
      </c>
      <c r="AE478" s="56">
        <f t="shared" si="139"/>
        <v>7200</v>
      </c>
      <c r="AF478" s="10">
        <f t="shared" si="137"/>
        <v>12800</v>
      </c>
      <c r="AH478" s="11">
        <f t="shared" si="138"/>
        <v>70</v>
      </c>
      <c r="AI478" s="10">
        <v>70</v>
      </c>
      <c r="AJ478" s="11">
        <f t="shared" si="135"/>
        <v>450</v>
      </c>
      <c r="AK478" s="10">
        <v>450</v>
      </c>
      <c r="AL478" s="11">
        <f t="shared" si="135"/>
        <v>450</v>
      </c>
      <c r="AM478" s="10">
        <v>450</v>
      </c>
      <c r="AN478" s="56">
        <f t="shared" si="140"/>
        <v>1</v>
      </c>
      <c r="AP478" s="11">
        <f ca="1">IFERROR(OFFSET(ITEM_RES!$A$1,MATCH(AQ478,ITEM_RES!$J:$J,0)-1,0),0)</f>
        <v>211020801</v>
      </c>
      <c r="AQ478" s="10" t="s">
        <v>460</v>
      </c>
      <c r="AR478" s="11">
        <v>2250</v>
      </c>
      <c r="AU478" s="11">
        <f ca="1">IFERROR(OFFSET(ITEM_RES!$A$1,MATCH(AV478,ITEM_RES!$J:$J,0)-1,0),0)</f>
        <v>0</v>
      </c>
      <c r="AZ478" s="11">
        <f ca="1">IFERROR(OFFSET(ITEM_RES!$A$1,MATCH(BA478,ITEM_RES!$J:$J,0)-1,0),0)</f>
        <v>0</v>
      </c>
      <c r="BE478" s="11">
        <f ca="1">IFERROR(OFFSET(ITEM_RES!$A$1,MATCH(BF478,ITEM_RES!$J:$J,0)-1,0),0)</f>
        <v>0</v>
      </c>
      <c r="BJ478" s="11">
        <f ca="1">IFERROR(OFFSET(ITEM_RES!$A$1,MATCH(BK478,ITEM_RES!$J:$J,0)-1,0),0)</f>
        <v>0</v>
      </c>
    </row>
    <row r="479" spans="1:65" x14ac:dyDescent="0.3">
      <c r="A479" s="14">
        <f t="shared" si="132"/>
        <v>115010015</v>
      </c>
      <c r="B479" s="13">
        <v>11</v>
      </c>
      <c r="C479" s="12">
        <f t="shared" si="133"/>
        <v>5</v>
      </c>
      <c r="D479" s="13">
        <v>1</v>
      </c>
      <c r="E479" s="13">
        <v>0</v>
      </c>
      <c r="F479" s="12">
        <f t="shared" si="134"/>
        <v>15</v>
      </c>
      <c r="H479" s="9">
        <v>5</v>
      </c>
      <c r="I479" s="9">
        <v>15</v>
      </c>
      <c r="K479" s="9" t="s">
        <v>364</v>
      </c>
      <c r="L479" s="9">
        <v>1</v>
      </c>
      <c r="M479" s="9">
        <v>15</v>
      </c>
      <c r="R479" s="9">
        <v>2222</v>
      </c>
      <c r="U479" s="9">
        <f ca="1">IFERROR(OFFSET(ITEM_RES!$A$5,MATCH(BUILDING!T479,ITEM_RES!$J$5:$J$229,0)-1,0),0)</f>
        <v>0</v>
      </c>
      <c r="X479" s="9">
        <f ca="1">IFERROR(OFFSET(ITEM_RES!$A$5,MATCH(BUILDING!W479,ITEM_RES!$J$5:$J$229,0)-1,0),0)</f>
        <v>0</v>
      </c>
      <c r="Z479" s="9" t="s">
        <v>564</v>
      </c>
      <c r="AA479" s="9">
        <v>15</v>
      </c>
      <c r="AC479" s="9">
        <v>22000</v>
      </c>
      <c r="AE479" s="56">
        <f t="shared" si="139"/>
        <v>8800</v>
      </c>
      <c r="AF479" s="10">
        <f t="shared" si="137"/>
        <v>16000</v>
      </c>
      <c r="AH479" s="11">
        <f t="shared" si="138"/>
        <v>75</v>
      </c>
      <c r="AI479" s="10">
        <v>75</v>
      </c>
      <c r="AJ479" s="11">
        <f t="shared" si="135"/>
        <v>550</v>
      </c>
      <c r="AK479" s="10">
        <v>550</v>
      </c>
      <c r="AL479" s="11">
        <f t="shared" si="135"/>
        <v>550</v>
      </c>
      <c r="AM479" s="10">
        <v>550</v>
      </c>
      <c r="AN479" s="56">
        <f t="shared" si="140"/>
        <v>1</v>
      </c>
      <c r="AP479" s="11">
        <f ca="1">IFERROR(OFFSET(ITEM_RES!$A$1,MATCH(AQ479,ITEM_RES!$J:$J,0)-1,0),0)</f>
        <v>211020801</v>
      </c>
      <c r="AQ479" s="10" t="s">
        <v>460</v>
      </c>
      <c r="AR479" s="11">
        <v>2750</v>
      </c>
      <c r="AU479" s="11">
        <f ca="1">IFERROR(OFFSET(ITEM_RES!$A$1,MATCH(AV479,ITEM_RES!$J:$J,0)-1,0),0)</f>
        <v>0</v>
      </c>
      <c r="AZ479" s="11">
        <f ca="1">IFERROR(OFFSET(ITEM_RES!$A$1,MATCH(BA479,ITEM_RES!$J:$J,0)-1,0),0)</f>
        <v>0</v>
      </c>
      <c r="BE479" s="11">
        <f ca="1">IFERROR(OFFSET(ITEM_RES!$A$1,MATCH(BF479,ITEM_RES!$J:$J,0)-1,0),0)</f>
        <v>0</v>
      </c>
      <c r="BJ479" s="11">
        <f ca="1">IFERROR(OFFSET(ITEM_RES!$A$1,MATCH(BK479,ITEM_RES!$J:$J,0)-1,0),0)</f>
        <v>0</v>
      </c>
    </row>
    <row r="480" spans="1:65" x14ac:dyDescent="0.3">
      <c r="A480" s="14">
        <f t="shared" si="132"/>
        <v>115010016</v>
      </c>
      <c r="B480" s="13">
        <v>11</v>
      </c>
      <c r="C480" s="12">
        <f t="shared" si="133"/>
        <v>5</v>
      </c>
      <c r="D480" s="13">
        <v>1</v>
      </c>
      <c r="E480" s="13">
        <v>0</v>
      </c>
      <c r="F480" s="12">
        <f t="shared" si="134"/>
        <v>16</v>
      </c>
      <c r="H480" s="9">
        <v>5</v>
      </c>
      <c r="I480" s="9">
        <v>16</v>
      </c>
      <c r="K480" s="9" t="s">
        <v>364</v>
      </c>
      <c r="L480" s="9">
        <v>0</v>
      </c>
      <c r="M480" s="9">
        <v>15</v>
      </c>
      <c r="R480" s="9">
        <v>2222</v>
      </c>
      <c r="U480" s="9">
        <f ca="1">IFERROR(OFFSET(ITEM_RES!$A$5,MATCH(BUILDING!T480,ITEM_RES!$J$5:$J$229,0)-1,0),0)</f>
        <v>0</v>
      </c>
      <c r="X480" s="9">
        <f ca="1">IFERROR(OFFSET(ITEM_RES!$A$5,MATCH(BUILDING!W480,ITEM_RES!$J$5:$J$229,0)-1,0),0)</f>
        <v>0</v>
      </c>
      <c r="Z480" s="9" t="s">
        <v>564</v>
      </c>
      <c r="AA480" s="9">
        <v>16</v>
      </c>
      <c r="AC480" s="9">
        <v>28000</v>
      </c>
      <c r="AE480" s="56">
        <f t="shared" si="139"/>
        <v>11200</v>
      </c>
      <c r="AF480" s="10">
        <f t="shared" si="137"/>
        <v>20000</v>
      </c>
      <c r="AH480" s="11">
        <f t="shared" si="138"/>
        <v>80</v>
      </c>
      <c r="AI480" s="10">
        <v>80</v>
      </c>
      <c r="AJ480" s="11">
        <f t="shared" si="135"/>
        <v>700</v>
      </c>
      <c r="AK480" s="10">
        <v>700</v>
      </c>
      <c r="AL480" s="11">
        <f t="shared" si="135"/>
        <v>700</v>
      </c>
      <c r="AM480" s="10">
        <v>700</v>
      </c>
      <c r="AN480" s="56">
        <f t="shared" si="140"/>
        <v>1</v>
      </c>
      <c r="AP480" s="11">
        <f ca="1">IFERROR(OFFSET(ITEM_RES!$A$1,MATCH(AQ480,ITEM_RES!$J:$J,0)-1,0),0)</f>
        <v>211020901</v>
      </c>
      <c r="AQ480" s="10" t="s">
        <v>470</v>
      </c>
      <c r="AR480" s="11">
        <v>3500</v>
      </c>
      <c r="AU480" s="11">
        <f ca="1">IFERROR(OFFSET(ITEM_RES!$A$1,MATCH(AV480,ITEM_RES!$J:$J,0)-1,0),0)</f>
        <v>0</v>
      </c>
      <c r="AZ480" s="11">
        <f ca="1">IFERROR(OFFSET(ITEM_RES!$A$1,MATCH(BA480,ITEM_RES!$J:$J,0)-1,0),0)</f>
        <v>0</v>
      </c>
      <c r="BE480" s="11">
        <f ca="1">IFERROR(OFFSET(ITEM_RES!$A$1,MATCH(BF480,ITEM_RES!$J:$J,0)-1,0),0)</f>
        <v>0</v>
      </c>
      <c r="BJ480" s="11">
        <f ca="1">IFERROR(OFFSET(ITEM_RES!$A$1,MATCH(BK480,ITEM_RES!$J:$J,0)-1,0),0)</f>
        <v>0</v>
      </c>
    </row>
    <row r="481" spans="1:65" x14ac:dyDescent="0.3">
      <c r="A481" s="14">
        <f t="shared" si="132"/>
        <v>115010017</v>
      </c>
      <c r="B481" s="13">
        <v>11</v>
      </c>
      <c r="C481" s="12">
        <f t="shared" si="133"/>
        <v>5</v>
      </c>
      <c r="D481" s="13">
        <v>1</v>
      </c>
      <c r="E481" s="13">
        <v>0</v>
      </c>
      <c r="F481" s="12">
        <f t="shared" si="134"/>
        <v>17</v>
      </c>
      <c r="H481" s="9">
        <v>5</v>
      </c>
      <c r="I481" s="9">
        <v>17</v>
      </c>
      <c r="K481" s="9" t="s">
        <v>364</v>
      </c>
      <c r="L481" s="9">
        <v>0</v>
      </c>
      <c r="M481" s="9">
        <v>15</v>
      </c>
      <c r="R481" s="9">
        <v>2222</v>
      </c>
      <c r="U481" s="9">
        <f ca="1">IFERROR(OFFSET(ITEM_RES!$A$5,MATCH(BUILDING!T481,ITEM_RES!$J$5:$J$229,0)-1,0),0)</f>
        <v>0</v>
      </c>
      <c r="X481" s="9">
        <f ca="1">IFERROR(OFFSET(ITEM_RES!$A$5,MATCH(BUILDING!W481,ITEM_RES!$J$5:$J$229,0)-1,0),0)</f>
        <v>0</v>
      </c>
      <c r="Z481" s="9" t="s">
        <v>564</v>
      </c>
      <c r="AA481" s="9">
        <v>17</v>
      </c>
      <c r="AC481" s="9">
        <v>34000</v>
      </c>
      <c r="AE481" s="56">
        <f t="shared" si="139"/>
        <v>13600</v>
      </c>
      <c r="AF481" s="10">
        <f t="shared" si="137"/>
        <v>24800</v>
      </c>
      <c r="AH481" s="11">
        <f t="shared" si="138"/>
        <v>85</v>
      </c>
      <c r="AI481" s="10">
        <v>85</v>
      </c>
      <c r="AJ481" s="11">
        <f t="shared" si="135"/>
        <v>850</v>
      </c>
      <c r="AK481" s="10">
        <v>850</v>
      </c>
      <c r="AL481" s="11">
        <f t="shared" si="135"/>
        <v>850</v>
      </c>
      <c r="AM481" s="10">
        <v>850</v>
      </c>
      <c r="AN481" s="56">
        <f t="shared" si="140"/>
        <v>1</v>
      </c>
      <c r="AP481" s="11">
        <f ca="1">IFERROR(OFFSET(ITEM_RES!$A$1,MATCH(AQ481,ITEM_RES!$J:$J,0)-1,0),0)</f>
        <v>211020901</v>
      </c>
      <c r="AQ481" s="10" t="s">
        <v>470</v>
      </c>
      <c r="AR481" s="11">
        <v>4250</v>
      </c>
      <c r="AU481" s="11">
        <f ca="1">IFERROR(OFFSET(ITEM_RES!$A$1,MATCH(AV481,ITEM_RES!$J:$J,0)-1,0),0)</f>
        <v>0</v>
      </c>
      <c r="AZ481" s="11">
        <f ca="1">IFERROR(OFFSET(ITEM_RES!$A$1,MATCH(BA481,ITEM_RES!$J:$J,0)-1,0),0)</f>
        <v>0</v>
      </c>
      <c r="BE481" s="11">
        <f ca="1">IFERROR(OFFSET(ITEM_RES!$A$1,MATCH(BF481,ITEM_RES!$J:$J,0)-1,0),0)</f>
        <v>0</v>
      </c>
      <c r="BJ481" s="11">
        <f ca="1">IFERROR(OFFSET(ITEM_RES!$A$1,MATCH(BK481,ITEM_RES!$J:$J,0)-1,0),0)</f>
        <v>0</v>
      </c>
    </row>
    <row r="482" spans="1:65" x14ac:dyDescent="0.3">
      <c r="A482" s="14">
        <f t="shared" si="132"/>
        <v>115010018</v>
      </c>
      <c r="B482" s="13">
        <v>11</v>
      </c>
      <c r="C482" s="12">
        <f t="shared" si="133"/>
        <v>5</v>
      </c>
      <c r="D482" s="13">
        <v>1</v>
      </c>
      <c r="E482" s="13">
        <v>0</v>
      </c>
      <c r="F482" s="12">
        <f t="shared" si="134"/>
        <v>18</v>
      </c>
      <c r="H482" s="9">
        <v>5</v>
      </c>
      <c r="I482" s="9">
        <v>18</v>
      </c>
      <c r="K482" s="9" t="s">
        <v>364</v>
      </c>
      <c r="L482" s="9">
        <v>0</v>
      </c>
      <c r="M482" s="9">
        <v>15</v>
      </c>
      <c r="R482" s="9">
        <v>2222</v>
      </c>
      <c r="U482" s="9">
        <f ca="1">IFERROR(OFFSET(ITEM_RES!$A$5,MATCH(BUILDING!T482,ITEM_RES!$J$5:$J$229,0)-1,0),0)</f>
        <v>0</v>
      </c>
      <c r="X482" s="9">
        <f ca="1">IFERROR(OFFSET(ITEM_RES!$A$5,MATCH(BUILDING!W482,ITEM_RES!$J$5:$J$229,0)-1,0),0)</f>
        <v>0</v>
      </c>
      <c r="Z482" s="9" t="s">
        <v>564</v>
      </c>
      <c r="AA482" s="9">
        <v>18</v>
      </c>
      <c r="AC482" s="9">
        <v>42000</v>
      </c>
      <c r="AE482" s="56">
        <f t="shared" si="139"/>
        <v>16800</v>
      </c>
      <c r="AF482" s="10">
        <f t="shared" si="137"/>
        <v>30400</v>
      </c>
      <c r="AH482" s="11">
        <f t="shared" si="138"/>
        <v>90</v>
      </c>
      <c r="AI482" s="10">
        <v>90</v>
      </c>
      <c r="AJ482" s="11">
        <f t="shared" si="135"/>
        <v>1050</v>
      </c>
      <c r="AK482" s="10">
        <v>1050</v>
      </c>
      <c r="AL482" s="11">
        <f t="shared" si="135"/>
        <v>1050</v>
      </c>
      <c r="AM482" s="10">
        <v>1050</v>
      </c>
      <c r="AN482" s="56">
        <f t="shared" si="140"/>
        <v>1</v>
      </c>
      <c r="AP482" s="11">
        <f ca="1">IFERROR(OFFSET(ITEM_RES!$A$1,MATCH(AQ482,ITEM_RES!$J:$J,0)-1,0),0)</f>
        <v>211020901</v>
      </c>
      <c r="AQ482" s="10" t="s">
        <v>470</v>
      </c>
      <c r="AR482" s="11">
        <v>5250</v>
      </c>
      <c r="AU482" s="11">
        <f ca="1">IFERROR(OFFSET(ITEM_RES!$A$1,MATCH(AV482,ITEM_RES!$J:$J,0)-1,0),0)</f>
        <v>0</v>
      </c>
      <c r="AZ482" s="11">
        <f ca="1">IFERROR(OFFSET(ITEM_RES!$A$1,MATCH(BA482,ITEM_RES!$J:$J,0)-1,0),0)</f>
        <v>0</v>
      </c>
      <c r="BE482" s="11">
        <f ca="1">IFERROR(OFFSET(ITEM_RES!$A$1,MATCH(BF482,ITEM_RES!$J:$J,0)-1,0),0)</f>
        <v>0</v>
      </c>
      <c r="BJ482" s="11">
        <f ca="1">IFERROR(OFFSET(ITEM_RES!$A$1,MATCH(BK482,ITEM_RES!$J:$J,0)-1,0),0)</f>
        <v>0</v>
      </c>
    </row>
    <row r="483" spans="1:65" x14ac:dyDescent="0.3">
      <c r="A483" s="14">
        <f t="shared" si="132"/>
        <v>115010019</v>
      </c>
      <c r="B483" s="13">
        <v>11</v>
      </c>
      <c r="C483" s="12">
        <f t="shared" si="133"/>
        <v>5</v>
      </c>
      <c r="D483" s="13">
        <v>1</v>
      </c>
      <c r="E483" s="13">
        <v>0</v>
      </c>
      <c r="F483" s="12">
        <f t="shared" si="134"/>
        <v>19</v>
      </c>
      <c r="H483" s="9">
        <v>5</v>
      </c>
      <c r="I483" s="9">
        <v>19</v>
      </c>
      <c r="K483" s="9" t="s">
        <v>364</v>
      </c>
      <c r="L483" s="9">
        <v>0</v>
      </c>
      <c r="M483" s="9">
        <v>15</v>
      </c>
      <c r="R483" s="9">
        <v>2222</v>
      </c>
      <c r="U483" s="9">
        <f ca="1">IFERROR(OFFSET(ITEM_RES!$A$5,MATCH(BUILDING!T483,ITEM_RES!$J$5:$J$229,0)-1,0),0)</f>
        <v>0</v>
      </c>
      <c r="X483" s="9">
        <f ca="1">IFERROR(OFFSET(ITEM_RES!$A$5,MATCH(BUILDING!W483,ITEM_RES!$J$5:$J$229,0)-1,0),0)</f>
        <v>0</v>
      </c>
      <c r="Z483" s="9" t="s">
        <v>564</v>
      </c>
      <c r="AA483" s="9">
        <v>19</v>
      </c>
      <c r="AC483" s="9">
        <v>50000</v>
      </c>
      <c r="AE483" s="56">
        <f t="shared" si="139"/>
        <v>20000</v>
      </c>
      <c r="AF483" s="10">
        <f t="shared" si="137"/>
        <v>36800</v>
      </c>
      <c r="AH483" s="11">
        <f t="shared" si="138"/>
        <v>95</v>
      </c>
      <c r="AI483" s="10">
        <v>95</v>
      </c>
      <c r="AJ483" s="11">
        <f t="shared" si="135"/>
        <v>1250</v>
      </c>
      <c r="AK483" s="10">
        <v>1250</v>
      </c>
      <c r="AL483" s="11">
        <f t="shared" si="135"/>
        <v>1250</v>
      </c>
      <c r="AM483" s="10">
        <v>1250</v>
      </c>
      <c r="AN483" s="56">
        <f t="shared" si="140"/>
        <v>1</v>
      </c>
      <c r="AP483" s="11">
        <f ca="1">IFERROR(OFFSET(ITEM_RES!$A$1,MATCH(AQ483,ITEM_RES!$J:$J,0)-1,0),0)</f>
        <v>211020901</v>
      </c>
      <c r="AQ483" s="10" t="s">
        <v>470</v>
      </c>
      <c r="AR483" s="11">
        <v>6250</v>
      </c>
      <c r="AU483" s="11">
        <f ca="1">IFERROR(OFFSET(ITEM_RES!$A$1,MATCH(AV483,ITEM_RES!$J:$J,0)-1,0),0)</f>
        <v>0</v>
      </c>
      <c r="AZ483" s="11">
        <f ca="1">IFERROR(OFFSET(ITEM_RES!$A$1,MATCH(BA483,ITEM_RES!$J:$J,0)-1,0),0)</f>
        <v>0</v>
      </c>
      <c r="BE483" s="11">
        <f ca="1">IFERROR(OFFSET(ITEM_RES!$A$1,MATCH(BF483,ITEM_RES!$J:$J,0)-1,0),0)</f>
        <v>0</v>
      </c>
      <c r="BJ483" s="11">
        <f ca="1">IFERROR(OFFSET(ITEM_RES!$A$1,MATCH(BK483,ITEM_RES!$J:$J,0)-1,0),0)</f>
        <v>0</v>
      </c>
    </row>
    <row r="484" spans="1:65" ht="17.25" thickBot="1" x14ac:dyDescent="0.35">
      <c r="A484" s="14">
        <f t="shared" si="132"/>
        <v>115010020</v>
      </c>
      <c r="B484" s="13">
        <v>11</v>
      </c>
      <c r="C484" s="12">
        <f t="shared" si="133"/>
        <v>5</v>
      </c>
      <c r="D484" s="13">
        <v>1</v>
      </c>
      <c r="E484" s="13">
        <v>0</v>
      </c>
      <c r="F484" s="12">
        <f t="shared" si="134"/>
        <v>20</v>
      </c>
      <c r="H484" s="9">
        <v>5</v>
      </c>
      <c r="I484" s="9">
        <v>20</v>
      </c>
      <c r="K484" s="9" t="s">
        <v>364</v>
      </c>
      <c r="L484" s="9">
        <v>0</v>
      </c>
      <c r="M484" s="9">
        <v>15</v>
      </c>
      <c r="R484" s="9">
        <v>2222</v>
      </c>
      <c r="U484" s="9">
        <f ca="1">IFERROR(OFFSET(ITEM_RES!$A$5,MATCH(BUILDING!T484,ITEM_RES!$J$5:$J$229,0)-1,0),0)</f>
        <v>0</v>
      </c>
      <c r="X484" s="9">
        <f ca="1">IFERROR(OFFSET(ITEM_RES!$A$5,MATCH(BUILDING!W484,ITEM_RES!$J$5:$J$229,0)-1,0),0)</f>
        <v>0</v>
      </c>
      <c r="Z484" s="9" t="s">
        <v>564</v>
      </c>
      <c r="AA484" s="9">
        <v>20</v>
      </c>
      <c r="AC484" s="9">
        <v>60000</v>
      </c>
      <c r="AE484" s="56">
        <f t="shared" si="139"/>
        <v>24000</v>
      </c>
      <c r="AF484" s="10">
        <f t="shared" si="137"/>
        <v>44000</v>
      </c>
      <c r="AH484" s="11">
        <f t="shared" si="138"/>
        <v>100</v>
      </c>
      <c r="AI484" s="10">
        <v>100</v>
      </c>
      <c r="AJ484" s="11">
        <f t="shared" si="135"/>
        <v>1500</v>
      </c>
      <c r="AK484" s="10">
        <v>1500</v>
      </c>
      <c r="AL484" s="11">
        <f t="shared" si="135"/>
        <v>1500</v>
      </c>
      <c r="AM484" s="10">
        <v>1500</v>
      </c>
      <c r="AN484" s="56">
        <f t="shared" si="140"/>
        <v>1</v>
      </c>
      <c r="AP484" s="11">
        <f ca="1">IFERROR(OFFSET(ITEM_RES!$A$1,MATCH(AQ484,ITEM_RES!$J:$J,0)-1,0),0)</f>
        <v>211020901</v>
      </c>
      <c r="AQ484" s="10" t="s">
        <v>470</v>
      </c>
      <c r="AR484" s="11">
        <v>7500</v>
      </c>
      <c r="AU484" s="11">
        <f ca="1">IFERROR(OFFSET(ITEM_RES!$A$1,MATCH(AV484,ITEM_RES!$J:$J,0)-1,0),0)</f>
        <v>0</v>
      </c>
      <c r="AZ484" s="11">
        <f ca="1">IFERROR(OFFSET(ITEM_RES!$A$1,MATCH(BA484,ITEM_RES!$J:$J,0)-1,0),0)</f>
        <v>0</v>
      </c>
      <c r="BE484" s="11">
        <f ca="1">IFERROR(OFFSET(ITEM_RES!$A$1,MATCH(BF484,ITEM_RES!$J:$J,0)-1,0),0)</f>
        <v>0</v>
      </c>
      <c r="BJ484" s="11">
        <f ca="1">IFERROR(OFFSET(ITEM_RES!$A$1,MATCH(BK484,ITEM_RES!$J:$J,0)-1,0),0)</f>
        <v>0</v>
      </c>
    </row>
    <row r="485" spans="1:65" s="15" customFormat="1" x14ac:dyDescent="0.3">
      <c r="A485" s="21">
        <f t="shared" si="132"/>
        <v>115020001</v>
      </c>
      <c r="B485" s="20">
        <v>11</v>
      </c>
      <c r="C485" s="19">
        <f t="shared" si="133"/>
        <v>5</v>
      </c>
      <c r="D485" s="20">
        <v>2</v>
      </c>
      <c r="E485" s="20">
        <v>0</v>
      </c>
      <c r="F485" s="19">
        <f t="shared" si="134"/>
        <v>1</v>
      </c>
      <c r="G485" s="80"/>
      <c r="H485" s="16">
        <v>5</v>
      </c>
      <c r="I485" s="16">
        <v>1</v>
      </c>
      <c r="J485" s="80"/>
      <c r="K485" s="16" t="s">
        <v>375</v>
      </c>
      <c r="L485" s="16">
        <v>1</v>
      </c>
      <c r="M485" s="16">
        <v>15</v>
      </c>
      <c r="N485" s="16"/>
      <c r="O485" s="17"/>
      <c r="P485" s="17"/>
      <c r="Q485" s="18"/>
      <c r="R485" s="16">
        <v>3333</v>
      </c>
      <c r="S485" s="80"/>
      <c r="T485" s="88"/>
      <c r="U485" s="16">
        <f ca="1">IFERROR(OFFSET(ITEM_RES!$A$5,MATCH(BUILDING!T485,ITEM_RES!$J$5:$J$229,0)-1,0),0)</f>
        <v>0</v>
      </c>
      <c r="V485" s="18"/>
      <c r="W485" s="88"/>
      <c r="X485" s="16">
        <f ca="1">IFERROR(OFFSET(ITEM_RES!$A$5,MATCH(BUILDING!W485,ITEM_RES!$J$5:$J$229,0)-1,0),0)</f>
        <v>0</v>
      </c>
      <c r="Y485" s="80"/>
      <c r="Z485" s="16" t="s">
        <v>394</v>
      </c>
      <c r="AA485" s="16">
        <v>1</v>
      </c>
      <c r="AB485" s="80"/>
      <c r="AC485" s="16">
        <v>0</v>
      </c>
      <c r="AD485" s="80"/>
      <c r="AE485" s="57">
        <f t="shared" si="139"/>
        <v>1080</v>
      </c>
      <c r="AF485" s="17">
        <f>AE485</f>
        <v>1080</v>
      </c>
      <c r="AG485" s="80"/>
      <c r="AH485" s="18">
        <f t="shared" si="138"/>
        <v>5</v>
      </c>
      <c r="AI485" s="17">
        <v>5</v>
      </c>
      <c r="AJ485" s="18">
        <f t="shared" si="135"/>
        <v>5</v>
      </c>
      <c r="AK485" s="17">
        <v>5</v>
      </c>
      <c r="AL485" s="18">
        <f t="shared" si="135"/>
        <v>5</v>
      </c>
      <c r="AM485" s="17">
        <v>5</v>
      </c>
      <c r="AN485" s="57">
        <f t="shared" si="140"/>
        <v>3</v>
      </c>
      <c r="AO485" s="18"/>
      <c r="AP485" s="18">
        <f ca="1">IFERROR(OFFSET(ITEM_RES!$A$1,MATCH(AQ485,ITEM_RES!$J:$J,0)-1,0),0)</f>
        <v>211020801</v>
      </c>
      <c r="AQ485" s="17" t="s">
        <v>460</v>
      </c>
      <c r="AR485" s="18">
        <v>25</v>
      </c>
      <c r="AS485" s="17"/>
      <c r="AT485" s="18"/>
      <c r="AU485" s="18">
        <f ca="1">IFERROR(OFFSET(ITEM_RES!$A$1,MATCH(AV485,ITEM_RES!$J:$J,0)-1,0),0)</f>
        <v>0</v>
      </c>
      <c r="AV485" s="17"/>
      <c r="AW485" s="18"/>
      <c r="AX485" s="17"/>
      <c r="AY485" s="18"/>
      <c r="AZ485" s="18">
        <f ca="1">IFERROR(OFFSET(ITEM_RES!$A$1,MATCH(BA485,ITEM_RES!$J:$J,0)-1,0),0)</f>
        <v>213010101</v>
      </c>
      <c r="BA485" s="17" t="s">
        <v>481</v>
      </c>
      <c r="BB485" s="18">
        <v>1</v>
      </c>
      <c r="BC485" s="17"/>
      <c r="BD485" s="18"/>
      <c r="BE485" s="18">
        <f ca="1">IFERROR(OFFSET(ITEM_RES!$A$1,MATCH(BF485,ITEM_RES!$J:$J,0)-1,0),0)</f>
        <v>213010201</v>
      </c>
      <c r="BF485" s="17" t="s">
        <v>503</v>
      </c>
      <c r="BG485" s="18">
        <v>1</v>
      </c>
      <c r="BH485" s="17"/>
      <c r="BI485" s="18"/>
      <c r="BJ485" s="18">
        <f ca="1">IFERROR(OFFSET(ITEM_RES!$A$1,MATCH(BK485,ITEM_RES!$J:$J,0)-1,0),0)</f>
        <v>0</v>
      </c>
      <c r="BK485" s="17"/>
      <c r="BL485" s="18"/>
      <c r="BM485" s="17"/>
    </row>
    <row r="486" spans="1:65" x14ac:dyDescent="0.3">
      <c r="A486" s="14">
        <f t="shared" si="132"/>
        <v>115020002</v>
      </c>
      <c r="B486" s="13">
        <v>11</v>
      </c>
      <c r="C486" s="12">
        <f t="shared" si="133"/>
        <v>5</v>
      </c>
      <c r="D486" s="13">
        <v>2</v>
      </c>
      <c r="E486" s="13">
        <v>0</v>
      </c>
      <c r="F486" s="12">
        <f t="shared" si="134"/>
        <v>2</v>
      </c>
      <c r="H486" s="9">
        <v>5</v>
      </c>
      <c r="I486" s="9">
        <v>2</v>
      </c>
      <c r="K486" s="9" t="s">
        <v>362</v>
      </c>
      <c r="L486" s="9">
        <v>1</v>
      </c>
      <c r="M486" s="9">
        <v>15</v>
      </c>
      <c r="R486" s="9">
        <v>3333</v>
      </c>
      <c r="U486" s="9">
        <f ca="1">IFERROR(OFFSET(ITEM_RES!$A$5,MATCH(BUILDING!T486,ITEM_RES!$J$5:$J$229,0)-1,0),0)</f>
        <v>0</v>
      </c>
      <c r="X486" s="9">
        <f ca="1">IFERROR(OFFSET(ITEM_RES!$A$5,MATCH(BUILDING!W486,ITEM_RES!$J$5:$J$229,0)-1,0),0)</f>
        <v>0</v>
      </c>
      <c r="Z486" s="9" t="s">
        <v>390</v>
      </c>
      <c r="AA486" s="9">
        <v>2</v>
      </c>
      <c r="AC486" s="9">
        <v>400</v>
      </c>
      <c r="AE486" s="56">
        <f t="shared" si="139"/>
        <v>160</v>
      </c>
      <c r="AF486" s="10">
        <f>AE485+AE486</f>
        <v>1240</v>
      </c>
      <c r="AH486" s="11">
        <f t="shared" si="138"/>
        <v>10</v>
      </c>
      <c r="AI486" s="10">
        <v>10</v>
      </c>
      <c r="AJ486" s="11">
        <f t="shared" si="135"/>
        <v>10</v>
      </c>
      <c r="AK486" s="10">
        <v>10</v>
      </c>
      <c r="AL486" s="11">
        <f t="shared" si="135"/>
        <v>10</v>
      </c>
      <c r="AM486" s="10">
        <v>10</v>
      </c>
      <c r="AN486" s="56">
        <f t="shared" si="140"/>
        <v>1</v>
      </c>
      <c r="AP486" s="11">
        <f ca="1">IFERROR(OFFSET(ITEM_RES!$A$1,MATCH(AQ486,ITEM_RES!$J:$J,0)-1,0),0)</f>
        <v>211020801</v>
      </c>
      <c r="AQ486" s="10" t="s">
        <v>460</v>
      </c>
      <c r="AR486" s="11">
        <v>50</v>
      </c>
      <c r="AU486" s="11">
        <f ca="1">IFERROR(OFFSET(ITEM_RES!$A$1,MATCH(AV486,ITEM_RES!$J:$J,0)-1,0),0)</f>
        <v>0</v>
      </c>
      <c r="AZ486" s="11">
        <f ca="1">IFERROR(OFFSET(ITEM_RES!$A$1,MATCH(BA486,ITEM_RES!$J:$J,0)-1,0),0)</f>
        <v>0</v>
      </c>
      <c r="BE486" s="11">
        <f ca="1">IFERROR(OFFSET(ITEM_RES!$A$1,MATCH(BF486,ITEM_RES!$J:$J,0)-1,0),0)</f>
        <v>0</v>
      </c>
      <c r="BJ486" s="11">
        <f ca="1">IFERROR(OFFSET(ITEM_RES!$A$1,MATCH(BK486,ITEM_RES!$J:$J,0)-1,0),0)</f>
        <v>0</v>
      </c>
    </row>
    <row r="487" spans="1:65" x14ac:dyDescent="0.3">
      <c r="A487" s="14">
        <f t="shared" si="132"/>
        <v>115020003</v>
      </c>
      <c r="B487" s="13">
        <v>11</v>
      </c>
      <c r="C487" s="12">
        <f t="shared" si="133"/>
        <v>5</v>
      </c>
      <c r="D487" s="13">
        <v>2</v>
      </c>
      <c r="E487" s="13">
        <v>0</v>
      </c>
      <c r="F487" s="12">
        <f t="shared" si="134"/>
        <v>3</v>
      </c>
      <c r="H487" s="9">
        <v>5</v>
      </c>
      <c r="I487" s="9">
        <v>3</v>
      </c>
      <c r="K487" s="9" t="s">
        <v>362</v>
      </c>
      <c r="L487" s="9">
        <v>1</v>
      </c>
      <c r="M487" s="9">
        <v>15</v>
      </c>
      <c r="R487" s="9">
        <v>3333</v>
      </c>
      <c r="U487" s="9">
        <f ca="1">IFERROR(OFFSET(ITEM_RES!$A$5,MATCH(BUILDING!T487,ITEM_RES!$J$5:$J$229,0)-1,0),0)</f>
        <v>0</v>
      </c>
      <c r="X487" s="9">
        <f ca="1">IFERROR(OFFSET(ITEM_RES!$A$5,MATCH(BUILDING!W487,ITEM_RES!$J$5:$J$229,0)-1,0),0)</f>
        <v>0</v>
      </c>
      <c r="Z487" s="9" t="s">
        <v>389</v>
      </c>
      <c r="AA487" s="9">
        <v>3</v>
      </c>
      <c r="AC487" s="9">
        <v>1200</v>
      </c>
      <c r="AE487" s="56">
        <f t="shared" si="139"/>
        <v>240</v>
      </c>
      <c r="AF487" s="10">
        <f t="shared" ref="AF487:AF504" si="141">AE486+AE487</f>
        <v>400</v>
      </c>
      <c r="AH487" s="11">
        <f t="shared" si="138"/>
        <v>15</v>
      </c>
      <c r="AI487" s="10">
        <v>15</v>
      </c>
      <c r="AJ487" s="11">
        <f t="shared" si="135"/>
        <v>15</v>
      </c>
      <c r="AK487" s="10">
        <v>15</v>
      </c>
      <c r="AL487" s="11">
        <f t="shared" si="135"/>
        <v>15</v>
      </c>
      <c r="AM487" s="10">
        <v>15</v>
      </c>
      <c r="AN487" s="56">
        <f t="shared" si="140"/>
        <v>1</v>
      </c>
      <c r="AP487" s="11">
        <f ca="1">IFERROR(OFFSET(ITEM_RES!$A$1,MATCH(AQ487,ITEM_RES!$J:$J,0)-1,0),0)</f>
        <v>211020801</v>
      </c>
      <c r="AQ487" s="10" t="s">
        <v>460</v>
      </c>
      <c r="AR487" s="11">
        <v>75</v>
      </c>
      <c r="AU487" s="11">
        <f ca="1">IFERROR(OFFSET(ITEM_RES!$A$1,MATCH(AV487,ITEM_RES!$J:$J,0)-1,0),0)</f>
        <v>0</v>
      </c>
      <c r="AZ487" s="11">
        <f ca="1">IFERROR(OFFSET(ITEM_RES!$A$1,MATCH(BA487,ITEM_RES!$J:$J,0)-1,0),0)</f>
        <v>0</v>
      </c>
      <c r="BE487" s="11">
        <f ca="1">IFERROR(OFFSET(ITEM_RES!$A$1,MATCH(BF487,ITEM_RES!$J:$J,0)-1,0),0)</f>
        <v>0</v>
      </c>
      <c r="BJ487" s="11">
        <f ca="1">IFERROR(OFFSET(ITEM_RES!$A$1,MATCH(BK487,ITEM_RES!$J:$J,0)-1,0),0)</f>
        <v>0</v>
      </c>
    </row>
    <row r="488" spans="1:65" x14ac:dyDescent="0.3">
      <c r="A488" s="14">
        <f t="shared" si="132"/>
        <v>115020004</v>
      </c>
      <c r="B488" s="13">
        <v>11</v>
      </c>
      <c r="C488" s="12">
        <f t="shared" si="133"/>
        <v>5</v>
      </c>
      <c r="D488" s="13">
        <v>2</v>
      </c>
      <c r="E488" s="13">
        <v>0</v>
      </c>
      <c r="F488" s="12">
        <f t="shared" si="134"/>
        <v>4</v>
      </c>
      <c r="H488" s="9">
        <v>5</v>
      </c>
      <c r="I488" s="9">
        <v>4</v>
      </c>
      <c r="K488" s="9" t="s">
        <v>362</v>
      </c>
      <c r="L488" s="9">
        <v>1</v>
      </c>
      <c r="M488" s="9">
        <v>15</v>
      </c>
      <c r="R488" s="9">
        <v>3333</v>
      </c>
      <c r="U488" s="9">
        <f ca="1">IFERROR(OFFSET(ITEM_RES!$A$5,MATCH(BUILDING!T488,ITEM_RES!$J$5:$J$229,0)-1,0),0)</f>
        <v>0</v>
      </c>
      <c r="X488" s="9">
        <f ca="1">IFERROR(OFFSET(ITEM_RES!$A$5,MATCH(BUILDING!W488,ITEM_RES!$J$5:$J$229,0)-1,0),0)</f>
        <v>0</v>
      </c>
      <c r="Z488" s="9" t="s">
        <v>389</v>
      </c>
      <c r="AA488" s="9">
        <v>4</v>
      </c>
      <c r="AC488" s="9">
        <v>2000</v>
      </c>
      <c r="AE488" s="56">
        <f t="shared" si="139"/>
        <v>400</v>
      </c>
      <c r="AF488" s="10">
        <f t="shared" si="141"/>
        <v>640</v>
      </c>
      <c r="AH488" s="11">
        <f t="shared" si="138"/>
        <v>20</v>
      </c>
      <c r="AI488" s="10">
        <v>20</v>
      </c>
      <c r="AJ488" s="11">
        <f t="shared" si="135"/>
        <v>25</v>
      </c>
      <c r="AK488" s="10">
        <v>25</v>
      </c>
      <c r="AL488" s="11">
        <f t="shared" si="135"/>
        <v>25</v>
      </c>
      <c r="AM488" s="10">
        <v>25</v>
      </c>
      <c r="AN488" s="56">
        <f t="shared" si="140"/>
        <v>1</v>
      </c>
      <c r="AP488" s="11">
        <f ca="1">IFERROR(OFFSET(ITEM_RES!$A$1,MATCH(AQ488,ITEM_RES!$J:$J,0)-1,0),0)</f>
        <v>211020801</v>
      </c>
      <c r="AQ488" s="10" t="s">
        <v>460</v>
      </c>
      <c r="AR488" s="11">
        <v>125</v>
      </c>
      <c r="AU488" s="11">
        <f ca="1">IFERROR(OFFSET(ITEM_RES!$A$1,MATCH(AV488,ITEM_RES!$J:$J,0)-1,0),0)</f>
        <v>0</v>
      </c>
      <c r="AZ488" s="11">
        <f ca="1">IFERROR(OFFSET(ITEM_RES!$A$1,MATCH(BA488,ITEM_RES!$J:$J,0)-1,0),0)</f>
        <v>0</v>
      </c>
      <c r="BE488" s="11">
        <f ca="1">IFERROR(OFFSET(ITEM_RES!$A$1,MATCH(BF488,ITEM_RES!$J:$J,0)-1,0),0)</f>
        <v>0</v>
      </c>
      <c r="BJ488" s="11">
        <f ca="1">IFERROR(OFFSET(ITEM_RES!$A$1,MATCH(BK488,ITEM_RES!$J:$J,0)-1,0),0)</f>
        <v>0</v>
      </c>
    </row>
    <row r="489" spans="1:65" x14ac:dyDescent="0.3">
      <c r="A489" s="14">
        <f t="shared" si="132"/>
        <v>115020005</v>
      </c>
      <c r="B489" s="13">
        <v>11</v>
      </c>
      <c r="C489" s="12">
        <f t="shared" si="133"/>
        <v>5</v>
      </c>
      <c r="D489" s="13">
        <v>2</v>
      </c>
      <c r="E489" s="13">
        <v>0</v>
      </c>
      <c r="F489" s="12">
        <f t="shared" si="134"/>
        <v>5</v>
      </c>
      <c r="H489" s="9">
        <v>5</v>
      </c>
      <c r="I489" s="9">
        <v>5</v>
      </c>
      <c r="K489" s="9" t="s">
        <v>362</v>
      </c>
      <c r="L489" s="9">
        <v>1</v>
      </c>
      <c r="M489" s="9">
        <v>15</v>
      </c>
      <c r="R489" s="9">
        <v>3333</v>
      </c>
      <c r="U489" s="9">
        <f ca="1">IFERROR(OFFSET(ITEM_RES!$A$5,MATCH(BUILDING!T489,ITEM_RES!$J$5:$J$229,0)-1,0),0)</f>
        <v>0</v>
      </c>
      <c r="X489" s="9">
        <f ca="1">IFERROR(OFFSET(ITEM_RES!$A$5,MATCH(BUILDING!W489,ITEM_RES!$J$5:$J$229,0)-1,0),0)</f>
        <v>0</v>
      </c>
      <c r="Z489" s="9" t="s">
        <v>389</v>
      </c>
      <c r="AA489" s="9">
        <v>5</v>
      </c>
      <c r="AC489" s="9">
        <v>3200</v>
      </c>
      <c r="AE489" s="56">
        <f t="shared" si="139"/>
        <v>640</v>
      </c>
      <c r="AF489" s="10">
        <f t="shared" si="141"/>
        <v>1040</v>
      </c>
      <c r="AH489" s="11">
        <f t="shared" si="138"/>
        <v>25</v>
      </c>
      <c r="AI489" s="10">
        <v>25</v>
      </c>
      <c r="AJ489" s="11">
        <f t="shared" si="135"/>
        <v>40</v>
      </c>
      <c r="AK489" s="10">
        <v>40</v>
      </c>
      <c r="AL489" s="11">
        <f t="shared" si="135"/>
        <v>40</v>
      </c>
      <c r="AM489" s="10">
        <v>40</v>
      </c>
      <c r="AN489" s="56">
        <f t="shared" si="140"/>
        <v>1</v>
      </c>
      <c r="AP489" s="11">
        <f ca="1">IFERROR(OFFSET(ITEM_RES!$A$1,MATCH(AQ489,ITEM_RES!$J:$J,0)-1,0),0)</f>
        <v>211020801</v>
      </c>
      <c r="AQ489" s="10" t="s">
        <v>460</v>
      </c>
      <c r="AR489" s="11">
        <v>200</v>
      </c>
      <c r="AU489" s="11">
        <f ca="1">IFERROR(OFFSET(ITEM_RES!$A$1,MATCH(AV489,ITEM_RES!$J:$J,0)-1,0),0)</f>
        <v>0</v>
      </c>
      <c r="AZ489" s="11">
        <f ca="1">IFERROR(OFFSET(ITEM_RES!$A$1,MATCH(BA489,ITEM_RES!$J:$J,0)-1,0),0)</f>
        <v>0</v>
      </c>
      <c r="BE489" s="11">
        <f ca="1">IFERROR(OFFSET(ITEM_RES!$A$1,MATCH(BF489,ITEM_RES!$J:$J,0)-1,0),0)</f>
        <v>0</v>
      </c>
      <c r="BJ489" s="11">
        <f ca="1">IFERROR(OFFSET(ITEM_RES!$A$1,MATCH(BK489,ITEM_RES!$J:$J,0)-1,0),0)</f>
        <v>0</v>
      </c>
    </row>
    <row r="490" spans="1:65" x14ac:dyDescent="0.3">
      <c r="A490" s="14">
        <f t="shared" si="132"/>
        <v>115020006</v>
      </c>
      <c r="B490" s="13">
        <v>11</v>
      </c>
      <c r="C490" s="12">
        <f t="shared" si="133"/>
        <v>5</v>
      </c>
      <c r="D490" s="13">
        <v>2</v>
      </c>
      <c r="E490" s="13">
        <v>0</v>
      </c>
      <c r="F490" s="12">
        <f t="shared" si="134"/>
        <v>6</v>
      </c>
      <c r="H490" s="9">
        <v>5</v>
      </c>
      <c r="I490" s="9">
        <v>6</v>
      </c>
      <c r="K490" s="9" t="s">
        <v>362</v>
      </c>
      <c r="L490" s="9">
        <v>1</v>
      </c>
      <c r="M490" s="9">
        <v>15</v>
      </c>
      <c r="R490" s="9">
        <v>3333</v>
      </c>
      <c r="U490" s="9">
        <f ca="1">IFERROR(OFFSET(ITEM_RES!$A$5,MATCH(BUILDING!T490,ITEM_RES!$J$5:$J$229,0)-1,0),0)</f>
        <v>0</v>
      </c>
      <c r="X490" s="9">
        <f ca="1">IFERROR(OFFSET(ITEM_RES!$A$5,MATCH(BUILDING!W490,ITEM_RES!$J$5:$J$229,0)-1,0),0)</f>
        <v>0</v>
      </c>
      <c r="Z490" s="9" t="s">
        <v>389</v>
      </c>
      <c r="AA490" s="9">
        <v>6</v>
      </c>
      <c r="AC490" s="9">
        <v>4000</v>
      </c>
      <c r="AE490" s="56">
        <f t="shared" si="139"/>
        <v>800</v>
      </c>
      <c r="AF490" s="10">
        <f t="shared" si="141"/>
        <v>1440</v>
      </c>
      <c r="AH490" s="11">
        <f t="shared" si="138"/>
        <v>30</v>
      </c>
      <c r="AI490" s="10">
        <v>30</v>
      </c>
      <c r="AJ490" s="11">
        <f t="shared" si="135"/>
        <v>50</v>
      </c>
      <c r="AK490" s="10">
        <v>50</v>
      </c>
      <c r="AL490" s="11">
        <f t="shared" si="135"/>
        <v>50</v>
      </c>
      <c r="AM490" s="10">
        <v>50</v>
      </c>
      <c r="AN490" s="56">
        <f t="shared" si="140"/>
        <v>1</v>
      </c>
      <c r="AP490" s="11">
        <f ca="1">IFERROR(OFFSET(ITEM_RES!$A$1,MATCH(AQ490,ITEM_RES!$J:$J,0)-1,0),0)</f>
        <v>211020801</v>
      </c>
      <c r="AQ490" s="10" t="s">
        <v>460</v>
      </c>
      <c r="AR490" s="11">
        <v>250</v>
      </c>
      <c r="AU490" s="11">
        <f ca="1">IFERROR(OFFSET(ITEM_RES!$A$1,MATCH(AV490,ITEM_RES!$J:$J,0)-1,0),0)</f>
        <v>0</v>
      </c>
      <c r="AZ490" s="11">
        <f ca="1">IFERROR(OFFSET(ITEM_RES!$A$1,MATCH(BA490,ITEM_RES!$J:$J,0)-1,0),0)</f>
        <v>0</v>
      </c>
      <c r="BE490" s="11">
        <f ca="1">IFERROR(OFFSET(ITEM_RES!$A$1,MATCH(BF490,ITEM_RES!$J:$J,0)-1,0),0)</f>
        <v>0</v>
      </c>
      <c r="BJ490" s="11">
        <f ca="1">IFERROR(OFFSET(ITEM_RES!$A$1,MATCH(BK490,ITEM_RES!$J:$J,0)-1,0),0)</f>
        <v>0</v>
      </c>
    </row>
    <row r="491" spans="1:65" x14ac:dyDescent="0.3">
      <c r="A491" s="14">
        <f t="shared" si="132"/>
        <v>115020007</v>
      </c>
      <c r="B491" s="13">
        <v>11</v>
      </c>
      <c r="C491" s="12">
        <f t="shared" si="133"/>
        <v>5</v>
      </c>
      <c r="D491" s="13">
        <v>2</v>
      </c>
      <c r="E491" s="13">
        <v>0</v>
      </c>
      <c r="F491" s="12">
        <f t="shared" si="134"/>
        <v>7</v>
      </c>
      <c r="H491" s="9">
        <v>5</v>
      </c>
      <c r="I491" s="9">
        <v>7</v>
      </c>
      <c r="K491" s="9" t="s">
        <v>362</v>
      </c>
      <c r="L491" s="9">
        <v>1</v>
      </c>
      <c r="M491" s="9">
        <v>15</v>
      </c>
      <c r="R491" s="9">
        <v>3333</v>
      </c>
      <c r="U491" s="9">
        <f ca="1">IFERROR(OFFSET(ITEM_RES!$A$5,MATCH(BUILDING!T491,ITEM_RES!$J$5:$J$229,0)-1,0),0)</f>
        <v>0</v>
      </c>
      <c r="X491" s="9">
        <f ca="1">IFERROR(OFFSET(ITEM_RES!$A$5,MATCH(BUILDING!W491,ITEM_RES!$J$5:$J$229,0)-1,0),0)</f>
        <v>0</v>
      </c>
      <c r="Z491" s="9" t="s">
        <v>389</v>
      </c>
      <c r="AA491" s="9">
        <v>7</v>
      </c>
      <c r="AC491" s="9">
        <v>8000</v>
      </c>
      <c r="AE491" s="56">
        <f t="shared" si="139"/>
        <v>1600</v>
      </c>
      <c r="AF491" s="10">
        <f t="shared" si="141"/>
        <v>2400</v>
      </c>
      <c r="AH491" s="11">
        <f t="shared" si="138"/>
        <v>35</v>
      </c>
      <c r="AI491" s="10">
        <v>35</v>
      </c>
      <c r="AJ491" s="11">
        <f t="shared" si="135"/>
        <v>100</v>
      </c>
      <c r="AK491" s="10">
        <v>100</v>
      </c>
      <c r="AL491" s="11">
        <f t="shared" si="135"/>
        <v>100</v>
      </c>
      <c r="AM491" s="10">
        <v>100</v>
      </c>
      <c r="AN491" s="56">
        <f t="shared" si="140"/>
        <v>1</v>
      </c>
      <c r="AP491" s="11">
        <f ca="1">IFERROR(OFFSET(ITEM_RES!$A$1,MATCH(AQ491,ITEM_RES!$J:$J,0)-1,0),0)</f>
        <v>211020801</v>
      </c>
      <c r="AQ491" s="10" t="s">
        <v>460</v>
      </c>
      <c r="AR491" s="11">
        <v>500</v>
      </c>
      <c r="AU491" s="11">
        <f ca="1">IFERROR(OFFSET(ITEM_RES!$A$1,MATCH(AV491,ITEM_RES!$J:$J,0)-1,0),0)</f>
        <v>0</v>
      </c>
      <c r="AZ491" s="11">
        <f ca="1">IFERROR(OFFSET(ITEM_RES!$A$1,MATCH(BA491,ITEM_RES!$J:$J,0)-1,0),0)</f>
        <v>0</v>
      </c>
      <c r="BE491" s="11">
        <f ca="1">IFERROR(OFFSET(ITEM_RES!$A$1,MATCH(BF491,ITEM_RES!$J:$J,0)-1,0),0)</f>
        <v>0</v>
      </c>
      <c r="BJ491" s="11">
        <f ca="1">IFERROR(OFFSET(ITEM_RES!$A$1,MATCH(BK491,ITEM_RES!$J:$J,0)-1,0),0)</f>
        <v>0</v>
      </c>
    </row>
    <row r="492" spans="1:65" x14ac:dyDescent="0.3">
      <c r="A492" s="14">
        <f t="shared" si="132"/>
        <v>115020008</v>
      </c>
      <c r="B492" s="13">
        <v>11</v>
      </c>
      <c r="C492" s="12">
        <f t="shared" si="133"/>
        <v>5</v>
      </c>
      <c r="D492" s="13">
        <v>2</v>
      </c>
      <c r="E492" s="13">
        <v>0</v>
      </c>
      <c r="F492" s="12">
        <f t="shared" si="134"/>
        <v>8</v>
      </c>
      <c r="H492" s="9">
        <v>5</v>
      </c>
      <c r="I492" s="9">
        <v>8</v>
      </c>
      <c r="K492" s="9" t="s">
        <v>362</v>
      </c>
      <c r="L492" s="9">
        <v>1</v>
      </c>
      <c r="M492" s="9">
        <v>15</v>
      </c>
      <c r="R492" s="9">
        <v>3333</v>
      </c>
      <c r="U492" s="9">
        <f ca="1">IFERROR(OFFSET(ITEM_RES!$A$5,MATCH(BUILDING!T492,ITEM_RES!$J$5:$J$229,0)-1,0),0)</f>
        <v>0</v>
      </c>
      <c r="X492" s="9">
        <f ca="1">IFERROR(OFFSET(ITEM_RES!$A$5,MATCH(BUILDING!W492,ITEM_RES!$J$5:$J$229,0)-1,0),0)</f>
        <v>0</v>
      </c>
      <c r="Z492" s="9" t="s">
        <v>389</v>
      </c>
      <c r="AA492" s="9">
        <v>8</v>
      </c>
      <c r="AC492" s="9">
        <v>8000</v>
      </c>
      <c r="AE492" s="56">
        <f t="shared" si="139"/>
        <v>1600</v>
      </c>
      <c r="AF492" s="10">
        <f t="shared" si="141"/>
        <v>3200</v>
      </c>
      <c r="AH492" s="11">
        <f t="shared" si="138"/>
        <v>40</v>
      </c>
      <c r="AI492" s="10">
        <v>40</v>
      </c>
      <c r="AJ492" s="11">
        <f t="shared" si="135"/>
        <v>100</v>
      </c>
      <c r="AK492" s="10">
        <v>100</v>
      </c>
      <c r="AL492" s="11">
        <f t="shared" si="135"/>
        <v>100</v>
      </c>
      <c r="AM492" s="10">
        <v>100</v>
      </c>
      <c r="AN492" s="56">
        <f t="shared" si="140"/>
        <v>1</v>
      </c>
      <c r="AP492" s="11">
        <f ca="1">IFERROR(OFFSET(ITEM_RES!$A$1,MATCH(AQ492,ITEM_RES!$J:$J,0)-1,0),0)</f>
        <v>211020801</v>
      </c>
      <c r="AQ492" s="10" t="s">
        <v>460</v>
      </c>
      <c r="AR492" s="11">
        <v>500</v>
      </c>
      <c r="AU492" s="11">
        <f ca="1">IFERROR(OFFSET(ITEM_RES!$A$1,MATCH(AV492,ITEM_RES!$J:$J,0)-1,0),0)</f>
        <v>0</v>
      </c>
      <c r="AZ492" s="11">
        <f ca="1">IFERROR(OFFSET(ITEM_RES!$A$1,MATCH(BA492,ITEM_RES!$J:$J,0)-1,0),0)</f>
        <v>0</v>
      </c>
      <c r="BE492" s="11">
        <f ca="1">IFERROR(OFFSET(ITEM_RES!$A$1,MATCH(BF492,ITEM_RES!$J:$J,0)-1,0),0)</f>
        <v>0</v>
      </c>
      <c r="BJ492" s="11">
        <f ca="1">IFERROR(OFFSET(ITEM_RES!$A$1,MATCH(BK492,ITEM_RES!$J:$J,0)-1,0),0)</f>
        <v>0</v>
      </c>
    </row>
    <row r="493" spans="1:65" x14ac:dyDescent="0.3">
      <c r="A493" s="14">
        <f t="shared" ref="A493:A556" si="142">B493*10000000+C493*1000000+D493*10000+E493*100+F493</f>
        <v>115020009</v>
      </c>
      <c r="B493" s="13">
        <v>11</v>
      </c>
      <c r="C493" s="12">
        <f t="shared" ref="C493:C556" si="143">H493</f>
        <v>5</v>
      </c>
      <c r="D493" s="13">
        <v>2</v>
      </c>
      <c r="E493" s="13">
        <v>0</v>
      </c>
      <c r="F493" s="12">
        <f t="shared" ref="F493:F556" si="144">I493</f>
        <v>9</v>
      </c>
      <c r="H493" s="9">
        <v>5</v>
      </c>
      <c r="I493" s="9">
        <v>9</v>
      </c>
      <c r="K493" s="9" t="s">
        <v>362</v>
      </c>
      <c r="L493" s="9">
        <v>1</v>
      </c>
      <c r="M493" s="9">
        <v>15</v>
      </c>
      <c r="R493" s="9">
        <v>3333</v>
      </c>
      <c r="U493" s="9">
        <f ca="1">IFERROR(OFFSET(ITEM_RES!$A$5,MATCH(BUILDING!T493,ITEM_RES!$J$5:$J$229,0)-1,0),0)</f>
        <v>0</v>
      </c>
      <c r="X493" s="9">
        <f ca="1">IFERROR(OFFSET(ITEM_RES!$A$5,MATCH(BUILDING!W493,ITEM_RES!$J$5:$J$229,0)-1,0),0)</f>
        <v>0</v>
      </c>
      <c r="Z493" s="9" t="s">
        <v>389</v>
      </c>
      <c r="AA493" s="9">
        <v>9</v>
      </c>
      <c r="AC493" s="9">
        <v>12000</v>
      </c>
      <c r="AE493" s="56">
        <f t="shared" si="139"/>
        <v>2400</v>
      </c>
      <c r="AF493" s="10">
        <f t="shared" si="141"/>
        <v>4000</v>
      </c>
      <c r="AH493" s="11">
        <f t="shared" si="138"/>
        <v>45</v>
      </c>
      <c r="AI493" s="10">
        <v>45</v>
      </c>
      <c r="AJ493" s="11">
        <f t="shared" si="135"/>
        <v>150</v>
      </c>
      <c r="AK493" s="10">
        <v>150</v>
      </c>
      <c r="AL493" s="11">
        <f t="shared" si="135"/>
        <v>150</v>
      </c>
      <c r="AM493" s="10">
        <v>150</v>
      </c>
      <c r="AN493" s="56">
        <f t="shared" si="140"/>
        <v>1</v>
      </c>
      <c r="AP493" s="11">
        <f ca="1">IFERROR(OFFSET(ITEM_RES!$A$1,MATCH(AQ493,ITEM_RES!$J:$J,0)-1,0),0)</f>
        <v>211020801</v>
      </c>
      <c r="AQ493" s="10" t="s">
        <v>460</v>
      </c>
      <c r="AR493" s="11">
        <v>750</v>
      </c>
      <c r="AU493" s="11">
        <f ca="1">IFERROR(OFFSET(ITEM_RES!$A$1,MATCH(AV493,ITEM_RES!$J:$J,0)-1,0),0)</f>
        <v>0</v>
      </c>
      <c r="AZ493" s="11">
        <f ca="1">IFERROR(OFFSET(ITEM_RES!$A$1,MATCH(BA493,ITEM_RES!$J:$J,0)-1,0),0)</f>
        <v>0</v>
      </c>
      <c r="BE493" s="11">
        <f ca="1">IFERROR(OFFSET(ITEM_RES!$A$1,MATCH(BF493,ITEM_RES!$J:$J,0)-1,0),0)</f>
        <v>0</v>
      </c>
      <c r="BJ493" s="11">
        <f ca="1">IFERROR(OFFSET(ITEM_RES!$A$1,MATCH(BK493,ITEM_RES!$J:$J,0)-1,0),0)</f>
        <v>0</v>
      </c>
    </row>
    <row r="494" spans="1:65" x14ac:dyDescent="0.3">
      <c r="A494" s="14">
        <f t="shared" si="142"/>
        <v>115020010</v>
      </c>
      <c r="B494" s="13">
        <v>11</v>
      </c>
      <c r="C494" s="12">
        <f t="shared" si="143"/>
        <v>5</v>
      </c>
      <c r="D494" s="13">
        <v>2</v>
      </c>
      <c r="E494" s="13">
        <v>0</v>
      </c>
      <c r="F494" s="12">
        <f t="shared" si="144"/>
        <v>10</v>
      </c>
      <c r="H494" s="9">
        <v>5</v>
      </c>
      <c r="I494" s="9">
        <v>10</v>
      </c>
      <c r="K494" s="9" t="s">
        <v>362</v>
      </c>
      <c r="L494" s="9">
        <v>1</v>
      </c>
      <c r="M494" s="9">
        <v>15</v>
      </c>
      <c r="R494" s="9">
        <v>3333</v>
      </c>
      <c r="U494" s="9">
        <f ca="1">IFERROR(OFFSET(ITEM_RES!$A$5,MATCH(BUILDING!T494,ITEM_RES!$J$5:$J$229,0)-1,0),0)</f>
        <v>0</v>
      </c>
      <c r="X494" s="9">
        <f ca="1">IFERROR(OFFSET(ITEM_RES!$A$5,MATCH(BUILDING!W494,ITEM_RES!$J$5:$J$229,0)-1,0),0)</f>
        <v>0</v>
      </c>
      <c r="Z494" s="9" t="s">
        <v>389</v>
      </c>
      <c r="AA494" s="9">
        <v>10</v>
      </c>
      <c r="AC494" s="9">
        <v>16000</v>
      </c>
      <c r="AE494" s="56">
        <f t="shared" si="139"/>
        <v>3700</v>
      </c>
      <c r="AF494" s="10">
        <f t="shared" si="141"/>
        <v>6100</v>
      </c>
      <c r="AH494" s="11">
        <f t="shared" si="138"/>
        <v>50</v>
      </c>
      <c r="AI494" s="10">
        <v>50</v>
      </c>
      <c r="AJ494" s="11">
        <f t="shared" ref="AJ494:AL557" si="145">ROUND(AK494,0)</f>
        <v>200</v>
      </c>
      <c r="AK494" s="10">
        <v>200</v>
      </c>
      <c r="AL494" s="11">
        <f t="shared" si="145"/>
        <v>200</v>
      </c>
      <c r="AM494" s="10">
        <v>200</v>
      </c>
      <c r="AN494" s="56">
        <f t="shared" si="140"/>
        <v>2</v>
      </c>
      <c r="AP494" s="11">
        <f ca="1">IFERROR(OFFSET(ITEM_RES!$A$1,MATCH(AQ494,ITEM_RES!$J:$J,0)-1,0),0)</f>
        <v>211020801</v>
      </c>
      <c r="AQ494" s="10" t="s">
        <v>460</v>
      </c>
      <c r="AR494" s="11">
        <v>1000</v>
      </c>
      <c r="AU494" s="11">
        <f ca="1">IFERROR(OFFSET(ITEM_RES!$A$1,MATCH(AV494,ITEM_RES!$J:$J,0)-1,0),0)</f>
        <v>0</v>
      </c>
      <c r="AZ494" s="11">
        <f ca="1">IFERROR(OFFSET(ITEM_RES!$A$1,MATCH(BA494,ITEM_RES!$J:$J,0)-1,0),0)</f>
        <v>0</v>
      </c>
      <c r="BE494" s="11">
        <f ca="1">IFERROR(OFFSET(ITEM_RES!$A$1,MATCH(BF494,ITEM_RES!$J:$J,0)-1,0),0)</f>
        <v>213011601</v>
      </c>
      <c r="BF494" s="10" t="s">
        <v>514</v>
      </c>
      <c r="BG494" s="11">
        <v>1</v>
      </c>
      <c r="BJ494" s="11">
        <f ca="1">IFERROR(OFFSET(ITEM_RES!$A$1,MATCH(BK494,ITEM_RES!$J:$J,0)-1,0),0)</f>
        <v>0</v>
      </c>
    </row>
    <row r="495" spans="1:65" x14ac:dyDescent="0.3">
      <c r="A495" s="14">
        <f t="shared" si="142"/>
        <v>115020011</v>
      </c>
      <c r="B495" s="13">
        <v>11</v>
      </c>
      <c r="C495" s="12">
        <f t="shared" si="143"/>
        <v>5</v>
      </c>
      <c r="D495" s="13">
        <v>2</v>
      </c>
      <c r="E495" s="13">
        <v>0</v>
      </c>
      <c r="F495" s="12">
        <f t="shared" si="144"/>
        <v>11</v>
      </c>
      <c r="H495" s="9">
        <v>5</v>
      </c>
      <c r="I495" s="9">
        <v>11</v>
      </c>
      <c r="K495" s="9" t="s">
        <v>362</v>
      </c>
      <c r="L495" s="9">
        <v>1</v>
      </c>
      <c r="M495" s="9">
        <v>15</v>
      </c>
      <c r="R495" s="9">
        <v>3333</v>
      </c>
      <c r="U495" s="9">
        <f ca="1">IFERROR(OFFSET(ITEM_RES!$A$5,MATCH(BUILDING!T495,ITEM_RES!$J$5:$J$229,0)-1,0),0)</f>
        <v>0</v>
      </c>
      <c r="X495" s="9">
        <f ca="1">IFERROR(OFFSET(ITEM_RES!$A$5,MATCH(BUILDING!W495,ITEM_RES!$J$5:$J$229,0)-1,0),0)</f>
        <v>0</v>
      </c>
      <c r="Z495" s="9" t="s">
        <v>389</v>
      </c>
      <c r="AA495" s="9">
        <v>11</v>
      </c>
      <c r="AC495" s="9">
        <v>20000</v>
      </c>
      <c r="AE495" s="56">
        <f t="shared" si="139"/>
        <v>4000</v>
      </c>
      <c r="AF495" s="10">
        <f t="shared" si="141"/>
        <v>7700</v>
      </c>
      <c r="AH495" s="11">
        <f t="shared" si="138"/>
        <v>55</v>
      </c>
      <c r="AI495" s="10">
        <v>55</v>
      </c>
      <c r="AJ495" s="11">
        <f t="shared" si="145"/>
        <v>250</v>
      </c>
      <c r="AK495" s="10">
        <v>250</v>
      </c>
      <c r="AL495" s="11">
        <f t="shared" si="145"/>
        <v>250</v>
      </c>
      <c r="AM495" s="10">
        <v>250</v>
      </c>
      <c r="AN495" s="56">
        <f t="shared" si="140"/>
        <v>1</v>
      </c>
      <c r="AP495" s="11">
        <f ca="1">IFERROR(OFFSET(ITEM_RES!$A$1,MATCH(AQ495,ITEM_RES!$J:$J,0)-1,0),0)</f>
        <v>211020801</v>
      </c>
      <c r="AQ495" s="10" t="s">
        <v>460</v>
      </c>
      <c r="AR495" s="11">
        <v>1250</v>
      </c>
      <c r="AU495" s="11">
        <f ca="1">IFERROR(OFFSET(ITEM_RES!$A$1,MATCH(AV495,ITEM_RES!$J:$J,0)-1,0),0)</f>
        <v>0</v>
      </c>
      <c r="AZ495" s="11">
        <f ca="1">IFERROR(OFFSET(ITEM_RES!$A$1,MATCH(BA495,ITEM_RES!$J:$J,0)-1,0),0)</f>
        <v>0</v>
      </c>
      <c r="BE495" s="11">
        <f ca="1">IFERROR(OFFSET(ITEM_RES!$A$1,MATCH(BF495,ITEM_RES!$J:$J,0)-1,0),0)</f>
        <v>0</v>
      </c>
      <c r="BJ495" s="11">
        <f ca="1">IFERROR(OFFSET(ITEM_RES!$A$1,MATCH(BK495,ITEM_RES!$J:$J,0)-1,0),0)</f>
        <v>0</v>
      </c>
    </row>
    <row r="496" spans="1:65" x14ac:dyDescent="0.3">
      <c r="A496" s="14">
        <f t="shared" si="142"/>
        <v>115020012</v>
      </c>
      <c r="B496" s="13">
        <v>11</v>
      </c>
      <c r="C496" s="12">
        <f t="shared" si="143"/>
        <v>5</v>
      </c>
      <c r="D496" s="13">
        <v>2</v>
      </c>
      <c r="E496" s="13">
        <v>0</v>
      </c>
      <c r="F496" s="12">
        <f t="shared" si="144"/>
        <v>12</v>
      </c>
      <c r="H496" s="9">
        <v>5</v>
      </c>
      <c r="I496" s="9">
        <v>12</v>
      </c>
      <c r="K496" s="9" t="s">
        <v>362</v>
      </c>
      <c r="L496" s="9">
        <v>1</v>
      </c>
      <c r="M496" s="9">
        <v>15</v>
      </c>
      <c r="R496" s="9">
        <v>3333</v>
      </c>
      <c r="U496" s="9">
        <f ca="1">IFERROR(OFFSET(ITEM_RES!$A$5,MATCH(BUILDING!T496,ITEM_RES!$J$5:$J$229,0)-1,0),0)</f>
        <v>0</v>
      </c>
      <c r="X496" s="9">
        <f ca="1">IFERROR(OFFSET(ITEM_RES!$A$5,MATCH(BUILDING!W496,ITEM_RES!$J$5:$J$229,0)-1,0),0)</f>
        <v>0</v>
      </c>
      <c r="Z496" s="9" t="s">
        <v>389</v>
      </c>
      <c r="AA496" s="9">
        <v>12</v>
      </c>
      <c r="AC496" s="9">
        <v>24000</v>
      </c>
      <c r="AE496" s="56">
        <f t="shared" si="139"/>
        <v>4800</v>
      </c>
      <c r="AF496" s="10">
        <f t="shared" si="141"/>
        <v>8800</v>
      </c>
      <c r="AH496" s="11">
        <f t="shared" si="138"/>
        <v>60</v>
      </c>
      <c r="AI496" s="10">
        <v>60</v>
      </c>
      <c r="AJ496" s="11">
        <f t="shared" si="145"/>
        <v>300</v>
      </c>
      <c r="AK496" s="10">
        <v>300</v>
      </c>
      <c r="AL496" s="11">
        <f t="shared" si="145"/>
        <v>300</v>
      </c>
      <c r="AM496" s="10">
        <v>300</v>
      </c>
      <c r="AN496" s="56">
        <f t="shared" si="140"/>
        <v>1</v>
      </c>
      <c r="AP496" s="11">
        <f ca="1">IFERROR(OFFSET(ITEM_RES!$A$1,MATCH(AQ496,ITEM_RES!$J:$J,0)-1,0),0)</f>
        <v>211020801</v>
      </c>
      <c r="AQ496" s="10" t="s">
        <v>460</v>
      </c>
      <c r="AR496" s="11">
        <v>1500</v>
      </c>
      <c r="AU496" s="11">
        <f ca="1">IFERROR(OFFSET(ITEM_RES!$A$1,MATCH(AV496,ITEM_RES!$J:$J,0)-1,0),0)</f>
        <v>0</v>
      </c>
      <c r="AZ496" s="11">
        <f ca="1">IFERROR(OFFSET(ITEM_RES!$A$1,MATCH(BA496,ITEM_RES!$J:$J,0)-1,0),0)</f>
        <v>0</v>
      </c>
      <c r="BE496" s="11">
        <f ca="1">IFERROR(OFFSET(ITEM_RES!$A$1,MATCH(BF496,ITEM_RES!$J:$J,0)-1,0),0)</f>
        <v>0</v>
      </c>
      <c r="BJ496" s="11">
        <f ca="1">IFERROR(OFFSET(ITEM_RES!$A$1,MATCH(BK496,ITEM_RES!$J:$J,0)-1,0),0)</f>
        <v>0</v>
      </c>
    </row>
    <row r="497" spans="1:65" x14ac:dyDescent="0.3">
      <c r="A497" s="14">
        <f t="shared" si="142"/>
        <v>115020013</v>
      </c>
      <c r="B497" s="13">
        <v>11</v>
      </c>
      <c r="C497" s="12">
        <f t="shared" si="143"/>
        <v>5</v>
      </c>
      <c r="D497" s="13">
        <v>2</v>
      </c>
      <c r="E497" s="13">
        <v>0</v>
      </c>
      <c r="F497" s="12">
        <f t="shared" si="144"/>
        <v>13</v>
      </c>
      <c r="H497" s="9">
        <v>5</v>
      </c>
      <c r="I497" s="9">
        <v>13</v>
      </c>
      <c r="K497" s="9" t="s">
        <v>362</v>
      </c>
      <c r="L497" s="9">
        <v>1</v>
      </c>
      <c r="M497" s="9">
        <v>15</v>
      </c>
      <c r="R497" s="9">
        <v>3333</v>
      </c>
      <c r="U497" s="9">
        <f ca="1">IFERROR(OFFSET(ITEM_RES!$A$5,MATCH(BUILDING!T497,ITEM_RES!$J$5:$J$229,0)-1,0),0)</f>
        <v>0</v>
      </c>
      <c r="X497" s="9">
        <f ca="1">IFERROR(OFFSET(ITEM_RES!$A$5,MATCH(BUILDING!W497,ITEM_RES!$J$5:$J$229,0)-1,0),0)</f>
        <v>0</v>
      </c>
      <c r="Z497" s="9" t="s">
        <v>389</v>
      </c>
      <c r="AA497" s="9">
        <v>13</v>
      </c>
      <c r="AC497" s="9">
        <v>28000</v>
      </c>
      <c r="AE497" s="56">
        <f t="shared" si="139"/>
        <v>5600</v>
      </c>
      <c r="AF497" s="10">
        <f t="shared" si="141"/>
        <v>10400</v>
      </c>
      <c r="AH497" s="11">
        <f t="shared" si="138"/>
        <v>65</v>
      </c>
      <c r="AI497" s="10">
        <v>65</v>
      </c>
      <c r="AJ497" s="11">
        <f t="shared" si="145"/>
        <v>350</v>
      </c>
      <c r="AK497" s="10">
        <v>350</v>
      </c>
      <c r="AL497" s="11">
        <f t="shared" si="145"/>
        <v>350</v>
      </c>
      <c r="AM497" s="10">
        <v>350</v>
      </c>
      <c r="AN497" s="56">
        <f t="shared" si="140"/>
        <v>1</v>
      </c>
      <c r="AP497" s="11">
        <f ca="1">IFERROR(OFFSET(ITEM_RES!$A$1,MATCH(AQ497,ITEM_RES!$J:$J,0)-1,0),0)</f>
        <v>211020801</v>
      </c>
      <c r="AQ497" s="10" t="s">
        <v>460</v>
      </c>
      <c r="AR497" s="11">
        <v>1750</v>
      </c>
      <c r="AU497" s="11">
        <f ca="1">IFERROR(OFFSET(ITEM_RES!$A$1,MATCH(AV497,ITEM_RES!$J:$J,0)-1,0),0)</f>
        <v>0</v>
      </c>
      <c r="AZ497" s="11">
        <f ca="1">IFERROR(OFFSET(ITEM_RES!$A$1,MATCH(BA497,ITEM_RES!$J:$J,0)-1,0),0)</f>
        <v>0</v>
      </c>
      <c r="BE497" s="11">
        <f ca="1">IFERROR(OFFSET(ITEM_RES!$A$1,MATCH(BF497,ITEM_RES!$J:$J,0)-1,0),0)</f>
        <v>0</v>
      </c>
      <c r="BJ497" s="11">
        <f ca="1">IFERROR(OFFSET(ITEM_RES!$A$1,MATCH(BK497,ITEM_RES!$J:$J,0)-1,0),0)</f>
        <v>0</v>
      </c>
    </row>
    <row r="498" spans="1:65" x14ac:dyDescent="0.3">
      <c r="A498" s="14">
        <f t="shared" si="142"/>
        <v>115020014</v>
      </c>
      <c r="B498" s="13">
        <v>11</v>
      </c>
      <c r="C498" s="12">
        <f t="shared" si="143"/>
        <v>5</v>
      </c>
      <c r="D498" s="13">
        <v>2</v>
      </c>
      <c r="E498" s="13">
        <v>0</v>
      </c>
      <c r="F498" s="12">
        <f t="shared" si="144"/>
        <v>14</v>
      </c>
      <c r="H498" s="9">
        <v>5</v>
      </c>
      <c r="I498" s="9">
        <v>14</v>
      </c>
      <c r="K498" s="9" t="s">
        <v>362</v>
      </c>
      <c r="L498" s="9">
        <v>1</v>
      </c>
      <c r="M498" s="9">
        <v>15</v>
      </c>
      <c r="R498" s="9">
        <v>3333</v>
      </c>
      <c r="U498" s="9">
        <f ca="1">IFERROR(OFFSET(ITEM_RES!$A$5,MATCH(BUILDING!T498,ITEM_RES!$J$5:$J$229,0)-1,0),0)</f>
        <v>0</v>
      </c>
      <c r="X498" s="9">
        <f ca="1">IFERROR(OFFSET(ITEM_RES!$A$5,MATCH(BUILDING!W498,ITEM_RES!$J$5:$J$229,0)-1,0),0)</f>
        <v>0</v>
      </c>
      <c r="Z498" s="9" t="s">
        <v>389</v>
      </c>
      <c r="AA498" s="9">
        <v>14</v>
      </c>
      <c r="AC498" s="9">
        <v>36000</v>
      </c>
      <c r="AE498" s="56">
        <f t="shared" si="139"/>
        <v>7200</v>
      </c>
      <c r="AF498" s="10">
        <f t="shared" si="141"/>
        <v>12800</v>
      </c>
      <c r="AH498" s="11">
        <f t="shared" si="138"/>
        <v>70</v>
      </c>
      <c r="AI498" s="10">
        <v>70</v>
      </c>
      <c r="AJ498" s="11">
        <f t="shared" si="145"/>
        <v>450</v>
      </c>
      <c r="AK498" s="10">
        <v>450</v>
      </c>
      <c r="AL498" s="11">
        <f t="shared" si="145"/>
        <v>450</v>
      </c>
      <c r="AM498" s="10">
        <v>450</v>
      </c>
      <c r="AN498" s="56">
        <f t="shared" si="140"/>
        <v>1</v>
      </c>
      <c r="AP498" s="11">
        <f ca="1">IFERROR(OFFSET(ITEM_RES!$A$1,MATCH(AQ498,ITEM_RES!$J:$J,0)-1,0),0)</f>
        <v>211020801</v>
      </c>
      <c r="AQ498" s="10" t="s">
        <v>460</v>
      </c>
      <c r="AR498" s="11">
        <v>2250</v>
      </c>
      <c r="AU498" s="11">
        <f ca="1">IFERROR(OFFSET(ITEM_RES!$A$1,MATCH(AV498,ITEM_RES!$J:$J,0)-1,0),0)</f>
        <v>0</v>
      </c>
      <c r="AZ498" s="11">
        <f ca="1">IFERROR(OFFSET(ITEM_RES!$A$1,MATCH(BA498,ITEM_RES!$J:$J,0)-1,0),0)</f>
        <v>0</v>
      </c>
      <c r="BE498" s="11">
        <f ca="1">IFERROR(OFFSET(ITEM_RES!$A$1,MATCH(BF498,ITEM_RES!$J:$J,0)-1,0),0)</f>
        <v>0</v>
      </c>
      <c r="BJ498" s="11">
        <f ca="1">IFERROR(OFFSET(ITEM_RES!$A$1,MATCH(BK498,ITEM_RES!$J:$J,0)-1,0),0)</f>
        <v>0</v>
      </c>
    </row>
    <row r="499" spans="1:65" x14ac:dyDescent="0.3">
      <c r="A499" s="14">
        <f t="shared" si="142"/>
        <v>115020015</v>
      </c>
      <c r="B499" s="13">
        <v>11</v>
      </c>
      <c r="C499" s="12">
        <f t="shared" si="143"/>
        <v>5</v>
      </c>
      <c r="D499" s="13">
        <v>2</v>
      </c>
      <c r="E499" s="13">
        <v>0</v>
      </c>
      <c r="F499" s="12">
        <f t="shared" si="144"/>
        <v>15</v>
      </c>
      <c r="H499" s="9">
        <v>5</v>
      </c>
      <c r="I499" s="9">
        <v>15</v>
      </c>
      <c r="K499" s="9" t="s">
        <v>362</v>
      </c>
      <c r="L499" s="9">
        <v>1</v>
      </c>
      <c r="M499" s="9">
        <v>15</v>
      </c>
      <c r="R499" s="9">
        <v>3333</v>
      </c>
      <c r="U499" s="9">
        <f ca="1">IFERROR(OFFSET(ITEM_RES!$A$5,MATCH(BUILDING!T499,ITEM_RES!$J$5:$J$229,0)-1,0),0)</f>
        <v>0</v>
      </c>
      <c r="X499" s="9">
        <f ca="1">IFERROR(OFFSET(ITEM_RES!$A$5,MATCH(BUILDING!W499,ITEM_RES!$J$5:$J$229,0)-1,0),0)</f>
        <v>0</v>
      </c>
      <c r="Z499" s="9" t="s">
        <v>389</v>
      </c>
      <c r="AA499" s="9">
        <v>15</v>
      </c>
      <c r="AC499" s="9">
        <v>44000</v>
      </c>
      <c r="AE499" s="56">
        <f t="shared" si="139"/>
        <v>8800</v>
      </c>
      <c r="AF499" s="10">
        <f t="shared" si="141"/>
        <v>16000</v>
      </c>
      <c r="AH499" s="11">
        <f t="shared" si="138"/>
        <v>75</v>
      </c>
      <c r="AI499" s="10">
        <v>75</v>
      </c>
      <c r="AJ499" s="11">
        <f t="shared" si="145"/>
        <v>550</v>
      </c>
      <c r="AK499" s="10">
        <v>550</v>
      </c>
      <c r="AL499" s="11">
        <f t="shared" si="145"/>
        <v>550</v>
      </c>
      <c r="AM499" s="10">
        <v>550</v>
      </c>
      <c r="AN499" s="56">
        <f t="shared" si="140"/>
        <v>1</v>
      </c>
      <c r="AP499" s="11">
        <f ca="1">IFERROR(OFFSET(ITEM_RES!$A$1,MATCH(AQ499,ITEM_RES!$J:$J,0)-1,0),0)</f>
        <v>211020901</v>
      </c>
      <c r="AQ499" s="10" t="s">
        <v>470</v>
      </c>
      <c r="AR499" s="11">
        <v>2750</v>
      </c>
      <c r="AU499" s="11">
        <f ca="1">IFERROR(OFFSET(ITEM_RES!$A$1,MATCH(AV499,ITEM_RES!$J:$J,0)-1,0),0)</f>
        <v>0</v>
      </c>
      <c r="AZ499" s="11">
        <f ca="1">IFERROR(OFFSET(ITEM_RES!$A$1,MATCH(BA499,ITEM_RES!$J:$J,0)-1,0),0)</f>
        <v>0</v>
      </c>
      <c r="BE499" s="11">
        <f ca="1">IFERROR(OFFSET(ITEM_RES!$A$1,MATCH(BF499,ITEM_RES!$J:$J,0)-1,0),0)</f>
        <v>0</v>
      </c>
      <c r="BJ499" s="11">
        <f ca="1">IFERROR(OFFSET(ITEM_RES!$A$1,MATCH(BK499,ITEM_RES!$J:$J,0)-1,0),0)</f>
        <v>0</v>
      </c>
    </row>
    <row r="500" spans="1:65" x14ac:dyDescent="0.3">
      <c r="A500" s="14">
        <f t="shared" si="142"/>
        <v>115020016</v>
      </c>
      <c r="B500" s="13">
        <v>11</v>
      </c>
      <c r="C500" s="12">
        <f t="shared" si="143"/>
        <v>5</v>
      </c>
      <c r="D500" s="13">
        <v>2</v>
      </c>
      <c r="E500" s="13">
        <v>0</v>
      </c>
      <c r="F500" s="12">
        <f t="shared" si="144"/>
        <v>16</v>
      </c>
      <c r="H500" s="9">
        <v>5</v>
      </c>
      <c r="I500" s="9">
        <v>16</v>
      </c>
      <c r="K500" s="9" t="s">
        <v>362</v>
      </c>
      <c r="L500" s="9">
        <v>0</v>
      </c>
      <c r="M500" s="9">
        <v>15</v>
      </c>
      <c r="R500" s="9">
        <v>3333</v>
      </c>
      <c r="U500" s="9">
        <f ca="1">IFERROR(OFFSET(ITEM_RES!$A$5,MATCH(BUILDING!T500,ITEM_RES!$J$5:$J$229,0)-1,0),0)</f>
        <v>0</v>
      </c>
      <c r="X500" s="9">
        <f ca="1">IFERROR(OFFSET(ITEM_RES!$A$5,MATCH(BUILDING!W500,ITEM_RES!$J$5:$J$229,0)-1,0),0)</f>
        <v>0</v>
      </c>
      <c r="Z500" s="9" t="s">
        <v>389</v>
      </c>
      <c r="AA500" s="9">
        <v>16</v>
      </c>
      <c r="AC500" s="9">
        <v>56000</v>
      </c>
      <c r="AE500" s="56">
        <f t="shared" si="139"/>
        <v>11200</v>
      </c>
      <c r="AF500" s="10">
        <f t="shared" si="141"/>
        <v>20000</v>
      </c>
      <c r="AH500" s="11">
        <f t="shared" si="138"/>
        <v>80</v>
      </c>
      <c r="AI500" s="10">
        <v>80</v>
      </c>
      <c r="AJ500" s="11">
        <f t="shared" si="145"/>
        <v>700</v>
      </c>
      <c r="AK500" s="10">
        <v>700</v>
      </c>
      <c r="AL500" s="11">
        <f t="shared" si="145"/>
        <v>700</v>
      </c>
      <c r="AM500" s="10">
        <v>700</v>
      </c>
      <c r="AN500" s="56">
        <f t="shared" si="140"/>
        <v>1</v>
      </c>
      <c r="AP500" s="11">
        <f ca="1">IFERROR(OFFSET(ITEM_RES!$A$1,MATCH(AQ500,ITEM_RES!$J:$J,0)-1,0),0)</f>
        <v>211020901</v>
      </c>
      <c r="AQ500" s="10" t="s">
        <v>470</v>
      </c>
      <c r="AR500" s="11">
        <v>3500</v>
      </c>
      <c r="AU500" s="11">
        <f ca="1">IFERROR(OFFSET(ITEM_RES!$A$1,MATCH(AV500,ITEM_RES!$J:$J,0)-1,0),0)</f>
        <v>0</v>
      </c>
      <c r="AZ500" s="11">
        <f ca="1">IFERROR(OFFSET(ITEM_RES!$A$1,MATCH(BA500,ITEM_RES!$J:$J,0)-1,0),0)</f>
        <v>0</v>
      </c>
      <c r="BE500" s="11">
        <f ca="1">IFERROR(OFFSET(ITEM_RES!$A$1,MATCH(BF500,ITEM_RES!$J:$J,0)-1,0),0)</f>
        <v>0</v>
      </c>
      <c r="BJ500" s="11">
        <f ca="1">IFERROR(OFFSET(ITEM_RES!$A$1,MATCH(BK500,ITEM_RES!$J:$J,0)-1,0),0)</f>
        <v>0</v>
      </c>
    </row>
    <row r="501" spans="1:65" x14ac:dyDescent="0.3">
      <c r="A501" s="14">
        <f t="shared" si="142"/>
        <v>115020017</v>
      </c>
      <c r="B501" s="13">
        <v>11</v>
      </c>
      <c r="C501" s="12">
        <f t="shared" si="143"/>
        <v>5</v>
      </c>
      <c r="D501" s="13">
        <v>2</v>
      </c>
      <c r="E501" s="13">
        <v>0</v>
      </c>
      <c r="F501" s="12">
        <f t="shared" si="144"/>
        <v>17</v>
      </c>
      <c r="H501" s="9">
        <v>5</v>
      </c>
      <c r="I501" s="9">
        <v>17</v>
      </c>
      <c r="K501" s="9" t="s">
        <v>362</v>
      </c>
      <c r="L501" s="9">
        <v>0</v>
      </c>
      <c r="M501" s="9">
        <v>15</v>
      </c>
      <c r="R501" s="9">
        <v>3333</v>
      </c>
      <c r="U501" s="9">
        <f ca="1">IFERROR(OFFSET(ITEM_RES!$A$5,MATCH(BUILDING!T501,ITEM_RES!$J$5:$J$229,0)-1,0),0)</f>
        <v>0</v>
      </c>
      <c r="X501" s="9">
        <f ca="1">IFERROR(OFFSET(ITEM_RES!$A$5,MATCH(BUILDING!W501,ITEM_RES!$J$5:$J$229,0)-1,0),0)</f>
        <v>0</v>
      </c>
      <c r="Z501" s="9" t="s">
        <v>389</v>
      </c>
      <c r="AA501" s="9">
        <v>17</v>
      </c>
      <c r="AC501" s="9">
        <v>68000</v>
      </c>
      <c r="AE501" s="56">
        <f t="shared" si="139"/>
        <v>13600</v>
      </c>
      <c r="AF501" s="10">
        <f t="shared" si="141"/>
        <v>24800</v>
      </c>
      <c r="AH501" s="11">
        <f t="shared" si="138"/>
        <v>85</v>
      </c>
      <c r="AI501" s="10">
        <v>85</v>
      </c>
      <c r="AJ501" s="11">
        <f t="shared" si="145"/>
        <v>850</v>
      </c>
      <c r="AK501" s="10">
        <v>850</v>
      </c>
      <c r="AL501" s="11">
        <f t="shared" si="145"/>
        <v>850</v>
      </c>
      <c r="AM501" s="10">
        <v>850</v>
      </c>
      <c r="AN501" s="56">
        <f t="shared" si="140"/>
        <v>1</v>
      </c>
      <c r="AP501" s="11">
        <f ca="1">IFERROR(OFFSET(ITEM_RES!$A$1,MATCH(AQ501,ITEM_RES!$J:$J,0)-1,0),0)</f>
        <v>211020901</v>
      </c>
      <c r="AQ501" s="10" t="s">
        <v>470</v>
      </c>
      <c r="AR501" s="11">
        <v>4250</v>
      </c>
      <c r="AU501" s="11">
        <f ca="1">IFERROR(OFFSET(ITEM_RES!$A$1,MATCH(AV501,ITEM_RES!$J:$J,0)-1,0),0)</f>
        <v>0</v>
      </c>
      <c r="AZ501" s="11">
        <f ca="1">IFERROR(OFFSET(ITEM_RES!$A$1,MATCH(BA501,ITEM_RES!$J:$J,0)-1,0),0)</f>
        <v>0</v>
      </c>
      <c r="BE501" s="11">
        <f ca="1">IFERROR(OFFSET(ITEM_RES!$A$1,MATCH(BF501,ITEM_RES!$J:$J,0)-1,0),0)</f>
        <v>0</v>
      </c>
      <c r="BJ501" s="11">
        <f ca="1">IFERROR(OFFSET(ITEM_RES!$A$1,MATCH(BK501,ITEM_RES!$J:$J,0)-1,0),0)</f>
        <v>0</v>
      </c>
    </row>
    <row r="502" spans="1:65" x14ac:dyDescent="0.3">
      <c r="A502" s="14">
        <f t="shared" si="142"/>
        <v>115020018</v>
      </c>
      <c r="B502" s="13">
        <v>11</v>
      </c>
      <c r="C502" s="12">
        <f t="shared" si="143"/>
        <v>5</v>
      </c>
      <c r="D502" s="13">
        <v>2</v>
      </c>
      <c r="E502" s="13">
        <v>0</v>
      </c>
      <c r="F502" s="12">
        <f t="shared" si="144"/>
        <v>18</v>
      </c>
      <c r="H502" s="9">
        <v>5</v>
      </c>
      <c r="I502" s="9">
        <v>18</v>
      </c>
      <c r="K502" s="9" t="s">
        <v>362</v>
      </c>
      <c r="L502" s="9">
        <v>0</v>
      </c>
      <c r="M502" s="9">
        <v>15</v>
      </c>
      <c r="R502" s="9">
        <v>3333</v>
      </c>
      <c r="U502" s="9">
        <f ca="1">IFERROR(OFFSET(ITEM_RES!$A$5,MATCH(BUILDING!T502,ITEM_RES!$J$5:$J$229,0)-1,0),0)</f>
        <v>0</v>
      </c>
      <c r="X502" s="9">
        <f ca="1">IFERROR(OFFSET(ITEM_RES!$A$5,MATCH(BUILDING!W502,ITEM_RES!$J$5:$J$229,0)-1,0),0)</f>
        <v>0</v>
      </c>
      <c r="Z502" s="9" t="s">
        <v>389</v>
      </c>
      <c r="AA502" s="9">
        <v>18</v>
      </c>
      <c r="AC502" s="9">
        <v>84000</v>
      </c>
      <c r="AE502" s="56">
        <f t="shared" si="139"/>
        <v>16800</v>
      </c>
      <c r="AF502" s="10">
        <f t="shared" si="141"/>
        <v>30400</v>
      </c>
      <c r="AH502" s="11">
        <f t="shared" si="138"/>
        <v>90</v>
      </c>
      <c r="AI502" s="10">
        <v>90</v>
      </c>
      <c r="AJ502" s="11">
        <f t="shared" si="145"/>
        <v>1050</v>
      </c>
      <c r="AK502" s="10">
        <v>1050</v>
      </c>
      <c r="AL502" s="11">
        <f t="shared" si="145"/>
        <v>1050</v>
      </c>
      <c r="AM502" s="10">
        <v>1050</v>
      </c>
      <c r="AN502" s="56">
        <f t="shared" si="140"/>
        <v>1</v>
      </c>
      <c r="AP502" s="11">
        <f ca="1">IFERROR(OFFSET(ITEM_RES!$A$1,MATCH(AQ502,ITEM_RES!$J:$J,0)-1,0),0)</f>
        <v>211020901</v>
      </c>
      <c r="AQ502" s="10" t="s">
        <v>470</v>
      </c>
      <c r="AR502" s="11">
        <v>5250</v>
      </c>
      <c r="AU502" s="11">
        <f ca="1">IFERROR(OFFSET(ITEM_RES!$A$1,MATCH(AV502,ITEM_RES!$J:$J,0)-1,0),0)</f>
        <v>0</v>
      </c>
      <c r="AZ502" s="11">
        <f ca="1">IFERROR(OFFSET(ITEM_RES!$A$1,MATCH(BA502,ITEM_RES!$J:$J,0)-1,0),0)</f>
        <v>0</v>
      </c>
      <c r="BE502" s="11">
        <f ca="1">IFERROR(OFFSET(ITEM_RES!$A$1,MATCH(BF502,ITEM_RES!$J:$J,0)-1,0),0)</f>
        <v>0</v>
      </c>
      <c r="BJ502" s="11">
        <f ca="1">IFERROR(OFFSET(ITEM_RES!$A$1,MATCH(BK502,ITEM_RES!$J:$J,0)-1,0),0)</f>
        <v>0</v>
      </c>
    </row>
    <row r="503" spans="1:65" x14ac:dyDescent="0.3">
      <c r="A503" s="14">
        <f t="shared" si="142"/>
        <v>115020019</v>
      </c>
      <c r="B503" s="13">
        <v>11</v>
      </c>
      <c r="C503" s="12">
        <f t="shared" si="143"/>
        <v>5</v>
      </c>
      <c r="D503" s="13">
        <v>2</v>
      </c>
      <c r="E503" s="13">
        <v>0</v>
      </c>
      <c r="F503" s="12">
        <f t="shared" si="144"/>
        <v>19</v>
      </c>
      <c r="H503" s="9">
        <v>5</v>
      </c>
      <c r="I503" s="9">
        <v>19</v>
      </c>
      <c r="K503" s="9" t="s">
        <v>362</v>
      </c>
      <c r="L503" s="9">
        <v>0</v>
      </c>
      <c r="M503" s="9">
        <v>15</v>
      </c>
      <c r="R503" s="9">
        <v>3333</v>
      </c>
      <c r="U503" s="9">
        <f ca="1">IFERROR(OFFSET(ITEM_RES!$A$5,MATCH(BUILDING!T503,ITEM_RES!$J$5:$J$229,0)-1,0),0)</f>
        <v>0</v>
      </c>
      <c r="X503" s="9">
        <f ca="1">IFERROR(OFFSET(ITEM_RES!$A$5,MATCH(BUILDING!W503,ITEM_RES!$J$5:$J$229,0)-1,0),0)</f>
        <v>0</v>
      </c>
      <c r="Z503" s="9" t="s">
        <v>389</v>
      </c>
      <c r="AA503" s="9">
        <v>19</v>
      </c>
      <c r="AC503" s="9">
        <v>100000</v>
      </c>
      <c r="AE503" s="56">
        <f t="shared" si="139"/>
        <v>20000</v>
      </c>
      <c r="AF503" s="10">
        <f t="shared" si="141"/>
        <v>36800</v>
      </c>
      <c r="AH503" s="11">
        <f t="shared" si="138"/>
        <v>95</v>
      </c>
      <c r="AI503" s="10">
        <v>95</v>
      </c>
      <c r="AJ503" s="11">
        <f t="shared" si="145"/>
        <v>1250</v>
      </c>
      <c r="AK503" s="10">
        <v>1250</v>
      </c>
      <c r="AL503" s="11">
        <f t="shared" si="145"/>
        <v>1250</v>
      </c>
      <c r="AM503" s="10">
        <v>1250</v>
      </c>
      <c r="AN503" s="56">
        <f t="shared" si="140"/>
        <v>1</v>
      </c>
      <c r="AP503" s="11">
        <f ca="1">IFERROR(OFFSET(ITEM_RES!$A$1,MATCH(AQ503,ITEM_RES!$J:$J,0)-1,0),0)</f>
        <v>211020901</v>
      </c>
      <c r="AQ503" s="10" t="s">
        <v>470</v>
      </c>
      <c r="AR503" s="11">
        <v>6250</v>
      </c>
      <c r="AU503" s="11">
        <f ca="1">IFERROR(OFFSET(ITEM_RES!$A$1,MATCH(AV503,ITEM_RES!$J:$J,0)-1,0),0)</f>
        <v>0</v>
      </c>
      <c r="AZ503" s="11">
        <f ca="1">IFERROR(OFFSET(ITEM_RES!$A$1,MATCH(BA503,ITEM_RES!$J:$J,0)-1,0),0)</f>
        <v>0</v>
      </c>
      <c r="BE503" s="11">
        <f ca="1">IFERROR(OFFSET(ITEM_RES!$A$1,MATCH(BF503,ITEM_RES!$J:$J,0)-1,0),0)</f>
        <v>0</v>
      </c>
      <c r="BJ503" s="11">
        <f ca="1">IFERROR(OFFSET(ITEM_RES!$A$1,MATCH(BK503,ITEM_RES!$J:$J,0)-1,0),0)</f>
        <v>0</v>
      </c>
    </row>
    <row r="504" spans="1:65" ht="17.25" thickBot="1" x14ac:dyDescent="0.35">
      <c r="A504" s="14">
        <f t="shared" si="142"/>
        <v>115020020</v>
      </c>
      <c r="B504" s="13">
        <v>11</v>
      </c>
      <c r="C504" s="12">
        <f t="shared" si="143"/>
        <v>5</v>
      </c>
      <c r="D504" s="13">
        <v>2</v>
      </c>
      <c r="E504" s="13">
        <v>0</v>
      </c>
      <c r="F504" s="12">
        <f t="shared" si="144"/>
        <v>20</v>
      </c>
      <c r="H504" s="9">
        <v>5</v>
      </c>
      <c r="I504" s="9">
        <v>20</v>
      </c>
      <c r="K504" s="9" t="s">
        <v>362</v>
      </c>
      <c r="L504" s="9">
        <v>0</v>
      </c>
      <c r="M504" s="9">
        <v>15</v>
      </c>
      <c r="R504" s="9">
        <v>3333</v>
      </c>
      <c r="U504" s="9">
        <f ca="1">IFERROR(OFFSET(ITEM_RES!$A$5,MATCH(BUILDING!T504,ITEM_RES!$J$5:$J$229,0)-1,0),0)</f>
        <v>0</v>
      </c>
      <c r="X504" s="9">
        <f ca="1">IFERROR(OFFSET(ITEM_RES!$A$5,MATCH(BUILDING!W504,ITEM_RES!$J$5:$J$229,0)-1,0),0)</f>
        <v>0</v>
      </c>
      <c r="Z504" s="9" t="s">
        <v>389</v>
      </c>
      <c r="AA504" s="9">
        <v>20</v>
      </c>
      <c r="AC504" s="9">
        <v>120000</v>
      </c>
      <c r="AE504" s="56">
        <f t="shared" si="139"/>
        <v>24000</v>
      </c>
      <c r="AF504" s="10">
        <f t="shared" si="141"/>
        <v>44000</v>
      </c>
      <c r="AH504" s="11">
        <f t="shared" si="138"/>
        <v>100</v>
      </c>
      <c r="AI504" s="10">
        <v>100</v>
      </c>
      <c r="AJ504" s="11">
        <f t="shared" si="145"/>
        <v>1500</v>
      </c>
      <c r="AK504" s="10">
        <v>1500</v>
      </c>
      <c r="AL504" s="11">
        <f t="shared" si="145"/>
        <v>1500</v>
      </c>
      <c r="AM504" s="10">
        <v>1500</v>
      </c>
      <c r="AN504" s="56">
        <f t="shared" si="140"/>
        <v>1</v>
      </c>
      <c r="AP504" s="11">
        <f ca="1">IFERROR(OFFSET(ITEM_RES!$A$1,MATCH(AQ504,ITEM_RES!$J:$J,0)-1,0),0)</f>
        <v>211020901</v>
      </c>
      <c r="AQ504" s="10" t="s">
        <v>470</v>
      </c>
      <c r="AR504" s="11">
        <v>7500</v>
      </c>
      <c r="AU504" s="11">
        <f ca="1">IFERROR(OFFSET(ITEM_RES!$A$1,MATCH(AV504,ITEM_RES!$J:$J,0)-1,0),0)</f>
        <v>0</v>
      </c>
      <c r="AZ504" s="11">
        <f ca="1">IFERROR(OFFSET(ITEM_RES!$A$1,MATCH(BA504,ITEM_RES!$J:$J,0)-1,0),0)</f>
        <v>0</v>
      </c>
      <c r="BE504" s="11">
        <f ca="1">IFERROR(OFFSET(ITEM_RES!$A$1,MATCH(BF504,ITEM_RES!$J:$J,0)-1,0),0)</f>
        <v>0</v>
      </c>
      <c r="BJ504" s="11">
        <f ca="1">IFERROR(OFFSET(ITEM_RES!$A$1,MATCH(BK504,ITEM_RES!$J:$J,0)-1,0),0)</f>
        <v>0</v>
      </c>
    </row>
    <row r="505" spans="1:65" s="15" customFormat="1" x14ac:dyDescent="0.3">
      <c r="A505" s="21">
        <f t="shared" si="142"/>
        <v>115030001</v>
      </c>
      <c r="B505" s="20">
        <v>11</v>
      </c>
      <c r="C505" s="19">
        <f t="shared" si="143"/>
        <v>5</v>
      </c>
      <c r="D505" s="20">
        <v>3</v>
      </c>
      <c r="E505" s="20">
        <v>0</v>
      </c>
      <c r="F505" s="19">
        <f t="shared" si="144"/>
        <v>1</v>
      </c>
      <c r="G505" s="80"/>
      <c r="H505" s="16">
        <v>5</v>
      </c>
      <c r="I505" s="16">
        <v>1</v>
      </c>
      <c r="J505" s="80"/>
      <c r="K505" s="16" t="s">
        <v>376</v>
      </c>
      <c r="L505" s="16">
        <v>1</v>
      </c>
      <c r="M505" s="16">
        <v>15</v>
      </c>
      <c r="N505" s="16"/>
      <c r="O505" s="17"/>
      <c r="P505" s="17"/>
      <c r="Q505" s="18"/>
      <c r="R505" s="16">
        <v>4444</v>
      </c>
      <c r="S505" s="80"/>
      <c r="T505" s="88"/>
      <c r="U505" s="16">
        <f ca="1">IFERROR(OFFSET(ITEM_RES!$A$5,MATCH(BUILDING!T505,ITEM_RES!$J$5:$J$229,0)-1,0),0)</f>
        <v>0</v>
      </c>
      <c r="V505" s="18"/>
      <c r="W505" s="88"/>
      <c r="X505" s="16">
        <f ca="1">IFERROR(OFFSET(ITEM_RES!$A$5,MATCH(BUILDING!W505,ITEM_RES!$J$5:$J$229,0)-1,0),0)</f>
        <v>0</v>
      </c>
      <c r="Y505" s="80"/>
      <c r="Z505" s="16" t="s">
        <v>392</v>
      </c>
      <c r="AA505" s="16">
        <v>1</v>
      </c>
      <c r="AB505" s="80"/>
      <c r="AC505" s="16">
        <v>0</v>
      </c>
      <c r="AD505" s="80"/>
      <c r="AE505" s="57">
        <f t="shared" si="139"/>
        <v>1080</v>
      </c>
      <c r="AF505" s="17">
        <f>AE505</f>
        <v>1080</v>
      </c>
      <c r="AG505" s="80"/>
      <c r="AH505" s="18">
        <f t="shared" si="138"/>
        <v>5</v>
      </c>
      <c r="AI505" s="17">
        <v>5</v>
      </c>
      <c r="AJ505" s="18">
        <f t="shared" si="145"/>
        <v>5</v>
      </c>
      <c r="AK505" s="17">
        <v>5</v>
      </c>
      <c r="AL505" s="18">
        <f t="shared" si="145"/>
        <v>5</v>
      </c>
      <c r="AM505" s="17">
        <v>5</v>
      </c>
      <c r="AN505" s="57">
        <f t="shared" si="140"/>
        <v>3</v>
      </c>
      <c r="AO505" s="18"/>
      <c r="AP505" s="18">
        <f ca="1">IFERROR(OFFSET(ITEM_RES!$A$1,MATCH(AQ505,ITEM_RES!$J:$J,0)-1,0),0)</f>
        <v>211020801</v>
      </c>
      <c r="AQ505" s="17" t="s">
        <v>457</v>
      </c>
      <c r="AR505" s="18">
        <v>25</v>
      </c>
      <c r="AS505" s="17"/>
      <c r="AT505" s="18"/>
      <c r="AU505" s="18">
        <f ca="1">IFERROR(OFFSET(ITEM_RES!$A$1,MATCH(AV505,ITEM_RES!$J:$J,0)-1,0),0)</f>
        <v>0</v>
      </c>
      <c r="AV505" s="17"/>
      <c r="AW505" s="18"/>
      <c r="AX505" s="17"/>
      <c r="AY505" s="18"/>
      <c r="AZ505" s="18">
        <f ca="1">IFERROR(OFFSET(ITEM_RES!$A$1,MATCH(BA505,ITEM_RES!$J:$J,0)-1,0),0)</f>
        <v>213010101</v>
      </c>
      <c r="BA505" s="17" t="s">
        <v>481</v>
      </c>
      <c r="BB505" s="18">
        <v>1</v>
      </c>
      <c r="BC505" s="17"/>
      <c r="BD505" s="18"/>
      <c r="BE505" s="18">
        <f ca="1">IFERROR(OFFSET(ITEM_RES!$A$1,MATCH(BF505,ITEM_RES!$J:$J,0)-1,0),0)</f>
        <v>213010201</v>
      </c>
      <c r="BF505" s="17" t="s">
        <v>503</v>
      </c>
      <c r="BG505" s="18">
        <v>1</v>
      </c>
      <c r="BH505" s="17"/>
      <c r="BI505" s="18"/>
      <c r="BJ505" s="18">
        <f ca="1">IFERROR(OFFSET(ITEM_RES!$A$1,MATCH(BK505,ITEM_RES!$J:$J,0)-1,0),0)</f>
        <v>0</v>
      </c>
      <c r="BK505" s="17"/>
      <c r="BL505" s="18"/>
      <c r="BM505" s="17"/>
    </row>
    <row r="506" spans="1:65" x14ac:dyDescent="0.3">
      <c r="A506" s="14">
        <f t="shared" si="142"/>
        <v>115030002</v>
      </c>
      <c r="B506" s="13">
        <v>11</v>
      </c>
      <c r="C506" s="12">
        <f t="shared" si="143"/>
        <v>5</v>
      </c>
      <c r="D506" s="13">
        <v>3</v>
      </c>
      <c r="E506" s="13">
        <v>0</v>
      </c>
      <c r="F506" s="12">
        <f t="shared" si="144"/>
        <v>2</v>
      </c>
      <c r="H506" s="9">
        <v>5</v>
      </c>
      <c r="I506" s="9">
        <v>2</v>
      </c>
      <c r="K506" s="9" t="s">
        <v>363</v>
      </c>
      <c r="L506" s="9">
        <v>1</v>
      </c>
      <c r="M506" s="9">
        <v>15</v>
      </c>
      <c r="R506" s="9">
        <v>4444</v>
      </c>
      <c r="U506" s="9">
        <f ca="1">IFERROR(OFFSET(ITEM_RES!$A$5,MATCH(BUILDING!T506,ITEM_RES!$J$5:$J$229,0)-1,0),0)</f>
        <v>0</v>
      </c>
      <c r="X506" s="9">
        <f ca="1">IFERROR(OFFSET(ITEM_RES!$A$5,MATCH(BUILDING!W506,ITEM_RES!$J$5:$J$229,0)-1,0),0)</f>
        <v>0</v>
      </c>
      <c r="Z506" s="9" t="s">
        <v>391</v>
      </c>
      <c r="AA506" s="9">
        <v>2</v>
      </c>
      <c r="AC506" s="9">
        <v>200</v>
      </c>
      <c r="AE506" s="56">
        <f t="shared" si="139"/>
        <v>160</v>
      </c>
      <c r="AF506" s="10">
        <f>AE505+AE506</f>
        <v>1240</v>
      </c>
      <c r="AH506" s="11">
        <f t="shared" si="138"/>
        <v>10</v>
      </c>
      <c r="AI506" s="10">
        <v>10</v>
      </c>
      <c r="AJ506" s="11">
        <f t="shared" si="145"/>
        <v>10</v>
      </c>
      <c r="AK506" s="10">
        <v>10</v>
      </c>
      <c r="AL506" s="11">
        <f t="shared" si="145"/>
        <v>10</v>
      </c>
      <c r="AM506" s="10">
        <v>10</v>
      </c>
      <c r="AN506" s="56">
        <f t="shared" si="140"/>
        <v>1</v>
      </c>
      <c r="AP506" s="11">
        <f ca="1">IFERROR(OFFSET(ITEM_RES!$A$1,MATCH(AQ506,ITEM_RES!$J:$J,0)-1,0),0)</f>
        <v>211020801</v>
      </c>
      <c r="AQ506" s="10" t="s">
        <v>457</v>
      </c>
      <c r="AR506" s="11">
        <v>50</v>
      </c>
      <c r="AU506" s="11">
        <f ca="1">IFERROR(OFFSET(ITEM_RES!$A$1,MATCH(AV506,ITEM_RES!$J:$J,0)-1,0),0)</f>
        <v>0</v>
      </c>
      <c r="AZ506" s="11">
        <f ca="1">IFERROR(OFFSET(ITEM_RES!$A$1,MATCH(BA506,ITEM_RES!$J:$J,0)-1,0),0)</f>
        <v>0</v>
      </c>
      <c r="BE506" s="11">
        <f ca="1">IFERROR(OFFSET(ITEM_RES!$A$1,MATCH(BF506,ITEM_RES!$J:$J,0)-1,0),0)</f>
        <v>0</v>
      </c>
      <c r="BJ506" s="11">
        <f ca="1">IFERROR(OFFSET(ITEM_RES!$A$1,MATCH(BK506,ITEM_RES!$J:$J,0)-1,0),0)</f>
        <v>0</v>
      </c>
    </row>
    <row r="507" spans="1:65" x14ac:dyDescent="0.3">
      <c r="A507" s="14">
        <f t="shared" si="142"/>
        <v>115030003</v>
      </c>
      <c r="B507" s="13">
        <v>11</v>
      </c>
      <c r="C507" s="12">
        <f t="shared" si="143"/>
        <v>5</v>
      </c>
      <c r="D507" s="13">
        <v>3</v>
      </c>
      <c r="E507" s="13">
        <v>0</v>
      </c>
      <c r="F507" s="12">
        <f t="shared" si="144"/>
        <v>3</v>
      </c>
      <c r="H507" s="9">
        <v>5</v>
      </c>
      <c r="I507" s="9">
        <v>3</v>
      </c>
      <c r="K507" s="9" t="s">
        <v>363</v>
      </c>
      <c r="L507" s="9">
        <v>1</v>
      </c>
      <c r="M507" s="9">
        <v>15</v>
      </c>
      <c r="R507" s="9">
        <v>4444</v>
      </c>
      <c r="U507" s="9">
        <f ca="1">IFERROR(OFFSET(ITEM_RES!$A$5,MATCH(BUILDING!T507,ITEM_RES!$J$5:$J$229,0)-1,0),0)</f>
        <v>0</v>
      </c>
      <c r="X507" s="9">
        <f ca="1">IFERROR(OFFSET(ITEM_RES!$A$5,MATCH(BUILDING!W507,ITEM_RES!$J$5:$J$229,0)-1,0),0)</f>
        <v>0</v>
      </c>
      <c r="Z507" s="9" t="s">
        <v>391</v>
      </c>
      <c r="AA507" s="9">
        <v>3</v>
      </c>
      <c r="AC507" s="9">
        <v>600</v>
      </c>
      <c r="AE507" s="56">
        <f t="shared" si="139"/>
        <v>240</v>
      </c>
      <c r="AF507" s="10">
        <f t="shared" ref="AF507:AF524" si="146">AE506+AE507</f>
        <v>400</v>
      </c>
      <c r="AH507" s="11">
        <f t="shared" si="138"/>
        <v>15</v>
      </c>
      <c r="AI507" s="10">
        <v>15</v>
      </c>
      <c r="AJ507" s="11">
        <f t="shared" si="145"/>
        <v>15</v>
      </c>
      <c r="AK507" s="10">
        <v>15</v>
      </c>
      <c r="AL507" s="11">
        <f t="shared" si="145"/>
        <v>15</v>
      </c>
      <c r="AM507" s="10">
        <v>15</v>
      </c>
      <c r="AN507" s="56">
        <f t="shared" si="140"/>
        <v>1</v>
      </c>
      <c r="AP507" s="11">
        <f ca="1">IFERROR(OFFSET(ITEM_RES!$A$1,MATCH(AQ507,ITEM_RES!$J:$J,0)-1,0),0)</f>
        <v>211020801</v>
      </c>
      <c r="AQ507" s="10" t="s">
        <v>457</v>
      </c>
      <c r="AR507" s="11">
        <v>75</v>
      </c>
      <c r="AU507" s="11">
        <f ca="1">IFERROR(OFFSET(ITEM_RES!$A$1,MATCH(AV507,ITEM_RES!$J:$J,0)-1,0),0)</f>
        <v>0</v>
      </c>
      <c r="AZ507" s="11">
        <f ca="1">IFERROR(OFFSET(ITEM_RES!$A$1,MATCH(BA507,ITEM_RES!$J:$J,0)-1,0),0)</f>
        <v>0</v>
      </c>
      <c r="BE507" s="11">
        <f ca="1">IFERROR(OFFSET(ITEM_RES!$A$1,MATCH(BF507,ITEM_RES!$J:$J,0)-1,0),0)</f>
        <v>0</v>
      </c>
      <c r="BJ507" s="11">
        <f ca="1">IFERROR(OFFSET(ITEM_RES!$A$1,MATCH(BK507,ITEM_RES!$J:$J,0)-1,0),0)</f>
        <v>0</v>
      </c>
    </row>
    <row r="508" spans="1:65" x14ac:dyDescent="0.3">
      <c r="A508" s="14">
        <f t="shared" si="142"/>
        <v>115030004</v>
      </c>
      <c r="B508" s="13">
        <v>11</v>
      </c>
      <c r="C508" s="12">
        <f t="shared" si="143"/>
        <v>5</v>
      </c>
      <c r="D508" s="13">
        <v>3</v>
      </c>
      <c r="E508" s="13">
        <v>0</v>
      </c>
      <c r="F508" s="12">
        <f t="shared" si="144"/>
        <v>4</v>
      </c>
      <c r="H508" s="9">
        <v>5</v>
      </c>
      <c r="I508" s="9">
        <v>4</v>
      </c>
      <c r="K508" s="9" t="s">
        <v>363</v>
      </c>
      <c r="L508" s="9">
        <v>1</v>
      </c>
      <c r="M508" s="9">
        <v>15</v>
      </c>
      <c r="R508" s="9">
        <v>4444</v>
      </c>
      <c r="U508" s="9">
        <f ca="1">IFERROR(OFFSET(ITEM_RES!$A$5,MATCH(BUILDING!T508,ITEM_RES!$J$5:$J$229,0)-1,0),0)</f>
        <v>0</v>
      </c>
      <c r="X508" s="9">
        <f ca="1">IFERROR(OFFSET(ITEM_RES!$A$5,MATCH(BUILDING!W508,ITEM_RES!$J$5:$J$229,0)-1,0),0)</f>
        <v>0</v>
      </c>
      <c r="Z508" s="9" t="s">
        <v>391</v>
      </c>
      <c r="AA508" s="9">
        <v>4</v>
      </c>
      <c r="AC508" s="9">
        <v>1000</v>
      </c>
      <c r="AE508" s="56">
        <f t="shared" si="139"/>
        <v>400</v>
      </c>
      <c r="AF508" s="10">
        <f t="shared" si="146"/>
        <v>640</v>
      </c>
      <c r="AH508" s="11">
        <f t="shared" si="138"/>
        <v>20</v>
      </c>
      <c r="AI508" s="10">
        <v>20</v>
      </c>
      <c r="AJ508" s="11">
        <f t="shared" si="145"/>
        <v>25</v>
      </c>
      <c r="AK508" s="10">
        <v>25</v>
      </c>
      <c r="AL508" s="11">
        <f t="shared" si="145"/>
        <v>25</v>
      </c>
      <c r="AM508" s="10">
        <v>25</v>
      </c>
      <c r="AN508" s="56">
        <f t="shared" si="140"/>
        <v>1</v>
      </c>
      <c r="AP508" s="11">
        <f ca="1">IFERROR(OFFSET(ITEM_RES!$A$1,MATCH(AQ508,ITEM_RES!$J:$J,0)-1,0),0)</f>
        <v>211020801</v>
      </c>
      <c r="AQ508" s="10" t="s">
        <v>457</v>
      </c>
      <c r="AR508" s="11">
        <v>125</v>
      </c>
      <c r="AU508" s="11">
        <f ca="1">IFERROR(OFFSET(ITEM_RES!$A$1,MATCH(AV508,ITEM_RES!$J:$J,0)-1,0),0)</f>
        <v>0</v>
      </c>
      <c r="AZ508" s="11">
        <f ca="1">IFERROR(OFFSET(ITEM_RES!$A$1,MATCH(BA508,ITEM_RES!$J:$J,0)-1,0),0)</f>
        <v>0</v>
      </c>
      <c r="BE508" s="11">
        <f ca="1">IFERROR(OFFSET(ITEM_RES!$A$1,MATCH(BF508,ITEM_RES!$J:$J,0)-1,0),0)</f>
        <v>0</v>
      </c>
      <c r="BJ508" s="11">
        <f ca="1">IFERROR(OFFSET(ITEM_RES!$A$1,MATCH(BK508,ITEM_RES!$J:$J,0)-1,0),0)</f>
        <v>0</v>
      </c>
    </row>
    <row r="509" spans="1:65" x14ac:dyDescent="0.3">
      <c r="A509" s="14">
        <f t="shared" si="142"/>
        <v>115030005</v>
      </c>
      <c r="B509" s="13">
        <v>11</v>
      </c>
      <c r="C509" s="12">
        <f t="shared" si="143"/>
        <v>5</v>
      </c>
      <c r="D509" s="13">
        <v>3</v>
      </c>
      <c r="E509" s="13">
        <v>0</v>
      </c>
      <c r="F509" s="12">
        <f t="shared" si="144"/>
        <v>5</v>
      </c>
      <c r="H509" s="9">
        <v>5</v>
      </c>
      <c r="I509" s="9">
        <v>5</v>
      </c>
      <c r="K509" s="9" t="s">
        <v>363</v>
      </c>
      <c r="L509" s="9">
        <v>1</v>
      </c>
      <c r="M509" s="9">
        <v>15</v>
      </c>
      <c r="R509" s="9">
        <v>4444</v>
      </c>
      <c r="U509" s="9">
        <f ca="1">IFERROR(OFFSET(ITEM_RES!$A$5,MATCH(BUILDING!T509,ITEM_RES!$J$5:$J$229,0)-1,0),0)</f>
        <v>0</v>
      </c>
      <c r="X509" s="9">
        <f ca="1">IFERROR(OFFSET(ITEM_RES!$A$5,MATCH(BUILDING!W509,ITEM_RES!$J$5:$J$229,0)-1,0),0)</f>
        <v>0</v>
      </c>
      <c r="Z509" s="9" t="s">
        <v>391</v>
      </c>
      <c r="AA509" s="9">
        <v>5</v>
      </c>
      <c r="AC509" s="9">
        <v>1600</v>
      </c>
      <c r="AE509" s="56">
        <f t="shared" si="139"/>
        <v>640</v>
      </c>
      <c r="AF509" s="10">
        <f t="shared" si="146"/>
        <v>1040</v>
      </c>
      <c r="AH509" s="11">
        <f t="shared" si="138"/>
        <v>25</v>
      </c>
      <c r="AI509" s="10">
        <v>25</v>
      </c>
      <c r="AJ509" s="11">
        <f t="shared" si="145"/>
        <v>40</v>
      </c>
      <c r="AK509" s="10">
        <v>40</v>
      </c>
      <c r="AL509" s="11">
        <f t="shared" si="145"/>
        <v>40</v>
      </c>
      <c r="AM509" s="10">
        <v>40</v>
      </c>
      <c r="AN509" s="56">
        <f t="shared" si="140"/>
        <v>1</v>
      </c>
      <c r="AP509" s="11">
        <f ca="1">IFERROR(OFFSET(ITEM_RES!$A$1,MATCH(AQ509,ITEM_RES!$J:$J,0)-1,0),0)</f>
        <v>211020801</v>
      </c>
      <c r="AQ509" s="10" t="s">
        <v>457</v>
      </c>
      <c r="AR509" s="11">
        <v>200</v>
      </c>
      <c r="AU509" s="11">
        <f ca="1">IFERROR(OFFSET(ITEM_RES!$A$1,MATCH(AV509,ITEM_RES!$J:$J,0)-1,0),0)</f>
        <v>0</v>
      </c>
      <c r="AZ509" s="11">
        <f ca="1">IFERROR(OFFSET(ITEM_RES!$A$1,MATCH(BA509,ITEM_RES!$J:$J,0)-1,0),0)</f>
        <v>0</v>
      </c>
      <c r="BE509" s="11">
        <f ca="1">IFERROR(OFFSET(ITEM_RES!$A$1,MATCH(BF509,ITEM_RES!$J:$J,0)-1,0),0)</f>
        <v>0</v>
      </c>
      <c r="BJ509" s="11">
        <f ca="1">IFERROR(OFFSET(ITEM_RES!$A$1,MATCH(BK509,ITEM_RES!$J:$J,0)-1,0),0)</f>
        <v>0</v>
      </c>
    </row>
    <row r="510" spans="1:65" x14ac:dyDescent="0.3">
      <c r="A510" s="14">
        <f t="shared" si="142"/>
        <v>115030006</v>
      </c>
      <c r="B510" s="13">
        <v>11</v>
      </c>
      <c r="C510" s="12">
        <f t="shared" si="143"/>
        <v>5</v>
      </c>
      <c r="D510" s="13">
        <v>3</v>
      </c>
      <c r="E510" s="13">
        <v>0</v>
      </c>
      <c r="F510" s="12">
        <f t="shared" si="144"/>
        <v>6</v>
      </c>
      <c r="H510" s="9">
        <v>5</v>
      </c>
      <c r="I510" s="9">
        <v>6</v>
      </c>
      <c r="K510" s="9" t="s">
        <v>363</v>
      </c>
      <c r="L510" s="9">
        <v>1</v>
      </c>
      <c r="M510" s="9">
        <v>15</v>
      </c>
      <c r="R510" s="9">
        <v>4444</v>
      </c>
      <c r="U510" s="9">
        <f ca="1">IFERROR(OFFSET(ITEM_RES!$A$5,MATCH(BUILDING!T510,ITEM_RES!$J$5:$J$229,0)-1,0),0)</f>
        <v>0</v>
      </c>
      <c r="X510" s="9">
        <f ca="1">IFERROR(OFFSET(ITEM_RES!$A$5,MATCH(BUILDING!W510,ITEM_RES!$J$5:$J$229,0)-1,0),0)</f>
        <v>0</v>
      </c>
      <c r="Z510" s="9" t="s">
        <v>391</v>
      </c>
      <c r="AA510" s="9">
        <v>6</v>
      </c>
      <c r="AC510" s="9">
        <v>2000</v>
      </c>
      <c r="AE510" s="56">
        <f t="shared" si="139"/>
        <v>800</v>
      </c>
      <c r="AF510" s="10">
        <f t="shared" si="146"/>
        <v>1440</v>
      </c>
      <c r="AH510" s="11">
        <f t="shared" si="138"/>
        <v>30</v>
      </c>
      <c r="AI510" s="10">
        <v>30</v>
      </c>
      <c r="AJ510" s="11">
        <f t="shared" si="145"/>
        <v>50</v>
      </c>
      <c r="AK510" s="10">
        <v>50</v>
      </c>
      <c r="AL510" s="11">
        <f t="shared" si="145"/>
        <v>50</v>
      </c>
      <c r="AM510" s="10">
        <v>50</v>
      </c>
      <c r="AN510" s="56">
        <f t="shared" si="140"/>
        <v>1</v>
      </c>
      <c r="AP510" s="11">
        <f ca="1">IFERROR(OFFSET(ITEM_RES!$A$1,MATCH(AQ510,ITEM_RES!$J:$J,0)-1,0),0)</f>
        <v>211020801</v>
      </c>
      <c r="AQ510" s="10" t="s">
        <v>457</v>
      </c>
      <c r="AR510" s="11">
        <v>250</v>
      </c>
      <c r="AU510" s="11">
        <f ca="1">IFERROR(OFFSET(ITEM_RES!$A$1,MATCH(AV510,ITEM_RES!$J:$J,0)-1,0),0)</f>
        <v>0</v>
      </c>
      <c r="AZ510" s="11">
        <f ca="1">IFERROR(OFFSET(ITEM_RES!$A$1,MATCH(BA510,ITEM_RES!$J:$J,0)-1,0),0)</f>
        <v>0</v>
      </c>
      <c r="BE510" s="11">
        <f ca="1">IFERROR(OFFSET(ITEM_RES!$A$1,MATCH(BF510,ITEM_RES!$J:$J,0)-1,0),0)</f>
        <v>0</v>
      </c>
      <c r="BJ510" s="11">
        <f ca="1">IFERROR(OFFSET(ITEM_RES!$A$1,MATCH(BK510,ITEM_RES!$J:$J,0)-1,0),0)</f>
        <v>0</v>
      </c>
    </row>
    <row r="511" spans="1:65" x14ac:dyDescent="0.3">
      <c r="A511" s="14">
        <f t="shared" si="142"/>
        <v>115030007</v>
      </c>
      <c r="B511" s="13">
        <v>11</v>
      </c>
      <c r="C511" s="12">
        <f t="shared" si="143"/>
        <v>5</v>
      </c>
      <c r="D511" s="13">
        <v>3</v>
      </c>
      <c r="E511" s="13">
        <v>0</v>
      </c>
      <c r="F511" s="12">
        <f t="shared" si="144"/>
        <v>7</v>
      </c>
      <c r="H511" s="9">
        <v>5</v>
      </c>
      <c r="I511" s="9">
        <v>7</v>
      </c>
      <c r="K511" s="9" t="s">
        <v>363</v>
      </c>
      <c r="L511" s="9">
        <v>1</v>
      </c>
      <c r="M511" s="9">
        <v>15</v>
      </c>
      <c r="R511" s="9">
        <v>4444</v>
      </c>
      <c r="U511" s="9">
        <f ca="1">IFERROR(OFFSET(ITEM_RES!$A$5,MATCH(BUILDING!T511,ITEM_RES!$J$5:$J$229,0)-1,0),0)</f>
        <v>0</v>
      </c>
      <c r="X511" s="9">
        <f ca="1">IFERROR(OFFSET(ITEM_RES!$A$5,MATCH(BUILDING!W511,ITEM_RES!$J$5:$J$229,0)-1,0),0)</f>
        <v>0</v>
      </c>
      <c r="Z511" s="9" t="s">
        <v>391</v>
      </c>
      <c r="AA511" s="9">
        <v>7</v>
      </c>
      <c r="AC511" s="9">
        <v>4000</v>
      </c>
      <c r="AE511" s="56">
        <f t="shared" si="139"/>
        <v>1600</v>
      </c>
      <c r="AF511" s="10">
        <f t="shared" si="146"/>
        <v>2400</v>
      </c>
      <c r="AH511" s="11">
        <f t="shared" si="138"/>
        <v>35</v>
      </c>
      <c r="AI511" s="10">
        <v>35</v>
      </c>
      <c r="AJ511" s="11">
        <f t="shared" si="145"/>
        <v>100</v>
      </c>
      <c r="AK511" s="10">
        <v>100</v>
      </c>
      <c r="AL511" s="11">
        <f t="shared" si="145"/>
        <v>100</v>
      </c>
      <c r="AM511" s="10">
        <v>100</v>
      </c>
      <c r="AN511" s="56">
        <f t="shared" si="140"/>
        <v>1</v>
      </c>
      <c r="AP511" s="11">
        <f ca="1">IFERROR(OFFSET(ITEM_RES!$A$1,MATCH(AQ511,ITEM_RES!$J:$J,0)-1,0),0)</f>
        <v>211020801</v>
      </c>
      <c r="AQ511" s="10" t="s">
        <v>457</v>
      </c>
      <c r="AR511" s="11">
        <v>500</v>
      </c>
      <c r="AU511" s="11">
        <f ca="1">IFERROR(OFFSET(ITEM_RES!$A$1,MATCH(AV511,ITEM_RES!$J:$J,0)-1,0),0)</f>
        <v>0</v>
      </c>
      <c r="AZ511" s="11">
        <f ca="1">IFERROR(OFFSET(ITEM_RES!$A$1,MATCH(BA511,ITEM_RES!$J:$J,0)-1,0),0)</f>
        <v>0</v>
      </c>
      <c r="BE511" s="11">
        <f ca="1">IFERROR(OFFSET(ITEM_RES!$A$1,MATCH(BF511,ITEM_RES!$J:$J,0)-1,0),0)</f>
        <v>0</v>
      </c>
      <c r="BJ511" s="11">
        <f ca="1">IFERROR(OFFSET(ITEM_RES!$A$1,MATCH(BK511,ITEM_RES!$J:$J,0)-1,0),0)</f>
        <v>0</v>
      </c>
    </row>
    <row r="512" spans="1:65" x14ac:dyDescent="0.3">
      <c r="A512" s="14">
        <f t="shared" si="142"/>
        <v>115030008</v>
      </c>
      <c r="B512" s="13">
        <v>11</v>
      </c>
      <c r="C512" s="12">
        <f t="shared" si="143"/>
        <v>5</v>
      </c>
      <c r="D512" s="13">
        <v>3</v>
      </c>
      <c r="E512" s="13">
        <v>0</v>
      </c>
      <c r="F512" s="12">
        <f t="shared" si="144"/>
        <v>8</v>
      </c>
      <c r="H512" s="9">
        <v>5</v>
      </c>
      <c r="I512" s="9">
        <v>8</v>
      </c>
      <c r="K512" s="9" t="s">
        <v>363</v>
      </c>
      <c r="L512" s="9">
        <v>1</v>
      </c>
      <c r="M512" s="9">
        <v>15</v>
      </c>
      <c r="R512" s="9">
        <v>4444</v>
      </c>
      <c r="U512" s="9">
        <f ca="1">IFERROR(OFFSET(ITEM_RES!$A$5,MATCH(BUILDING!T512,ITEM_RES!$J$5:$J$229,0)-1,0),0)</f>
        <v>0</v>
      </c>
      <c r="X512" s="9">
        <f ca="1">IFERROR(OFFSET(ITEM_RES!$A$5,MATCH(BUILDING!W512,ITEM_RES!$J$5:$J$229,0)-1,0),0)</f>
        <v>0</v>
      </c>
      <c r="Z512" s="9" t="s">
        <v>391</v>
      </c>
      <c r="AA512" s="9">
        <v>8</v>
      </c>
      <c r="AC512" s="9">
        <v>4000</v>
      </c>
      <c r="AE512" s="56">
        <f t="shared" si="139"/>
        <v>2100</v>
      </c>
      <c r="AF512" s="10">
        <f t="shared" si="146"/>
        <v>3700</v>
      </c>
      <c r="AH512" s="11">
        <f t="shared" si="138"/>
        <v>40</v>
      </c>
      <c r="AI512" s="10">
        <v>40</v>
      </c>
      <c r="AJ512" s="11">
        <f t="shared" si="145"/>
        <v>100</v>
      </c>
      <c r="AK512" s="10">
        <v>100</v>
      </c>
      <c r="AL512" s="11">
        <f t="shared" si="145"/>
        <v>100</v>
      </c>
      <c r="AM512" s="10">
        <v>100</v>
      </c>
      <c r="AN512" s="56">
        <f t="shared" si="140"/>
        <v>2</v>
      </c>
      <c r="AP512" s="11">
        <f ca="1">IFERROR(OFFSET(ITEM_RES!$A$1,MATCH(AQ512,ITEM_RES!$J:$J,0)-1,0),0)</f>
        <v>211020801</v>
      </c>
      <c r="AQ512" s="10" t="s">
        <v>457</v>
      </c>
      <c r="AR512" s="11">
        <v>500</v>
      </c>
      <c r="AU512" s="11">
        <f ca="1">IFERROR(OFFSET(ITEM_RES!$A$1,MATCH(AV512,ITEM_RES!$J:$J,0)-1,0),0)</f>
        <v>0</v>
      </c>
      <c r="AZ512" s="11">
        <f ca="1">IFERROR(OFFSET(ITEM_RES!$A$1,MATCH(BA512,ITEM_RES!$J:$J,0)-1,0),0)</f>
        <v>0</v>
      </c>
      <c r="BE512" s="11">
        <f ca="1">IFERROR(OFFSET(ITEM_RES!$A$1,MATCH(BF512,ITEM_RES!$J:$J,0)-1,0),0)</f>
        <v>213011701</v>
      </c>
      <c r="BF512" s="10" t="s">
        <v>508</v>
      </c>
      <c r="BG512" s="11">
        <v>1</v>
      </c>
      <c r="BJ512" s="11">
        <f ca="1">IFERROR(OFFSET(ITEM_RES!$A$1,MATCH(BK512,ITEM_RES!$J:$J,0)-1,0),0)</f>
        <v>0</v>
      </c>
    </row>
    <row r="513" spans="1:65" x14ac:dyDescent="0.3">
      <c r="A513" s="14">
        <f t="shared" si="142"/>
        <v>115030009</v>
      </c>
      <c r="B513" s="13">
        <v>11</v>
      </c>
      <c r="C513" s="12">
        <f t="shared" si="143"/>
        <v>5</v>
      </c>
      <c r="D513" s="13">
        <v>3</v>
      </c>
      <c r="E513" s="13">
        <v>0</v>
      </c>
      <c r="F513" s="12">
        <f t="shared" si="144"/>
        <v>9</v>
      </c>
      <c r="H513" s="9">
        <v>5</v>
      </c>
      <c r="I513" s="9">
        <v>9</v>
      </c>
      <c r="K513" s="9" t="s">
        <v>363</v>
      </c>
      <c r="L513" s="9">
        <v>1</v>
      </c>
      <c r="M513" s="9">
        <v>15</v>
      </c>
      <c r="R513" s="9">
        <v>4444</v>
      </c>
      <c r="U513" s="9">
        <f ca="1">IFERROR(OFFSET(ITEM_RES!$A$5,MATCH(BUILDING!T513,ITEM_RES!$J$5:$J$229,0)-1,0),0)</f>
        <v>0</v>
      </c>
      <c r="X513" s="9">
        <f ca="1">IFERROR(OFFSET(ITEM_RES!$A$5,MATCH(BUILDING!W513,ITEM_RES!$J$5:$J$229,0)-1,0),0)</f>
        <v>0</v>
      </c>
      <c r="Z513" s="9" t="s">
        <v>391</v>
      </c>
      <c r="AA513" s="9">
        <v>9</v>
      </c>
      <c r="AC513" s="9">
        <v>6000</v>
      </c>
      <c r="AE513" s="56">
        <f t="shared" si="139"/>
        <v>2400</v>
      </c>
      <c r="AF513" s="10">
        <f t="shared" si="146"/>
        <v>4500</v>
      </c>
      <c r="AH513" s="11">
        <f t="shared" si="138"/>
        <v>45</v>
      </c>
      <c r="AI513" s="10">
        <v>45</v>
      </c>
      <c r="AJ513" s="11">
        <f t="shared" si="145"/>
        <v>150</v>
      </c>
      <c r="AK513" s="10">
        <v>150</v>
      </c>
      <c r="AL513" s="11">
        <f t="shared" si="145"/>
        <v>150</v>
      </c>
      <c r="AM513" s="10">
        <v>150</v>
      </c>
      <c r="AN513" s="56">
        <f t="shared" si="140"/>
        <v>1</v>
      </c>
      <c r="AP513" s="11">
        <f ca="1">IFERROR(OFFSET(ITEM_RES!$A$1,MATCH(AQ513,ITEM_RES!$J:$J,0)-1,0),0)</f>
        <v>211020801</v>
      </c>
      <c r="AQ513" s="10" t="s">
        <v>457</v>
      </c>
      <c r="AR513" s="11">
        <v>750</v>
      </c>
      <c r="AU513" s="11">
        <f ca="1">IFERROR(OFFSET(ITEM_RES!$A$1,MATCH(AV513,ITEM_RES!$J:$J,0)-1,0),0)</f>
        <v>0</v>
      </c>
      <c r="AZ513" s="11">
        <f ca="1">IFERROR(OFFSET(ITEM_RES!$A$1,MATCH(BA513,ITEM_RES!$J:$J,0)-1,0),0)</f>
        <v>0</v>
      </c>
      <c r="BE513" s="11">
        <f ca="1">IFERROR(OFFSET(ITEM_RES!$A$1,MATCH(BF513,ITEM_RES!$J:$J,0)-1,0),0)</f>
        <v>0</v>
      </c>
      <c r="BJ513" s="11">
        <f ca="1">IFERROR(OFFSET(ITEM_RES!$A$1,MATCH(BK513,ITEM_RES!$J:$J,0)-1,0),0)</f>
        <v>0</v>
      </c>
    </row>
    <row r="514" spans="1:65" x14ac:dyDescent="0.3">
      <c r="A514" s="14">
        <f t="shared" si="142"/>
        <v>115030010</v>
      </c>
      <c r="B514" s="13">
        <v>11</v>
      </c>
      <c r="C514" s="12">
        <f t="shared" si="143"/>
        <v>5</v>
      </c>
      <c r="D514" s="13">
        <v>3</v>
      </c>
      <c r="E514" s="13">
        <v>0</v>
      </c>
      <c r="F514" s="12">
        <f t="shared" si="144"/>
        <v>10</v>
      </c>
      <c r="H514" s="9">
        <v>5</v>
      </c>
      <c r="I514" s="9">
        <v>10</v>
      </c>
      <c r="K514" s="9" t="s">
        <v>363</v>
      </c>
      <c r="L514" s="9">
        <v>1</v>
      </c>
      <c r="M514" s="9">
        <v>15</v>
      </c>
      <c r="R514" s="9">
        <v>4444</v>
      </c>
      <c r="U514" s="9">
        <f ca="1">IFERROR(OFFSET(ITEM_RES!$A$5,MATCH(BUILDING!T514,ITEM_RES!$J$5:$J$229,0)-1,0),0)</f>
        <v>0</v>
      </c>
      <c r="X514" s="9">
        <f ca="1">IFERROR(OFFSET(ITEM_RES!$A$5,MATCH(BUILDING!W514,ITEM_RES!$J$5:$J$229,0)-1,0),0)</f>
        <v>0</v>
      </c>
      <c r="Z514" s="9" t="s">
        <v>391</v>
      </c>
      <c r="AA514" s="9">
        <v>10</v>
      </c>
      <c r="AC514" s="9">
        <v>8000</v>
      </c>
      <c r="AE514" s="56">
        <f t="shared" si="139"/>
        <v>3200</v>
      </c>
      <c r="AF514" s="10">
        <f t="shared" si="146"/>
        <v>5600</v>
      </c>
      <c r="AH514" s="11">
        <f t="shared" si="138"/>
        <v>50</v>
      </c>
      <c r="AI514" s="10">
        <v>50</v>
      </c>
      <c r="AJ514" s="11">
        <f t="shared" si="145"/>
        <v>200</v>
      </c>
      <c r="AK514" s="10">
        <v>200</v>
      </c>
      <c r="AL514" s="11">
        <f t="shared" si="145"/>
        <v>200</v>
      </c>
      <c r="AM514" s="10">
        <v>200</v>
      </c>
      <c r="AN514" s="56">
        <f t="shared" si="140"/>
        <v>1</v>
      </c>
      <c r="AP514" s="11">
        <f ca="1">IFERROR(OFFSET(ITEM_RES!$A$1,MATCH(AQ514,ITEM_RES!$J:$J,0)-1,0),0)</f>
        <v>211020801</v>
      </c>
      <c r="AQ514" s="10" t="s">
        <v>457</v>
      </c>
      <c r="AR514" s="11">
        <v>1000</v>
      </c>
      <c r="AU514" s="11">
        <f ca="1">IFERROR(OFFSET(ITEM_RES!$A$1,MATCH(AV514,ITEM_RES!$J:$J,0)-1,0),0)</f>
        <v>0</v>
      </c>
      <c r="AZ514" s="11">
        <f ca="1">IFERROR(OFFSET(ITEM_RES!$A$1,MATCH(BA514,ITEM_RES!$J:$J,0)-1,0),0)</f>
        <v>0</v>
      </c>
      <c r="BE514" s="11">
        <f ca="1">IFERROR(OFFSET(ITEM_RES!$A$1,MATCH(BF514,ITEM_RES!$J:$J,0)-1,0),0)</f>
        <v>0</v>
      </c>
      <c r="BJ514" s="11">
        <f ca="1">IFERROR(OFFSET(ITEM_RES!$A$1,MATCH(BK514,ITEM_RES!$J:$J,0)-1,0),0)</f>
        <v>0</v>
      </c>
    </row>
    <row r="515" spans="1:65" x14ac:dyDescent="0.3">
      <c r="A515" s="14">
        <f t="shared" si="142"/>
        <v>115030011</v>
      </c>
      <c r="B515" s="13">
        <v>11</v>
      </c>
      <c r="C515" s="12">
        <f t="shared" si="143"/>
        <v>5</v>
      </c>
      <c r="D515" s="13">
        <v>3</v>
      </c>
      <c r="E515" s="13">
        <v>0</v>
      </c>
      <c r="F515" s="12">
        <f t="shared" si="144"/>
        <v>11</v>
      </c>
      <c r="H515" s="9">
        <v>5</v>
      </c>
      <c r="I515" s="9">
        <v>11</v>
      </c>
      <c r="K515" s="9" t="s">
        <v>363</v>
      </c>
      <c r="L515" s="9">
        <v>1</v>
      </c>
      <c r="M515" s="9">
        <v>15</v>
      </c>
      <c r="R515" s="9">
        <v>4444</v>
      </c>
      <c r="U515" s="9">
        <f ca="1">IFERROR(OFFSET(ITEM_RES!$A$5,MATCH(BUILDING!T515,ITEM_RES!$J$5:$J$229,0)-1,0),0)</f>
        <v>0</v>
      </c>
      <c r="X515" s="9">
        <f ca="1">IFERROR(OFFSET(ITEM_RES!$A$5,MATCH(BUILDING!W515,ITEM_RES!$J$5:$J$229,0)-1,0),0)</f>
        <v>0</v>
      </c>
      <c r="Z515" s="9" t="s">
        <v>391</v>
      </c>
      <c r="AA515" s="9">
        <v>11</v>
      </c>
      <c r="AC515" s="9">
        <v>10000</v>
      </c>
      <c r="AE515" s="56">
        <f t="shared" si="139"/>
        <v>4000</v>
      </c>
      <c r="AF515" s="10">
        <f t="shared" si="146"/>
        <v>7200</v>
      </c>
      <c r="AH515" s="11">
        <f t="shared" si="138"/>
        <v>55</v>
      </c>
      <c r="AI515" s="10">
        <v>55</v>
      </c>
      <c r="AJ515" s="11">
        <f t="shared" si="145"/>
        <v>250</v>
      </c>
      <c r="AK515" s="10">
        <v>250</v>
      </c>
      <c r="AL515" s="11">
        <f t="shared" si="145"/>
        <v>250</v>
      </c>
      <c r="AM515" s="10">
        <v>250</v>
      </c>
      <c r="AN515" s="56">
        <f t="shared" si="140"/>
        <v>1</v>
      </c>
      <c r="AP515" s="11">
        <f ca="1">IFERROR(OFFSET(ITEM_RES!$A$1,MATCH(AQ515,ITEM_RES!$J:$J,0)-1,0),0)</f>
        <v>211020801</v>
      </c>
      <c r="AQ515" s="10" t="s">
        <v>457</v>
      </c>
      <c r="AR515" s="11">
        <v>1250</v>
      </c>
      <c r="AU515" s="11">
        <f ca="1">IFERROR(OFFSET(ITEM_RES!$A$1,MATCH(AV515,ITEM_RES!$J:$J,0)-1,0),0)</f>
        <v>0</v>
      </c>
      <c r="AZ515" s="11">
        <f ca="1">IFERROR(OFFSET(ITEM_RES!$A$1,MATCH(BA515,ITEM_RES!$J:$J,0)-1,0),0)</f>
        <v>0</v>
      </c>
      <c r="BE515" s="11">
        <f ca="1">IFERROR(OFFSET(ITEM_RES!$A$1,MATCH(BF515,ITEM_RES!$J:$J,0)-1,0),0)</f>
        <v>0</v>
      </c>
      <c r="BJ515" s="11">
        <f ca="1">IFERROR(OFFSET(ITEM_RES!$A$1,MATCH(BK515,ITEM_RES!$J:$J,0)-1,0),0)</f>
        <v>0</v>
      </c>
    </row>
    <row r="516" spans="1:65" x14ac:dyDescent="0.3">
      <c r="A516" s="14">
        <f t="shared" si="142"/>
        <v>115030012</v>
      </c>
      <c r="B516" s="13">
        <v>11</v>
      </c>
      <c r="C516" s="12">
        <f t="shared" si="143"/>
        <v>5</v>
      </c>
      <c r="D516" s="13">
        <v>3</v>
      </c>
      <c r="E516" s="13">
        <v>0</v>
      </c>
      <c r="F516" s="12">
        <f t="shared" si="144"/>
        <v>12</v>
      </c>
      <c r="H516" s="9">
        <v>5</v>
      </c>
      <c r="I516" s="9">
        <v>12</v>
      </c>
      <c r="K516" s="9" t="s">
        <v>363</v>
      </c>
      <c r="L516" s="9">
        <v>1</v>
      </c>
      <c r="M516" s="9">
        <v>15</v>
      </c>
      <c r="R516" s="9">
        <v>4444</v>
      </c>
      <c r="U516" s="9">
        <f ca="1">IFERROR(OFFSET(ITEM_RES!$A$5,MATCH(BUILDING!T516,ITEM_RES!$J$5:$J$229,0)-1,0),0)</f>
        <v>0</v>
      </c>
      <c r="X516" s="9">
        <f ca="1">IFERROR(OFFSET(ITEM_RES!$A$5,MATCH(BUILDING!W516,ITEM_RES!$J$5:$J$229,0)-1,0),0)</f>
        <v>0</v>
      </c>
      <c r="Z516" s="9" t="s">
        <v>391</v>
      </c>
      <c r="AA516" s="9">
        <v>12</v>
      </c>
      <c r="AC516" s="9">
        <v>12000</v>
      </c>
      <c r="AE516" s="56">
        <f t="shared" si="139"/>
        <v>4800</v>
      </c>
      <c r="AF516" s="10">
        <f t="shared" si="146"/>
        <v>8800</v>
      </c>
      <c r="AH516" s="11">
        <f t="shared" si="138"/>
        <v>60</v>
      </c>
      <c r="AI516" s="10">
        <v>60</v>
      </c>
      <c r="AJ516" s="11">
        <f t="shared" si="145"/>
        <v>300</v>
      </c>
      <c r="AK516" s="10">
        <v>300</v>
      </c>
      <c r="AL516" s="11">
        <f t="shared" si="145"/>
        <v>300</v>
      </c>
      <c r="AM516" s="10">
        <v>300</v>
      </c>
      <c r="AN516" s="56">
        <f t="shared" si="140"/>
        <v>1</v>
      </c>
      <c r="AP516" s="11">
        <f ca="1">IFERROR(OFFSET(ITEM_RES!$A$1,MATCH(AQ516,ITEM_RES!$J:$J,0)-1,0),0)</f>
        <v>211020801</v>
      </c>
      <c r="AQ516" s="10" t="s">
        <v>457</v>
      </c>
      <c r="AR516" s="11">
        <v>1500</v>
      </c>
      <c r="AU516" s="11">
        <f ca="1">IFERROR(OFFSET(ITEM_RES!$A$1,MATCH(AV516,ITEM_RES!$J:$J,0)-1,0),0)</f>
        <v>0</v>
      </c>
      <c r="AZ516" s="11">
        <f ca="1">IFERROR(OFFSET(ITEM_RES!$A$1,MATCH(BA516,ITEM_RES!$J:$J,0)-1,0),0)</f>
        <v>0</v>
      </c>
      <c r="BE516" s="11">
        <f ca="1">IFERROR(OFFSET(ITEM_RES!$A$1,MATCH(BF516,ITEM_RES!$J:$J,0)-1,0),0)</f>
        <v>0</v>
      </c>
      <c r="BJ516" s="11">
        <f ca="1">IFERROR(OFFSET(ITEM_RES!$A$1,MATCH(BK516,ITEM_RES!$J:$J,0)-1,0),0)</f>
        <v>0</v>
      </c>
    </row>
    <row r="517" spans="1:65" x14ac:dyDescent="0.3">
      <c r="A517" s="14">
        <f t="shared" si="142"/>
        <v>115030013</v>
      </c>
      <c r="B517" s="13">
        <v>11</v>
      </c>
      <c r="C517" s="12">
        <f t="shared" si="143"/>
        <v>5</v>
      </c>
      <c r="D517" s="13">
        <v>3</v>
      </c>
      <c r="E517" s="13">
        <v>0</v>
      </c>
      <c r="F517" s="12">
        <f t="shared" si="144"/>
        <v>13</v>
      </c>
      <c r="H517" s="9">
        <v>5</v>
      </c>
      <c r="I517" s="9">
        <v>13</v>
      </c>
      <c r="K517" s="9" t="s">
        <v>363</v>
      </c>
      <c r="L517" s="9">
        <v>1</v>
      </c>
      <c r="M517" s="9">
        <v>15</v>
      </c>
      <c r="R517" s="9">
        <v>4444</v>
      </c>
      <c r="U517" s="9">
        <f ca="1">IFERROR(OFFSET(ITEM_RES!$A$5,MATCH(BUILDING!T517,ITEM_RES!$J$5:$J$229,0)-1,0),0)</f>
        <v>0</v>
      </c>
      <c r="X517" s="9">
        <f ca="1">IFERROR(OFFSET(ITEM_RES!$A$5,MATCH(BUILDING!W517,ITEM_RES!$J$5:$J$229,0)-1,0),0)</f>
        <v>0</v>
      </c>
      <c r="Z517" s="9" t="s">
        <v>391</v>
      </c>
      <c r="AA517" s="9">
        <v>13</v>
      </c>
      <c r="AC517" s="9">
        <v>14000</v>
      </c>
      <c r="AE517" s="56">
        <f t="shared" si="139"/>
        <v>5600</v>
      </c>
      <c r="AF517" s="10">
        <f t="shared" si="146"/>
        <v>10400</v>
      </c>
      <c r="AH517" s="11">
        <f t="shared" si="138"/>
        <v>65</v>
      </c>
      <c r="AI517" s="10">
        <v>65</v>
      </c>
      <c r="AJ517" s="11">
        <f t="shared" si="145"/>
        <v>350</v>
      </c>
      <c r="AK517" s="10">
        <v>350</v>
      </c>
      <c r="AL517" s="11">
        <f t="shared" si="145"/>
        <v>350</v>
      </c>
      <c r="AM517" s="10">
        <v>350</v>
      </c>
      <c r="AN517" s="56">
        <f t="shared" si="140"/>
        <v>1</v>
      </c>
      <c r="AP517" s="11">
        <f ca="1">IFERROR(OFFSET(ITEM_RES!$A$1,MATCH(AQ517,ITEM_RES!$J:$J,0)-1,0),0)</f>
        <v>211020801</v>
      </c>
      <c r="AQ517" s="10" t="s">
        <v>457</v>
      </c>
      <c r="AR517" s="11">
        <v>1750</v>
      </c>
      <c r="AU517" s="11">
        <f ca="1">IFERROR(OFFSET(ITEM_RES!$A$1,MATCH(AV517,ITEM_RES!$J:$J,0)-1,0),0)</f>
        <v>0</v>
      </c>
      <c r="AZ517" s="11">
        <f ca="1">IFERROR(OFFSET(ITEM_RES!$A$1,MATCH(BA517,ITEM_RES!$J:$J,0)-1,0),0)</f>
        <v>0</v>
      </c>
      <c r="BE517" s="11">
        <f ca="1">IFERROR(OFFSET(ITEM_RES!$A$1,MATCH(BF517,ITEM_RES!$J:$J,0)-1,0),0)</f>
        <v>0</v>
      </c>
      <c r="BJ517" s="11">
        <f ca="1">IFERROR(OFFSET(ITEM_RES!$A$1,MATCH(BK517,ITEM_RES!$J:$J,0)-1,0),0)</f>
        <v>0</v>
      </c>
    </row>
    <row r="518" spans="1:65" x14ac:dyDescent="0.3">
      <c r="A518" s="14">
        <f t="shared" si="142"/>
        <v>115030014</v>
      </c>
      <c r="B518" s="13">
        <v>11</v>
      </c>
      <c r="C518" s="12">
        <f t="shared" si="143"/>
        <v>5</v>
      </c>
      <c r="D518" s="13">
        <v>3</v>
      </c>
      <c r="E518" s="13">
        <v>0</v>
      </c>
      <c r="F518" s="12">
        <f t="shared" si="144"/>
        <v>14</v>
      </c>
      <c r="H518" s="9">
        <v>5</v>
      </c>
      <c r="I518" s="9">
        <v>14</v>
      </c>
      <c r="K518" s="9" t="s">
        <v>363</v>
      </c>
      <c r="L518" s="9">
        <v>1</v>
      </c>
      <c r="M518" s="9">
        <v>15</v>
      </c>
      <c r="R518" s="9">
        <v>4444</v>
      </c>
      <c r="U518" s="9">
        <f ca="1">IFERROR(OFFSET(ITEM_RES!$A$5,MATCH(BUILDING!T518,ITEM_RES!$J$5:$J$229,0)-1,0),0)</f>
        <v>0</v>
      </c>
      <c r="X518" s="9">
        <f ca="1">IFERROR(OFFSET(ITEM_RES!$A$5,MATCH(BUILDING!W518,ITEM_RES!$J$5:$J$229,0)-1,0),0)</f>
        <v>0</v>
      </c>
      <c r="Z518" s="9" t="s">
        <v>391</v>
      </c>
      <c r="AA518" s="9">
        <v>14</v>
      </c>
      <c r="AC518" s="9">
        <v>18000</v>
      </c>
      <c r="AE518" s="56">
        <f t="shared" si="139"/>
        <v>7200</v>
      </c>
      <c r="AF518" s="10">
        <f t="shared" si="146"/>
        <v>12800</v>
      </c>
      <c r="AH518" s="11">
        <f t="shared" si="138"/>
        <v>70</v>
      </c>
      <c r="AI518" s="10">
        <v>70</v>
      </c>
      <c r="AJ518" s="11">
        <f t="shared" si="145"/>
        <v>450</v>
      </c>
      <c r="AK518" s="10">
        <v>450</v>
      </c>
      <c r="AL518" s="11">
        <f t="shared" si="145"/>
        <v>450</v>
      </c>
      <c r="AM518" s="10">
        <v>450</v>
      </c>
      <c r="AN518" s="56">
        <f t="shared" si="140"/>
        <v>1</v>
      </c>
      <c r="AP518" s="11">
        <f ca="1">IFERROR(OFFSET(ITEM_RES!$A$1,MATCH(AQ518,ITEM_RES!$J:$J,0)-1,0),0)</f>
        <v>211020901</v>
      </c>
      <c r="AQ518" s="10" t="s">
        <v>470</v>
      </c>
      <c r="AR518" s="11">
        <v>2250</v>
      </c>
      <c r="AU518" s="11">
        <f ca="1">IFERROR(OFFSET(ITEM_RES!$A$1,MATCH(AV518,ITEM_RES!$J:$J,0)-1,0),0)</f>
        <v>0</v>
      </c>
      <c r="AZ518" s="11">
        <f ca="1">IFERROR(OFFSET(ITEM_RES!$A$1,MATCH(BA518,ITEM_RES!$J:$J,0)-1,0),0)</f>
        <v>0</v>
      </c>
      <c r="BE518" s="11">
        <f ca="1">IFERROR(OFFSET(ITEM_RES!$A$1,MATCH(BF518,ITEM_RES!$J:$J,0)-1,0),0)</f>
        <v>0</v>
      </c>
      <c r="BJ518" s="11">
        <f ca="1">IFERROR(OFFSET(ITEM_RES!$A$1,MATCH(BK518,ITEM_RES!$J:$J,0)-1,0),0)</f>
        <v>0</v>
      </c>
    </row>
    <row r="519" spans="1:65" x14ac:dyDescent="0.3">
      <c r="A519" s="14">
        <f t="shared" si="142"/>
        <v>115030015</v>
      </c>
      <c r="B519" s="13">
        <v>11</v>
      </c>
      <c r="C519" s="12">
        <f t="shared" si="143"/>
        <v>5</v>
      </c>
      <c r="D519" s="13">
        <v>3</v>
      </c>
      <c r="E519" s="13">
        <v>0</v>
      </c>
      <c r="F519" s="12">
        <f t="shared" si="144"/>
        <v>15</v>
      </c>
      <c r="H519" s="9">
        <v>5</v>
      </c>
      <c r="I519" s="9">
        <v>15</v>
      </c>
      <c r="K519" s="9" t="s">
        <v>363</v>
      </c>
      <c r="L519" s="9">
        <v>1</v>
      </c>
      <c r="M519" s="9">
        <v>15</v>
      </c>
      <c r="R519" s="9">
        <v>4444</v>
      </c>
      <c r="U519" s="9">
        <f ca="1">IFERROR(OFFSET(ITEM_RES!$A$5,MATCH(BUILDING!T519,ITEM_RES!$J$5:$J$229,0)-1,0),0)</f>
        <v>0</v>
      </c>
      <c r="X519" s="9">
        <f ca="1">IFERROR(OFFSET(ITEM_RES!$A$5,MATCH(BUILDING!W519,ITEM_RES!$J$5:$J$229,0)-1,0),0)</f>
        <v>0</v>
      </c>
      <c r="Z519" s="9" t="s">
        <v>391</v>
      </c>
      <c r="AA519" s="9">
        <v>15</v>
      </c>
      <c r="AC519" s="9">
        <v>22000</v>
      </c>
      <c r="AE519" s="56">
        <f t="shared" si="139"/>
        <v>8800</v>
      </c>
      <c r="AF519" s="10">
        <f t="shared" si="146"/>
        <v>16000</v>
      </c>
      <c r="AH519" s="11">
        <f t="shared" si="138"/>
        <v>75</v>
      </c>
      <c r="AI519" s="10">
        <v>75</v>
      </c>
      <c r="AJ519" s="11">
        <f t="shared" si="145"/>
        <v>550</v>
      </c>
      <c r="AK519" s="10">
        <v>550</v>
      </c>
      <c r="AL519" s="11">
        <f t="shared" si="145"/>
        <v>550</v>
      </c>
      <c r="AM519" s="10">
        <v>550</v>
      </c>
      <c r="AN519" s="56">
        <f t="shared" si="140"/>
        <v>1</v>
      </c>
      <c r="AP519" s="11">
        <f ca="1">IFERROR(OFFSET(ITEM_RES!$A$1,MATCH(AQ519,ITEM_RES!$J:$J,0)-1,0),0)</f>
        <v>211020901</v>
      </c>
      <c r="AQ519" s="10" t="s">
        <v>470</v>
      </c>
      <c r="AR519" s="11">
        <v>2750</v>
      </c>
      <c r="AU519" s="11">
        <f ca="1">IFERROR(OFFSET(ITEM_RES!$A$1,MATCH(AV519,ITEM_RES!$J:$J,0)-1,0),0)</f>
        <v>0</v>
      </c>
      <c r="AZ519" s="11">
        <f ca="1">IFERROR(OFFSET(ITEM_RES!$A$1,MATCH(BA519,ITEM_RES!$J:$J,0)-1,0),0)</f>
        <v>0</v>
      </c>
      <c r="BE519" s="11">
        <f ca="1">IFERROR(OFFSET(ITEM_RES!$A$1,MATCH(BF519,ITEM_RES!$J:$J,0)-1,0),0)</f>
        <v>0</v>
      </c>
      <c r="BJ519" s="11">
        <f ca="1">IFERROR(OFFSET(ITEM_RES!$A$1,MATCH(BK519,ITEM_RES!$J:$J,0)-1,0),0)</f>
        <v>0</v>
      </c>
    </row>
    <row r="520" spans="1:65" x14ac:dyDescent="0.3">
      <c r="A520" s="14">
        <f t="shared" si="142"/>
        <v>115030016</v>
      </c>
      <c r="B520" s="13">
        <v>11</v>
      </c>
      <c r="C520" s="12">
        <f t="shared" si="143"/>
        <v>5</v>
      </c>
      <c r="D520" s="13">
        <v>3</v>
      </c>
      <c r="E520" s="13">
        <v>0</v>
      </c>
      <c r="F520" s="12">
        <f t="shared" si="144"/>
        <v>16</v>
      </c>
      <c r="H520" s="9">
        <v>5</v>
      </c>
      <c r="I520" s="9">
        <v>16</v>
      </c>
      <c r="K520" s="9" t="s">
        <v>363</v>
      </c>
      <c r="L520" s="9">
        <v>0</v>
      </c>
      <c r="M520" s="9">
        <v>15</v>
      </c>
      <c r="R520" s="9">
        <v>4444</v>
      </c>
      <c r="U520" s="9">
        <f ca="1">IFERROR(OFFSET(ITEM_RES!$A$5,MATCH(BUILDING!T520,ITEM_RES!$J$5:$J$229,0)-1,0),0)</f>
        <v>0</v>
      </c>
      <c r="X520" s="9">
        <f ca="1">IFERROR(OFFSET(ITEM_RES!$A$5,MATCH(BUILDING!W520,ITEM_RES!$J$5:$J$229,0)-1,0),0)</f>
        <v>0</v>
      </c>
      <c r="Z520" s="9" t="s">
        <v>391</v>
      </c>
      <c r="AA520" s="9">
        <v>16</v>
      </c>
      <c r="AC520" s="9">
        <v>28000</v>
      </c>
      <c r="AE520" s="56">
        <f t="shared" si="139"/>
        <v>11200</v>
      </c>
      <c r="AF520" s="10">
        <f t="shared" si="146"/>
        <v>20000</v>
      </c>
      <c r="AH520" s="11">
        <f t="shared" si="138"/>
        <v>80</v>
      </c>
      <c r="AI520" s="10">
        <v>80</v>
      </c>
      <c r="AJ520" s="11">
        <f t="shared" si="145"/>
        <v>700</v>
      </c>
      <c r="AK520" s="10">
        <v>700</v>
      </c>
      <c r="AL520" s="11">
        <f t="shared" si="145"/>
        <v>700</v>
      </c>
      <c r="AM520" s="10">
        <v>700</v>
      </c>
      <c r="AN520" s="56">
        <f t="shared" si="140"/>
        <v>1</v>
      </c>
      <c r="AP520" s="11">
        <f ca="1">IFERROR(OFFSET(ITEM_RES!$A$1,MATCH(AQ520,ITEM_RES!$J:$J,0)-1,0),0)</f>
        <v>211020901</v>
      </c>
      <c r="AQ520" s="10" t="s">
        <v>470</v>
      </c>
      <c r="AR520" s="11">
        <v>3500</v>
      </c>
      <c r="AU520" s="11">
        <f ca="1">IFERROR(OFFSET(ITEM_RES!$A$1,MATCH(AV520,ITEM_RES!$J:$J,0)-1,0),0)</f>
        <v>0</v>
      </c>
      <c r="AZ520" s="11">
        <f ca="1">IFERROR(OFFSET(ITEM_RES!$A$1,MATCH(BA520,ITEM_RES!$J:$J,0)-1,0),0)</f>
        <v>0</v>
      </c>
      <c r="BE520" s="11">
        <f ca="1">IFERROR(OFFSET(ITEM_RES!$A$1,MATCH(BF520,ITEM_RES!$J:$J,0)-1,0),0)</f>
        <v>0</v>
      </c>
      <c r="BJ520" s="11">
        <f ca="1">IFERROR(OFFSET(ITEM_RES!$A$1,MATCH(BK520,ITEM_RES!$J:$J,0)-1,0),0)</f>
        <v>0</v>
      </c>
    </row>
    <row r="521" spans="1:65" x14ac:dyDescent="0.3">
      <c r="A521" s="14">
        <f t="shared" si="142"/>
        <v>115030017</v>
      </c>
      <c r="B521" s="13">
        <v>11</v>
      </c>
      <c r="C521" s="12">
        <f t="shared" si="143"/>
        <v>5</v>
      </c>
      <c r="D521" s="13">
        <v>3</v>
      </c>
      <c r="E521" s="13">
        <v>0</v>
      </c>
      <c r="F521" s="12">
        <f t="shared" si="144"/>
        <v>17</v>
      </c>
      <c r="H521" s="9">
        <v>5</v>
      </c>
      <c r="I521" s="9">
        <v>17</v>
      </c>
      <c r="K521" s="9" t="s">
        <v>363</v>
      </c>
      <c r="L521" s="9">
        <v>0</v>
      </c>
      <c r="M521" s="9">
        <v>15</v>
      </c>
      <c r="R521" s="9">
        <v>4444</v>
      </c>
      <c r="U521" s="9">
        <f ca="1">IFERROR(OFFSET(ITEM_RES!$A$5,MATCH(BUILDING!T521,ITEM_RES!$J$5:$J$229,0)-1,0),0)</f>
        <v>0</v>
      </c>
      <c r="X521" s="9">
        <f ca="1">IFERROR(OFFSET(ITEM_RES!$A$5,MATCH(BUILDING!W521,ITEM_RES!$J$5:$J$229,0)-1,0),0)</f>
        <v>0</v>
      </c>
      <c r="Z521" s="9" t="s">
        <v>391</v>
      </c>
      <c r="AA521" s="9">
        <v>17</v>
      </c>
      <c r="AC521" s="9">
        <v>34000</v>
      </c>
      <c r="AE521" s="56">
        <f t="shared" si="139"/>
        <v>13600</v>
      </c>
      <c r="AF521" s="10">
        <f t="shared" si="146"/>
        <v>24800</v>
      </c>
      <c r="AH521" s="11">
        <f t="shared" si="138"/>
        <v>85</v>
      </c>
      <c r="AI521" s="10">
        <v>85</v>
      </c>
      <c r="AJ521" s="11">
        <f t="shared" si="145"/>
        <v>850</v>
      </c>
      <c r="AK521" s="10">
        <v>850</v>
      </c>
      <c r="AL521" s="11">
        <f t="shared" si="145"/>
        <v>850</v>
      </c>
      <c r="AM521" s="10">
        <v>850</v>
      </c>
      <c r="AN521" s="56">
        <f t="shared" si="140"/>
        <v>1</v>
      </c>
      <c r="AP521" s="11">
        <f ca="1">IFERROR(OFFSET(ITEM_RES!$A$1,MATCH(AQ521,ITEM_RES!$J:$J,0)-1,0),0)</f>
        <v>211020901</v>
      </c>
      <c r="AQ521" s="10" t="s">
        <v>470</v>
      </c>
      <c r="AR521" s="11">
        <v>4250</v>
      </c>
      <c r="AU521" s="11">
        <f ca="1">IFERROR(OFFSET(ITEM_RES!$A$1,MATCH(AV521,ITEM_RES!$J:$J,0)-1,0),0)</f>
        <v>0</v>
      </c>
      <c r="AZ521" s="11">
        <f ca="1">IFERROR(OFFSET(ITEM_RES!$A$1,MATCH(BA521,ITEM_RES!$J:$J,0)-1,0),0)</f>
        <v>0</v>
      </c>
      <c r="BE521" s="11">
        <f ca="1">IFERROR(OFFSET(ITEM_RES!$A$1,MATCH(BF521,ITEM_RES!$J:$J,0)-1,0),0)</f>
        <v>0</v>
      </c>
      <c r="BJ521" s="11">
        <f ca="1">IFERROR(OFFSET(ITEM_RES!$A$1,MATCH(BK521,ITEM_RES!$J:$J,0)-1,0),0)</f>
        <v>0</v>
      </c>
    </row>
    <row r="522" spans="1:65" x14ac:dyDescent="0.3">
      <c r="A522" s="14">
        <f t="shared" si="142"/>
        <v>115030018</v>
      </c>
      <c r="B522" s="13">
        <v>11</v>
      </c>
      <c r="C522" s="12">
        <f t="shared" si="143"/>
        <v>5</v>
      </c>
      <c r="D522" s="13">
        <v>3</v>
      </c>
      <c r="E522" s="13">
        <v>0</v>
      </c>
      <c r="F522" s="12">
        <f t="shared" si="144"/>
        <v>18</v>
      </c>
      <c r="H522" s="9">
        <v>5</v>
      </c>
      <c r="I522" s="9">
        <v>18</v>
      </c>
      <c r="K522" s="9" t="s">
        <v>363</v>
      </c>
      <c r="L522" s="9">
        <v>0</v>
      </c>
      <c r="M522" s="9">
        <v>15</v>
      </c>
      <c r="R522" s="9">
        <v>4444</v>
      </c>
      <c r="U522" s="9">
        <f ca="1">IFERROR(OFFSET(ITEM_RES!$A$5,MATCH(BUILDING!T522,ITEM_RES!$J$5:$J$229,0)-1,0),0)</f>
        <v>0</v>
      </c>
      <c r="X522" s="9">
        <f ca="1">IFERROR(OFFSET(ITEM_RES!$A$5,MATCH(BUILDING!W522,ITEM_RES!$J$5:$J$229,0)-1,0),0)</f>
        <v>0</v>
      </c>
      <c r="Z522" s="9" t="s">
        <v>391</v>
      </c>
      <c r="AA522" s="9">
        <v>18</v>
      </c>
      <c r="AC522" s="9">
        <v>42000</v>
      </c>
      <c r="AE522" s="56">
        <f t="shared" si="139"/>
        <v>16800</v>
      </c>
      <c r="AF522" s="10">
        <f t="shared" si="146"/>
        <v>30400</v>
      </c>
      <c r="AH522" s="11">
        <f t="shared" si="138"/>
        <v>90</v>
      </c>
      <c r="AI522" s="10">
        <v>90</v>
      </c>
      <c r="AJ522" s="11">
        <f t="shared" si="145"/>
        <v>1050</v>
      </c>
      <c r="AK522" s="10">
        <v>1050</v>
      </c>
      <c r="AL522" s="11">
        <f t="shared" si="145"/>
        <v>1050</v>
      </c>
      <c r="AM522" s="10">
        <v>1050</v>
      </c>
      <c r="AN522" s="56">
        <f t="shared" si="140"/>
        <v>1</v>
      </c>
      <c r="AP522" s="11">
        <f ca="1">IFERROR(OFFSET(ITEM_RES!$A$1,MATCH(AQ522,ITEM_RES!$J:$J,0)-1,0),0)</f>
        <v>211020901</v>
      </c>
      <c r="AQ522" s="10" t="s">
        <v>470</v>
      </c>
      <c r="AR522" s="11">
        <v>5250</v>
      </c>
      <c r="AU522" s="11">
        <f ca="1">IFERROR(OFFSET(ITEM_RES!$A$1,MATCH(AV522,ITEM_RES!$J:$J,0)-1,0),0)</f>
        <v>0</v>
      </c>
      <c r="AZ522" s="11">
        <f ca="1">IFERROR(OFFSET(ITEM_RES!$A$1,MATCH(BA522,ITEM_RES!$J:$J,0)-1,0),0)</f>
        <v>0</v>
      </c>
      <c r="BE522" s="11">
        <f ca="1">IFERROR(OFFSET(ITEM_RES!$A$1,MATCH(BF522,ITEM_RES!$J:$J,0)-1,0),0)</f>
        <v>0</v>
      </c>
      <c r="BJ522" s="11">
        <f ca="1">IFERROR(OFFSET(ITEM_RES!$A$1,MATCH(BK522,ITEM_RES!$J:$J,0)-1,0),0)</f>
        <v>0</v>
      </c>
    </row>
    <row r="523" spans="1:65" x14ac:dyDescent="0.3">
      <c r="A523" s="14">
        <f t="shared" si="142"/>
        <v>115030019</v>
      </c>
      <c r="B523" s="13">
        <v>11</v>
      </c>
      <c r="C523" s="12">
        <f t="shared" si="143"/>
        <v>5</v>
      </c>
      <c r="D523" s="13">
        <v>3</v>
      </c>
      <c r="E523" s="13">
        <v>0</v>
      </c>
      <c r="F523" s="12">
        <f t="shared" si="144"/>
        <v>19</v>
      </c>
      <c r="H523" s="9">
        <v>5</v>
      </c>
      <c r="I523" s="9">
        <v>19</v>
      </c>
      <c r="K523" s="9" t="s">
        <v>363</v>
      </c>
      <c r="L523" s="9">
        <v>0</v>
      </c>
      <c r="M523" s="9">
        <v>15</v>
      </c>
      <c r="R523" s="9">
        <v>4444</v>
      </c>
      <c r="U523" s="9">
        <f ca="1">IFERROR(OFFSET(ITEM_RES!$A$5,MATCH(BUILDING!T523,ITEM_RES!$J$5:$J$229,0)-1,0),0)</f>
        <v>0</v>
      </c>
      <c r="X523" s="9">
        <f ca="1">IFERROR(OFFSET(ITEM_RES!$A$5,MATCH(BUILDING!W523,ITEM_RES!$J$5:$J$229,0)-1,0),0)</f>
        <v>0</v>
      </c>
      <c r="Z523" s="9" t="s">
        <v>391</v>
      </c>
      <c r="AA523" s="9">
        <v>19</v>
      </c>
      <c r="AC523" s="9">
        <v>50000</v>
      </c>
      <c r="AE523" s="56">
        <f t="shared" si="139"/>
        <v>20000</v>
      </c>
      <c r="AF523" s="10">
        <f t="shared" si="146"/>
        <v>36800</v>
      </c>
      <c r="AH523" s="11">
        <f t="shared" si="138"/>
        <v>95</v>
      </c>
      <c r="AI523" s="10">
        <v>95</v>
      </c>
      <c r="AJ523" s="11">
        <f t="shared" si="145"/>
        <v>1250</v>
      </c>
      <c r="AK523" s="10">
        <v>1250</v>
      </c>
      <c r="AL523" s="11">
        <f t="shared" si="145"/>
        <v>1250</v>
      </c>
      <c r="AM523" s="10">
        <v>1250</v>
      </c>
      <c r="AN523" s="56">
        <f t="shared" si="140"/>
        <v>1</v>
      </c>
      <c r="AP523" s="11">
        <f ca="1">IFERROR(OFFSET(ITEM_RES!$A$1,MATCH(AQ523,ITEM_RES!$J:$J,0)-1,0),0)</f>
        <v>211020901</v>
      </c>
      <c r="AQ523" s="10" t="s">
        <v>470</v>
      </c>
      <c r="AR523" s="11">
        <v>6250</v>
      </c>
      <c r="AU523" s="11">
        <f ca="1">IFERROR(OFFSET(ITEM_RES!$A$1,MATCH(AV523,ITEM_RES!$J:$J,0)-1,0),0)</f>
        <v>0</v>
      </c>
      <c r="AZ523" s="11">
        <f ca="1">IFERROR(OFFSET(ITEM_RES!$A$1,MATCH(BA523,ITEM_RES!$J:$J,0)-1,0),0)</f>
        <v>0</v>
      </c>
      <c r="BE523" s="11">
        <f ca="1">IFERROR(OFFSET(ITEM_RES!$A$1,MATCH(BF523,ITEM_RES!$J:$J,0)-1,0),0)</f>
        <v>0</v>
      </c>
      <c r="BJ523" s="11">
        <f ca="1">IFERROR(OFFSET(ITEM_RES!$A$1,MATCH(BK523,ITEM_RES!$J:$J,0)-1,0),0)</f>
        <v>0</v>
      </c>
    </row>
    <row r="524" spans="1:65" ht="17.25" thickBot="1" x14ac:dyDescent="0.35">
      <c r="A524" s="14">
        <f t="shared" si="142"/>
        <v>115030020</v>
      </c>
      <c r="B524" s="13">
        <v>11</v>
      </c>
      <c r="C524" s="12">
        <f t="shared" si="143"/>
        <v>5</v>
      </c>
      <c r="D524" s="13">
        <v>3</v>
      </c>
      <c r="E524" s="13">
        <v>0</v>
      </c>
      <c r="F524" s="12">
        <f t="shared" si="144"/>
        <v>20</v>
      </c>
      <c r="H524" s="9">
        <v>5</v>
      </c>
      <c r="I524" s="9">
        <v>20</v>
      </c>
      <c r="K524" s="9" t="s">
        <v>363</v>
      </c>
      <c r="L524" s="9">
        <v>0</v>
      </c>
      <c r="M524" s="9">
        <v>15</v>
      </c>
      <c r="R524" s="9">
        <v>4444</v>
      </c>
      <c r="U524" s="9">
        <f ca="1">IFERROR(OFFSET(ITEM_RES!$A$5,MATCH(BUILDING!T524,ITEM_RES!$J$5:$J$229,0)-1,0),0)</f>
        <v>0</v>
      </c>
      <c r="X524" s="9">
        <f ca="1">IFERROR(OFFSET(ITEM_RES!$A$5,MATCH(BUILDING!W524,ITEM_RES!$J$5:$J$229,0)-1,0),0)</f>
        <v>0</v>
      </c>
      <c r="Z524" s="9" t="s">
        <v>391</v>
      </c>
      <c r="AA524" s="9">
        <v>20</v>
      </c>
      <c r="AC524" s="9">
        <v>60000</v>
      </c>
      <c r="AE524" s="56">
        <f t="shared" si="139"/>
        <v>24000</v>
      </c>
      <c r="AF524" s="10">
        <f t="shared" si="146"/>
        <v>44000</v>
      </c>
      <c r="AH524" s="11">
        <f t="shared" si="138"/>
        <v>100</v>
      </c>
      <c r="AI524" s="10">
        <v>100</v>
      </c>
      <c r="AJ524" s="11">
        <f t="shared" si="145"/>
        <v>1500</v>
      </c>
      <c r="AK524" s="10">
        <v>1500</v>
      </c>
      <c r="AL524" s="11">
        <f t="shared" si="145"/>
        <v>1500</v>
      </c>
      <c r="AM524" s="10">
        <v>1500</v>
      </c>
      <c r="AN524" s="56">
        <f t="shared" si="140"/>
        <v>1</v>
      </c>
      <c r="AP524" s="11">
        <f ca="1">IFERROR(OFFSET(ITEM_RES!$A$1,MATCH(AQ524,ITEM_RES!$J:$J,0)-1,0),0)</f>
        <v>211020901</v>
      </c>
      <c r="AQ524" s="10" t="s">
        <v>470</v>
      </c>
      <c r="AR524" s="11">
        <v>7500</v>
      </c>
      <c r="AU524" s="11">
        <f ca="1">IFERROR(OFFSET(ITEM_RES!$A$1,MATCH(AV524,ITEM_RES!$J:$J,0)-1,0),0)</f>
        <v>0</v>
      </c>
      <c r="AZ524" s="11">
        <f ca="1">IFERROR(OFFSET(ITEM_RES!$A$1,MATCH(BA524,ITEM_RES!$J:$J,0)-1,0),0)</f>
        <v>0</v>
      </c>
      <c r="BE524" s="11">
        <f ca="1">IFERROR(OFFSET(ITEM_RES!$A$1,MATCH(BF524,ITEM_RES!$J:$J,0)-1,0),0)</f>
        <v>0</v>
      </c>
      <c r="BJ524" s="11">
        <f ca="1">IFERROR(OFFSET(ITEM_RES!$A$1,MATCH(BK524,ITEM_RES!$J:$J,0)-1,0),0)</f>
        <v>0</v>
      </c>
    </row>
    <row r="525" spans="1:65" s="15" customFormat="1" x14ac:dyDescent="0.3">
      <c r="A525" s="21">
        <f t="shared" si="142"/>
        <v>115040001</v>
      </c>
      <c r="B525" s="20">
        <v>11</v>
      </c>
      <c r="C525" s="19">
        <f t="shared" si="143"/>
        <v>5</v>
      </c>
      <c r="D525" s="20">
        <v>4</v>
      </c>
      <c r="E525" s="20">
        <v>0</v>
      </c>
      <c r="F525" s="19">
        <f t="shared" si="144"/>
        <v>1</v>
      </c>
      <c r="G525" s="80"/>
      <c r="H525" s="16">
        <v>5</v>
      </c>
      <c r="I525" s="16">
        <v>1</v>
      </c>
      <c r="J525" s="80"/>
      <c r="K525" s="16" t="s">
        <v>371</v>
      </c>
      <c r="L525" s="16">
        <v>1</v>
      </c>
      <c r="M525" s="16">
        <v>15</v>
      </c>
      <c r="N525" s="16"/>
      <c r="O525" s="17"/>
      <c r="P525" s="17"/>
      <c r="Q525" s="18"/>
      <c r="R525" s="16">
        <v>5555</v>
      </c>
      <c r="S525" s="80"/>
      <c r="T525" s="88"/>
      <c r="U525" s="16">
        <f ca="1">IFERROR(OFFSET(ITEM_RES!$A$5,MATCH(BUILDING!T525,ITEM_RES!$J$5:$J$229,0)-1,0),0)</f>
        <v>0</v>
      </c>
      <c r="V525" s="18"/>
      <c r="W525" s="88"/>
      <c r="X525" s="16">
        <f ca="1">IFERROR(OFFSET(ITEM_RES!$A$5,MATCH(BUILDING!W525,ITEM_RES!$J$5:$J$229,0)-1,0),0)</f>
        <v>0</v>
      </c>
      <c r="Y525" s="80"/>
      <c r="Z525" s="16" t="s">
        <v>393</v>
      </c>
      <c r="AA525" s="16">
        <v>1</v>
      </c>
      <c r="AB525" s="80"/>
      <c r="AC525" s="16">
        <v>0</v>
      </c>
      <c r="AD525" s="80"/>
      <c r="AE525" s="57">
        <f t="shared" si="139"/>
        <v>1080</v>
      </c>
      <c r="AF525" s="17">
        <f>AE525</f>
        <v>1080</v>
      </c>
      <c r="AG525" s="80"/>
      <c r="AH525" s="18">
        <f t="shared" si="138"/>
        <v>5</v>
      </c>
      <c r="AI525" s="17">
        <v>5</v>
      </c>
      <c r="AJ525" s="18">
        <f t="shared" si="145"/>
        <v>5</v>
      </c>
      <c r="AK525" s="17">
        <v>5</v>
      </c>
      <c r="AL525" s="18">
        <f t="shared" si="145"/>
        <v>5</v>
      </c>
      <c r="AM525" s="17">
        <v>5</v>
      </c>
      <c r="AN525" s="57">
        <f t="shared" si="140"/>
        <v>3</v>
      </c>
      <c r="AO525" s="18"/>
      <c r="AP525" s="18">
        <f ca="1">IFERROR(OFFSET(ITEM_RES!$A$1,MATCH(AQ525,ITEM_RES!$J:$J,0)-1,0),0)</f>
        <v>211020801</v>
      </c>
      <c r="AQ525" s="17" t="s">
        <v>462</v>
      </c>
      <c r="AR525" s="18">
        <v>25</v>
      </c>
      <c r="AS525" s="17"/>
      <c r="AT525" s="18"/>
      <c r="AU525" s="18">
        <f ca="1">IFERROR(OFFSET(ITEM_RES!$A$1,MATCH(AV525,ITEM_RES!$J:$J,0)-1,0),0)</f>
        <v>0</v>
      </c>
      <c r="AV525" s="17"/>
      <c r="AW525" s="18"/>
      <c r="AX525" s="17"/>
      <c r="AY525" s="18"/>
      <c r="AZ525" s="18">
        <f ca="1">IFERROR(OFFSET(ITEM_RES!$A$1,MATCH(BA525,ITEM_RES!$J:$J,0)-1,0),0)</f>
        <v>213010101</v>
      </c>
      <c r="BA525" s="17" t="s">
        <v>481</v>
      </c>
      <c r="BB525" s="18">
        <v>1</v>
      </c>
      <c r="BC525" s="17"/>
      <c r="BD525" s="18"/>
      <c r="BE525" s="18">
        <f ca="1">IFERROR(OFFSET(ITEM_RES!$A$1,MATCH(BF525,ITEM_RES!$J:$J,0)-1,0),0)</f>
        <v>213010401</v>
      </c>
      <c r="BF525" s="17" t="s">
        <v>504</v>
      </c>
      <c r="BG525" s="18">
        <v>1</v>
      </c>
      <c r="BH525" s="17"/>
      <c r="BI525" s="18"/>
      <c r="BJ525" s="18">
        <f ca="1">IFERROR(OFFSET(ITEM_RES!$A$1,MATCH(BK525,ITEM_RES!$J:$J,0)-1,0),0)</f>
        <v>0</v>
      </c>
      <c r="BK525" s="17"/>
      <c r="BL525" s="18"/>
      <c r="BM525" s="17"/>
    </row>
    <row r="526" spans="1:65" x14ac:dyDescent="0.3">
      <c r="A526" s="14">
        <f t="shared" si="142"/>
        <v>115040002</v>
      </c>
      <c r="B526" s="13">
        <v>11</v>
      </c>
      <c r="C526" s="12">
        <f t="shared" si="143"/>
        <v>5</v>
      </c>
      <c r="D526" s="13">
        <v>4</v>
      </c>
      <c r="E526" s="13">
        <v>0</v>
      </c>
      <c r="F526" s="12">
        <f t="shared" si="144"/>
        <v>2</v>
      </c>
      <c r="H526" s="9">
        <v>5</v>
      </c>
      <c r="I526" s="9">
        <v>2</v>
      </c>
      <c r="K526" s="9" t="s">
        <v>371</v>
      </c>
      <c r="L526" s="9">
        <v>1</v>
      </c>
      <c r="M526" s="9">
        <v>15</v>
      </c>
      <c r="R526" s="9">
        <v>5555</v>
      </c>
      <c r="U526" s="9">
        <f ca="1">IFERROR(OFFSET(ITEM_RES!$A$5,MATCH(BUILDING!T526,ITEM_RES!$J$5:$J$229,0)-1,0),0)</f>
        <v>0</v>
      </c>
      <c r="X526" s="9">
        <f ca="1">IFERROR(OFFSET(ITEM_RES!$A$5,MATCH(BUILDING!W526,ITEM_RES!$J$5:$J$229,0)-1,0),0)</f>
        <v>0</v>
      </c>
      <c r="Z526" s="9" t="s">
        <v>393</v>
      </c>
      <c r="AA526" s="9">
        <v>2</v>
      </c>
      <c r="AC526" s="9">
        <v>400</v>
      </c>
      <c r="AE526" s="56">
        <f t="shared" si="139"/>
        <v>160</v>
      </c>
      <c r="AF526" s="10">
        <f>AE525+AE526</f>
        <v>1240</v>
      </c>
      <c r="AH526" s="11">
        <f t="shared" si="138"/>
        <v>10</v>
      </c>
      <c r="AI526" s="10">
        <v>10</v>
      </c>
      <c r="AJ526" s="11">
        <f t="shared" si="145"/>
        <v>10</v>
      </c>
      <c r="AK526" s="10">
        <v>10</v>
      </c>
      <c r="AL526" s="11">
        <f t="shared" si="145"/>
        <v>10</v>
      </c>
      <c r="AM526" s="10">
        <v>10</v>
      </c>
      <c r="AN526" s="56">
        <f t="shared" si="140"/>
        <v>1</v>
      </c>
      <c r="AP526" s="11">
        <f ca="1">IFERROR(OFFSET(ITEM_RES!$A$1,MATCH(AQ526,ITEM_RES!$J:$J,0)-1,0),0)</f>
        <v>211020801</v>
      </c>
      <c r="AQ526" s="10" t="s">
        <v>462</v>
      </c>
      <c r="AR526" s="11">
        <v>50</v>
      </c>
      <c r="AU526" s="11">
        <f ca="1">IFERROR(OFFSET(ITEM_RES!$A$1,MATCH(AV526,ITEM_RES!$J:$J,0)-1,0),0)</f>
        <v>0</v>
      </c>
      <c r="AZ526" s="11">
        <f ca="1">IFERROR(OFFSET(ITEM_RES!$A$1,MATCH(BA526,ITEM_RES!$J:$J,0)-1,0),0)</f>
        <v>0</v>
      </c>
      <c r="BE526" s="11">
        <f ca="1">IFERROR(OFFSET(ITEM_RES!$A$1,MATCH(BF526,ITEM_RES!$J:$J,0)-1,0),0)</f>
        <v>0</v>
      </c>
      <c r="BJ526" s="11">
        <f ca="1">IFERROR(OFFSET(ITEM_RES!$A$1,MATCH(BK526,ITEM_RES!$J:$J,0)-1,0),0)</f>
        <v>0</v>
      </c>
    </row>
    <row r="527" spans="1:65" x14ac:dyDescent="0.3">
      <c r="A527" s="14">
        <f t="shared" si="142"/>
        <v>115040003</v>
      </c>
      <c r="B527" s="13">
        <v>11</v>
      </c>
      <c r="C527" s="12">
        <f t="shared" si="143"/>
        <v>5</v>
      </c>
      <c r="D527" s="13">
        <v>4</v>
      </c>
      <c r="E527" s="13">
        <v>0</v>
      </c>
      <c r="F527" s="12">
        <f t="shared" si="144"/>
        <v>3</v>
      </c>
      <c r="H527" s="9">
        <v>5</v>
      </c>
      <c r="I527" s="9">
        <v>3</v>
      </c>
      <c r="K527" s="9" t="s">
        <v>371</v>
      </c>
      <c r="L527" s="9">
        <v>1</v>
      </c>
      <c r="M527" s="9">
        <v>15</v>
      </c>
      <c r="R527" s="9">
        <v>5555</v>
      </c>
      <c r="U527" s="9">
        <f ca="1">IFERROR(OFFSET(ITEM_RES!$A$5,MATCH(BUILDING!T527,ITEM_RES!$J$5:$J$229,0)-1,0),0)</f>
        <v>0</v>
      </c>
      <c r="X527" s="9">
        <f ca="1">IFERROR(OFFSET(ITEM_RES!$A$5,MATCH(BUILDING!W527,ITEM_RES!$J$5:$J$229,0)-1,0),0)</f>
        <v>0</v>
      </c>
      <c r="Z527" s="9" t="s">
        <v>370</v>
      </c>
      <c r="AA527" s="9">
        <v>3</v>
      </c>
      <c r="AC527" s="9">
        <v>1200</v>
      </c>
      <c r="AE527" s="56">
        <f t="shared" si="139"/>
        <v>240</v>
      </c>
      <c r="AF527" s="10">
        <f t="shared" ref="AF527:AF544" si="147">AE526+AE527</f>
        <v>400</v>
      </c>
      <c r="AH527" s="11">
        <f t="shared" si="138"/>
        <v>15</v>
      </c>
      <c r="AI527" s="10">
        <v>15</v>
      </c>
      <c r="AJ527" s="11">
        <f t="shared" si="145"/>
        <v>15</v>
      </c>
      <c r="AK527" s="10">
        <v>15</v>
      </c>
      <c r="AL527" s="11">
        <f t="shared" si="145"/>
        <v>15</v>
      </c>
      <c r="AM527" s="10">
        <v>15</v>
      </c>
      <c r="AN527" s="56">
        <f t="shared" si="140"/>
        <v>1</v>
      </c>
      <c r="AP527" s="11">
        <f ca="1">IFERROR(OFFSET(ITEM_RES!$A$1,MATCH(AQ527,ITEM_RES!$J:$J,0)-1,0),0)</f>
        <v>211020801</v>
      </c>
      <c r="AQ527" s="10" t="s">
        <v>462</v>
      </c>
      <c r="AR527" s="11">
        <v>75</v>
      </c>
      <c r="AU527" s="11">
        <f ca="1">IFERROR(OFFSET(ITEM_RES!$A$1,MATCH(AV527,ITEM_RES!$J:$J,0)-1,0),0)</f>
        <v>0</v>
      </c>
      <c r="AZ527" s="11">
        <f ca="1">IFERROR(OFFSET(ITEM_RES!$A$1,MATCH(BA527,ITEM_RES!$J:$J,0)-1,0),0)</f>
        <v>0</v>
      </c>
      <c r="BE527" s="11">
        <f ca="1">IFERROR(OFFSET(ITEM_RES!$A$1,MATCH(BF527,ITEM_RES!$J:$J,0)-1,0),0)</f>
        <v>0</v>
      </c>
      <c r="BJ527" s="11">
        <f ca="1">IFERROR(OFFSET(ITEM_RES!$A$1,MATCH(BK527,ITEM_RES!$J:$J,0)-1,0),0)</f>
        <v>0</v>
      </c>
    </row>
    <row r="528" spans="1:65" x14ac:dyDescent="0.3">
      <c r="A528" s="14">
        <f t="shared" si="142"/>
        <v>115040004</v>
      </c>
      <c r="B528" s="13">
        <v>11</v>
      </c>
      <c r="C528" s="12">
        <f t="shared" si="143"/>
        <v>5</v>
      </c>
      <c r="D528" s="13">
        <v>4</v>
      </c>
      <c r="E528" s="13">
        <v>0</v>
      </c>
      <c r="F528" s="12">
        <f t="shared" si="144"/>
        <v>4</v>
      </c>
      <c r="H528" s="9">
        <v>5</v>
      </c>
      <c r="I528" s="9">
        <v>4</v>
      </c>
      <c r="K528" s="9" t="s">
        <v>370</v>
      </c>
      <c r="L528" s="9">
        <v>1</v>
      </c>
      <c r="M528" s="9">
        <v>15</v>
      </c>
      <c r="R528" s="9">
        <v>5555</v>
      </c>
      <c r="U528" s="9">
        <f ca="1">IFERROR(OFFSET(ITEM_RES!$A$5,MATCH(BUILDING!T528,ITEM_RES!$J$5:$J$229,0)-1,0),0)</f>
        <v>0</v>
      </c>
      <c r="X528" s="9">
        <f ca="1">IFERROR(OFFSET(ITEM_RES!$A$5,MATCH(BUILDING!W528,ITEM_RES!$J$5:$J$229,0)-1,0),0)</f>
        <v>0</v>
      </c>
      <c r="Z528" s="9" t="s">
        <v>370</v>
      </c>
      <c r="AA528" s="9">
        <v>4</v>
      </c>
      <c r="AC528" s="9">
        <v>2000</v>
      </c>
      <c r="AE528" s="56">
        <f t="shared" si="139"/>
        <v>400</v>
      </c>
      <c r="AF528" s="10">
        <f t="shared" si="147"/>
        <v>640</v>
      </c>
      <c r="AH528" s="11">
        <f t="shared" si="138"/>
        <v>20</v>
      </c>
      <c r="AI528" s="10">
        <v>20</v>
      </c>
      <c r="AJ528" s="11">
        <f t="shared" si="145"/>
        <v>25</v>
      </c>
      <c r="AK528" s="10">
        <v>25</v>
      </c>
      <c r="AL528" s="11">
        <f t="shared" si="145"/>
        <v>25</v>
      </c>
      <c r="AM528" s="10">
        <v>25</v>
      </c>
      <c r="AN528" s="56">
        <f t="shared" si="140"/>
        <v>1</v>
      </c>
      <c r="AP528" s="11">
        <f ca="1">IFERROR(OFFSET(ITEM_RES!$A$1,MATCH(AQ528,ITEM_RES!$J:$J,0)-1,0),0)</f>
        <v>211020801</v>
      </c>
      <c r="AQ528" s="10" t="s">
        <v>462</v>
      </c>
      <c r="AR528" s="11">
        <v>125</v>
      </c>
      <c r="AU528" s="11">
        <f ca="1">IFERROR(OFFSET(ITEM_RES!$A$1,MATCH(AV528,ITEM_RES!$J:$J,0)-1,0),0)</f>
        <v>0</v>
      </c>
      <c r="AZ528" s="11">
        <f ca="1">IFERROR(OFFSET(ITEM_RES!$A$1,MATCH(BA528,ITEM_RES!$J:$J,0)-1,0),0)</f>
        <v>0</v>
      </c>
      <c r="BE528" s="11">
        <f ca="1">IFERROR(OFFSET(ITEM_RES!$A$1,MATCH(BF528,ITEM_RES!$J:$J,0)-1,0),0)</f>
        <v>0</v>
      </c>
      <c r="BJ528" s="11">
        <f ca="1">IFERROR(OFFSET(ITEM_RES!$A$1,MATCH(BK528,ITEM_RES!$J:$J,0)-1,0),0)</f>
        <v>0</v>
      </c>
    </row>
    <row r="529" spans="1:62" x14ac:dyDescent="0.3">
      <c r="A529" s="14">
        <f t="shared" si="142"/>
        <v>115040005</v>
      </c>
      <c r="B529" s="13">
        <v>11</v>
      </c>
      <c r="C529" s="12">
        <f t="shared" si="143"/>
        <v>5</v>
      </c>
      <c r="D529" s="13">
        <v>4</v>
      </c>
      <c r="E529" s="13">
        <v>0</v>
      </c>
      <c r="F529" s="12">
        <f t="shared" si="144"/>
        <v>5</v>
      </c>
      <c r="H529" s="9">
        <v>5</v>
      </c>
      <c r="I529" s="9">
        <v>5</v>
      </c>
      <c r="K529" s="9" t="s">
        <v>370</v>
      </c>
      <c r="L529" s="9">
        <v>1</v>
      </c>
      <c r="M529" s="9">
        <v>15</v>
      </c>
      <c r="R529" s="9">
        <v>5555</v>
      </c>
      <c r="U529" s="9">
        <f ca="1">IFERROR(OFFSET(ITEM_RES!$A$5,MATCH(BUILDING!T529,ITEM_RES!$J$5:$J$229,0)-1,0),0)</f>
        <v>0</v>
      </c>
      <c r="X529" s="9">
        <f ca="1">IFERROR(OFFSET(ITEM_RES!$A$5,MATCH(BUILDING!W529,ITEM_RES!$J$5:$J$229,0)-1,0),0)</f>
        <v>0</v>
      </c>
      <c r="Z529" s="9" t="s">
        <v>370</v>
      </c>
      <c r="AA529" s="9">
        <v>5</v>
      </c>
      <c r="AC529" s="9">
        <v>3200</v>
      </c>
      <c r="AE529" s="56">
        <f t="shared" si="139"/>
        <v>640</v>
      </c>
      <c r="AF529" s="10">
        <f t="shared" si="147"/>
        <v>1040</v>
      </c>
      <c r="AH529" s="11">
        <f t="shared" si="138"/>
        <v>25</v>
      </c>
      <c r="AI529" s="10">
        <v>25</v>
      </c>
      <c r="AJ529" s="11">
        <f t="shared" si="145"/>
        <v>40</v>
      </c>
      <c r="AK529" s="10">
        <v>40</v>
      </c>
      <c r="AL529" s="11">
        <f t="shared" si="145"/>
        <v>40</v>
      </c>
      <c r="AM529" s="10">
        <v>40</v>
      </c>
      <c r="AN529" s="56">
        <f t="shared" si="140"/>
        <v>1</v>
      </c>
      <c r="AP529" s="11">
        <f ca="1">IFERROR(OFFSET(ITEM_RES!$A$1,MATCH(AQ529,ITEM_RES!$J:$J,0)-1,0),0)</f>
        <v>211020801</v>
      </c>
      <c r="AQ529" s="10" t="s">
        <v>462</v>
      </c>
      <c r="AR529" s="11">
        <v>200</v>
      </c>
      <c r="AU529" s="11">
        <f ca="1">IFERROR(OFFSET(ITEM_RES!$A$1,MATCH(AV529,ITEM_RES!$J:$J,0)-1,0),0)</f>
        <v>0</v>
      </c>
      <c r="AZ529" s="11">
        <f ca="1">IFERROR(OFFSET(ITEM_RES!$A$1,MATCH(BA529,ITEM_RES!$J:$J,0)-1,0),0)</f>
        <v>0</v>
      </c>
      <c r="BE529" s="11">
        <f ca="1">IFERROR(OFFSET(ITEM_RES!$A$1,MATCH(BF529,ITEM_RES!$J:$J,0)-1,0),0)</f>
        <v>0</v>
      </c>
      <c r="BJ529" s="11">
        <f ca="1">IFERROR(OFFSET(ITEM_RES!$A$1,MATCH(BK529,ITEM_RES!$J:$J,0)-1,0),0)</f>
        <v>0</v>
      </c>
    </row>
    <row r="530" spans="1:62" x14ac:dyDescent="0.3">
      <c r="A530" s="14">
        <f t="shared" si="142"/>
        <v>115040006</v>
      </c>
      <c r="B530" s="13">
        <v>11</v>
      </c>
      <c r="C530" s="12">
        <f t="shared" si="143"/>
        <v>5</v>
      </c>
      <c r="D530" s="13">
        <v>4</v>
      </c>
      <c r="E530" s="13">
        <v>0</v>
      </c>
      <c r="F530" s="12">
        <f t="shared" si="144"/>
        <v>6</v>
      </c>
      <c r="H530" s="9">
        <v>5</v>
      </c>
      <c r="I530" s="9">
        <v>6</v>
      </c>
      <c r="K530" s="9" t="s">
        <v>370</v>
      </c>
      <c r="L530" s="9">
        <v>1</v>
      </c>
      <c r="M530" s="9">
        <v>15</v>
      </c>
      <c r="R530" s="9">
        <v>5555</v>
      </c>
      <c r="U530" s="9">
        <f ca="1">IFERROR(OFFSET(ITEM_RES!$A$5,MATCH(BUILDING!T530,ITEM_RES!$J$5:$J$229,0)-1,0),0)</f>
        <v>0</v>
      </c>
      <c r="X530" s="9">
        <f ca="1">IFERROR(OFFSET(ITEM_RES!$A$5,MATCH(BUILDING!W530,ITEM_RES!$J$5:$J$229,0)-1,0),0)</f>
        <v>0</v>
      </c>
      <c r="Z530" s="9" t="s">
        <v>370</v>
      </c>
      <c r="AA530" s="9">
        <v>6</v>
      </c>
      <c r="AC530" s="9">
        <v>4000</v>
      </c>
      <c r="AE530" s="56">
        <f t="shared" si="139"/>
        <v>800</v>
      </c>
      <c r="AF530" s="10">
        <f t="shared" si="147"/>
        <v>1440</v>
      </c>
      <c r="AH530" s="11">
        <f t="shared" si="138"/>
        <v>30</v>
      </c>
      <c r="AI530" s="10">
        <v>30</v>
      </c>
      <c r="AJ530" s="11">
        <f t="shared" si="145"/>
        <v>50</v>
      </c>
      <c r="AK530" s="10">
        <v>50</v>
      </c>
      <c r="AL530" s="11">
        <f t="shared" si="145"/>
        <v>50</v>
      </c>
      <c r="AM530" s="10">
        <v>50</v>
      </c>
      <c r="AN530" s="56">
        <f t="shared" si="140"/>
        <v>1</v>
      </c>
      <c r="AP530" s="11">
        <f ca="1">IFERROR(OFFSET(ITEM_RES!$A$1,MATCH(AQ530,ITEM_RES!$J:$J,0)-1,0),0)</f>
        <v>211020801</v>
      </c>
      <c r="AQ530" s="10" t="s">
        <v>462</v>
      </c>
      <c r="AR530" s="11">
        <v>250</v>
      </c>
      <c r="AU530" s="11">
        <f ca="1">IFERROR(OFFSET(ITEM_RES!$A$1,MATCH(AV530,ITEM_RES!$J:$J,0)-1,0),0)</f>
        <v>0</v>
      </c>
      <c r="AZ530" s="11">
        <f ca="1">IFERROR(OFFSET(ITEM_RES!$A$1,MATCH(BA530,ITEM_RES!$J:$J,0)-1,0),0)</f>
        <v>0</v>
      </c>
      <c r="BE530" s="11">
        <f ca="1">IFERROR(OFFSET(ITEM_RES!$A$1,MATCH(BF530,ITEM_RES!$J:$J,0)-1,0),0)</f>
        <v>0</v>
      </c>
      <c r="BJ530" s="11">
        <f ca="1">IFERROR(OFFSET(ITEM_RES!$A$1,MATCH(BK530,ITEM_RES!$J:$J,0)-1,0),0)</f>
        <v>0</v>
      </c>
    </row>
    <row r="531" spans="1:62" x14ac:dyDescent="0.3">
      <c r="A531" s="14">
        <f t="shared" si="142"/>
        <v>115040007</v>
      </c>
      <c r="B531" s="13">
        <v>11</v>
      </c>
      <c r="C531" s="12">
        <f t="shared" si="143"/>
        <v>5</v>
      </c>
      <c r="D531" s="13">
        <v>4</v>
      </c>
      <c r="E531" s="13">
        <v>0</v>
      </c>
      <c r="F531" s="12">
        <f t="shared" si="144"/>
        <v>7</v>
      </c>
      <c r="H531" s="9">
        <v>5</v>
      </c>
      <c r="I531" s="9">
        <v>7</v>
      </c>
      <c r="K531" s="9" t="s">
        <v>370</v>
      </c>
      <c r="L531" s="9">
        <v>1</v>
      </c>
      <c r="M531" s="9">
        <v>15</v>
      </c>
      <c r="R531" s="9">
        <v>5555</v>
      </c>
      <c r="U531" s="9">
        <f ca="1">IFERROR(OFFSET(ITEM_RES!$A$5,MATCH(BUILDING!T531,ITEM_RES!$J$5:$J$229,0)-1,0),0)</f>
        <v>0</v>
      </c>
      <c r="X531" s="9">
        <f ca="1">IFERROR(OFFSET(ITEM_RES!$A$5,MATCH(BUILDING!W531,ITEM_RES!$J$5:$J$229,0)-1,0),0)</f>
        <v>0</v>
      </c>
      <c r="Z531" s="9" t="s">
        <v>370</v>
      </c>
      <c r="AA531" s="9">
        <v>7</v>
      </c>
      <c r="AC531" s="9">
        <v>8000</v>
      </c>
      <c r="AE531" s="56">
        <f t="shared" si="139"/>
        <v>1600</v>
      </c>
      <c r="AF531" s="10">
        <f t="shared" si="147"/>
        <v>2400</v>
      </c>
      <c r="AH531" s="11">
        <f t="shared" si="138"/>
        <v>35</v>
      </c>
      <c r="AI531" s="10">
        <v>35</v>
      </c>
      <c r="AJ531" s="11">
        <f t="shared" si="145"/>
        <v>100</v>
      </c>
      <c r="AK531" s="10">
        <v>100</v>
      </c>
      <c r="AL531" s="11">
        <f t="shared" si="145"/>
        <v>100</v>
      </c>
      <c r="AM531" s="10">
        <v>100</v>
      </c>
      <c r="AN531" s="56">
        <f t="shared" si="140"/>
        <v>1</v>
      </c>
      <c r="AP531" s="11">
        <f ca="1">IFERROR(OFFSET(ITEM_RES!$A$1,MATCH(AQ531,ITEM_RES!$J:$J,0)-1,0),0)</f>
        <v>211020801</v>
      </c>
      <c r="AQ531" s="10" t="s">
        <v>462</v>
      </c>
      <c r="AR531" s="11">
        <v>500</v>
      </c>
      <c r="AU531" s="11">
        <f ca="1">IFERROR(OFFSET(ITEM_RES!$A$1,MATCH(AV531,ITEM_RES!$J:$J,0)-1,0),0)</f>
        <v>0</v>
      </c>
      <c r="AZ531" s="11">
        <f ca="1">IFERROR(OFFSET(ITEM_RES!$A$1,MATCH(BA531,ITEM_RES!$J:$J,0)-1,0),0)</f>
        <v>0</v>
      </c>
      <c r="BE531" s="11">
        <f ca="1">IFERROR(OFFSET(ITEM_RES!$A$1,MATCH(BF531,ITEM_RES!$J:$J,0)-1,0),0)</f>
        <v>0</v>
      </c>
      <c r="BJ531" s="11">
        <f ca="1">IFERROR(OFFSET(ITEM_RES!$A$1,MATCH(BK531,ITEM_RES!$J:$J,0)-1,0),0)</f>
        <v>0</v>
      </c>
    </row>
    <row r="532" spans="1:62" x14ac:dyDescent="0.3">
      <c r="A532" s="14">
        <f t="shared" si="142"/>
        <v>115040008</v>
      </c>
      <c r="B532" s="13">
        <v>11</v>
      </c>
      <c r="C532" s="12">
        <f t="shared" si="143"/>
        <v>5</v>
      </c>
      <c r="D532" s="13">
        <v>4</v>
      </c>
      <c r="E532" s="13">
        <v>0</v>
      </c>
      <c r="F532" s="12">
        <f t="shared" si="144"/>
        <v>8</v>
      </c>
      <c r="H532" s="9">
        <v>5</v>
      </c>
      <c r="I532" s="9">
        <v>8</v>
      </c>
      <c r="K532" s="9" t="s">
        <v>370</v>
      </c>
      <c r="L532" s="9">
        <v>1</v>
      </c>
      <c r="M532" s="9">
        <v>15</v>
      </c>
      <c r="R532" s="9">
        <v>5555</v>
      </c>
      <c r="U532" s="9">
        <f ca="1">IFERROR(OFFSET(ITEM_RES!$A$5,MATCH(BUILDING!T532,ITEM_RES!$J$5:$J$229,0)-1,0),0)</f>
        <v>0</v>
      </c>
      <c r="X532" s="9">
        <f ca="1">IFERROR(OFFSET(ITEM_RES!$A$5,MATCH(BUILDING!W532,ITEM_RES!$J$5:$J$229,0)-1,0),0)</f>
        <v>0</v>
      </c>
      <c r="Z532" s="9" t="s">
        <v>370</v>
      </c>
      <c r="AA532" s="9">
        <v>8</v>
      </c>
      <c r="AC532" s="9">
        <v>8000</v>
      </c>
      <c r="AE532" s="56">
        <f t="shared" si="139"/>
        <v>1600</v>
      </c>
      <c r="AF532" s="10">
        <f t="shared" si="147"/>
        <v>3200</v>
      </c>
      <c r="AH532" s="11">
        <f t="shared" si="138"/>
        <v>40</v>
      </c>
      <c r="AI532" s="10">
        <v>40</v>
      </c>
      <c r="AJ532" s="11">
        <f t="shared" si="145"/>
        <v>100</v>
      </c>
      <c r="AK532" s="10">
        <v>100</v>
      </c>
      <c r="AL532" s="11">
        <f t="shared" si="145"/>
        <v>100</v>
      </c>
      <c r="AM532" s="10">
        <v>100</v>
      </c>
      <c r="AN532" s="56">
        <f t="shared" si="140"/>
        <v>1</v>
      </c>
      <c r="AP532" s="11">
        <f ca="1">IFERROR(OFFSET(ITEM_RES!$A$1,MATCH(AQ532,ITEM_RES!$J:$J,0)-1,0),0)</f>
        <v>211020801</v>
      </c>
      <c r="AQ532" s="10" t="s">
        <v>462</v>
      </c>
      <c r="AR532" s="11">
        <v>500</v>
      </c>
      <c r="AU532" s="11">
        <f ca="1">IFERROR(OFFSET(ITEM_RES!$A$1,MATCH(AV532,ITEM_RES!$J:$J,0)-1,0),0)</f>
        <v>0</v>
      </c>
      <c r="AZ532" s="11">
        <f ca="1">IFERROR(OFFSET(ITEM_RES!$A$1,MATCH(BA532,ITEM_RES!$J:$J,0)-1,0),0)</f>
        <v>0</v>
      </c>
      <c r="BE532" s="11">
        <f ca="1">IFERROR(OFFSET(ITEM_RES!$A$1,MATCH(BF532,ITEM_RES!$J:$J,0)-1,0),0)</f>
        <v>0</v>
      </c>
      <c r="BJ532" s="11">
        <f ca="1">IFERROR(OFFSET(ITEM_RES!$A$1,MATCH(BK532,ITEM_RES!$J:$J,0)-1,0),0)</f>
        <v>0</v>
      </c>
    </row>
    <row r="533" spans="1:62" x14ac:dyDescent="0.3">
      <c r="A533" s="14">
        <f t="shared" si="142"/>
        <v>115040009</v>
      </c>
      <c r="B533" s="13">
        <v>11</v>
      </c>
      <c r="C533" s="12">
        <f t="shared" si="143"/>
        <v>5</v>
      </c>
      <c r="D533" s="13">
        <v>4</v>
      </c>
      <c r="E533" s="13">
        <v>0</v>
      </c>
      <c r="F533" s="12">
        <f t="shared" si="144"/>
        <v>9</v>
      </c>
      <c r="H533" s="9">
        <v>5</v>
      </c>
      <c r="I533" s="9">
        <v>9</v>
      </c>
      <c r="K533" s="9" t="s">
        <v>370</v>
      </c>
      <c r="L533" s="9">
        <v>1</v>
      </c>
      <c r="M533" s="9">
        <v>15</v>
      </c>
      <c r="R533" s="9">
        <v>5555</v>
      </c>
      <c r="U533" s="9">
        <f ca="1">IFERROR(OFFSET(ITEM_RES!$A$5,MATCH(BUILDING!T533,ITEM_RES!$J$5:$J$229,0)-1,0),0)</f>
        <v>0</v>
      </c>
      <c r="X533" s="9">
        <f ca="1">IFERROR(OFFSET(ITEM_RES!$A$5,MATCH(BUILDING!W533,ITEM_RES!$J$5:$J$229,0)-1,0),0)</f>
        <v>0</v>
      </c>
      <c r="Z533" s="9" t="s">
        <v>370</v>
      </c>
      <c r="AA533" s="9">
        <v>9</v>
      </c>
      <c r="AC533" s="9">
        <v>12000</v>
      </c>
      <c r="AE533" s="56">
        <f t="shared" si="139"/>
        <v>2400</v>
      </c>
      <c r="AF533" s="10">
        <f t="shared" si="147"/>
        <v>4000</v>
      </c>
      <c r="AH533" s="11">
        <f t="shared" si="138"/>
        <v>45</v>
      </c>
      <c r="AI533" s="10">
        <v>45</v>
      </c>
      <c r="AJ533" s="11">
        <f t="shared" si="145"/>
        <v>150</v>
      </c>
      <c r="AK533" s="10">
        <v>150</v>
      </c>
      <c r="AL533" s="11">
        <f t="shared" si="145"/>
        <v>150</v>
      </c>
      <c r="AM533" s="10">
        <v>150</v>
      </c>
      <c r="AN533" s="56">
        <f t="shared" si="140"/>
        <v>1</v>
      </c>
      <c r="AP533" s="11">
        <f ca="1">IFERROR(OFFSET(ITEM_RES!$A$1,MATCH(AQ533,ITEM_RES!$J:$J,0)-1,0),0)</f>
        <v>211020801</v>
      </c>
      <c r="AQ533" s="10" t="s">
        <v>462</v>
      </c>
      <c r="AR533" s="11">
        <v>750</v>
      </c>
      <c r="AU533" s="11">
        <f ca="1">IFERROR(OFFSET(ITEM_RES!$A$1,MATCH(AV533,ITEM_RES!$J:$J,0)-1,0),0)</f>
        <v>0</v>
      </c>
      <c r="AZ533" s="11">
        <f ca="1">IFERROR(OFFSET(ITEM_RES!$A$1,MATCH(BA533,ITEM_RES!$J:$J,0)-1,0),0)</f>
        <v>0</v>
      </c>
      <c r="BE533" s="11">
        <f ca="1">IFERROR(OFFSET(ITEM_RES!$A$1,MATCH(BF533,ITEM_RES!$J:$J,0)-1,0),0)</f>
        <v>0</v>
      </c>
      <c r="BJ533" s="11">
        <f ca="1">IFERROR(OFFSET(ITEM_RES!$A$1,MATCH(BK533,ITEM_RES!$J:$J,0)-1,0),0)</f>
        <v>0</v>
      </c>
    </row>
    <row r="534" spans="1:62" x14ac:dyDescent="0.3">
      <c r="A534" s="14">
        <f t="shared" si="142"/>
        <v>115040010</v>
      </c>
      <c r="B534" s="13">
        <v>11</v>
      </c>
      <c r="C534" s="12">
        <f t="shared" si="143"/>
        <v>5</v>
      </c>
      <c r="D534" s="13">
        <v>4</v>
      </c>
      <c r="E534" s="13">
        <v>0</v>
      </c>
      <c r="F534" s="12">
        <f t="shared" si="144"/>
        <v>10</v>
      </c>
      <c r="H534" s="9">
        <v>5</v>
      </c>
      <c r="I534" s="9">
        <v>10</v>
      </c>
      <c r="K534" s="9" t="s">
        <v>370</v>
      </c>
      <c r="L534" s="9">
        <v>1</v>
      </c>
      <c r="M534" s="9">
        <v>15</v>
      </c>
      <c r="R534" s="9">
        <v>5555</v>
      </c>
      <c r="U534" s="9">
        <f ca="1">IFERROR(OFFSET(ITEM_RES!$A$5,MATCH(BUILDING!T534,ITEM_RES!$J$5:$J$229,0)-1,0),0)</f>
        <v>0</v>
      </c>
      <c r="X534" s="9">
        <f ca="1">IFERROR(OFFSET(ITEM_RES!$A$5,MATCH(BUILDING!W534,ITEM_RES!$J$5:$J$229,0)-1,0),0)</f>
        <v>0</v>
      </c>
      <c r="Z534" s="9" t="s">
        <v>370</v>
      </c>
      <c r="AA534" s="9">
        <v>10</v>
      </c>
      <c r="AC534" s="9">
        <v>16000</v>
      </c>
      <c r="AE534" s="56">
        <f t="shared" si="139"/>
        <v>3200</v>
      </c>
      <c r="AF534" s="10">
        <f t="shared" si="147"/>
        <v>5600</v>
      </c>
      <c r="AH534" s="11">
        <f t="shared" si="138"/>
        <v>50</v>
      </c>
      <c r="AI534" s="10">
        <v>50</v>
      </c>
      <c r="AJ534" s="11">
        <f t="shared" si="145"/>
        <v>200</v>
      </c>
      <c r="AK534" s="10">
        <v>200</v>
      </c>
      <c r="AL534" s="11">
        <f t="shared" si="145"/>
        <v>200</v>
      </c>
      <c r="AM534" s="10">
        <v>200</v>
      </c>
      <c r="AN534" s="56">
        <f t="shared" si="140"/>
        <v>1</v>
      </c>
      <c r="AP534" s="11">
        <f ca="1">IFERROR(OFFSET(ITEM_RES!$A$1,MATCH(AQ534,ITEM_RES!$J:$J,0)-1,0),0)</f>
        <v>211020801</v>
      </c>
      <c r="AQ534" s="10" t="s">
        <v>462</v>
      </c>
      <c r="AR534" s="11">
        <v>1000</v>
      </c>
      <c r="AU534" s="11">
        <f ca="1">IFERROR(OFFSET(ITEM_RES!$A$1,MATCH(AV534,ITEM_RES!$J:$J,0)-1,0),0)</f>
        <v>0</v>
      </c>
      <c r="AZ534" s="11">
        <f ca="1">IFERROR(OFFSET(ITEM_RES!$A$1,MATCH(BA534,ITEM_RES!$J:$J,0)-1,0),0)</f>
        <v>0</v>
      </c>
      <c r="BE534" s="11">
        <f ca="1">IFERROR(OFFSET(ITEM_RES!$A$1,MATCH(BF534,ITEM_RES!$J:$J,0)-1,0),0)</f>
        <v>0</v>
      </c>
      <c r="BJ534" s="11">
        <f ca="1">IFERROR(OFFSET(ITEM_RES!$A$1,MATCH(BK534,ITEM_RES!$J:$J,0)-1,0),0)</f>
        <v>0</v>
      </c>
    </row>
    <row r="535" spans="1:62" x14ac:dyDescent="0.3">
      <c r="A535" s="14">
        <f t="shared" si="142"/>
        <v>115040011</v>
      </c>
      <c r="B535" s="13">
        <v>11</v>
      </c>
      <c r="C535" s="12">
        <f t="shared" si="143"/>
        <v>5</v>
      </c>
      <c r="D535" s="13">
        <v>4</v>
      </c>
      <c r="E535" s="13">
        <v>0</v>
      </c>
      <c r="F535" s="12">
        <f t="shared" si="144"/>
        <v>11</v>
      </c>
      <c r="H535" s="9">
        <v>5</v>
      </c>
      <c r="I535" s="9">
        <v>11</v>
      </c>
      <c r="K535" s="9" t="s">
        <v>370</v>
      </c>
      <c r="L535" s="9">
        <v>1</v>
      </c>
      <c r="M535" s="9">
        <v>15</v>
      </c>
      <c r="R535" s="9">
        <v>5555</v>
      </c>
      <c r="U535" s="9">
        <f ca="1">IFERROR(OFFSET(ITEM_RES!$A$5,MATCH(BUILDING!T535,ITEM_RES!$J$5:$J$229,0)-1,0),0)</f>
        <v>0</v>
      </c>
      <c r="X535" s="9">
        <f ca="1">IFERROR(OFFSET(ITEM_RES!$A$5,MATCH(BUILDING!W535,ITEM_RES!$J$5:$J$229,0)-1,0),0)</f>
        <v>0</v>
      </c>
      <c r="Z535" s="9" t="s">
        <v>370</v>
      </c>
      <c r="AA535" s="9">
        <v>11</v>
      </c>
      <c r="AC535" s="9">
        <v>20000</v>
      </c>
      <c r="AE535" s="56">
        <f t="shared" si="139"/>
        <v>4000</v>
      </c>
      <c r="AF535" s="10">
        <f t="shared" si="147"/>
        <v>7200</v>
      </c>
      <c r="AH535" s="11">
        <f t="shared" si="138"/>
        <v>55</v>
      </c>
      <c r="AI535" s="10">
        <v>55</v>
      </c>
      <c r="AJ535" s="11">
        <f t="shared" si="145"/>
        <v>250</v>
      </c>
      <c r="AK535" s="10">
        <v>250</v>
      </c>
      <c r="AL535" s="11">
        <f t="shared" si="145"/>
        <v>250</v>
      </c>
      <c r="AM535" s="10">
        <v>250</v>
      </c>
      <c r="AN535" s="56">
        <f t="shared" si="140"/>
        <v>1</v>
      </c>
      <c r="AP535" s="11">
        <f ca="1">IFERROR(OFFSET(ITEM_RES!$A$1,MATCH(AQ535,ITEM_RES!$J:$J,0)-1,0),0)</f>
        <v>211020801</v>
      </c>
      <c r="AQ535" s="10" t="s">
        <v>462</v>
      </c>
      <c r="AR535" s="11">
        <v>1250</v>
      </c>
      <c r="AU535" s="11">
        <f ca="1">IFERROR(OFFSET(ITEM_RES!$A$1,MATCH(AV535,ITEM_RES!$J:$J,0)-1,0),0)</f>
        <v>0</v>
      </c>
      <c r="AZ535" s="11">
        <f ca="1">IFERROR(OFFSET(ITEM_RES!$A$1,MATCH(BA535,ITEM_RES!$J:$J,0)-1,0),0)</f>
        <v>0</v>
      </c>
      <c r="BE535" s="11">
        <f ca="1">IFERROR(OFFSET(ITEM_RES!$A$1,MATCH(BF535,ITEM_RES!$J:$J,0)-1,0),0)</f>
        <v>0</v>
      </c>
      <c r="BJ535" s="11">
        <f ca="1">IFERROR(OFFSET(ITEM_RES!$A$1,MATCH(BK535,ITEM_RES!$J:$J,0)-1,0),0)</f>
        <v>0</v>
      </c>
    </row>
    <row r="536" spans="1:62" x14ac:dyDescent="0.3">
      <c r="A536" s="14">
        <f t="shared" si="142"/>
        <v>115040012</v>
      </c>
      <c r="B536" s="13">
        <v>11</v>
      </c>
      <c r="C536" s="12">
        <f t="shared" si="143"/>
        <v>5</v>
      </c>
      <c r="D536" s="13">
        <v>4</v>
      </c>
      <c r="E536" s="13">
        <v>0</v>
      </c>
      <c r="F536" s="12">
        <f t="shared" si="144"/>
        <v>12</v>
      </c>
      <c r="H536" s="9">
        <v>5</v>
      </c>
      <c r="I536" s="9">
        <v>12</v>
      </c>
      <c r="K536" s="9" t="s">
        <v>370</v>
      </c>
      <c r="L536" s="9">
        <v>1</v>
      </c>
      <c r="M536" s="9">
        <v>15</v>
      </c>
      <c r="R536" s="9">
        <v>5555</v>
      </c>
      <c r="U536" s="9">
        <f ca="1">IFERROR(OFFSET(ITEM_RES!$A$5,MATCH(BUILDING!T536,ITEM_RES!$J$5:$J$229,0)-1,0),0)</f>
        <v>0</v>
      </c>
      <c r="X536" s="9">
        <f ca="1">IFERROR(OFFSET(ITEM_RES!$A$5,MATCH(BUILDING!W536,ITEM_RES!$J$5:$J$229,0)-1,0),0)</f>
        <v>0</v>
      </c>
      <c r="Z536" s="9" t="s">
        <v>370</v>
      </c>
      <c r="AA536" s="9">
        <v>12</v>
      </c>
      <c r="AC536" s="9">
        <v>24000</v>
      </c>
      <c r="AE536" s="56">
        <f t="shared" si="139"/>
        <v>5300</v>
      </c>
      <c r="AF536" s="10">
        <f t="shared" si="147"/>
        <v>9300</v>
      </c>
      <c r="AH536" s="11">
        <f t="shared" si="138"/>
        <v>60</v>
      </c>
      <c r="AI536" s="10">
        <v>60</v>
      </c>
      <c r="AJ536" s="11">
        <f t="shared" si="145"/>
        <v>300</v>
      </c>
      <c r="AK536" s="10">
        <v>300</v>
      </c>
      <c r="AL536" s="11">
        <f t="shared" si="145"/>
        <v>300</v>
      </c>
      <c r="AM536" s="10">
        <v>300</v>
      </c>
      <c r="AN536" s="56">
        <f t="shared" si="140"/>
        <v>2</v>
      </c>
      <c r="AP536" s="11">
        <f ca="1">IFERROR(OFFSET(ITEM_RES!$A$1,MATCH(AQ536,ITEM_RES!$J:$J,0)-1,0),0)</f>
        <v>211020801</v>
      </c>
      <c r="AQ536" s="10" t="s">
        <v>462</v>
      </c>
      <c r="AR536" s="11">
        <v>1500</v>
      </c>
      <c r="AU536" s="11">
        <f ca="1">IFERROR(OFFSET(ITEM_RES!$A$1,MATCH(AV536,ITEM_RES!$J:$J,0)-1,0),0)</f>
        <v>0</v>
      </c>
      <c r="AZ536" s="11">
        <f ca="1">IFERROR(OFFSET(ITEM_RES!$A$1,MATCH(BA536,ITEM_RES!$J:$J,0)-1,0),0)</f>
        <v>0</v>
      </c>
      <c r="BE536" s="11">
        <f ca="1">IFERROR(OFFSET(ITEM_RES!$A$1,MATCH(BF536,ITEM_RES!$J:$J,0)-1,0),0)</f>
        <v>213011701</v>
      </c>
      <c r="BF536" s="10" t="s">
        <v>508</v>
      </c>
      <c r="BG536" s="11">
        <v>1</v>
      </c>
      <c r="BJ536" s="11">
        <f ca="1">IFERROR(OFFSET(ITEM_RES!$A$1,MATCH(BK536,ITEM_RES!$J:$J,0)-1,0),0)</f>
        <v>0</v>
      </c>
    </row>
    <row r="537" spans="1:62" x14ac:dyDescent="0.3">
      <c r="A537" s="14">
        <f t="shared" si="142"/>
        <v>115040013</v>
      </c>
      <c r="B537" s="13">
        <v>11</v>
      </c>
      <c r="C537" s="12">
        <f t="shared" si="143"/>
        <v>5</v>
      </c>
      <c r="D537" s="13">
        <v>4</v>
      </c>
      <c r="E537" s="13">
        <v>0</v>
      </c>
      <c r="F537" s="12">
        <f t="shared" si="144"/>
        <v>13</v>
      </c>
      <c r="H537" s="9">
        <v>5</v>
      </c>
      <c r="I537" s="9">
        <v>13</v>
      </c>
      <c r="K537" s="9" t="s">
        <v>370</v>
      </c>
      <c r="L537" s="9">
        <v>1</v>
      </c>
      <c r="M537" s="9">
        <v>15</v>
      </c>
      <c r="R537" s="9">
        <v>5555</v>
      </c>
      <c r="U537" s="9">
        <f ca="1">IFERROR(OFFSET(ITEM_RES!$A$5,MATCH(BUILDING!T537,ITEM_RES!$J$5:$J$229,0)-1,0),0)</f>
        <v>0</v>
      </c>
      <c r="X537" s="9">
        <f ca="1">IFERROR(OFFSET(ITEM_RES!$A$5,MATCH(BUILDING!W537,ITEM_RES!$J$5:$J$229,0)-1,0),0)</f>
        <v>0</v>
      </c>
      <c r="Z537" s="9" t="s">
        <v>370</v>
      </c>
      <c r="AA537" s="9">
        <v>13</v>
      </c>
      <c r="AC537" s="9">
        <v>28000</v>
      </c>
      <c r="AE537" s="56">
        <f t="shared" si="139"/>
        <v>5600</v>
      </c>
      <c r="AF537" s="10">
        <f t="shared" si="147"/>
        <v>10900</v>
      </c>
      <c r="AH537" s="11">
        <f t="shared" ref="AH537:AH600" si="148">ROUND(AI537,0)</f>
        <v>65</v>
      </c>
      <c r="AI537" s="10">
        <v>65</v>
      </c>
      <c r="AJ537" s="11">
        <f t="shared" si="145"/>
        <v>350</v>
      </c>
      <c r="AK537" s="10">
        <v>350</v>
      </c>
      <c r="AL537" s="11">
        <f t="shared" si="145"/>
        <v>350</v>
      </c>
      <c r="AM537" s="10">
        <v>350</v>
      </c>
      <c r="AN537" s="56">
        <f t="shared" si="140"/>
        <v>1</v>
      </c>
      <c r="AP537" s="11">
        <f ca="1">IFERROR(OFFSET(ITEM_RES!$A$1,MATCH(AQ537,ITEM_RES!$J:$J,0)-1,0),0)</f>
        <v>211020901</v>
      </c>
      <c r="AQ537" s="10" t="s">
        <v>471</v>
      </c>
      <c r="AR537" s="11">
        <v>1750</v>
      </c>
      <c r="AU537" s="11">
        <f ca="1">IFERROR(OFFSET(ITEM_RES!$A$1,MATCH(AV537,ITEM_RES!$J:$J,0)-1,0),0)</f>
        <v>0</v>
      </c>
      <c r="AZ537" s="11">
        <f ca="1">IFERROR(OFFSET(ITEM_RES!$A$1,MATCH(BA537,ITEM_RES!$J:$J,0)-1,0),0)</f>
        <v>0</v>
      </c>
      <c r="BE537" s="11">
        <f ca="1">IFERROR(OFFSET(ITEM_RES!$A$1,MATCH(BF537,ITEM_RES!$J:$J,0)-1,0),0)</f>
        <v>0</v>
      </c>
      <c r="BJ537" s="11">
        <f ca="1">IFERROR(OFFSET(ITEM_RES!$A$1,MATCH(BK537,ITEM_RES!$J:$J,0)-1,0),0)</f>
        <v>0</v>
      </c>
    </row>
    <row r="538" spans="1:62" x14ac:dyDescent="0.3">
      <c r="A538" s="14">
        <f t="shared" si="142"/>
        <v>115040014</v>
      </c>
      <c r="B538" s="13">
        <v>11</v>
      </c>
      <c r="C538" s="12">
        <f t="shared" si="143"/>
        <v>5</v>
      </c>
      <c r="D538" s="13">
        <v>4</v>
      </c>
      <c r="E538" s="13">
        <v>0</v>
      </c>
      <c r="F538" s="12">
        <f t="shared" si="144"/>
        <v>14</v>
      </c>
      <c r="H538" s="9">
        <v>5</v>
      </c>
      <c r="I538" s="9">
        <v>14</v>
      </c>
      <c r="K538" s="9" t="s">
        <v>370</v>
      </c>
      <c r="L538" s="9">
        <v>1</v>
      </c>
      <c r="M538" s="9">
        <v>15</v>
      </c>
      <c r="R538" s="9">
        <v>5555</v>
      </c>
      <c r="U538" s="9">
        <f ca="1">IFERROR(OFFSET(ITEM_RES!$A$5,MATCH(BUILDING!T538,ITEM_RES!$J$5:$J$229,0)-1,0),0)</f>
        <v>0</v>
      </c>
      <c r="X538" s="9">
        <f ca="1">IFERROR(OFFSET(ITEM_RES!$A$5,MATCH(BUILDING!W538,ITEM_RES!$J$5:$J$229,0)-1,0),0)</f>
        <v>0</v>
      </c>
      <c r="Z538" s="9" t="s">
        <v>370</v>
      </c>
      <c r="AA538" s="9">
        <v>14</v>
      </c>
      <c r="AC538" s="9">
        <v>36000</v>
      </c>
      <c r="AE538" s="56">
        <f t="shared" ref="AE538:AE601" si="149">AK538*10+AM538+AR538+AW538+500*BB538+500*BG538+500*BL538</f>
        <v>7200</v>
      </c>
      <c r="AF538" s="10">
        <f t="shared" si="147"/>
        <v>12800</v>
      </c>
      <c r="AH538" s="11">
        <f t="shared" si="148"/>
        <v>70</v>
      </c>
      <c r="AI538" s="10">
        <v>70</v>
      </c>
      <c r="AJ538" s="11">
        <f t="shared" si="145"/>
        <v>450</v>
      </c>
      <c r="AK538" s="10">
        <v>450</v>
      </c>
      <c r="AL538" s="11">
        <f t="shared" si="145"/>
        <v>450</v>
      </c>
      <c r="AM538" s="10">
        <v>450</v>
      </c>
      <c r="AN538" s="56">
        <f t="shared" ref="AN538:AN601" si="150">(AR538&gt;0)*1+(AW538&gt;0)*1+(BB538&gt;0)*1+(BG538&gt;0)*1+(BL538&gt;0)*1</f>
        <v>1</v>
      </c>
      <c r="AP538" s="11">
        <f ca="1">IFERROR(OFFSET(ITEM_RES!$A$1,MATCH(AQ538,ITEM_RES!$J:$J,0)-1,0),0)</f>
        <v>211020901</v>
      </c>
      <c r="AQ538" s="10" t="s">
        <v>471</v>
      </c>
      <c r="AR538" s="11">
        <v>2250</v>
      </c>
      <c r="AU538" s="11">
        <f ca="1">IFERROR(OFFSET(ITEM_RES!$A$1,MATCH(AV538,ITEM_RES!$J:$J,0)-1,0),0)</f>
        <v>0</v>
      </c>
      <c r="AZ538" s="11">
        <f ca="1">IFERROR(OFFSET(ITEM_RES!$A$1,MATCH(BA538,ITEM_RES!$J:$J,0)-1,0),0)</f>
        <v>0</v>
      </c>
      <c r="BE538" s="11">
        <f ca="1">IFERROR(OFFSET(ITEM_RES!$A$1,MATCH(BF538,ITEM_RES!$J:$J,0)-1,0),0)</f>
        <v>0</v>
      </c>
      <c r="BJ538" s="11">
        <f ca="1">IFERROR(OFFSET(ITEM_RES!$A$1,MATCH(BK538,ITEM_RES!$J:$J,0)-1,0),0)</f>
        <v>0</v>
      </c>
    </row>
    <row r="539" spans="1:62" x14ac:dyDescent="0.3">
      <c r="A539" s="14">
        <f t="shared" si="142"/>
        <v>115040015</v>
      </c>
      <c r="B539" s="13">
        <v>11</v>
      </c>
      <c r="C539" s="12">
        <f t="shared" si="143"/>
        <v>5</v>
      </c>
      <c r="D539" s="13">
        <v>4</v>
      </c>
      <c r="E539" s="13">
        <v>0</v>
      </c>
      <c r="F539" s="12">
        <f t="shared" si="144"/>
        <v>15</v>
      </c>
      <c r="H539" s="9">
        <v>5</v>
      </c>
      <c r="I539" s="9">
        <v>15</v>
      </c>
      <c r="K539" s="9" t="s">
        <v>370</v>
      </c>
      <c r="L539" s="9">
        <v>1</v>
      </c>
      <c r="M539" s="9">
        <v>15</v>
      </c>
      <c r="R539" s="9">
        <v>5555</v>
      </c>
      <c r="U539" s="9">
        <f ca="1">IFERROR(OFFSET(ITEM_RES!$A$5,MATCH(BUILDING!T539,ITEM_RES!$J$5:$J$229,0)-1,0),0)</f>
        <v>0</v>
      </c>
      <c r="X539" s="9">
        <f ca="1">IFERROR(OFFSET(ITEM_RES!$A$5,MATCH(BUILDING!W539,ITEM_RES!$J$5:$J$229,0)-1,0),0)</f>
        <v>0</v>
      </c>
      <c r="Z539" s="9" t="s">
        <v>370</v>
      </c>
      <c r="AA539" s="9">
        <v>15</v>
      </c>
      <c r="AC539" s="9">
        <v>44000</v>
      </c>
      <c r="AE539" s="56">
        <f t="shared" si="149"/>
        <v>8800</v>
      </c>
      <c r="AF539" s="10">
        <f t="shared" si="147"/>
        <v>16000</v>
      </c>
      <c r="AH539" s="11">
        <f t="shared" si="148"/>
        <v>75</v>
      </c>
      <c r="AI539" s="10">
        <v>75</v>
      </c>
      <c r="AJ539" s="11">
        <f t="shared" si="145"/>
        <v>550</v>
      </c>
      <c r="AK539" s="10">
        <v>550</v>
      </c>
      <c r="AL539" s="11">
        <f t="shared" si="145"/>
        <v>550</v>
      </c>
      <c r="AM539" s="10">
        <v>550</v>
      </c>
      <c r="AN539" s="56">
        <f t="shared" si="150"/>
        <v>1</v>
      </c>
      <c r="AP539" s="11">
        <f ca="1">IFERROR(OFFSET(ITEM_RES!$A$1,MATCH(AQ539,ITEM_RES!$J:$J,0)-1,0),0)</f>
        <v>211020901</v>
      </c>
      <c r="AQ539" s="10" t="s">
        <v>471</v>
      </c>
      <c r="AR539" s="11">
        <v>2750</v>
      </c>
      <c r="AU539" s="11">
        <f ca="1">IFERROR(OFFSET(ITEM_RES!$A$1,MATCH(AV539,ITEM_RES!$J:$J,0)-1,0),0)</f>
        <v>0</v>
      </c>
      <c r="AZ539" s="11">
        <f ca="1">IFERROR(OFFSET(ITEM_RES!$A$1,MATCH(BA539,ITEM_RES!$J:$J,0)-1,0),0)</f>
        <v>0</v>
      </c>
      <c r="BE539" s="11">
        <f ca="1">IFERROR(OFFSET(ITEM_RES!$A$1,MATCH(BF539,ITEM_RES!$J:$J,0)-1,0),0)</f>
        <v>0</v>
      </c>
      <c r="BJ539" s="11">
        <f ca="1">IFERROR(OFFSET(ITEM_RES!$A$1,MATCH(BK539,ITEM_RES!$J:$J,0)-1,0),0)</f>
        <v>0</v>
      </c>
    </row>
    <row r="540" spans="1:62" x14ac:dyDescent="0.3">
      <c r="A540" s="14">
        <f t="shared" si="142"/>
        <v>115040016</v>
      </c>
      <c r="B540" s="13">
        <v>11</v>
      </c>
      <c r="C540" s="12">
        <f t="shared" si="143"/>
        <v>5</v>
      </c>
      <c r="D540" s="13">
        <v>4</v>
      </c>
      <c r="E540" s="13">
        <v>0</v>
      </c>
      <c r="F540" s="12">
        <f t="shared" si="144"/>
        <v>16</v>
      </c>
      <c r="H540" s="9">
        <v>5</v>
      </c>
      <c r="I540" s="9">
        <v>16</v>
      </c>
      <c r="K540" s="9" t="s">
        <v>370</v>
      </c>
      <c r="L540" s="9">
        <v>0</v>
      </c>
      <c r="M540" s="9">
        <v>15</v>
      </c>
      <c r="R540" s="9">
        <v>5555</v>
      </c>
      <c r="U540" s="9">
        <f ca="1">IFERROR(OFFSET(ITEM_RES!$A$5,MATCH(BUILDING!T540,ITEM_RES!$J$5:$J$229,0)-1,0),0)</f>
        <v>0</v>
      </c>
      <c r="X540" s="9">
        <f ca="1">IFERROR(OFFSET(ITEM_RES!$A$5,MATCH(BUILDING!W540,ITEM_RES!$J$5:$J$229,0)-1,0),0)</f>
        <v>0</v>
      </c>
      <c r="Z540" s="9" t="s">
        <v>370</v>
      </c>
      <c r="AA540" s="9">
        <v>16</v>
      </c>
      <c r="AC540" s="9">
        <v>56000</v>
      </c>
      <c r="AE540" s="56">
        <f t="shared" si="149"/>
        <v>11200</v>
      </c>
      <c r="AF540" s="10">
        <f t="shared" si="147"/>
        <v>20000</v>
      </c>
      <c r="AH540" s="11">
        <f t="shared" si="148"/>
        <v>80</v>
      </c>
      <c r="AI540" s="10">
        <v>80</v>
      </c>
      <c r="AJ540" s="11">
        <f t="shared" si="145"/>
        <v>700</v>
      </c>
      <c r="AK540" s="10">
        <v>700</v>
      </c>
      <c r="AL540" s="11">
        <f t="shared" si="145"/>
        <v>700</v>
      </c>
      <c r="AM540" s="10">
        <v>700</v>
      </c>
      <c r="AN540" s="56">
        <f t="shared" si="150"/>
        <v>1</v>
      </c>
      <c r="AP540" s="11">
        <f ca="1">IFERROR(OFFSET(ITEM_RES!$A$1,MATCH(AQ540,ITEM_RES!$J:$J,0)-1,0),0)</f>
        <v>211020901</v>
      </c>
      <c r="AQ540" s="10" t="s">
        <v>471</v>
      </c>
      <c r="AR540" s="11">
        <v>3500</v>
      </c>
      <c r="AU540" s="11">
        <f ca="1">IFERROR(OFFSET(ITEM_RES!$A$1,MATCH(AV540,ITEM_RES!$J:$J,0)-1,0),0)</f>
        <v>0</v>
      </c>
      <c r="AZ540" s="11">
        <f ca="1">IFERROR(OFFSET(ITEM_RES!$A$1,MATCH(BA540,ITEM_RES!$J:$J,0)-1,0),0)</f>
        <v>0</v>
      </c>
      <c r="BE540" s="11">
        <f ca="1">IFERROR(OFFSET(ITEM_RES!$A$1,MATCH(BF540,ITEM_RES!$J:$J,0)-1,0),0)</f>
        <v>0</v>
      </c>
      <c r="BJ540" s="11">
        <f ca="1">IFERROR(OFFSET(ITEM_RES!$A$1,MATCH(BK540,ITEM_RES!$J:$J,0)-1,0),0)</f>
        <v>0</v>
      </c>
    </row>
    <row r="541" spans="1:62" x14ac:dyDescent="0.3">
      <c r="A541" s="14">
        <f t="shared" si="142"/>
        <v>115040017</v>
      </c>
      <c r="B541" s="13">
        <v>11</v>
      </c>
      <c r="C541" s="12">
        <f t="shared" si="143"/>
        <v>5</v>
      </c>
      <c r="D541" s="13">
        <v>4</v>
      </c>
      <c r="E541" s="13">
        <v>0</v>
      </c>
      <c r="F541" s="12">
        <f t="shared" si="144"/>
        <v>17</v>
      </c>
      <c r="H541" s="9">
        <v>5</v>
      </c>
      <c r="I541" s="9">
        <v>17</v>
      </c>
      <c r="K541" s="9" t="s">
        <v>370</v>
      </c>
      <c r="L541" s="9">
        <v>0</v>
      </c>
      <c r="M541" s="9">
        <v>15</v>
      </c>
      <c r="R541" s="9">
        <v>5555</v>
      </c>
      <c r="U541" s="9">
        <f ca="1">IFERROR(OFFSET(ITEM_RES!$A$5,MATCH(BUILDING!T541,ITEM_RES!$J$5:$J$229,0)-1,0),0)</f>
        <v>0</v>
      </c>
      <c r="X541" s="9">
        <f ca="1">IFERROR(OFFSET(ITEM_RES!$A$5,MATCH(BUILDING!W541,ITEM_RES!$J$5:$J$229,0)-1,0),0)</f>
        <v>0</v>
      </c>
      <c r="Z541" s="9" t="s">
        <v>370</v>
      </c>
      <c r="AA541" s="9">
        <v>17</v>
      </c>
      <c r="AC541" s="9">
        <v>68000</v>
      </c>
      <c r="AE541" s="56">
        <f t="shared" si="149"/>
        <v>13600</v>
      </c>
      <c r="AF541" s="10">
        <f t="shared" si="147"/>
        <v>24800</v>
      </c>
      <c r="AH541" s="11">
        <f t="shared" si="148"/>
        <v>85</v>
      </c>
      <c r="AI541" s="10">
        <v>85</v>
      </c>
      <c r="AJ541" s="11">
        <f t="shared" si="145"/>
        <v>850</v>
      </c>
      <c r="AK541" s="10">
        <v>850</v>
      </c>
      <c r="AL541" s="11">
        <f t="shared" si="145"/>
        <v>850</v>
      </c>
      <c r="AM541" s="10">
        <v>850</v>
      </c>
      <c r="AN541" s="56">
        <f t="shared" si="150"/>
        <v>1</v>
      </c>
      <c r="AP541" s="11">
        <f ca="1">IFERROR(OFFSET(ITEM_RES!$A$1,MATCH(AQ541,ITEM_RES!$J:$J,0)-1,0),0)</f>
        <v>211020901</v>
      </c>
      <c r="AQ541" s="10" t="s">
        <v>471</v>
      </c>
      <c r="AR541" s="11">
        <v>4250</v>
      </c>
      <c r="AU541" s="11">
        <f ca="1">IFERROR(OFFSET(ITEM_RES!$A$1,MATCH(AV541,ITEM_RES!$J:$J,0)-1,0),0)</f>
        <v>0</v>
      </c>
      <c r="AZ541" s="11">
        <f ca="1">IFERROR(OFFSET(ITEM_RES!$A$1,MATCH(BA541,ITEM_RES!$J:$J,0)-1,0),0)</f>
        <v>0</v>
      </c>
      <c r="BE541" s="11">
        <f ca="1">IFERROR(OFFSET(ITEM_RES!$A$1,MATCH(BF541,ITEM_RES!$J:$J,0)-1,0),0)</f>
        <v>0</v>
      </c>
      <c r="BJ541" s="11">
        <f ca="1">IFERROR(OFFSET(ITEM_RES!$A$1,MATCH(BK541,ITEM_RES!$J:$J,0)-1,0),0)</f>
        <v>0</v>
      </c>
    </row>
    <row r="542" spans="1:62" x14ac:dyDescent="0.3">
      <c r="A542" s="14">
        <f t="shared" si="142"/>
        <v>115040018</v>
      </c>
      <c r="B542" s="13">
        <v>11</v>
      </c>
      <c r="C542" s="12">
        <f t="shared" si="143"/>
        <v>5</v>
      </c>
      <c r="D542" s="13">
        <v>4</v>
      </c>
      <c r="E542" s="13">
        <v>0</v>
      </c>
      <c r="F542" s="12">
        <f t="shared" si="144"/>
        <v>18</v>
      </c>
      <c r="H542" s="9">
        <v>5</v>
      </c>
      <c r="I542" s="9">
        <v>18</v>
      </c>
      <c r="K542" s="9" t="s">
        <v>370</v>
      </c>
      <c r="L542" s="9">
        <v>0</v>
      </c>
      <c r="M542" s="9">
        <v>15</v>
      </c>
      <c r="R542" s="9">
        <v>5555</v>
      </c>
      <c r="U542" s="9">
        <f ca="1">IFERROR(OFFSET(ITEM_RES!$A$5,MATCH(BUILDING!T542,ITEM_RES!$J$5:$J$229,0)-1,0),0)</f>
        <v>0</v>
      </c>
      <c r="X542" s="9">
        <f ca="1">IFERROR(OFFSET(ITEM_RES!$A$5,MATCH(BUILDING!W542,ITEM_RES!$J$5:$J$229,0)-1,0),0)</f>
        <v>0</v>
      </c>
      <c r="Z542" s="9" t="s">
        <v>370</v>
      </c>
      <c r="AA542" s="9">
        <v>18</v>
      </c>
      <c r="AC542" s="9">
        <v>84000</v>
      </c>
      <c r="AE542" s="56">
        <f t="shared" si="149"/>
        <v>16800</v>
      </c>
      <c r="AF542" s="10">
        <f t="shared" si="147"/>
        <v>30400</v>
      </c>
      <c r="AH542" s="11">
        <f t="shared" si="148"/>
        <v>90</v>
      </c>
      <c r="AI542" s="10">
        <v>90</v>
      </c>
      <c r="AJ542" s="11">
        <f t="shared" si="145"/>
        <v>1050</v>
      </c>
      <c r="AK542" s="10">
        <v>1050</v>
      </c>
      <c r="AL542" s="11">
        <f t="shared" si="145"/>
        <v>1050</v>
      </c>
      <c r="AM542" s="10">
        <v>1050</v>
      </c>
      <c r="AN542" s="56">
        <f t="shared" si="150"/>
        <v>1</v>
      </c>
      <c r="AP542" s="11">
        <f ca="1">IFERROR(OFFSET(ITEM_RES!$A$1,MATCH(AQ542,ITEM_RES!$J:$J,0)-1,0),0)</f>
        <v>211020901</v>
      </c>
      <c r="AQ542" s="10" t="s">
        <v>471</v>
      </c>
      <c r="AR542" s="11">
        <v>5250</v>
      </c>
      <c r="AU542" s="11">
        <f ca="1">IFERROR(OFFSET(ITEM_RES!$A$1,MATCH(AV542,ITEM_RES!$J:$J,0)-1,0),0)</f>
        <v>0</v>
      </c>
      <c r="AZ542" s="11">
        <f ca="1">IFERROR(OFFSET(ITEM_RES!$A$1,MATCH(BA542,ITEM_RES!$J:$J,0)-1,0),0)</f>
        <v>0</v>
      </c>
      <c r="BE542" s="11">
        <f ca="1">IFERROR(OFFSET(ITEM_RES!$A$1,MATCH(BF542,ITEM_RES!$J:$J,0)-1,0),0)</f>
        <v>0</v>
      </c>
      <c r="BJ542" s="11">
        <f ca="1">IFERROR(OFFSET(ITEM_RES!$A$1,MATCH(BK542,ITEM_RES!$J:$J,0)-1,0),0)</f>
        <v>0</v>
      </c>
    </row>
    <row r="543" spans="1:62" x14ac:dyDescent="0.3">
      <c r="A543" s="14">
        <f t="shared" si="142"/>
        <v>115040019</v>
      </c>
      <c r="B543" s="13">
        <v>11</v>
      </c>
      <c r="C543" s="12">
        <f t="shared" si="143"/>
        <v>5</v>
      </c>
      <c r="D543" s="13">
        <v>4</v>
      </c>
      <c r="E543" s="13">
        <v>0</v>
      </c>
      <c r="F543" s="12">
        <f t="shared" si="144"/>
        <v>19</v>
      </c>
      <c r="H543" s="9">
        <v>5</v>
      </c>
      <c r="I543" s="9">
        <v>19</v>
      </c>
      <c r="K543" s="9" t="s">
        <v>370</v>
      </c>
      <c r="L543" s="9">
        <v>0</v>
      </c>
      <c r="M543" s="9">
        <v>15</v>
      </c>
      <c r="R543" s="9">
        <v>5555</v>
      </c>
      <c r="U543" s="9">
        <f ca="1">IFERROR(OFFSET(ITEM_RES!$A$5,MATCH(BUILDING!T543,ITEM_RES!$J$5:$J$229,0)-1,0),0)</f>
        <v>0</v>
      </c>
      <c r="X543" s="9">
        <f ca="1">IFERROR(OFFSET(ITEM_RES!$A$5,MATCH(BUILDING!W543,ITEM_RES!$J$5:$J$229,0)-1,0),0)</f>
        <v>0</v>
      </c>
      <c r="Z543" s="9" t="s">
        <v>370</v>
      </c>
      <c r="AA543" s="9">
        <v>19</v>
      </c>
      <c r="AC543" s="9">
        <v>100000</v>
      </c>
      <c r="AE543" s="56">
        <f t="shared" si="149"/>
        <v>20000</v>
      </c>
      <c r="AF543" s="10">
        <f t="shared" si="147"/>
        <v>36800</v>
      </c>
      <c r="AH543" s="11">
        <f t="shared" si="148"/>
        <v>95</v>
      </c>
      <c r="AI543" s="10">
        <v>95</v>
      </c>
      <c r="AJ543" s="11">
        <f t="shared" si="145"/>
        <v>1250</v>
      </c>
      <c r="AK543" s="10">
        <v>1250</v>
      </c>
      <c r="AL543" s="11">
        <f t="shared" si="145"/>
        <v>1250</v>
      </c>
      <c r="AM543" s="10">
        <v>1250</v>
      </c>
      <c r="AN543" s="56">
        <f t="shared" si="150"/>
        <v>1</v>
      </c>
      <c r="AP543" s="11">
        <f ca="1">IFERROR(OFFSET(ITEM_RES!$A$1,MATCH(AQ543,ITEM_RES!$J:$J,0)-1,0),0)</f>
        <v>211020901</v>
      </c>
      <c r="AQ543" s="10" t="s">
        <v>471</v>
      </c>
      <c r="AR543" s="11">
        <v>6250</v>
      </c>
      <c r="AU543" s="11">
        <f ca="1">IFERROR(OFFSET(ITEM_RES!$A$1,MATCH(AV543,ITEM_RES!$J:$J,0)-1,0),0)</f>
        <v>0</v>
      </c>
      <c r="AZ543" s="11">
        <f ca="1">IFERROR(OFFSET(ITEM_RES!$A$1,MATCH(BA543,ITEM_RES!$J:$J,0)-1,0),0)</f>
        <v>0</v>
      </c>
      <c r="BE543" s="11">
        <f ca="1">IFERROR(OFFSET(ITEM_RES!$A$1,MATCH(BF543,ITEM_RES!$J:$J,0)-1,0),0)</f>
        <v>0</v>
      </c>
      <c r="BJ543" s="11">
        <f ca="1">IFERROR(OFFSET(ITEM_RES!$A$1,MATCH(BK543,ITEM_RES!$J:$J,0)-1,0),0)</f>
        <v>0</v>
      </c>
    </row>
    <row r="544" spans="1:62" ht="17.25" thickBot="1" x14ac:dyDescent="0.35">
      <c r="A544" s="14">
        <f t="shared" si="142"/>
        <v>115040020</v>
      </c>
      <c r="B544" s="13">
        <v>11</v>
      </c>
      <c r="C544" s="12">
        <f t="shared" si="143"/>
        <v>5</v>
      </c>
      <c r="D544" s="13">
        <v>4</v>
      </c>
      <c r="E544" s="13">
        <v>0</v>
      </c>
      <c r="F544" s="12">
        <f t="shared" si="144"/>
        <v>20</v>
      </c>
      <c r="H544" s="9">
        <v>5</v>
      </c>
      <c r="I544" s="9">
        <v>20</v>
      </c>
      <c r="K544" s="9" t="s">
        <v>370</v>
      </c>
      <c r="L544" s="9">
        <v>0</v>
      </c>
      <c r="M544" s="9">
        <v>15</v>
      </c>
      <c r="R544" s="9">
        <v>5555</v>
      </c>
      <c r="U544" s="9">
        <f ca="1">IFERROR(OFFSET(ITEM_RES!$A$5,MATCH(BUILDING!T544,ITEM_RES!$J$5:$J$229,0)-1,0),0)</f>
        <v>0</v>
      </c>
      <c r="X544" s="9">
        <f ca="1">IFERROR(OFFSET(ITEM_RES!$A$5,MATCH(BUILDING!W544,ITEM_RES!$J$5:$J$229,0)-1,0),0)</f>
        <v>0</v>
      </c>
      <c r="Z544" s="9" t="s">
        <v>370</v>
      </c>
      <c r="AA544" s="9">
        <v>20</v>
      </c>
      <c r="AC544" s="9">
        <v>120000</v>
      </c>
      <c r="AE544" s="56">
        <f t="shared" si="149"/>
        <v>24000</v>
      </c>
      <c r="AF544" s="10">
        <f t="shared" si="147"/>
        <v>44000</v>
      </c>
      <c r="AH544" s="11">
        <f t="shared" si="148"/>
        <v>100</v>
      </c>
      <c r="AI544" s="10">
        <v>100</v>
      </c>
      <c r="AJ544" s="11">
        <f t="shared" si="145"/>
        <v>1500</v>
      </c>
      <c r="AK544" s="10">
        <v>1500</v>
      </c>
      <c r="AL544" s="11">
        <f t="shared" si="145"/>
        <v>1500</v>
      </c>
      <c r="AM544" s="10">
        <v>1500</v>
      </c>
      <c r="AN544" s="56">
        <f t="shared" si="150"/>
        <v>1</v>
      </c>
      <c r="AP544" s="11">
        <f ca="1">IFERROR(OFFSET(ITEM_RES!$A$1,MATCH(AQ544,ITEM_RES!$J:$J,0)-1,0),0)</f>
        <v>211020901</v>
      </c>
      <c r="AQ544" s="10" t="s">
        <v>471</v>
      </c>
      <c r="AR544" s="11">
        <v>7500</v>
      </c>
      <c r="AU544" s="11">
        <f ca="1">IFERROR(OFFSET(ITEM_RES!$A$1,MATCH(AV544,ITEM_RES!$J:$J,0)-1,0),0)</f>
        <v>0</v>
      </c>
      <c r="AZ544" s="11">
        <f ca="1">IFERROR(OFFSET(ITEM_RES!$A$1,MATCH(BA544,ITEM_RES!$J:$J,0)-1,0),0)</f>
        <v>0</v>
      </c>
      <c r="BE544" s="11">
        <f ca="1">IFERROR(OFFSET(ITEM_RES!$A$1,MATCH(BF544,ITEM_RES!$J:$J,0)-1,0),0)</f>
        <v>0</v>
      </c>
      <c r="BJ544" s="11">
        <f ca="1">IFERROR(OFFSET(ITEM_RES!$A$1,MATCH(BK544,ITEM_RES!$J:$J,0)-1,0),0)</f>
        <v>0</v>
      </c>
    </row>
    <row r="545" spans="1:65" s="15" customFormat="1" x14ac:dyDescent="0.3">
      <c r="A545" s="21">
        <f t="shared" si="142"/>
        <v>115050001</v>
      </c>
      <c r="B545" s="20">
        <v>11</v>
      </c>
      <c r="C545" s="19">
        <f t="shared" si="143"/>
        <v>5</v>
      </c>
      <c r="D545" s="20">
        <v>5</v>
      </c>
      <c r="E545" s="20">
        <v>0</v>
      </c>
      <c r="F545" s="19">
        <f t="shared" si="144"/>
        <v>1</v>
      </c>
      <c r="G545" s="80"/>
      <c r="H545" s="16">
        <v>5</v>
      </c>
      <c r="I545" s="16">
        <v>1</v>
      </c>
      <c r="J545" s="80"/>
      <c r="K545" s="16" t="s">
        <v>396</v>
      </c>
      <c r="L545" s="16">
        <v>1</v>
      </c>
      <c r="M545" s="16">
        <v>15</v>
      </c>
      <c r="N545" s="16"/>
      <c r="O545" s="17"/>
      <c r="P545" s="17"/>
      <c r="Q545" s="18"/>
      <c r="R545" s="16">
        <v>6666</v>
      </c>
      <c r="S545" s="80"/>
      <c r="T545" s="88"/>
      <c r="U545" s="16">
        <f ca="1">IFERROR(OFFSET(ITEM_RES!$A$5,MATCH(BUILDING!T545,ITEM_RES!$J$5:$J$229,0)-1,0),0)</f>
        <v>0</v>
      </c>
      <c r="V545" s="18"/>
      <c r="W545" s="88"/>
      <c r="X545" s="16">
        <f ca="1">IFERROR(OFFSET(ITEM_RES!$A$5,MATCH(BUILDING!W545,ITEM_RES!$J$5:$J$229,0)-1,0),0)</f>
        <v>0</v>
      </c>
      <c r="Y545" s="80"/>
      <c r="Z545" s="16" t="s">
        <v>396</v>
      </c>
      <c r="AA545" s="16">
        <v>1</v>
      </c>
      <c r="AB545" s="80"/>
      <c r="AC545" s="16">
        <v>0</v>
      </c>
      <c r="AD545" s="80"/>
      <c r="AE545" s="57">
        <f t="shared" si="149"/>
        <v>1080</v>
      </c>
      <c r="AF545" s="17">
        <f>AE545</f>
        <v>1080</v>
      </c>
      <c r="AG545" s="80"/>
      <c r="AH545" s="18">
        <f t="shared" si="148"/>
        <v>5</v>
      </c>
      <c r="AI545" s="17">
        <v>5</v>
      </c>
      <c r="AJ545" s="18">
        <f t="shared" si="145"/>
        <v>5</v>
      </c>
      <c r="AK545" s="17">
        <v>5</v>
      </c>
      <c r="AL545" s="18">
        <f t="shared" si="145"/>
        <v>5</v>
      </c>
      <c r="AM545" s="17">
        <v>5</v>
      </c>
      <c r="AN545" s="57">
        <f t="shared" si="150"/>
        <v>3</v>
      </c>
      <c r="AO545" s="18"/>
      <c r="AP545" s="18">
        <f ca="1">IFERROR(OFFSET(ITEM_RES!$A$1,MATCH(AQ545,ITEM_RES!$J:$J,0)-1,0),0)</f>
        <v>211020801</v>
      </c>
      <c r="AQ545" s="17" t="s">
        <v>456</v>
      </c>
      <c r="AR545" s="18">
        <v>25</v>
      </c>
      <c r="AS545" s="17"/>
      <c r="AT545" s="18"/>
      <c r="AU545" s="18">
        <f ca="1">IFERROR(OFFSET(ITEM_RES!$A$1,MATCH(AV545,ITEM_RES!$J:$J,0)-1,0),0)</f>
        <v>0</v>
      </c>
      <c r="AV545" s="17"/>
      <c r="AW545" s="18"/>
      <c r="AX545" s="17"/>
      <c r="AY545" s="18"/>
      <c r="AZ545" s="18">
        <f ca="1">IFERROR(OFFSET(ITEM_RES!$A$1,MATCH(BA545,ITEM_RES!$J:$J,0)-1,0),0)</f>
        <v>213010101</v>
      </c>
      <c r="BA545" s="17" t="s">
        <v>481</v>
      </c>
      <c r="BB545" s="18">
        <v>1</v>
      </c>
      <c r="BC545" s="17"/>
      <c r="BD545" s="18"/>
      <c r="BE545" s="18">
        <f ca="1">IFERROR(OFFSET(ITEM_RES!$A$1,MATCH(BF545,ITEM_RES!$J:$J,0)-1,0),0)</f>
        <v>213010301</v>
      </c>
      <c r="BF545" s="17" t="s">
        <v>505</v>
      </c>
      <c r="BG545" s="18">
        <v>1</v>
      </c>
      <c r="BH545" s="17"/>
      <c r="BI545" s="18"/>
      <c r="BJ545" s="18">
        <f ca="1">IFERROR(OFFSET(ITEM_RES!$A$1,MATCH(BK545,ITEM_RES!$J:$J,0)-1,0),0)</f>
        <v>0</v>
      </c>
      <c r="BK545" s="17"/>
      <c r="BL545" s="18"/>
      <c r="BM545" s="17"/>
    </row>
    <row r="546" spans="1:65" x14ac:dyDescent="0.3">
      <c r="A546" s="14">
        <f t="shared" si="142"/>
        <v>115050002</v>
      </c>
      <c r="B546" s="13">
        <v>11</v>
      </c>
      <c r="C546" s="12">
        <f t="shared" si="143"/>
        <v>5</v>
      </c>
      <c r="D546" s="13">
        <v>5</v>
      </c>
      <c r="E546" s="13">
        <v>0</v>
      </c>
      <c r="F546" s="12">
        <f t="shared" si="144"/>
        <v>2</v>
      </c>
      <c r="H546" s="9">
        <v>5</v>
      </c>
      <c r="I546" s="9">
        <v>2</v>
      </c>
      <c r="K546" s="9" t="s">
        <v>396</v>
      </c>
      <c r="L546" s="9">
        <v>1</v>
      </c>
      <c r="M546" s="9">
        <v>15</v>
      </c>
      <c r="R546" s="9">
        <v>6666</v>
      </c>
      <c r="U546" s="9">
        <f ca="1">IFERROR(OFFSET(ITEM_RES!$A$5,MATCH(BUILDING!T546,ITEM_RES!$J$5:$J$229,0)-1,0),0)</f>
        <v>0</v>
      </c>
      <c r="X546" s="9">
        <f ca="1">IFERROR(OFFSET(ITEM_RES!$A$5,MATCH(BUILDING!W546,ITEM_RES!$J$5:$J$229,0)-1,0),0)</f>
        <v>0</v>
      </c>
      <c r="Z546" s="9" t="s">
        <v>396</v>
      </c>
      <c r="AA546" s="9">
        <v>2</v>
      </c>
      <c r="AC546" s="9">
        <v>200</v>
      </c>
      <c r="AE546" s="56">
        <f t="shared" si="149"/>
        <v>160</v>
      </c>
      <c r="AF546" s="10">
        <f>AE545+AE546</f>
        <v>1240</v>
      </c>
      <c r="AH546" s="11">
        <f t="shared" si="148"/>
        <v>10</v>
      </c>
      <c r="AI546" s="10">
        <v>10</v>
      </c>
      <c r="AJ546" s="11">
        <f t="shared" si="145"/>
        <v>10</v>
      </c>
      <c r="AK546" s="10">
        <v>10</v>
      </c>
      <c r="AL546" s="11">
        <f t="shared" si="145"/>
        <v>10</v>
      </c>
      <c r="AM546" s="10">
        <v>10</v>
      </c>
      <c r="AN546" s="56">
        <f t="shared" si="150"/>
        <v>1</v>
      </c>
      <c r="AP546" s="11">
        <f ca="1">IFERROR(OFFSET(ITEM_RES!$A$1,MATCH(AQ546,ITEM_RES!$J:$J,0)-1,0),0)</f>
        <v>211020801</v>
      </c>
      <c r="AQ546" s="10" t="s">
        <v>456</v>
      </c>
      <c r="AR546" s="11">
        <v>50</v>
      </c>
      <c r="AU546" s="11">
        <f ca="1">IFERROR(OFFSET(ITEM_RES!$A$1,MATCH(AV546,ITEM_RES!$J:$J,0)-1,0),0)</f>
        <v>0</v>
      </c>
      <c r="AZ546" s="11">
        <f ca="1">IFERROR(OFFSET(ITEM_RES!$A$1,MATCH(BA546,ITEM_RES!$J:$J,0)-1,0),0)</f>
        <v>0</v>
      </c>
      <c r="BE546" s="11">
        <f ca="1">IFERROR(OFFSET(ITEM_RES!$A$1,MATCH(BF546,ITEM_RES!$J:$J,0)-1,0),0)</f>
        <v>0</v>
      </c>
      <c r="BJ546" s="11">
        <f ca="1">IFERROR(OFFSET(ITEM_RES!$A$1,MATCH(BK546,ITEM_RES!$J:$J,0)-1,0),0)</f>
        <v>0</v>
      </c>
    </row>
    <row r="547" spans="1:65" x14ac:dyDescent="0.3">
      <c r="A547" s="14">
        <f t="shared" si="142"/>
        <v>115050003</v>
      </c>
      <c r="B547" s="13">
        <v>11</v>
      </c>
      <c r="C547" s="12">
        <f t="shared" si="143"/>
        <v>5</v>
      </c>
      <c r="D547" s="13">
        <v>5</v>
      </c>
      <c r="E547" s="13">
        <v>0</v>
      </c>
      <c r="F547" s="12">
        <f t="shared" si="144"/>
        <v>3</v>
      </c>
      <c r="H547" s="9">
        <v>5</v>
      </c>
      <c r="I547" s="9">
        <v>3</v>
      </c>
      <c r="K547" s="9" t="s">
        <v>395</v>
      </c>
      <c r="L547" s="9">
        <v>1</v>
      </c>
      <c r="M547" s="9">
        <v>15</v>
      </c>
      <c r="R547" s="9">
        <v>6666</v>
      </c>
      <c r="U547" s="9">
        <f ca="1">IFERROR(OFFSET(ITEM_RES!$A$5,MATCH(BUILDING!T547,ITEM_RES!$J$5:$J$229,0)-1,0),0)</f>
        <v>0</v>
      </c>
      <c r="X547" s="9">
        <f ca="1">IFERROR(OFFSET(ITEM_RES!$A$5,MATCH(BUILDING!W547,ITEM_RES!$J$5:$J$229,0)-1,0),0)</f>
        <v>0</v>
      </c>
      <c r="Z547" s="9" t="s">
        <v>395</v>
      </c>
      <c r="AA547" s="9">
        <v>3</v>
      </c>
      <c r="AC547" s="9">
        <v>600</v>
      </c>
      <c r="AE547" s="56">
        <f t="shared" si="149"/>
        <v>240</v>
      </c>
      <c r="AF547" s="10">
        <f t="shared" ref="AF547:AF564" si="151">AE546+AE547</f>
        <v>400</v>
      </c>
      <c r="AH547" s="11">
        <f t="shared" si="148"/>
        <v>15</v>
      </c>
      <c r="AI547" s="10">
        <v>15</v>
      </c>
      <c r="AJ547" s="11">
        <f t="shared" si="145"/>
        <v>15</v>
      </c>
      <c r="AK547" s="10">
        <v>15</v>
      </c>
      <c r="AL547" s="11">
        <f t="shared" si="145"/>
        <v>15</v>
      </c>
      <c r="AM547" s="10">
        <v>15</v>
      </c>
      <c r="AN547" s="56">
        <f t="shared" si="150"/>
        <v>1</v>
      </c>
      <c r="AP547" s="11">
        <f ca="1">IFERROR(OFFSET(ITEM_RES!$A$1,MATCH(AQ547,ITEM_RES!$J:$J,0)-1,0),0)</f>
        <v>211020801</v>
      </c>
      <c r="AQ547" s="10" t="s">
        <v>456</v>
      </c>
      <c r="AR547" s="11">
        <v>75</v>
      </c>
      <c r="AU547" s="11">
        <f ca="1">IFERROR(OFFSET(ITEM_RES!$A$1,MATCH(AV547,ITEM_RES!$J:$J,0)-1,0),0)</f>
        <v>0</v>
      </c>
      <c r="AZ547" s="11">
        <f ca="1">IFERROR(OFFSET(ITEM_RES!$A$1,MATCH(BA547,ITEM_RES!$J:$J,0)-1,0),0)</f>
        <v>0</v>
      </c>
      <c r="BE547" s="11">
        <f ca="1">IFERROR(OFFSET(ITEM_RES!$A$1,MATCH(BF547,ITEM_RES!$J:$J,0)-1,0),0)</f>
        <v>0</v>
      </c>
      <c r="BJ547" s="11">
        <f ca="1">IFERROR(OFFSET(ITEM_RES!$A$1,MATCH(BK547,ITEM_RES!$J:$J,0)-1,0),0)</f>
        <v>0</v>
      </c>
    </row>
    <row r="548" spans="1:65" x14ac:dyDescent="0.3">
      <c r="A548" s="14">
        <f t="shared" si="142"/>
        <v>115050004</v>
      </c>
      <c r="B548" s="13">
        <v>11</v>
      </c>
      <c r="C548" s="12">
        <f t="shared" si="143"/>
        <v>5</v>
      </c>
      <c r="D548" s="13">
        <v>5</v>
      </c>
      <c r="E548" s="13">
        <v>0</v>
      </c>
      <c r="F548" s="12">
        <f t="shared" si="144"/>
        <v>4</v>
      </c>
      <c r="H548" s="9">
        <v>5</v>
      </c>
      <c r="I548" s="9">
        <v>4</v>
      </c>
      <c r="K548" s="9" t="s">
        <v>395</v>
      </c>
      <c r="L548" s="9">
        <v>1</v>
      </c>
      <c r="M548" s="9">
        <v>15</v>
      </c>
      <c r="R548" s="9">
        <v>6666</v>
      </c>
      <c r="U548" s="9">
        <f ca="1">IFERROR(OFFSET(ITEM_RES!$A$5,MATCH(BUILDING!T548,ITEM_RES!$J$5:$J$229,0)-1,0),0)</f>
        <v>0</v>
      </c>
      <c r="X548" s="9">
        <f ca="1">IFERROR(OFFSET(ITEM_RES!$A$5,MATCH(BUILDING!W548,ITEM_RES!$J$5:$J$229,0)-1,0),0)</f>
        <v>0</v>
      </c>
      <c r="Z548" s="9" t="s">
        <v>395</v>
      </c>
      <c r="AA548" s="9">
        <v>4</v>
      </c>
      <c r="AC548" s="9">
        <v>1000</v>
      </c>
      <c r="AE548" s="56">
        <f t="shared" si="149"/>
        <v>400</v>
      </c>
      <c r="AF548" s="10">
        <f t="shared" si="151"/>
        <v>640</v>
      </c>
      <c r="AH548" s="11">
        <f t="shared" si="148"/>
        <v>20</v>
      </c>
      <c r="AI548" s="10">
        <v>20</v>
      </c>
      <c r="AJ548" s="11">
        <f t="shared" si="145"/>
        <v>25</v>
      </c>
      <c r="AK548" s="10">
        <v>25</v>
      </c>
      <c r="AL548" s="11">
        <f t="shared" si="145"/>
        <v>25</v>
      </c>
      <c r="AM548" s="10">
        <v>25</v>
      </c>
      <c r="AN548" s="56">
        <f t="shared" si="150"/>
        <v>1</v>
      </c>
      <c r="AP548" s="11">
        <f ca="1">IFERROR(OFFSET(ITEM_RES!$A$1,MATCH(AQ548,ITEM_RES!$J:$J,0)-1,0),0)</f>
        <v>211020801</v>
      </c>
      <c r="AQ548" s="10" t="s">
        <v>456</v>
      </c>
      <c r="AR548" s="11">
        <v>125</v>
      </c>
      <c r="AU548" s="11">
        <f ca="1">IFERROR(OFFSET(ITEM_RES!$A$1,MATCH(AV548,ITEM_RES!$J:$J,0)-1,0),0)</f>
        <v>0</v>
      </c>
      <c r="AZ548" s="11">
        <f ca="1">IFERROR(OFFSET(ITEM_RES!$A$1,MATCH(BA548,ITEM_RES!$J:$J,0)-1,0),0)</f>
        <v>0</v>
      </c>
      <c r="BE548" s="11">
        <f ca="1">IFERROR(OFFSET(ITEM_RES!$A$1,MATCH(BF548,ITEM_RES!$J:$J,0)-1,0),0)</f>
        <v>0</v>
      </c>
      <c r="BJ548" s="11">
        <f ca="1">IFERROR(OFFSET(ITEM_RES!$A$1,MATCH(BK548,ITEM_RES!$J:$J,0)-1,0),0)</f>
        <v>0</v>
      </c>
    </row>
    <row r="549" spans="1:65" x14ac:dyDescent="0.3">
      <c r="A549" s="14">
        <f t="shared" si="142"/>
        <v>115050005</v>
      </c>
      <c r="B549" s="13">
        <v>11</v>
      </c>
      <c r="C549" s="12">
        <f t="shared" si="143"/>
        <v>5</v>
      </c>
      <c r="D549" s="13">
        <v>5</v>
      </c>
      <c r="E549" s="13">
        <v>0</v>
      </c>
      <c r="F549" s="12">
        <f t="shared" si="144"/>
        <v>5</v>
      </c>
      <c r="H549" s="9">
        <v>5</v>
      </c>
      <c r="I549" s="9">
        <v>5</v>
      </c>
      <c r="K549" s="9" t="s">
        <v>395</v>
      </c>
      <c r="L549" s="9">
        <v>1</v>
      </c>
      <c r="M549" s="9">
        <v>15</v>
      </c>
      <c r="R549" s="9">
        <v>6666</v>
      </c>
      <c r="U549" s="9">
        <f ca="1">IFERROR(OFFSET(ITEM_RES!$A$5,MATCH(BUILDING!T549,ITEM_RES!$J$5:$J$229,0)-1,0),0)</f>
        <v>0</v>
      </c>
      <c r="X549" s="9">
        <f ca="1">IFERROR(OFFSET(ITEM_RES!$A$5,MATCH(BUILDING!W549,ITEM_RES!$J$5:$J$229,0)-1,0),0)</f>
        <v>0</v>
      </c>
      <c r="Z549" s="9" t="s">
        <v>395</v>
      </c>
      <c r="AA549" s="9">
        <v>5</v>
      </c>
      <c r="AC549" s="9">
        <v>1600</v>
      </c>
      <c r="AE549" s="56">
        <f t="shared" si="149"/>
        <v>640</v>
      </c>
      <c r="AF549" s="10">
        <f t="shared" si="151"/>
        <v>1040</v>
      </c>
      <c r="AH549" s="11">
        <f t="shared" si="148"/>
        <v>25</v>
      </c>
      <c r="AI549" s="10">
        <v>25</v>
      </c>
      <c r="AJ549" s="11">
        <f t="shared" si="145"/>
        <v>40</v>
      </c>
      <c r="AK549" s="10">
        <v>40</v>
      </c>
      <c r="AL549" s="11">
        <f t="shared" si="145"/>
        <v>40</v>
      </c>
      <c r="AM549" s="10">
        <v>40</v>
      </c>
      <c r="AN549" s="56">
        <f t="shared" si="150"/>
        <v>1</v>
      </c>
      <c r="AP549" s="11">
        <f ca="1">IFERROR(OFFSET(ITEM_RES!$A$1,MATCH(AQ549,ITEM_RES!$J:$J,0)-1,0),0)</f>
        <v>211020801</v>
      </c>
      <c r="AQ549" s="10" t="s">
        <v>456</v>
      </c>
      <c r="AR549" s="11">
        <v>200</v>
      </c>
      <c r="AU549" s="11">
        <f ca="1">IFERROR(OFFSET(ITEM_RES!$A$1,MATCH(AV549,ITEM_RES!$J:$J,0)-1,0),0)</f>
        <v>0</v>
      </c>
      <c r="AZ549" s="11">
        <f ca="1">IFERROR(OFFSET(ITEM_RES!$A$1,MATCH(BA549,ITEM_RES!$J:$J,0)-1,0),0)</f>
        <v>0</v>
      </c>
      <c r="BE549" s="11">
        <f ca="1">IFERROR(OFFSET(ITEM_RES!$A$1,MATCH(BF549,ITEM_RES!$J:$J,0)-1,0),0)</f>
        <v>0</v>
      </c>
      <c r="BJ549" s="11">
        <f ca="1">IFERROR(OFFSET(ITEM_RES!$A$1,MATCH(BK549,ITEM_RES!$J:$J,0)-1,0),0)</f>
        <v>0</v>
      </c>
    </row>
    <row r="550" spans="1:65" x14ac:dyDescent="0.3">
      <c r="A550" s="14">
        <f t="shared" si="142"/>
        <v>115050006</v>
      </c>
      <c r="B550" s="13">
        <v>11</v>
      </c>
      <c r="C550" s="12">
        <f t="shared" si="143"/>
        <v>5</v>
      </c>
      <c r="D550" s="13">
        <v>5</v>
      </c>
      <c r="E550" s="13">
        <v>0</v>
      </c>
      <c r="F550" s="12">
        <f t="shared" si="144"/>
        <v>6</v>
      </c>
      <c r="H550" s="9">
        <v>5</v>
      </c>
      <c r="I550" s="9">
        <v>6</v>
      </c>
      <c r="K550" s="9" t="s">
        <v>395</v>
      </c>
      <c r="L550" s="9">
        <v>1</v>
      </c>
      <c r="M550" s="9">
        <v>15</v>
      </c>
      <c r="R550" s="9">
        <v>6666</v>
      </c>
      <c r="U550" s="9">
        <f ca="1">IFERROR(OFFSET(ITEM_RES!$A$5,MATCH(BUILDING!T550,ITEM_RES!$J$5:$J$229,0)-1,0),0)</f>
        <v>0</v>
      </c>
      <c r="X550" s="9">
        <f ca="1">IFERROR(OFFSET(ITEM_RES!$A$5,MATCH(BUILDING!W550,ITEM_RES!$J$5:$J$229,0)-1,0),0)</f>
        <v>0</v>
      </c>
      <c r="Z550" s="9" t="s">
        <v>395</v>
      </c>
      <c r="AA550" s="9">
        <v>6</v>
      </c>
      <c r="AC550" s="9">
        <v>2000</v>
      </c>
      <c r="AE550" s="56">
        <f t="shared" si="149"/>
        <v>1300</v>
      </c>
      <c r="AF550" s="10">
        <f t="shared" si="151"/>
        <v>1940</v>
      </c>
      <c r="AH550" s="11">
        <f t="shared" si="148"/>
        <v>30</v>
      </c>
      <c r="AI550" s="10">
        <v>30</v>
      </c>
      <c r="AJ550" s="11">
        <f t="shared" si="145"/>
        <v>50</v>
      </c>
      <c r="AK550" s="10">
        <v>50</v>
      </c>
      <c r="AL550" s="11">
        <f t="shared" si="145"/>
        <v>50</v>
      </c>
      <c r="AM550" s="10">
        <v>50</v>
      </c>
      <c r="AN550" s="56">
        <f t="shared" si="150"/>
        <v>2</v>
      </c>
      <c r="AP550" s="11">
        <f ca="1">IFERROR(OFFSET(ITEM_RES!$A$1,MATCH(AQ550,ITEM_RES!$J:$J,0)-1,0),0)</f>
        <v>211020801</v>
      </c>
      <c r="AQ550" s="10" t="s">
        <v>456</v>
      </c>
      <c r="AR550" s="11">
        <v>250</v>
      </c>
      <c r="AU550" s="11">
        <f ca="1">IFERROR(OFFSET(ITEM_RES!$A$1,MATCH(AV550,ITEM_RES!$J:$J,0)-1,0),0)</f>
        <v>0</v>
      </c>
      <c r="AZ550" s="11">
        <f ca="1">IFERROR(OFFSET(ITEM_RES!$A$1,MATCH(BA550,ITEM_RES!$J:$J,0)-1,0),0)</f>
        <v>0</v>
      </c>
      <c r="BE550" s="11">
        <f ca="1">IFERROR(OFFSET(ITEM_RES!$A$1,MATCH(BF550,ITEM_RES!$J:$J,0)-1,0),0)</f>
        <v>213011901</v>
      </c>
      <c r="BF550" s="10" t="s">
        <v>511</v>
      </c>
      <c r="BG550" s="11">
        <v>1</v>
      </c>
      <c r="BJ550" s="11">
        <f ca="1">IFERROR(OFFSET(ITEM_RES!$A$1,MATCH(BK550,ITEM_RES!$J:$J,0)-1,0),0)</f>
        <v>0</v>
      </c>
    </row>
    <row r="551" spans="1:65" x14ac:dyDescent="0.3">
      <c r="A551" s="14">
        <f t="shared" si="142"/>
        <v>115050007</v>
      </c>
      <c r="B551" s="13">
        <v>11</v>
      </c>
      <c r="C551" s="12">
        <f t="shared" si="143"/>
        <v>5</v>
      </c>
      <c r="D551" s="13">
        <v>5</v>
      </c>
      <c r="E551" s="13">
        <v>0</v>
      </c>
      <c r="F551" s="12">
        <f t="shared" si="144"/>
        <v>7</v>
      </c>
      <c r="H551" s="9">
        <v>5</v>
      </c>
      <c r="I551" s="9">
        <v>7</v>
      </c>
      <c r="K551" s="9" t="s">
        <v>395</v>
      </c>
      <c r="L551" s="9">
        <v>1</v>
      </c>
      <c r="M551" s="9">
        <v>15</v>
      </c>
      <c r="R551" s="9">
        <v>6666</v>
      </c>
      <c r="U551" s="9">
        <f ca="1">IFERROR(OFFSET(ITEM_RES!$A$5,MATCH(BUILDING!T551,ITEM_RES!$J$5:$J$229,0)-1,0),0)</f>
        <v>0</v>
      </c>
      <c r="X551" s="9">
        <f ca="1">IFERROR(OFFSET(ITEM_RES!$A$5,MATCH(BUILDING!W551,ITEM_RES!$J$5:$J$229,0)-1,0),0)</f>
        <v>0</v>
      </c>
      <c r="Z551" s="9" t="s">
        <v>395</v>
      </c>
      <c r="AA551" s="9">
        <v>7</v>
      </c>
      <c r="AC551" s="9">
        <v>4000</v>
      </c>
      <c r="AE551" s="56">
        <f t="shared" si="149"/>
        <v>1600</v>
      </c>
      <c r="AF551" s="10">
        <f t="shared" si="151"/>
        <v>2900</v>
      </c>
      <c r="AH551" s="11">
        <f t="shared" si="148"/>
        <v>35</v>
      </c>
      <c r="AI551" s="10">
        <v>35</v>
      </c>
      <c r="AJ551" s="11">
        <f t="shared" si="145"/>
        <v>100</v>
      </c>
      <c r="AK551" s="10">
        <v>100</v>
      </c>
      <c r="AL551" s="11">
        <f t="shared" si="145"/>
        <v>100</v>
      </c>
      <c r="AM551" s="10">
        <v>100</v>
      </c>
      <c r="AN551" s="56">
        <f t="shared" si="150"/>
        <v>1</v>
      </c>
      <c r="AP551" s="11">
        <f ca="1">IFERROR(OFFSET(ITEM_RES!$A$1,MATCH(AQ551,ITEM_RES!$J:$J,0)-1,0),0)</f>
        <v>211020801</v>
      </c>
      <c r="AQ551" s="10" t="s">
        <v>456</v>
      </c>
      <c r="AR551" s="11">
        <v>500</v>
      </c>
      <c r="AU551" s="11">
        <f ca="1">IFERROR(OFFSET(ITEM_RES!$A$1,MATCH(AV551,ITEM_RES!$J:$J,0)-1,0),0)</f>
        <v>0</v>
      </c>
      <c r="AZ551" s="11">
        <f ca="1">IFERROR(OFFSET(ITEM_RES!$A$1,MATCH(BA551,ITEM_RES!$J:$J,0)-1,0),0)</f>
        <v>0</v>
      </c>
      <c r="BE551" s="11">
        <f ca="1">IFERROR(OFFSET(ITEM_RES!$A$1,MATCH(BF551,ITEM_RES!$J:$J,0)-1,0),0)</f>
        <v>0</v>
      </c>
      <c r="BJ551" s="11">
        <f ca="1">IFERROR(OFFSET(ITEM_RES!$A$1,MATCH(BK551,ITEM_RES!$J:$J,0)-1,0),0)</f>
        <v>0</v>
      </c>
    </row>
    <row r="552" spans="1:65" x14ac:dyDescent="0.3">
      <c r="A552" s="14">
        <f t="shared" si="142"/>
        <v>115050008</v>
      </c>
      <c r="B552" s="13">
        <v>11</v>
      </c>
      <c r="C552" s="12">
        <f t="shared" si="143"/>
        <v>5</v>
      </c>
      <c r="D552" s="13">
        <v>5</v>
      </c>
      <c r="E552" s="13">
        <v>0</v>
      </c>
      <c r="F552" s="12">
        <f t="shared" si="144"/>
        <v>8</v>
      </c>
      <c r="H552" s="9">
        <v>5</v>
      </c>
      <c r="I552" s="9">
        <v>8</v>
      </c>
      <c r="K552" s="9" t="s">
        <v>395</v>
      </c>
      <c r="L552" s="9">
        <v>1</v>
      </c>
      <c r="M552" s="9">
        <v>15</v>
      </c>
      <c r="R552" s="9">
        <v>6666</v>
      </c>
      <c r="U552" s="9">
        <f ca="1">IFERROR(OFFSET(ITEM_RES!$A$5,MATCH(BUILDING!T552,ITEM_RES!$J$5:$J$229,0)-1,0),0)</f>
        <v>0</v>
      </c>
      <c r="X552" s="9">
        <f ca="1">IFERROR(OFFSET(ITEM_RES!$A$5,MATCH(BUILDING!W552,ITEM_RES!$J$5:$J$229,0)-1,0),0)</f>
        <v>0</v>
      </c>
      <c r="Z552" s="9" t="s">
        <v>395</v>
      </c>
      <c r="AA552" s="9">
        <v>8</v>
      </c>
      <c r="AC552" s="9">
        <v>4000</v>
      </c>
      <c r="AE552" s="56">
        <f t="shared" si="149"/>
        <v>1600</v>
      </c>
      <c r="AF552" s="10">
        <f t="shared" si="151"/>
        <v>3200</v>
      </c>
      <c r="AH552" s="11">
        <f t="shared" si="148"/>
        <v>40</v>
      </c>
      <c r="AI552" s="10">
        <v>40</v>
      </c>
      <c r="AJ552" s="11">
        <f t="shared" si="145"/>
        <v>100</v>
      </c>
      <c r="AK552" s="10">
        <v>100</v>
      </c>
      <c r="AL552" s="11">
        <f t="shared" si="145"/>
        <v>100</v>
      </c>
      <c r="AM552" s="10">
        <v>100</v>
      </c>
      <c r="AN552" s="56">
        <f t="shared" si="150"/>
        <v>1</v>
      </c>
      <c r="AP552" s="11">
        <f ca="1">IFERROR(OFFSET(ITEM_RES!$A$1,MATCH(AQ552,ITEM_RES!$J:$J,0)-1,0),0)</f>
        <v>211020801</v>
      </c>
      <c r="AQ552" s="10" t="s">
        <v>456</v>
      </c>
      <c r="AR552" s="11">
        <v>500</v>
      </c>
      <c r="AU552" s="11">
        <f ca="1">IFERROR(OFFSET(ITEM_RES!$A$1,MATCH(AV552,ITEM_RES!$J:$J,0)-1,0),0)</f>
        <v>0</v>
      </c>
      <c r="AZ552" s="11">
        <f ca="1">IFERROR(OFFSET(ITEM_RES!$A$1,MATCH(BA552,ITEM_RES!$J:$J,0)-1,0),0)</f>
        <v>0</v>
      </c>
      <c r="BE552" s="11">
        <f ca="1">IFERROR(OFFSET(ITEM_RES!$A$1,MATCH(BF552,ITEM_RES!$J:$J,0)-1,0),0)</f>
        <v>0</v>
      </c>
      <c r="BJ552" s="11">
        <f ca="1">IFERROR(OFFSET(ITEM_RES!$A$1,MATCH(BK552,ITEM_RES!$J:$J,0)-1,0),0)</f>
        <v>0</v>
      </c>
    </row>
    <row r="553" spans="1:65" x14ac:dyDescent="0.3">
      <c r="A553" s="14">
        <f t="shared" si="142"/>
        <v>115050009</v>
      </c>
      <c r="B553" s="13">
        <v>11</v>
      </c>
      <c r="C553" s="12">
        <f t="shared" si="143"/>
        <v>5</v>
      </c>
      <c r="D553" s="13">
        <v>5</v>
      </c>
      <c r="E553" s="13">
        <v>0</v>
      </c>
      <c r="F553" s="12">
        <f t="shared" si="144"/>
        <v>9</v>
      </c>
      <c r="H553" s="9">
        <v>5</v>
      </c>
      <c r="I553" s="9">
        <v>9</v>
      </c>
      <c r="K553" s="9" t="s">
        <v>395</v>
      </c>
      <c r="L553" s="9">
        <v>1</v>
      </c>
      <c r="M553" s="9">
        <v>15</v>
      </c>
      <c r="R553" s="9">
        <v>6666</v>
      </c>
      <c r="U553" s="9">
        <f ca="1">IFERROR(OFFSET(ITEM_RES!$A$5,MATCH(BUILDING!T553,ITEM_RES!$J$5:$J$229,0)-1,0),0)</f>
        <v>0</v>
      </c>
      <c r="X553" s="9">
        <f ca="1">IFERROR(OFFSET(ITEM_RES!$A$5,MATCH(BUILDING!W553,ITEM_RES!$J$5:$J$229,0)-1,0),0)</f>
        <v>0</v>
      </c>
      <c r="Z553" s="9" t="s">
        <v>395</v>
      </c>
      <c r="AA553" s="9">
        <v>9</v>
      </c>
      <c r="AC553" s="9">
        <v>6000</v>
      </c>
      <c r="AE553" s="56">
        <f t="shared" si="149"/>
        <v>2400</v>
      </c>
      <c r="AF553" s="10">
        <f t="shared" si="151"/>
        <v>4000</v>
      </c>
      <c r="AH553" s="11">
        <f t="shared" si="148"/>
        <v>45</v>
      </c>
      <c r="AI553" s="10">
        <v>45</v>
      </c>
      <c r="AJ553" s="11">
        <f t="shared" si="145"/>
        <v>150</v>
      </c>
      <c r="AK553" s="10">
        <v>150</v>
      </c>
      <c r="AL553" s="11">
        <f t="shared" si="145"/>
        <v>150</v>
      </c>
      <c r="AM553" s="10">
        <v>150</v>
      </c>
      <c r="AN553" s="56">
        <f t="shared" si="150"/>
        <v>1</v>
      </c>
      <c r="AP553" s="11">
        <f ca="1">IFERROR(OFFSET(ITEM_RES!$A$1,MATCH(AQ553,ITEM_RES!$J:$J,0)-1,0),0)</f>
        <v>211020801</v>
      </c>
      <c r="AQ553" s="10" t="s">
        <v>456</v>
      </c>
      <c r="AR553" s="11">
        <v>750</v>
      </c>
      <c r="AU553" s="11">
        <f ca="1">IFERROR(OFFSET(ITEM_RES!$A$1,MATCH(AV553,ITEM_RES!$J:$J,0)-1,0),0)</f>
        <v>0</v>
      </c>
      <c r="AZ553" s="11">
        <f ca="1">IFERROR(OFFSET(ITEM_RES!$A$1,MATCH(BA553,ITEM_RES!$J:$J,0)-1,0),0)</f>
        <v>0</v>
      </c>
      <c r="BE553" s="11">
        <f ca="1">IFERROR(OFFSET(ITEM_RES!$A$1,MATCH(BF553,ITEM_RES!$J:$J,0)-1,0),0)</f>
        <v>0</v>
      </c>
      <c r="BJ553" s="11">
        <f ca="1">IFERROR(OFFSET(ITEM_RES!$A$1,MATCH(BK553,ITEM_RES!$J:$J,0)-1,0),0)</f>
        <v>0</v>
      </c>
    </row>
    <row r="554" spans="1:65" x14ac:dyDescent="0.3">
      <c r="A554" s="14">
        <f t="shared" si="142"/>
        <v>115050010</v>
      </c>
      <c r="B554" s="13">
        <v>11</v>
      </c>
      <c r="C554" s="12">
        <f t="shared" si="143"/>
        <v>5</v>
      </c>
      <c r="D554" s="13">
        <v>5</v>
      </c>
      <c r="E554" s="13">
        <v>0</v>
      </c>
      <c r="F554" s="12">
        <f t="shared" si="144"/>
        <v>10</v>
      </c>
      <c r="H554" s="9">
        <v>5</v>
      </c>
      <c r="I554" s="9">
        <v>10</v>
      </c>
      <c r="K554" s="9" t="s">
        <v>395</v>
      </c>
      <c r="L554" s="9">
        <v>1</v>
      </c>
      <c r="M554" s="9">
        <v>15</v>
      </c>
      <c r="R554" s="9">
        <v>6666</v>
      </c>
      <c r="U554" s="9">
        <f ca="1">IFERROR(OFFSET(ITEM_RES!$A$5,MATCH(BUILDING!T554,ITEM_RES!$J$5:$J$229,0)-1,0),0)</f>
        <v>0</v>
      </c>
      <c r="X554" s="9">
        <f ca="1">IFERROR(OFFSET(ITEM_RES!$A$5,MATCH(BUILDING!W554,ITEM_RES!$J$5:$J$229,0)-1,0),0)</f>
        <v>0</v>
      </c>
      <c r="Z554" s="9" t="s">
        <v>395</v>
      </c>
      <c r="AA554" s="9">
        <v>10</v>
      </c>
      <c r="AC554" s="9">
        <v>8000</v>
      </c>
      <c r="AE554" s="56">
        <f t="shared" si="149"/>
        <v>3200</v>
      </c>
      <c r="AF554" s="10">
        <f t="shared" si="151"/>
        <v>5600</v>
      </c>
      <c r="AH554" s="11">
        <f t="shared" si="148"/>
        <v>50</v>
      </c>
      <c r="AI554" s="10">
        <v>50</v>
      </c>
      <c r="AJ554" s="11">
        <f t="shared" si="145"/>
        <v>200</v>
      </c>
      <c r="AK554" s="10">
        <v>200</v>
      </c>
      <c r="AL554" s="11">
        <f t="shared" si="145"/>
        <v>200</v>
      </c>
      <c r="AM554" s="10">
        <v>200</v>
      </c>
      <c r="AN554" s="56">
        <f t="shared" si="150"/>
        <v>1</v>
      </c>
      <c r="AP554" s="11">
        <f ca="1">IFERROR(OFFSET(ITEM_RES!$A$1,MATCH(AQ554,ITEM_RES!$J:$J,0)-1,0),0)</f>
        <v>211020801</v>
      </c>
      <c r="AQ554" s="10" t="s">
        <v>456</v>
      </c>
      <c r="AR554" s="11">
        <v>1000</v>
      </c>
      <c r="AU554" s="11">
        <f ca="1">IFERROR(OFFSET(ITEM_RES!$A$1,MATCH(AV554,ITEM_RES!$J:$J,0)-1,0),0)</f>
        <v>0</v>
      </c>
      <c r="AZ554" s="11">
        <f ca="1">IFERROR(OFFSET(ITEM_RES!$A$1,MATCH(BA554,ITEM_RES!$J:$J,0)-1,0),0)</f>
        <v>0</v>
      </c>
      <c r="BE554" s="11">
        <f ca="1">IFERROR(OFFSET(ITEM_RES!$A$1,MATCH(BF554,ITEM_RES!$J:$J,0)-1,0),0)</f>
        <v>0</v>
      </c>
      <c r="BJ554" s="11">
        <f ca="1">IFERROR(OFFSET(ITEM_RES!$A$1,MATCH(BK554,ITEM_RES!$J:$J,0)-1,0),0)</f>
        <v>0</v>
      </c>
    </row>
    <row r="555" spans="1:65" x14ac:dyDescent="0.3">
      <c r="A555" s="14">
        <f t="shared" si="142"/>
        <v>115050011</v>
      </c>
      <c r="B555" s="13">
        <v>11</v>
      </c>
      <c r="C555" s="12">
        <f t="shared" si="143"/>
        <v>5</v>
      </c>
      <c r="D555" s="13">
        <v>5</v>
      </c>
      <c r="E555" s="13">
        <v>0</v>
      </c>
      <c r="F555" s="12">
        <f t="shared" si="144"/>
        <v>11</v>
      </c>
      <c r="H555" s="9">
        <v>5</v>
      </c>
      <c r="I555" s="9">
        <v>11</v>
      </c>
      <c r="K555" s="9" t="s">
        <v>395</v>
      </c>
      <c r="L555" s="9">
        <v>1</v>
      </c>
      <c r="M555" s="9">
        <v>15</v>
      </c>
      <c r="R555" s="9">
        <v>6666</v>
      </c>
      <c r="U555" s="9">
        <f ca="1">IFERROR(OFFSET(ITEM_RES!$A$5,MATCH(BUILDING!T555,ITEM_RES!$J$5:$J$229,0)-1,0),0)</f>
        <v>0</v>
      </c>
      <c r="X555" s="9">
        <f ca="1">IFERROR(OFFSET(ITEM_RES!$A$5,MATCH(BUILDING!W555,ITEM_RES!$J$5:$J$229,0)-1,0),0)</f>
        <v>0</v>
      </c>
      <c r="Z555" s="9" t="s">
        <v>395</v>
      </c>
      <c r="AA555" s="9">
        <v>11</v>
      </c>
      <c r="AC555" s="9">
        <v>10000</v>
      </c>
      <c r="AE555" s="56">
        <f t="shared" si="149"/>
        <v>4000</v>
      </c>
      <c r="AF555" s="10">
        <f t="shared" si="151"/>
        <v>7200</v>
      </c>
      <c r="AH555" s="11">
        <f t="shared" si="148"/>
        <v>55</v>
      </c>
      <c r="AI555" s="10">
        <v>55</v>
      </c>
      <c r="AJ555" s="11">
        <f t="shared" si="145"/>
        <v>250</v>
      </c>
      <c r="AK555" s="10">
        <v>250</v>
      </c>
      <c r="AL555" s="11">
        <f t="shared" si="145"/>
        <v>250</v>
      </c>
      <c r="AM555" s="10">
        <v>250</v>
      </c>
      <c r="AN555" s="56">
        <f t="shared" si="150"/>
        <v>1</v>
      </c>
      <c r="AP555" s="11">
        <f ca="1">IFERROR(OFFSET(ITEM_RES!$A$1,MATCH(AQ555,ITEM_RES!$J:$J,0)-1,0),0)</f>
        <v>211020801</v>
      </c>
      <c r="AQ555" s="10" t="s">
        <v>456</v>
      </c>
      <c r="AR555" s="11">
        <v>1250</v>
      </c>
      <c r="AU555" s="11">
        <f ca="1">IFERROR(OFFSET(ITEM_RES!$A$1,MATCH(AV555,ITEM_RES!$J:$J,0)-1,0),0)</f>
        <v>0</v>
      </c>
      <c r="AZ555" s="11">
        <f ca="1">IFERROR(OFFSET(ITEM_RES!$A$1,MATCH(BA555,ITEM_RES!$J:$J,0)-1,0),0)</f>
        <v>0</v>
      </c>
      <c r="BE555" s="11">
        <f ca="1">IFERROR(OFFSET(ITEM_RES!$A$1,MATCH(BF555,ITEM_RES!$J:$J,0)-1,0),0)</f>
        <v>0</v>
      </c>
      <c r="BJ555" s="11">
        <f ca="1">IFERROR(OFFSET(ITEM_RES!$A$1,MATCH(BK555,ITEM_RES!$J:$J,0)-1,0),0)</f>
        <v>0</v>
      </c>
    </row>
    <row r="556" spans="1:65" x14ac:dyDescent="0.3">
      <c r="A556" s="14">
        <f t="shared" si="142"/>
        <v>115050012</v>
      </c>
      <c r="B556" s="13">
        <v>11</v>
      </c>
      <c r="C556" s="12">
        <f t="shared" si="143"/>
        <v>5</v>
      </c>
      <c r="D556" s="13">
        <v>5</v>
      </c>
      <c r="E556" s="13">
        <v>0</v>
      </c>
      <c r="F556" s="12">
        <f t="shared" si="144"/>
        <v>12</v>
      </c>
      <c r="H556" s="9">
        <v>5</v>
      </c>
      <c r="I556" s="9">
        <v>12</v>
      </c>
      <c r="K556" s="9" t="s">
        <v>395</v>
      </c>
      <c r="L556" s="9">
        <v>1</v>
      </c>
      <c r="M556" s="9">
        <v>15</v>
      </c>
      <c r="R556" s="9">
        <v>6666</v>
      </c>
      <c r="U556" s="9">
        <f ca="1">IFERROR(OFFSET(ITEM_RES!$A$5,MATCH(BUILDING!T556,ITEM_RES!$J$5:$J$229,0)-1,0),0)</f>
        <v>0</v>
      </c>
      <c r="X556" s="9">
        <f ca="1">IFERROR(OFFSET(ITEM_RES!$A$5,MATCH(BUILDING!W556,ITEM_RES!$J$5:$J$229,0)-1,0),0)</f>
        <v>0</v>
      </c>
      <c r="Z556" s="9" t="s">
        <v>395</v>
      </c>
      <c r="AA556" s="9">
        <v>12</v>
      </c>
      <c r="AC556" s="9">
        <v>12000</v>
      </c>
      <c r="AE556" s="56">
        <f t="shared" si="149"/>
        <v>4800</v>
      </c>
      <c r="AF556" s="10">
        <f t="shared" si="151"/>
        <v>8800</v>
      </c>
      <c r="AH556" s="11">
        <f t="shared" si="148"/>
        <v>60</v>
      </c>
      <c r="AI556" s="10">
        <v>60</v>
      </c>
      <c r="AJ556" s="11">
        <f t="shared" si="145"/>
        <v>300</v>
      </c>
      <c r="AK556" s="10">
        <v>300</v>
      </c>
      <c r="AL556" s="11">
        <f t="shared" si="145"/>
        <v>300</v>
      </c>
      <c r="AM556" s="10">
        <v>300</v>
      </c>
      <c r="AN556" s="56">
        <f t="shared" si="150"/>
        <v>1</v>
      </c>
      <c r="AP556" s="11">
        <f ca="1">IFERROR(OFFSET(ITEM_RES!$A$1,MATCH(AQ556,ITEM_RES!$J:$J,0)-1,0),0)</f>
        <v>211020801</v>
      </c>
      <c r="AQ556" s="10" t="s">
        <v>456</v>
      </c>
      <c r="AR556" s="11">
        <v>1500</v>
      </c>
      <c r="AU556" s="11">
        <f ca="1">IFERROR(OFFSET(ITEM_RES!$A$1,MATCH(AV556,ITEM_RES!$J:$J,0)-1,0),0)</f>
        <v>0</v>
      </c>
      <c r="AZ556" s="11">
        <f ca="1">IFERROR(OFFSET(ITEM_RES!$A$1,MATCH(BA556,ITEM_RES!$J:$J,0)-1,0),0)</f>
        <v>0</v>
      </c>
      <c r="BE556" s="11">
        <f ca="1">IFERROR(OFFSET(ITEM_RES!$A$1,MATCH(BF556,ITEM_RES!$J:$J,0)-1,0),0)</f>
        <v>0</v>
      </c>
      <c r="BJ556" s="11">
        <f ca="1">IFERROR(OFFSET(ITEM_RES!$A$1,MATCH(BK556,ITEM_RES!$J:$J,0)-1,0),0)</f>
        <v>0</v>
      </c>
    </row>
    <row r="557" spans="1:65" x14ac:dyDescent="0.3">
      <c r="A557" s="14">
        <f t="shared" ref="A557:A604" si="152">B557*10000000+C557*1000000+D557*10000+E557*100+F557</f>
        <v>115050013</v>
      </c>
      <c r="B557" s="13">
        <v>11</v>
      </c>
      <c r="C557" s="12">
        <f t="shared" ref="C557:C604" si="153">H557</f>
        <v>5</v>
      </c>
      <c r="D557" s="13">
        <v>5</v>
      </c>
      <c r="E557" s="13">
        <v>0</v>
      </c>
      <c r="F557" s="12">
        <f t="shared" ref="F557:F604" si="154">I557</f>
        <v>13</v>
      </c>
      <c r="H557" s="9">
        <v>5</v>
      </c>
      <c r="I557" s="9">
        <v>13</v>
      </c>
      <c r="K557" s="9" t="s">
        <v>395</v>
      </c>
      <c r="L557" s="9">
        <v>1</v>
      </c>
      <c r="M557" s="9">
        <v>15</v>
      </c>
      <c r="R557" s="9">
        <v>6666</v>
      </c>
      <c r="U557" s="9">
        <f ca="1">IFERROR(OFFSET(ITEM_RES!$A$5,MATCH(BUILDING!T557,ITEM_RES!$J$5:$J$229,0)-1,0),0)</f>
        <v>0</v>
      </c>
      <c r="X557" s="9">
        <f ca="1">IFERROR(OFFSET(ITEM_RES!$A$5,MATCH(BUILDING!W557,ITEM_RES!$J$5:$J$229,0)-1,0),0)</f>
        <v>0</v>
      </c>
      <c r="Z557" s="9" t="s">
        <v>395</v>
      </c>
      <c r="AA557" s="9">
        <v>13</v>
      </c>
      <c r="AC557" s="9">
        <v>14000</v>
      </c>
      <c r="AE557" s="56">
        <f t="shared" si="149"/>
        <v>5600</v>
      </c>
      <c r="AF557" s="10">
        <f t="shared" si="151"/>
        <v>10400</v>
      </c>
      <c r="AH557" s="11">
        <f t="shared" si="148"/>
        <v>65</v>
      </c>
      <c r="AI557" s="10">
        <v>65</v>
      </c>
      <c r="AJ557" s="11">
        <f t="shared" si="145"/>
        <v>350</v>
      </c>
      <c r="AK557" s="10">
        <v>350</v>
      </c>
      <c r="AL557" s="11">
        <f t="shared" si="145"/>
        <v>350</v>
      </c>
      <c r="AM557" s="10">
        <v>350</v>
      </c>
      <c r="AN557" s="56">
        <f t="shared" si="150"/>
        <v>1</v>
      </c>
      <c r="AP557" s="11">
        <f ca="1">IFERROR(OFFSET(ITEM_RES!$A$1,MATCH(AQ557,ITEM_RES!$J:$J,0)-1,0),0)</f>
        <v>211020801</v>
      </c>
      <c r="AQ557" s="10" t="s">
        <v>456</v>
      </c>
      <c r="AR557" s="11">
        <v>1750</v>
      </c>
      <c r="AU557" s="11">
        <f ca="1">IFERROR(OFFSET(ITEM_RES!$A$1,MATCH(AV557,ITEM_RES!$J:$J,0)-1,0),0)</f>
        <v>0</v>
      </c>
      <c r="AZ557" s="11">
        <f ca="1">IFERROR(OFFSET(ITEM_RES!$A$1,MATCH(BA557,ITEM_RES!$J:$J,0)-1,0),0)</f>
        <v>0</v>
      </c>
      <c r="BE557" s="11">
        <f ca="1">IFERROR(OFFSET(ITEM_RES!$A$1,MATCH(BF557,ITEM_RES!$J:$J,0)-1,0),0)</f>
        <v>0</v>
      </c>
      <c r="BJ557" s="11">
        <f ca="1">IFERROR(OFFSET(ITEM_RES!$A$1,MATCH(BK557,ITEM_RES!$J:$J,0)-1,0),0)</f>
        <v>0</v>
      </c>
    </row>
    <row r="558" spans="1:65" x14ac:dyDescent="0.3">
      <c r="A558" s="14">
        <f t="shared" si="152"/>
        <v>115050014</v>
      </c>
      <c r="B558" s="13">
        <v>11</v>
      </c>
      <c r="C558" s="12">
        <f t="shared" si="153"/>
        <v>5</v>
      </c>
      <c r="D558" s="13">
        <v>5</v>
      </c>
      <c r="E558" s="13">
        <v>0</v>
      </c>
      <c r="F558" s="12">
        <f t="shared" si="154"/>
        <v>14</v>
      </c>
      <c r="H558" s="9">
        <v>5</v>
      </c>
      <c r="I558" s="9">
        <v>14</v>
      </c>
      <c r="K558" s="9" t="s">
        <v>395</v>
      </c>
      <c r="L558" s="9">
        <v>1</v>
      </c>
      <c r="M558" s="9">
        <v>15</v>
      </c>
      <c r="R558" s="9">
        <v>6666</v>
      </c>
      <c r="U558" s="9">
        <f ca="1">IFERROR(OFFSET(ITEM_RES!$A$5,MATCH(BUILDING!T558,ITEM_RES!$J$5:$J$229,0)-1,0),0)</f>
        <v>0</v>
      </c>
      <c r="X558" s="9">
        <f ca="1">IFERROR(OFFSET(ITEM_RES!$A$5,MATCH(BUILDING!W558,ITEM_RES!$J$5:$J$229,0)-1,0),0)</f>
        <v>0</v>
      </c>
      <c r="Z558" s="9" t="s">
        <v>395</v>
      </c>
      <c r="AA558" s="9">
        <v>14</v>
      </c>
      <c r="AC558" s="9">
        <v>18000</v>
      </c>
      <c r="AE558" s="56">
        <f t="shared" si="149"/>
        <v>7200</v>
      </c>
      <c r="AF558" s="10">
        <f t="shared" si="151"/>
        <v>12800</v>
      </c>
      <c r="AH558" s="11">
        <f t="shared" si="148"/>
        <v>70</v>
      </c>
      <c r="AI558" s="10">
        <v>70</v>
      </c>
      <c r="AJ558" s="11">
        <f t="shared" ref="AJ558:AL604" si="155">ROUND(AK558,0)</f>
        <v>450</v>
      </c>
      <c r="AK558" s="10">
        <v>450</v>
      </c>
      <c r="AL558" s="11">
        <f t="shared" si="155"/>
        <v>450</v>
      </c>
      <c r="AM558" s="10">
        <v>450</v>
      </c>
      <c r="AN558" s="56">
        <f t="shared" si="150"/>
        <v>1</v>
      </c>
      <c r="AP558" s="11">
        <f ca="1">IFERROR(OFFSET(ITEM_RES!$A$1,MATCH(AQ558,ITEM_RES!$J:$J,0)-1,0),0)</f>
        <v>211020801</v>
      </c>
      <c r="AQ558" s="10" t="s">
        <v>456</v>
      </c>
      <c r="AR558" s="11">
        <v>2250</v>
      </c>
      <c r="AU558" s="11">
        <f ca="1">IFERROR(OFFSET(ITEM_RES!$A$1,MATCH(AV558,ITEM_RES!$J:$J,0)-1,0),0)</f>
        <v>0</v>
      </c>
      <c r="AZ558" s="11">
        <f ca="1">IFERROR(OFFSET(ITEM_RES!$A$1,MATCH(BA558,ITEM_RES!$J:$J,0)-1,0),0)</f>
        <v>0</v>
      </c>
      <c r="BE558" s="11">
        <f ca="1">IFERROR(OFFSET(ITEM_RES!$A$1,MATCH(BF558,ITEM_RES!$J:$J,0)-1,0),0)</f>
        <v>0</v>
      </c>
      <c r="BJ558" s="11">
        <f ca="1">IFERROR(OFFSET(ITEM_RES!$A$1,MATCH(BK558,ITEM_RES!$J:$J,0)-1,0),0)</f>
        <v>0</v>
      </c>
    </row>
    <row r="559" spans="1:65" x14ac:dyDescent="0.3">
      <c r="A559" s="14">
        <f t="shared" si="152"/>
        <v>115050015</v>
      </c>
      <c r="B559" s="13">
        <v>11</v>
      </c>
      <c r="C559" s="12">
        <f t="shared" si="153"/>
        <v>5</v>
      </c>
      <c r="D559" s="13">
        <v>5</v>
      </c>
      <c r="E559" s="13">
        <v>0</v>
      </c>
      <c r="F559" s="12">
        <f t="shared" si="154"/>
        <v>15</v>
      </c>
      <c r="H559" s="9">
        <v>5</v>
      </c>
      <c r="I559" s="9">
        <v>15</v>
      </c>
      <c r="K559" s="9" t="s">
        <v>395</v>
      </c>
      <c r="L559" s="9">
        <v>1</v>
      </c>
      <c r="M559" s="9">
        <v>15</v>
      </c>
      <c r="R559" s="9">
        <v>6666</v>
      </c>
      <c r="U559" s="9">
        <f ca="1">IFERROR(OFFSET(ITEM_RES!$A$5,MATCH(BUILDING!T559,ITEM_RES!$J$5:$J$229,0)-1,0),0)</f>
        <v>0</v>
      </c>
      <c r="X559" s="9">
        <f ca="1">IFERROR(OFFSET(ITEM_RES!$A$5,MATCH(BUILDING!W559,ITEM_RES!$J$5:$J$229,0)-1,0),0)</f>
        <v>0</v>
      </c>
      <c r="Z559" s="9" t="s">
        <v>395</v>
      </c>
      <c r="AA559" s="9">
        <v>15</v>
      </c>
      <c r="AC559" s="9">
        <v>22000</v>
      </c>
      <c r="AE559" s="56">
        <f t="shared" si="149"/>
        <v>8800</v>
      </c>
      <c r="AF559" s="10">
        <f t="shared" si="151"/>
        <v>16000</v>
      </c>
      <c r="AH559" s="11">
        <f t="shared" si="148"/>
        <v>75</v>
      </c>
      <c r="AI559" s="10">
        <v>75</v>
      </c>
      <c r="AJ559" s="11">
        <f t="shared" si="155"/>
        <v>550</v>
      </c>
      <c r="AK559" s="10">
        <v>550</v>
      </c>
      <c r="AL559" s="11">
        <f t="shared" si="155"/>
        <v>550</v>
      </c>
      <c r="AM559" s="10">
        <v>550</v>
      </c>
      <c r="AN559" s="56">
        <f t="shared" si="150"/>
        <v>1</v>
      </c>
      <c r="AP559" s="11">
        <f ca="1">IFERROR(OFFSET(ITEM_RES!$A$1,MATCH(AQ559,ITEM_RES!$J:$J,0)-1,0),0)</f>
        <v>211020901</v>
      </c>
      <c r="AQ559" s="10" t="s">
        <v>469</v>
      </c>
      <c r="AR559" s="11">
        <v>2750</v>
      </c>
      <c r="AU559" s="11">
        <f ca="1">IFERROR(OFFSET(ITEM_RES!$A$1,MATCH(AV559,ITEM_RES!$J:$J,0)-1,0),0)</f>
        <v>0</v>
      </c>
      <c r="AZ559" s="11">
        <f ca="1">IFERROR(OFFSET(ITEM_RES!$A$1,MATCH(BA559,ITEM_RES!$J:$J,0)-1,0),0)</f>
        <v>0</v>
      </c>
      <c r="BE559" s="11">
        <f ca="1">IFERROR(OFFSET(ITEM_RES!$A$1,MATCH(BF559,ITEM_RES!$J:$J,0)-1,0),0)</f>
        <v>0</v>
      </c>
      <c r="BJ559" s="11">
        <f ca="1">IFERROR(OFFSET(ITEM_RES!$A$1,MATCH(BK559,ITEM_RES!$J:$J,0)-1,0),0)</f>
        <v>0</v>
      </c>
    </row>
    <row r="560" spans="1:65" x14ac:dyDescent="0.3">
      <c r="A560" s="14">
        <f t="shared" si="152"/>
        <v>115050016</v>
      </c>
      <c r="B560" s="13">
        <v>11</v>
      </c>
      <c r="C560" s="12">
        <f t="shared" si="153"/>
        <v>5</v>
      </c>
      <c r="D560" s="13">
        <v>5</v>
      </c>
      <c r="E560" s="13">
        <v>0</v>
      </c>
      <c r="F560" s="12">
        <f t="shared" si="154"/>
        <v>16</v>
      </c>
      <c r="H560" s="9">
        <v>5</v>
      </c>
      <c r="I560" s="9">
        <v>16</v>
      </c>
      <c r="K560" s="9" t="s">
        <v>395</v>
      </c>
      <c r="L560" s="9">
        <v>0</v>
      </c>
      <c r="M560" s="9">
        <v>15</v>
      </c>
      <c r="R560" s="9">
        <v>6666</v>
      </c>
      <c r="U560" s="9">
        <f ca="1">IFERROR(OFFSET(ITEM_RES!$A$5,MATCH(BUILDING!T560,ITEM_RES!$J$5:$J$229,0)-1,0),0)</f>
        <v>0</v>
      </c>
      <c r="X560" s="9">
        <f ca="1">IFERROR(OFFSET(ITEM_RES!$A$5,MATCH(BUILDING!W560,ITEM_RES!$J$5:$J$229,0)-1,0),0)</f>
        <v>0</v>
      </c>
      <c r="Z560" s="9" t="s">
        <v>395</v>
      </c>
      <c r="AA560" s="9">
        <v>16</v>
      </c>
      <c r="AC560" s="9">
        <v>28000</v>
      </c>
      <c r="AE560" s="56">
        <f t="shared" si="149"/>
        <v>11200</v>
      </c>
      <c r="AF560" s="10">
        <f t="shared" si="151"/>
        <v>20000</v>
      </c>
      <c r="AH560" s="11">
        <f t="shared" si="148"/>
        <v>80</v>
      </c>
      <c r="AI560" s="10">
        <v>80</v>
      </c>
      <c r="AJ560" s="11">
        <f t="shared" si="155"/>
        <v>700</v>
      </c>
      <c r="AK560" s="10">
        <v>700</v>
      </c>
      <c r="AL560" s="11">
        <f t="shared" si="155"/>
        <v>700</v>
      </c>
      <c r="AM560" s="10">
        <v>700</v>
      </c>
      <c r="AN560" s="56">
        <f t="shared" si="150"/>
        <v>1</v>
      </c>
      <c r="AP560" s="11">
        <f ca="1">IFERROR(OFFSET(ITEM_RES!$A$1,MATCH(AQ560,ITEM_RES!$J:$J,0)-1,0),0)</f>
        <v>211020901</v>
      </c>
      <c r="AQ560" s="10" t="s">
        <v>469</v>
      </c>
      <c r="AR560" s="11">
        <v>3500</v>
      </c>
      <c r="AU560" s="11">
        <f ca="1">IFERROR(OFFSET(ITEM_RES!$A$1,MATCH(AV560,ITEM_RES!$J:$J,0)-1,0),0)</f>
        <v>0</v>
      </c>
      <c r="AZ560" s="11">
        <f ca="1">IFERROR(OFFSET(ITEM_RES!$A$1,MATCH(BA560,ITEM_RES!$J:$J,0)-1,0),0)</f>
        <v>0</v>
      </c>
      <c r="BE560" s="11">
        <f ca="1">IFERROR(OFFSET(ITEM_RES!$A$1,MATCH(BF560,ITEM_RES!$J:$J,0)-1,0),0)</f>
        <v>0</v>
      </c>
      <c r="BJ560" s="11">
        <f ca="1">IFERROR(OFFSET(ITEM_RES!$A$1,MATCH(BK560,ITEM_RES!$J:$J,0)-1,0),0)</f>
        <v>0</v>
      </c>
    </row>
    <row r="561" spans="1:65" x14ac:dyDescent="0.3">
      <c r="A561" s="14">
        <f t="shared" si="152"/>
        <v>115050017</v>
      </c>
      <c r="B561" s="13">
        <v>11</v>
      </c>
      <c r="C561" s="12">
        <f t="shared" si="153"/>
        <v>5</v>
      </c>
      <c r="D561" s="13">
        <v>5</v>
      </c>
      <c r="E561" s="13">
        <v>0</v>
      </c>
      <c r="F561" s="12">
        <f t="shared" si="154"/>
        <v>17</v>
      </c>
      <c r="H561" s="9">
        <v>5</v>
      </c>
      <c r="I561" s="9">
        <v>17</v>
      </c>
      <c r="K561" s="9" t="s">
        <v>395</v>
      </c>
      <c r="L561" s="9">
        <v>0</v>
      </c>
      <c r="M561" s="9">
        <v>15</v>
      </c>
      <c r="R561" s="9">
        <v>6666</v>
      </c>
      <c r="U561" s="9">
        <f ca="1">IFERROR(OFFSET(ITEM_RES!$A$5,MATCH(BUILDING!T561,ITEM_RES!$J$5:$J$229,0)-1,0),0)</f>
        <v>0</v>
      </c>
      <c r="X561" s="9">
        <f ca="1">IFERROR(OFFSET(ITEM_RES!$A$5,MATCH(BUILDING!W561,ITEM_RES!$J$5:$J$229,0)-1,0),0)</f>
        <v>0</v>
      </c>
      <c r="Z561" s="9" t="s">
        <v>395</v>
      </c>
      <c r="AA561" s="9">
        <v>17</v>
      </c>
      <c r="AC561" s="9">
        <v>34000</v>
      </c>
      <c r="AE561" s="56">
        <f t="shared" si="149"/>
        <v>13600</v>
      </c>
      <c r="AF561" s="10">
        <f t="shared" si="151"/>
        <v>24800</v>
      </c>
      <c r="AH561" s="11">
        <f t="shared" si="148"/>
        <v>85</v>
      </c>
      <c r="AI561" s="10">
        <v>85</v>
      </c>
      <c r="AJ561" s="11">
        <f t="shared" si="155"/>
        <v>850</v>
      </c>
      <c r="AK561" s="10">
        <v>850</v>
      </c>
      <c r="AL561" s="11">
        <f t="shared" si="155"/>
        <v>850</v>
      </c>
      <c r="AM561" s="10">
        <v>850</v>
      </c>
      <c r="AN561" s="56">
        <f t="shared" si="150"/>
        <v>1</v>
      </c>
      <c r="AP561" s="11">
        <f ca="1">IFERROR(OFFSET(ITEM_RES!$A$1,MATCH(AQ561,ITEM_RES!$J:$J,0)-1,0),0)</f>
        <v>211020901</v>
      </c>
      <c r="AQ561" s="10" t="s">
        <v>469</v>
      </c>
      <c r="AR561" s="11">
        <v>4250</v>
      </c>
      <c r="AU561" s="11">
        <f ca="1">IFERROR(OFFSET(ITEM_RES!$A$1,MATCH(AV561,ITEM_RES!$J:$J,0)-1,0),0)</f>
        <v>0</v>
      </c>
      <c r="AZ561" s="11">
        <f ca="1">IFERROR(OFFSET(ITEM_RES!$A$1,MATCH(BA561,ITEM_RES!$J:$J,0)-1,0),0)</f>
        <v>0</v>
      </c>
      <c r="BE561" s="11">
        <f ca="1">IFERROR(OFFSET(ITEM_RES!$A$1,MATCH(BF561,ITEM_RES!$J:$J,0)-1,0),0)</f>
        <v>0</v>
      </c>
      <c r="BJ561" s="11">
        <f ca="1">IFERROR(OFFSET(ITEM_RES!$A$1,MATCH(BK561,ITEM_RES!$J:$J,0)-1,0),0)</f>
        <v>0</v>
      </c>
    </row>
    <row r="562" spans="1:65" x14ac:dyDescent="0.3">
      <c r="A562" s="14">
        <f t="shared" si="152"/>
        <v>115050018</v>
      </c>
      <c r="B562" s="13">
        <v>11</v>
      </c>
      <c r="C562" s="12">
        <f t="shared" si="153"/>
        <v>5</v>
      </c>
      <c r="D562" s="13">
        <v>5</v>
      </c>
      <c r="E562" s="13">
        <v>0</v>
      </c>
      <c r="F562" s="12">
        <f t="shared" si="154"/>
        <v>18</v>
      </c>
      <c r="H562" s="9">
        <v>5</v>
      </c>
      <c r="I562" s="9">
        <v>18</v>
      </c>
      <c r="K562" s="9" t="s">
        <v>395</v>
      </c>
      <c r="L562" s="9">
        <v>0</v>
      </c>
      <c r="M562" s="9">
        <v>15</v>
      </c>
      <c r="R562" s="9">
        <v>6666</v>
      </c>
      <c r="U562" s="9">
        <f ca="1">IFERROR(OFFSET(ITEM_RES!$A$5,MATCH(BUILDING!T562,ITEM_RES!$J$5:$J$229,0)-1,0),0)</f>
        <v>0</v>
      </c>
      <c r="X562" s="9">
        <f ca="1">IFERROR(OFFSET(ITEM_RES!$A$5,MATCH(BUILDING!W562,ITEM_RES!$J$5:$J$229,0)-1,0),0)</f>
        <v>0</v>
      </c>
      <c r="Z562" s="9" t="s">
        <v>395</v>
      </c>
      <c r="AA562" s="9">
        <v>18</v>
      </c>
      <c r="AC562" s="9">
        <v>42000</v>
      </c>
      <c r="AE562" s="56">
        <f t="shared" si="149"/>
        <v>17300</v>
      </c>
      <c r="AF562" s="10">
        <f t="shared" si="151"/>
        <v>30900</v>
      </c>
      <c r="AH562" s="11">
        <f t="shared" si="148"/>
        <v>90</v>
      </c>
      <c r="AI562" s="10">
        <v>90</v>
      </c>
      <c r="AJ562" s="11">
        <f t="shared" si="155"/>
        <v>1050</v>
      </c>
      <c r="AK562" s="10">
        <v>1050</v>
      </c>
      <c r="AL562" s="11">
        <f t="shared" si="155"/>
        <v>1050</v>
      </c>
      <c r="AM562" s="10">
        <v>1050</v>
      </c>
      <c r="AN562" s="56">
        <f t="shared" si="150"/>
        <v>2</v>
      </c>
      <c r="AP562" s="11">
        <f ca="1">IFERROR(OFFSET(ITEM_RES!$A$1,MATCH(AQ562,ITEM_RES!$J:$J,0)-1,0),0)</f>
        <v>211020901</v>
      </c>
      <c r="AQ562" s="10" t="s">
        <v>469</v>
      </c>
      <c r="AR562" s="11">
        <v>5250</v>
      </c>
      <c r="AU562" s="11">
        <f ca="1">IFERROR(OFFSET(ITEM_RES!$A$1,MATCH(AV562,ITEM_RES!$J:$J,0)-1,0),0)</f>
        <v>0</v>
      </c>
      <c r="AZ562" s="11">
        <f ca="1">IFERROR(OFFSET(ITEM_RES!$A$1,MATCH(BA562,ITEM_RES!$J:$J,0)-1,0),0)</f>
        <v>0</v>
      </c>
      <c r="BE562" s="11">
        <f ca="1">IFERROR(OFFSET(ITEM_RES!$A$1,MATCH(BF562,ITEM_RES!$J:$J,0)-1,0),0)</f>
        <v>213011901</v>
      </c>
      <c r="BF562" s="10" t="s">
        <v>511</v>
      </c>
      <c r="BG562" s="11">
        <v>1</v>
      </c>
      <c r="BJ562" s="11">
        <f ca="1">IFERROR(OFFSET(ITEM_RES!$A$1,MATCH(BK562,ITEM_RES!$J:$J,0)-1,0),0)</f>
        <v>0</v>
      </c>
    </row>
    <row r="563" spans="1:65" x14ac:dyDescent="0.3">
      <c r="A563" s="14">
        <f t="shared" si="152"/>
        <v>115050019</v>
      </c>
      <c r="B563" s="13">
        <v>11</v>
      </c>
      <c r="C563" s="12">
        <f t="shared" si="153"/>
        <v>5</v>
      </c>
      <c r="D563" s="13">
        <v>5</v>
      </c>
      <c r="E563" s="13">
        <v>0</v>
      </c>
      <c r="F563" s="12">
        <f t="shared" si="154"/>
        <v>19</v>
      </c>
      <c r="H563" s="9">
        <v>5</v>
      </c>
      <c r="I563" s="9">
        <v>19</v>
      </c>
      <c r="K563" s="9" t="s">
        <v>395</v>
      </c>
      <c r="L563" s="9">
        <v>0</v>
      </c>
      <c r="M563" s="9">
        <v>15</v>
      </c>
      <c r="R563" s="9">
        <v>6666</v>
      </c>
      <c r="U563" s="9">
        <f ca="1">IFERROR(OFFSET(ITEM_RES!$A$5,MATCH(BUILDING!T563,ITEM_RES!$J$5:$J$229,0)-1,0),0)</f>
        <v>0</v>
      </c>
      <c r="X563" s="9">
        <f ca="1">IFERROR(OFFSET(ITEM_RES!$A$5,MATCH(BUILDING!W563,ITEM_RES!$J$5:$J$229,0)-1,0),0)</f>
        <v>0</v>
      </c>
      <c r="Z563" s="9" t="s">
        <v>395</v>
      </c>
      <c r="AA563" s="9">
        <v>19</v>
      </c>
      <c r="AC563" s="9">
        <v>50000</v>
      </c>
      <c r="AE563" s="56">
        <f t="shared" si="149"/>
        <v>20000</v>
      </c>
      <c r="AF563" s="10">
        <f t="shared" si="151"/>
        <v>37300</v>
      </c>
      <c r="AH563" s="11">
        <f t="shared" si="148"/>
        <v>95</v>
      </c>
      <c r="AI563" s="10">
        <v>95</v>
      </c>
      <c r="AJ563" s="11">
        <f t="shared" si="155"/>
        <v>1250</v>
      </c>
      <c r="AK563" s="10">
        <v>1250</v>
      </c>
      <c r="AL563" s="11">
        <f t="shared" si="155"/>
        <v>1250</v>
      </c>
      <c r="AM563" s="10">
        <v>1250</v>
      </c>
      <c r="AN563" s="56">
        <f t="shared" si="150"/>
        <v>1</v>
      </c>
      <c r="AP563" s="11">
        <f ca="1">IFERROR(OFFSET(ITEM_RES!$A$1,MATCH(AQ563,ITEM_RES!$J:$J,0)-1,0),0)</f>
        <v>211020901</v>
      </c>
      <c r="AQ563" s="10" t="s">
        <v>469</v>
      </c>
      <c r="AR563" s="11">
        <v>6250</v>
      </c>
      <c r="AU563" s="11">
        <f ca="1">IFERROR(OFFSET(ITEM_RES!$A$1,MATCH(AV563,ITEM_RES!$J:$J,0)-1,0),0)</f>
        <v>0</v>
      </c>
      <c r="AZ563" s="11">
        <f ca="1">IFERROR(OFFSET(ITEM_RES!$A$1,MATCH(BA563,ITEM_RES!$J:$J,0)-1,0),0)</f>
        <v>0</v>
      </c>
      <c r="BE563" s="11">
        <f ca="1">IFERROR(OFFSET(ITEM_RES!$A$1,MATCH(BF563,ITEM_RES!$J:$J,0)-1,0),0)</f>
        <v>0</v>
      </c>
      <c r="BJ563" s="11">
        <f ca="1">IFERROR(OFFSET(ITEM_RES!$A$1,MATCH(BK563,ITEM_RES!$J:$J,0)-1,0),0)</f>
        <v>0</v>
      </c>
    </row>
    <row r="564" spans="1:65" ht="17.25" thickBot="1" x14ac:dyDescent="0.35">
      <c r="A564" s="14">
        <f t="shared" si="152"/>
        <v>115050020</v>
      </c>
      <c r="B564" s="13">
        <v>11</v>
      </c>
      <c r="C564" s="12">
        <f t="shared" si="153"/>
        <v>5</v>
      </c>
      <c r="D564" s="13">
        <v>5</v>
      </c>
      <c r="E564" s="13">
        <v>0</v>
      </c>
      <c r="F564" s="12">
        <f t="shared" si="154"/>
        <v>20</v>
      </c>
      <c r="H564" s="9">
        <v>5</v>
      </c>
      <c r="I564" s="9">
        <v>20</v>
      </c>
      <c r="K564" s="9" t="s">
        <v>395</v>
      </c>
      <c r="L564" s="9">
        <v>0</v>
      </c>
      <c r="M564" s="9">
        <v>15</v>
      </c>
      <c r="R564" s="9">
        <v>6666</v>
      </c>
      <c r="U564" s="9">
        <f ca="1">IFERROR(OFFSET(ITEM_RES!$A$5,MATCH(BUILDING!T564,ITEM_RES!$J$5:$J$229,0)-1,0),0)</f>
        <v>0</v>
      </c>
      <c r="X564" s="9">
        <f ca="1">IFERROR(OFFSET(ITEM_RES!$A$5,MATCH(BUILDING!W564,ITEM_RES!$J$5:$J$229,0)-1,0),0)</f>
        <v>0</v>
      </c>
      <c r="Z564" s="9" t="s">
        <v>395</v>
      </c>
      <c r="AA564" s="9">
        <v>20</v>
      </c>
      <c r="AC564" s="9">
        <v>60000</v>
      </c>
      <c r="AE564" s="56">
        <f t="shared" si="149"/>
        <v>24000</v>
      </c>
      <c r="AF564" s="10">
        <f t="shared" si="151"/>
        <v>44000</v>
      </c>
      <c r="AH564" s="11">
        <f t="shared" si="148"/>
        <v>100</v>
      </c>
      <c r="AI564" s="10">
        <v>100</v>
      </c>
      <c r="AJ564" s="11">
        <f t="shared" si="155"/>
        <v>1500</v>
      </c>
      <c r="AK564" s="10">
        <v>1500</v>
      </c>
      <c r="AL564" s="11">
        <f t="shared" si="155"/>
        <v>1500</v>
      </c>
      <c r="AM564" s="10">
        <v>1500</v>
      </c>
      <c r="AN564" s="56">
        <f t="shared" si="150"/>
        <v>1</v>
      </c>
      <c r="AP564" s="11">
        <f ca="1">IFERROR(OFFSET(ITEM_RES!$A$1,MATCH(AQ564,ITEM_RES!$J:$J,0)-1,0),0)</f>
        <v>211020901</v>
      </c>
      <c r="AQ564" s="10" t="s">
        <v>469</v>
      </c>
      <c r="AR564" s="11">
        <v>7500</v>
      </c>
      <c r="AU564" s="11">
        <f ca="1">IFERROR(OFFSET(ITEM_RES!$A$1,MATCH(AV564,ITEM_RES!$J:$J,0)-1,0),0)</f>
        <v>0</v>
      </c>
      <c r="AZ564" s="11">
        <f ca="1">IFERROR(OFFSET(ITEM_RES!$A$1,MATCH(BA564,ITEM_RES!$J:$J,0)-1,0),0)</f>
        <v>0</v>
      </c>
      <c r="BE564" s="11">
        <f ca="1">IFERROR(OFFSET(ITEM_RES!$A$1,MATCH(BF564,ITEM_RES!$J:$J,0)-1,0),0)</f>
        <v>0</v>
      </c>
      <c r="BJ564" s="11">
        <f ca="1">IFERROR(OFFSET(ITEM_RES!$A$1,MATCH(BK564,ITEM_RES!$J:$J,0)-1,0),0)</f>
        <v>0</v>
      </c>
    </row>
    <row r="565" spans="1:65" s="15" customFormat="1" x14ac:dyDescent="0.3">
      <c r="A565" s="21">
        <f t="shared" si="152"/>
        <v>115060001</v>
      </c>
      <c r="B565" s="20">
        <v>11</v>
      </c>
      <c r="C565" s="19">
        <f t="shared" si="153"/>
        <v>5</v>
      </c>
      <c r="D565" s="20">
        <v>6</v>
      </c>
      <c r="E565" s="20">
        <v>0</v>
      </c>
      <c r="F565" s="19">
        <f t="shared" si="154"/>
        <v>1</v>
      </c>
      <c r="G565" s="80"/>
      <c r="H565" s="16">
        <v>5</v>
      </c>
      <c r="I565" s="16">
        <v>1</v>
      </c>
      <c r="J565" s="80"/>
      <c r="K565" s="16" t="s">
        <v>384</v>
      </c>
      <c r="L565" s="16">
        <v>1</v>
      </c>
      <c r="M565" s="16">
        <v>15</v>
      </c>
      <c r="N565" s="16"/>
      <c r="O565" s="17"/>
      <c r="P565" s="17"/>
      <c r="Q565" s="18"/>
      <c r="R565" s="16">
        <v>7777</v>
      </c>
      <c r="S565" s="80"/>
      <c r="T565" s="88"/>
      <c r="U565" s="16">
        <f ca="1">IFERROR(OFFSET(ITEM_RES!$A$5,MATCH(BUILDING!T565,ITEM_RES!$J$5:$J$229,0)-1,0),0)</f>
        <v>0</v>
      </c>
      <c r="V565" s="18"/>
      <c r="W565" s="88"/>
      <c r="X565" s="16">
        <f ca="1">IFERROR(OFFSET(ITEM_RES!$A$5,MATCH(BUILDING!W565,ITEM_RES!$J$5:$J$229,0)-1,0),0)</f>
        <v>0</v>
      </c>
      <c r="Y565" s="80"/>
      <c r="Z565" s="16" t="s">
        <v>397</v>
      </c>
      <c r="AA565" s="16">
        <v>1</v>
      </c>
      <c r="AB565" s="80"/>
      <c r="AC565" s="16">
        <v>0</v>
      </c>
      <c r="AD565" s="80"/>
      <c r="AE565" s="57">
        <f t="shared" si="149"/>
        <v>1080</v>
      </c>
      <c r="AF565" s="17">
        <f>AE565</f>
        <v>1080</v>
      </c>
      <c r="AG565" s="80"/>
      <c r="AH565" s="18">
        <f t="shared" si="148"/>
        <v>5</v>
      </c>
      <c r="AI565" s="17">
        <v>5</v>
      </c>
      <c r="AJ565" s="18">
        <f t="shared" si="155"/>
        <v>5</v>
      </c>
      <c r="AK565" s="17">
        <v>5</v>
      </c>
      <c r="AL565" s="18">
        <f t="shared" si="155"/>
        <v>5</v>
      </c>
      <c r="AM565" s="17">
        <v>5</v>
      </c>
      <c r="AN565" s="57">
        <f t="shared" si="150"/>
        <v>3</v>
      </c>
      <c r="AO565" s="18"/>
      <c r="AP565" s="18">
        <f ca="1">IFERROR(OFFSET(ITEM_RES!$A$1,MATCH(AQ565,ITEM_RES!$J:$J,0)-1,0),0)</f>
        <v>211020801</v>
      </c>
      <c r="AQ565" s="17" t="s">
        <v>456</v>
      </c>
      <c r="AR565" s="18">
        <v>25</v>
      </c>
      <c r="AS565" s="17"/>
      <c r="AT565" s="18"/>
      <c r="AU565" s="18">
        <f ca="1">IFERROR(OFFSET(ITEM_RES!$A$1,MATCH(AV565,ITEM_RES!$J:$J,0)-1,0),0)</f>
        <v>0</v>
      </c>
      <c r="AV565" s="17"/>
      <c r="AW565" s="18"/>
      <c r="AX565" s="17"/>
      <c r="AY565" s="18"/>
      <c r="AZ565" s="18">
        <f ca="1">IFERROR(OFFSET(ITEM_RES!$A$1,MATCH(BA565,ITEM_RES!$J:$J,0)-1,0),0)</f>
        <v>213010101</v>
      </c>
      <c r="BA565" s="17" t="s">
        <v>481</v>
      </c>
      <c r="BB565" s="18">
        <v>1</v>
      </c>
      <c r="BC565" s="17"/>
      <c r="BD565" s="18"/>
      <c r="BE565" s="18">
        <f ca="1">IFERROR(OFFSET(ITEM_RES!$A$1,MATCH(BF565,ITEM_RES!$J:$J,0)-1,0),0)</f>
        <v>213010301</v>
      </c>
      <c r="BF565" s="17" t="s">
        <v>505</v>
      </c>
      <c r="BG565" s="18">
        <v>1</v>
      </c>
      <c r="BH565" s="17"/>
      <c r="BI565" s="18"/>
      <c r="BJ565" s="18">
        <f ca="1">IFERROR(OFFSET(ITEM_RES!$A$1,MATCH(BK565,ITEM_RES!$J:$J,0)-1,0),0)</f>
        <v>0</v>
      </c>
      <c r="BK565" s="17"/>
      <c r="BL565" s="18"/>
      <c r="BM565" s="17"/>
    </row>
    <row r="566" spans="1:65" x14ac:dyDescent="0.3">
      <c r="A566" s="14">
        <f t="shared" si="152"/>
        <v>115060002</v>
      </c>
      <c r="B566" s="13">
        <v>11</v>
      </c>
      <c r="C566" s="12">
        <f t="shared" si="153"/>
        <v>5</v>
      </c>
      <c r="D566" s="13">
        <v>6</v>
      </c>
      <c r="E566" s="13">
        <v>0</v>
      </c>
      <c r="F566" s="12">
        <f t="shared" si="154"/>
        <v>2</v>
      </c>
      <c r="H566" s="9">
        <v>5</v>
      </c>
      <c r="I566" s="9">
        <v>2</v>
      </c>
      <c r="K566" s="9" t="s">
        <v>384</v>
      </c>
      <c r="L566" s="9">
        <v>1</v>
      </c>
      <c r="M566" s="9">
        <v>15</v>
      </c>
      <c r="R566" s="9">
        <v>7777</v>
      </c>
      <c r="U566" s="9">
        <f ca="1">IFERROR(OFFSET(ITEM_RES!$A$5,MATCH(BUILDING!T566,ITEM_RES!$J$5:$J$229,0)-1,0),0)</f>
        <v>0</v>
      </c>
      <c r="X566" s="9">
        <f ca="1">IFERROR(OFFSET(ITEM_RES!$A$5,MATCH(BUILDING!W566,ITEM_RES!$J$5:$J$229,0)-1,0),0)</f>
        <v>0</v>
      </c>
      <c r="Z566" s="9" t="s">
        <v>397</v>
      </c>
      <c r="AA566" s="9">
        <v>2</v>
      </c>
      <c r="AC566" s="9">
        <v>400</v>
      </c>
      <c r="AE566" s="56">
        <f t="shared" si="149"/>
        <v>160</v>
      </c>
      <c r="AF566" s="10">
        <f>AE565+AE566</f>
        <v>1240</v>
      </c>
      <c r="AH566" s="11">
        <f t="shared" si="148"/>
        <v>10</v>
      </c>
      <c r="AI566" s="10">
        <v>10</v>
      </c>
      <c r="AJ566" s="11">
        <f t="shared" si="155"/>
        <v>10</v>
      </c>
      <c r="AK566" s="10">
        <v>10</v>
      </c>
      <c r="AL566" s="11">
        <f t="shared" si="155"/>
        <v>10</v>
      </c>
      <c r="AM566" s="10">
        <v>10</v>
      </c>
      <c r="AN566" s="56">
        <f t="shared" si="150"/>
        <v>1</v>
      </c>
      <c r="AP566" s="11">
        <f ca="1">IFERROR(OFFSET(ITEM_RES!$A$1,MATCH(AQ566,ITEM_RES!$J:$J,0)-1,0),0)</f>
        <v>211020801</v>
      </c>
      <c r="AQ566" s="10" t="s">
        <v>456</v>
      </c>
      <c r="AR566" s="11">
        <v>50</v>
      </c>
      <c r="AU566" s="11">
        <f ca="1">IFERROR(OFFSET(ITEM_RES!$A$1,MATCH(AV566,ITEM_RES!$J:$J,0)-1,0),0)</f>
        <v>0</v>
      </c>
      <c r="AZ566" s="11">
        <f ca="1">IFERROR(OFFSET(ITEM_RES!$A$1,MATCH(BA566,ITEM_RES!$J:$J,0)-1,0),0)</f>
        <v>0</v>
      </c>
      <c r="BE566" s="11">
        <f ca="1">IFERROR(OFFSET(ITEM_RES!$A$1,MATCH(BF566,ITEM_RES!$J:$J,0)-1,0),0)</f>
        <v>0</v>
      </c>
      <c r="BJ566" s="11">
        <f ca="1">IFERROR(OFFSET(ITEM_RES!$A$1,MATCH(BK566,ITEM_RES!$J:$J,0)-1,0),0)</f>
        <v>0</v>
      </c>
    </row>
    <row r="567" spans="1:65" x14ac:dyDescent="0.3">
      <c r="A567" s="14">
        <f t="shared" si="152"/>
        <v>115060003</v>
      </c>
      <c r="B567" s="13">
        <v>11</v>
      </c>
      <c r="C567" s="12">
        <f t="shared" si="153"/>
        <v>5</v>
      </c>
      <c r="D567" s="13">
        <v>6</v>
      </c>
      <c r="E567" s="13">
        <v>0</v>
      </c>
      <c r="F567" s="12">
        <f t="shared" si="154"/>
        <v>3</v>
      </c>
      <c r="H567" s="9">
        <v>5</v>
      </c>
      <c r="I567" s="9">
        <v>3</v>
      </c>
      <c r="K567" s="9" t="s">
        <v>384</v>
      </c>
      <c r="L567" s="9">
        <v>1</v>
      </c>
      <c r="M567" s="9">
        <v>15</v>
      </c>
      <c r="R567" s="9">
        <v>7777</v>
      </c>
      <c r="U567" s="9">
        <f ca="1">IFERROR(OFFSET(ITEM_RES!$A$5,MATCH(BUILDING!T567,ITEM_RES!$J$5:$J$229,0)-1,0),0)</f>
        <v>0</v>
      </c>
      <c r="X567" s="9">
        <f ca="1">IFERROR(OFFSET(ITEM_RES!$A$5,MATCH(BUILDING!W567,ITEM_RES!$J$5:$J$229,0)-1,0),0)</f>
        <v>0</v>
      </c>
      <c r="Z567" s="9" t="s">
        <v>397</v>
      </c>
      <c r="AA567" s="9">
        <v>3</v>
      </c>
      <c r="AC567" s="9">
        <v>1200</v>
      </c>
      <c r="AE567" s="56">
        <f t="shared" si="149"/>
        <v>240</v>
      </c>
      <c r="AF567" s="10">
        <f t="shared" ref="AF567:AF584" si="156">AE566+AE567</f>
        <v>400</v>
      </c>
      <c r="AH567" s="11">
        <f t="shared" si="148"/>
        <v>15</v>
      </c>
      <c r="AI567" s="10">
        <v>15</v>
      </c>
      <c r="AJ567" s="11">
        <f t="shared" si="155"/>
        <v>15</v>
      </c>
      <c r="AK567" s="10">
        <v>15</v>
      </c>
      <c r="AL567" s="11">
        <f t="shared" si="155"/>
        <v>15</v>
      </c>
      <c r="AM567" s="10">
        <v>15</v>
      </c>
      <c r="AN567" s="56">
        <f t="shared" si="150"/>
        <v>1</v>
      </c>
      <c r="AP567" s="11">
        <f ca="1">IFERROR(OFFSET(ITEM_RES!$A$1,MATCH(AQ567,ITEM_RES!$J:$J,0)-1,0),0)</f>
        <v>211020801</v>
      </c>
      <c r="AQ567" s="10" t="s">
        <v>456</v>
      </c>
      <c r="AR567" s="11">
        <v>75</v>
      </c>
      <c r="AU567" s="11">
        <f ca="1">IFERROR(OFFSET(ITEM_RES!$A$1,MATCH(AV567,ITEM_RES!$J:$J,0)-1,0),0)</f>
        <v>0</v>
      </c>
      <c r="AZ567" s="11">
        <f ca="1">IFERROR(OFFSET(ITEM_RES!$A$1,MATCH(BA567,ITEM_RES!$J:$J,0)-1,0),0)</f>
        <v>0</v>
      </c>
      <c r="BE567" s="11">
        <f ca="1">IFERROR(OFFSET(ITEM_RES!$A$1,MATCH(BF567,ITEM_RES!$J:$J,0)-1,0),0)</f>
        <v>0</v>
      </c>
      <c r="BJ567" s="11">
        <f ca="1">IFERROR(OFFSET(ITEM_RES!$A$1,MATCH(BK567,ITEM_RES!$J:$J,0)-1,0),0)</f>
        <v>0</v>
      </c>
    </row>
    <row r="568" spans="1:65" x14ac:dyDescent="0.3">
      <c r="A568" s="14">
        <f t="shared" si="152"/>
        <v>115060004</v>
      </c>
      <c r="B568" s="13">
        <v>11</v>
      </c>
      <c r="C568" s="12">
        <f t="shared" si="153"/>
        <v>5</v>
      </c>
      <c r="D568" s="13">
        <v>6</v>
      </c>
      <c r="E568" s="13">
        <v>0</v>
      </c>
      <c r="F568" s="12">
        <f t="shared" si="154"/>
        <v>4</v>
      </c>
      <c r="H568" s="9">
        <v>5</v>
      </c>
      <c r="I568" s="9">
        <v>4</v>
      </c>
      <c r="K568" s="9" t="s">
        <v>384</v>
      </c>
      <c r="L568" s="9">
        <v>1</v>
      </c>
      <c r="M568" s="9">
        <v>15</v>
      </c>
      <c r="R568" s="9">
        <v>7777</v>
      </c>
      <c r="U568" s="9">
        <f ca="1">IFERROR(OFFSET(ITEM_RES!$A$5,MATCH(BUILDING!T568,ITEM_RES!$J$5:$J$229,0)-1,0),0)</f>
        <v>0</v>
      </c>
      <c r="X568" s="9">
        <f ca="1">IFERROR(OFFSET(ITEM_RES!$A$5,MATCH(BUILDING!W568,ITEM_RES!$J$5:$J$229,0)-1,0),0)</f>
        <v>0</v>
      </c>
      <c r="Z568" s="9" t="s">
        <v>397</v>
      </c>
      <c r="AA568" s="9">
        <v>4</v>
      </c>
      <c r="AC568" s="9">
        <v>2000</v>
      </c>
      <c r="AE568" s="56">
        <f t="shared" si="149"/>
        <v>400</v>
      </c>
      <c r="AF568" s="10">
        <f t="shared" si="156"/>
        <v>640</v>
      </c>
      <c r="AH568" s="11">
        <f t="shared" si="148"/>
        <v>20</v>
      </c>
      <c r="AI568" s="10">
        <v>20</v>
      </c>
      <c r="AJ568" s="11">
        <f t="shared" si="155"/>
        <v>25</v>
      </c>
      <c r="AK568" s="10">
        <v>25</v>
      </c>
      <c r="AL568" s="11">
        <f t="shared" si="155"/>
        <v>25</v>
      </c>
      <c r="AM568" s="10">
        <v>25</v>
      </c>
      <c r="AN568" s="56">
        <f t="shared" si="150"/>
        <v>1</v>
      </c>
      <c r="AP568" s="11">
        <f ca="1">IFERROR(OFFSET(ITEM_RES!$A$1,MATCH(AQ568,ITEM_RES!$J:$J,0)-1,0),0)</f>
        <v>211020801</v>
      </c>
      <c r="AQ568" s="10" t="s">
        <v>456</v>
      </c>
      <c r="AR568" s="11">
        <v>125</v>
      </c>
      <c r="AU568" s="11">
        <f ca="1">IFERROR(OFFSET(ITEM_RES!$A$1,MATCH(AV568,ITEM_RES!$J:$J,0)-1,0),0)</f>
        <v>0</v>
      </c>
      <c r="AZ568" s="11">
        <f ca="1">IFERROR(OFFSET(ITEM_RES!$A$1,MATCH(BA568,ITEM_RES!$J:$J,0)-1,0),0)</f>
        <v>0</v>
      </c>
      <c r="BE568" s="11">
        <f ca="1">IFERROR(OFFSET(ITEM_RES!$A$1,MATCH(BF568,ITEM_RES!$J:$J,0)-1,0),0)</f>
        <v>0</v>
      </c>
      <c r="BJ568" s="11">
        <f ca="1">IFERROR(OFFSET(ITEM_RES!$A$1,MATCH(BK568,ITEM_RES!$J:$J,0)-1,0),0)</f>
        <v>0</v>
      </c>
    </row>
    <row r="569" spans="1:65" x14ac:dyDescent="0.3">
      <c r="A569" s="14">
        <f t="shared" si="152"/>
        <v>115060005</v>
      </c>
      <c r="B569" s="13">
        <v>11</v>
      </c>
      <c r="C569" s="12">
        <f t="shared" si="153"/>
        <v>5</v>
      </c>
      <c r="D569" s="13">
        <v>6</v>
      </c>
      <c r="E569" s="13">
        <v>0</v>
      </c>
      <c r="F569" s="12">
        <f t="shared" si="154"/>
        <v>5</v>
      </c>
      <c r="H569" s="9">
        <v>5</v>
      </c>
      <c r="I569" s="9">
        <v>5</v>
      </c>
      <c r="K569" s="9" t="s">
        <v>384</v>
      </c>
      <c r="L569" s="9">
        <v>1</v>
      </c>
      <c r="M569" s="9">
        <v>15</v>
      </c>
      <c r="R569" s="9">
        <v>7777</v>
      </c>
      <c r="U569" s="9">
        <f ca="1">IFERROR(OFFSET(ITEM_RES!$A$5,MATCH(BUILDING!T569,ITEM_RES!$J$5:$J$229,0)-1,0),0)</f>
        <v>0</v>
      </c>
      <c r="X569" s="9">
        <f ca="1">IFERROR(OFFSET(ITEM_RES!$A$5,MATCH(BUILDING!W569,ITEM_RES!$J$5:$J$229,0)-1,0),0)</f>
        <v>0</v>
      </c>
      <c r="Z569" s="9" t="s">
        <v>397</v>
      </c>
      <c r="AA569" s="9">
        <v>5</v>
      </c>
      <c r="AC569" s="9">
        <v>3200</v>
      </c>
      <c r="AE569" s="56">
        <f t="shared" si="149"/>
        <v>640</v>
      </c>
      <c r="AF569" s="10">
        <f t="shared" si="156"/>
        <v>1040</v>
      </c>
      <c r="AH569" s="11">
        <f t="shared" si="148"/>
        <v>25</v>
      </c>
      <c r="AI569" s="10">
        <v>25</v>
      </c>
      <c r="AJ569" s="11">
        <f t="shared" si="155"/>
        <v>40</v>
      </c>
      <c r="AK569" s="10">
        <v>40</v>
      </c>
      <c r="AL569" s="11">
        <f t="shared" si="155"/>
        <v>40</v>
      </c>
      <c r="AM569" s="10">
        <v>40</v>
      </c>
      <c r="AN569" s="56">
        <f t="shared" si="150"/>
        <v>1</v>
      </c>
      <c r="AP569" s="11">
        <f ca="1">IFERROR(OFFSET(ITEM_RES!$A$1,MATCH(AQ569,ITEM_RES!$J:$J,0)-1,0),0)</f>
        <v>211020801</v>
      </c>
      <c r="AQ569" s="10" t="s">
        <v>456</v>
      </c>
      <c r="AR569" s="11">
        <v>200</v>
      </c>
      <c r="AU569" s="11">
        <f ca="1">IFERROR(OFFSET(ITEM_RES!$A$1,MATCH(AV569,ITEM_RES!$J:$J,0)-1,0),0)</f>
        <v>0</v>
      </c>
      <c r="AZ569" s="11">
        <f ca="1">IFERROR(OFFSET(ITEM_RES!$A$1,MATCH(BA569,ITEM_RES!$J:$J,0)-1,0),0)</f>
        <v>0</v>
      </c>
      <c r="BE569" s="11">
        <f ca="1">IFERROR(OFFSET(ITEM_RES!$A$1,MATCH(BF569,ITEM_RES!$J:$J,0)-1,0),0)</f>
        <v>0</v>
      </c>
      <c r="BJ569" s="11">
        <f ca="1">IFERROR(OFFSET(ITEM_RES!$A$1,MATCH(BK569,ITEM_RES!$J:$J,0)-1,0),0)</f>
        <v>0</v>
      </c>
    </row>
    <row r="570" spans="1:65" x14ac:dyDescent="0.3">
      <c r="A570" s="14">
        <f t="shared" si="152"/>
        <v>115060006</v>
      </c>
      <c r="B570" s="13">
        <v>11</v>
      </c>
      <c r="C570" s="12">
        <f t="shared" si="153"/>
        <v>5</v>
      </c>
      <c r="D570" s="13">
        <v>6</v>
      </c>
      <c r="E570" s="13">
        <v>0</v>
      </c>
      <c r="F570" s="12">
        <f t="shared" si="154"/>
        <v>6</v>
      </c>
      <c r="H570" s="9">
        <v>5</v>
      </c>
      <c r="I570" s="9">
        <v>6</v>
      </c>
      <c r="K570" s="9" t="s">
        <v>384</v>
      </c>
      <c r="L570" s="9">
        <v>1</v>
      </c>
      <c r="M570" s="9">
        <v>15</v>
      </c>
      <c r="R570" s="9">
        <v>7777</v>
      </c>
      <c r="U570" s="9">
        <f ca="1">IFERROR(OFFSET(ITEM_RES!$A$5,MATCH(BUILDING!T570,ITEM_RES!$J$5:$J$229,0)-1,0),0)</f>
        <v>0</v>
      </c>
      <c r="X570" s="9">
        <f ca="1">IFERROR(OFFSET(ITEM_RES!$A$5,MATCH(BUILDING!W570,ITEM_RES!$J$5:$J$229,0)-1,0),0)</f>
        <v>0</v>
      </c>
      <c r="Z570" s="9" t="s">
        <v>397</v>
      </c>
      <c r="AA570" s="9">
        <v>6</v>
      </c>
      <c r="AC570" s="9">
        <v>4000</v>
      </c>
      <c r="AE570" s="56">
        <f t="shared" si="149"/>
        <v>800</v>
      </c>
      <c r="AF570" s="10">
        <f t="shared" si="156"/>
        <v>1440</v>
      </c>
      <c r="AH570" s="11">
        <f t="shared" si="148"/>
        <v>30</v>
      </c>
      <c r="AI570" s="10">
        <v>30</v>
      </c>
      <c r="AJ570" s="11">
        <f t="shared" si="155"/>
        <v>50</v>
      </c>
      <c r="AK570" s="10">
        <v>50</v>
      </c>
      <c r="AL570" s="11">
        <f t="shared" si="155"/>
        <v>50</v>
      </c>
      <c r="AM570" s="10">
        <v>50</v>
      </c>
      <c r="AN570" s="56">
        <f t="shared" si="150"/>
        <v>1</v>
      </c>
      <c r="AP570" s="11">
        <f ca="1">IFERROR(OFFSET(ITEM_RES!$A$1,MATCH(AQ570,ITEM_RES!$J:$J,0)-1,0),0)</f>
        <v>211020801</v>
      </c>
      <c r="AQ570" s="10" t="s">
        <v>456</v>
      </c>
      <c r="AR570" s="11">
        <v>250</v>
      </c>
      <c r="AU570" s="11">
        <f ca="1">IFERROR(OFFSET(ITEM_RES!$A$1,MATCH(AV570,ITEM_RES!$J:$J,0)-1,0),0)</f>
        <v>0</v>
      </c>
      <c r="AZ570" s="11">
        <f ca="1">IFERROR(OFFSET(ITEM_RES!$A$1,MATCH(BA570,ITEM_RES!$J:$J,0)-1,0),0)</f>
        <v>0</v>
      </c>
      <c r="BE570" s="11">
        <f ca="1">IFERROR(OFFSET(ITEM_RES!$A$1,MATCH(BF570,ITEM_RES!$J:$J,0)-1,0),0)</f>
        <v>0</v>
      </c>
      <c r="BJ570" s="11">
        <f ca="1">IFERROR(OFFSET(ITEM_RES!$A$1,MATCH(BK570,ITEM_RES!$J:$J,0)-1,0),0)</f>
        <v>0</v>
      </c>
    </row>
    <row r="571" spans="1:65" x14ac:dyDescent="0.3">
      <c r="A571" s="14">
        <f t="shared" si="152"/>
        <v>115060007</v>
      </c>
      <c r="B571" s="13">
        <v>11</v>
      </c>
      <c r="C571" s="12">
        <f t="shared" si="153"/>
        <v>5</v>
      </c>
      <c r="D571" s="13">
        <v>6</v>
      </c>
      <c r="E571" s="13">
        <v>0</v>
      </c>
      <c r="F571" s="12">
        <f t="shared" si="154"/>
        <v>7</v>
      </c>
      <c r="H571" s="9">
        <v>5</v>
      </c>
      <c r="I571" s="9">
        <v>7</v>
      </c>
      <c r="K571" s="9" t="s">
        <v>384</v>
      </c>
      <c r="L571" s="9">
        <v>1</v>
      </c>
      <c r="M571" s="9">
        <v>15</v>
      </c>
      <c r="R571" s="9">
        <v>7777</v>
      </c>
      <c r="U571" s="9">
        <f ca="1">IFERROR(OFFSET(ITEM_RES!$A$5,MATCH(BUILDING!T571,ITEM_RES!$J$5:$J$229,0)-1,0),0)</f>
        <v>0</v>
      </c>
      <c r="X571" s="9">
        <f ca="1">IFERROR(OFFSET(ITEM_RES!$A$5,MATCH(BUILDING!W571,ITEM_RES!$J$5:$J$229,0)-1,0),0)</f>
        <v>0</v>
      </c>
      <c r="Z571" s="9" t="s">
        <v>397</v>
      </c>
      <c r="AA571" s="9">
        <v>7</v>
      </c>
      <c r="AC571" s="9">
        <v>8000</v>
      </c>
      <c r="AE571" s="56">
        <f t="shared" si="149"/>
        <v>1600</v>
      </c>
      <c r="AF571" s="10">
        <f t="shared" si="156"/>
        <v>2400</v>
      </c>
      <c r="AH571" s="11">
        <f t="shared" si="148"/>
        <v>35</v>
      </c>
      <c r="AI571" s="10">
        <v>35</v>
      </c>
      <c r="AJ571" s="11">
        <f t="shared" si="155"/>
        <v>100</v>
      </c>
      <c r="AK571" s="10">
        <v>100</v>
      </c>
      <c r="AL571" s="11">
        <f t="shared" si="155"/>
        <v>100</v>
      </c>
      <c r="AM571" s="10">
        <v>100</v>
      </c>
      <c r="AN571" s="56">
        <f t="shared" si="150"/>
        <v>1</v>
      </c>
      <c r="AP571" s="11">
        <f ca="1">IFERROR(OFFSET(ITEM_RES!$A$1,MATCH(AQ571,ITEM_RES!$J:$J,0)-1,0),0)</f>
        <v>211020801</v>
      </c>
      <c r="AQ571" s="10" t="s">
        <v>456</v>
      </c>
      <c r="AR571" s="11">
        <v>500</v>
      </c>
      <c r="AU571" s="11">
        <f ca="1">IFERROR(OFFSET(ITEM_RES!$A$1,MATCH(AV571,ITEM_RES!$J:$J,0)-1,0),0)</f>
        <v>0</v>
      </c>
      <c r="AZ571" s="11">
        <f ca="1">IFERROR(OFFSET(ITEM_RES!$A$1,MATCH(BA571,ITEM_RES!$J:$J,0)-1,0),0)</f>
        <v>0</v>
      </c>
      <c r="BE571" s="11">
        <f ca="1">IFERROR(OFFSET(ITEM_RES!$A$1,MATCH(BF571,ITEM_RES!$J:$J,0)-1,0),0)</f>
        <v>0</v>
      </c>
      <c r="BJ571" s="11">
        <f ca="1">IFERROR(OFFSET(ITEM_RES!$A$1,MATCH(BK571,ITEM_RES!$J:$J,0)-1,0),0)</f>
        <v>0</v>
      </c>
    </row>
    <row r="572" spans="1:65" x14ac:dyDescent="0.3">
      <c r="A572" s="14">
        <f t="shared" si="152"/>
        <v>115060008</v>
      </c>
      <c r="B572" s="13">
        <v>11</v>
      </c>
      <c r="C572" s="12">
        <f t="shared" si="153"/>
        <v>5</v>
      </c>
      <c r="D572" s="13">
        <v>6</v>
      </c>
      <c r="E572" s="13">
        <v>0</v>
      </c>
      <c r="F572" s="12">
        <f t="shared" si="154"/>
        <v>8</v>
      </c>
      <c r="H572" s="9">
        <v>5</v>
      </c>
      <c r="I572" s="9">
        <v>8</v>
      </c>
      <c r="K572" s="9" t="s">
        <v>384</v>
      </c>
      <c r="L572" s="9">
        <v>1</v>
      </c>
      <c r="M572" s="9">
        <v>15</v>
      </c>
      <c r="R572" s="9">
        <v>7777</v>
      </c>
      <c r="U572" s="9">
        <f ca="1">IFERROR(OFFSET(ITEM_RES!$A$5,MATCH(BUILDING!T572,ITEM_RES!$J$5:$J$229,0)-1,0),0)</f>
        <v>0</v>
      </c>
      <c r="X572" s="9">
        <f ca="1">IFERROR(OFFSET(ITEM_RES!$A$5,MATCH(BUILDING!W572,ITEM_RES!$J$5:$J$229,0)-1,0),0)</f>
        <v>0</v>
      </c>
      <c r="Z572" s="9" t="s">
        <v>397</v>
      </c>
      <c r="AA572" s="9">
        <v>8</v>
      </c>
      <c r="AC572" s="9">
        <v>8000</v>
      </c>
      <c r="AE572" s="56">
        <f t="shared" si="149"/>
        <v>1600</v>
      </c>
      <c r="AF572" s="10">
        <f t="shared" si="156"/>
        <v>3200</v>
      </c>
      <c r="AH572" s="11">
        <f t="shared" si="148"/>
        <v>40</v>
      </c>
      <c r="AI572" s="10">
        <v>40</v>
      </c>
      <c r="AJ572" s="11">
        <f t="shared" si="155"/>
        <v>100</v>
      </c>
      <c r="AK572" s="10">
        <v>100</v>
      </c>
      <c r="AL572" s="11">
        <f t="shared" si="155"/>
        <v>100</v>
      </c>
      <c r="AM572" s="10">
        <v>100</v>
      </c>
      <c r="AN572" s="56">
        <f t="shared" si="150"/>
        <v>1</v>
      </c>
      <c r="AP572" s="11">
        <f ca="1">IFERROR(OFFSET(ITEM_RES!$A$1,MATCH(AQ572,ITEM_RES!$J:$J,0)-1,0),0)</f>
        <v>211020801</v>
      </c>
      <c r="AQ572" s="10" t="s">
        <v>456</v>
      </c>
      <c r="AR572" s="11">
        <v>500</v>
      </c>
      <c r="AU572" s="11">
        <f ca="1">IFERROR(OFFSET(ITEM_RES!$A$1,MATCH(AV572,ITEM_RES!$J:$J,0)-1,0),0)</f>
        <v>0</v>
      </c>
      <c r="AZ572" s="11">
        <f ca="1">IFERROR(OFFSET(ITEM_RES!$A$1,MATCH(BA572,ITEM_RES!$J:$J,0)-1,0),0)</f>
        <v>0</v>
      </c>
      <c r="BE572" s="11">
        <f ca="1">IFERROR(OFFSET(ITEM_RES!$A$1,MATCH(BF572,ITEM_RES!$J:$J,0)-1,0),0)</f>
        <v>0</v>
      </c>
      <c r="BJ572" s="11">
        <f ca="1">IFERROR(OFFSET(ITEM_RES!$A$1,MATCH(BK572,ITEM_RES!$J:$J,0)-1,0),0)</f>
        <v>0</v>
      </c>
    </row>
    <row r="573" spans="1:65" x14ac:dyDescent="0.3">
      <c r="A573" s="14">
        <f t="shared" si="152"/>
        <v>115060009</v>
      </c>
      <c r="B573" s="13">
        <v>11</v>
      </c>
      <c r="C573" s="12">
        <f t="shared" si="153"/>
        <v>5</v>
      </c>
      <c r="D573" s="13">
        <v>6</v>
      </c>
      <c r="E573" s="13">
        <v>0</v>
      </c>
      <c r="F573" s="12">
        <f t="shared" si="154"/>
        <v>9</v>
      </c>
      <c r="H573" s="9">
        <v>5</v>
      </c>
      <c r="I573" s="9">
        <v>9</v>
      </c>
      <c r="K573" s="9" t="s">
        <v>384</v>
      </c>
      <c r="L573" s="9">
        <v>1</v>
      </c>
      <c r="M573" s="9">
        <v>15</v>
      </c>
      <c r="R573" s="9">
        <v>7777</v>
      </c>
      <c r="U573" s="9">
        <f ca="1">IFERROR(OFFSET(ITEM_RES!$A$5,MATCH(BUILDING!T573,ITEM_RES!$J$5:$J$229,0)-1,0),0)</f>
        <v>0</v>
      </c>
      <c r="X573" s="9">
        <f ca="1">IFERROR(OFFSET(ITEM_RES!$A$5,MATCH(BUILDING!W573,ITEM_RES!$J$5:$J$229,0)-1,0),0)</f>
        <v>0</v>
      </c>
      <c r="Z573" s="9" t="s">
        <v>397</v>
      </c>
      <c r="AA573" s="9">
        <v>9</v>
      </c>
      <c r="AC573" s="9">
        <v>12000</v>
      </c>
      <c r="AE573" s="56">
        <f t="shared" si="149"/>
        <v>2400</v>
      </c>
      <c r="AF573" s="10">
        <f t="shared" si="156"/>
        <v>4000</v>
      </c>
      <c r="AH573" s="11">
        <f t="shared" si="148"/>
        <v>45</v>
      </c>
      <c r="AI573" s="10">
        <v>45</v>
      </c>
      <c r="AJ573" s="11">
        <f t="shared" si="155"/>
        <v>150</v>
      </c>
      <c r="AK573" s="10">
        <v>150</v>
      </c>
      <c r="AL573" s="11">
        <f t="shared" si="155"/>
        <v>150</v>
      </c>
      <c r="AM573" s="10">
        <v>150</v>
      </c>
      <c r="AN573" s="56">
        <f t="shared" si="150"/>
        <v>1</v>
      </c>
      <c r="AP573" s="11">
        <f ca="1">IFERROR(OFFSET(ITEM_RES!$A$1,MATCH(AQ573,ITEM_RES!$J:$J,0)-1,0),0)</f>
        <v>211020801</v>
      </c>
      <c r="AQ573" s="10" t="s">
        <v>456</v>
      </c>
      <c r="AR573" s="11">
        <v>750</v>
      </c>
      <c r="AU573" s="11">
        <f ca="1">IFERROR(OFFSET(ITEM_RES!$A$1,MATCH(AV573,ITEM_RES!$J:$J,0)-1,0),0)</f>
        <v>0</v>
      </c>
      <c r="AZ573" s="11">
        <f ca="1">IFERROR(OFFSET(ITEM_RES!$A$1,MATCH(BA573,ITEM_RES!$J:$J,0)-1,0),0)</f>
        <v>0</v>
      </c>
      <c r="BE573" s="11">
        <f ca="1">IFERROR(OFFSET(ITEM_RES!$A$1,MATCH(BF573,ITEM_RES!$J:$J,0)-1,0),0)</f>
        <v>0</v>
      </c>
      <c r="BJ573" s="11">
        <f ca="1">IFERROR(OFFSET(ITEM_RES!$A$1,MATCH(BK573,ITEM_RES!$J:$J,0)-1,0),0)</f>
        <v>0</v>
      </c>
    </row>
    <row r="574" spans="1:65" x14ac:dyDescent="0.3">
      <c r="A574" s="14">
        <f t="shared" si="152"/>
        <v>115060010</v>
      </c>
      <c r="B574" s="13">
        <v>11</v>
      </c>
      <c r="C574" s="12">
        <f t="shared" si="153"/>
        <v>5</v>
      </c>
      <c r="D574" s="13">
        <v>6</v>
      </c>
      <c r="E574" s="13">
        <v>0</v>
      </c>
      <c r="F574" s="12">
        <f t="shared" si="154"/>
        <v>10</v>
      </c>
      <c r="H574" s="9">
        <v>5</v>
      </c>
      <c r="I574" s="9">
        <v>10</v>
      </c>
      <c r="K574" s="9" t="s">
        <v>384</v>
      </c>
      <c r="L574" s="9">
        <v>1</v>
      </c>
      <c r="M574" s="9">
        <v>15</v>
      </c>
      <c r="R574" s="9">
        <v>7777</v>
      </c>
      <c r="U574" s="9">
        <f ca="1">IFERROR(OFFSET(ITEM_RES!$A$5,MATCH(BUILDING!T574,ITEM_RES!$J$5:$J$229,0)-1,0),0)</f>
        <v>0</v>
      </c>
      <c r="X574" s="9">
        <f ca="1">IFERROR(OFFSET(ITEM_RES!$A$5,MATCH(BUILDING!W574,ITEM_RES!$J$5:$J$229,0)-1,0),0)</f>
        <v>0</v>
      </c>
      <c r="Z574" s="9" t="s">
        <v>397</v>
      </c>
      <c r="AA574" s="9">
        <v>10</v>
      </c>
      <c r="AC574" s="9">
        <v>16000</v>
      </c>
      <c r="AE574" s="56">
        <f t="shared" si="149"/>
        <v>3200</v>
      </c>
      <c r="AF574" s="10">
        <f t="shared" si="156"/>
        <v>5600</v>
      </c>
      <c r="AH574" s="11">
        <f t="shared" si="148"/>
        <v>50</v>
      </c>
      <c r="AI574" s="10">
        <v>50</v>
      </c>
      <c r="AJ574" s="11">
        <f t="shared" si="155"/>
        <v>200</v>
      </c>
      <c r="AK574" s="10">
        <v>200</v>
      </c>
      <c r="AL574" s="11">
        <f t="shared" si="155"/>
        <v>200</v>
      </c>
      <c r="AM574" s="10">
        <v>200</v>
      </c>
      <c r="AN574" s="56">
        <f t="shared" si="150"/>
        <v>1</v>
      </c>
      <c r="AP574" s="11">
        <f ca="1">IFERROR(OFFSET(ITEM_RES!$A$1,MATCH(AQ574,ITEM_RES!$J:$J,0)-1,0),0)</f>
        <v>211020801</v>
      </c>
      <c r="AQ574" s="10" t="s">
        <v>456</v>
      </c>
      <c r="AR574" s="11">
        <v>1000</v>
      </c>
      <c r="AU574" s="11">
        <f ca="1">IFERROR(OFFSET(ITEM_RES!$A$1,MATCH(AV574,ITEM_RES!$J:$J,0)-1,0),0)</f>
        <v>0</v>
      </c>
      <c r="AZ574" s="11">
        <f ca="1">IFERROR(OFFSET(ITEM_RES!$A$1,MATCH(BA574,ITEM_RES!$J:$J,0)-1,0),0)</f>
        <v>0</v>
      </c>
      <c r="BE574" s="11">
        <f ca="1">IFERROR(OFFSET(ITEM_RES!$A$1,MATCH(BF574,ITEM_RES!$J:$J,0)-1,0),0)</f>
        <v>0</v>
      </c>
      <c r="BJ574" s="11">
        <f ca="1">IFERROR(OFFSET(ITEM_RES!$A$1,MATCH(BK574,ITEM_RES!$J:$J,0)-1,0),0)</f>
        <v>0</v>
      </c>
    </row>
    <row r="575" spans="1:65" x14ac:dyDescent="0.3">
      <c r="A575" s="14">
        <f t="shared" si="152"/>
        <v>115060011</v>
      </c>
      <c r="B575" s="13">
        <v>11</v>
      </c>
      <c r="C575" s="12">
        <f t="shared" si="153"/>
        <v>5</v>
      </c>
      <c r="D575" s="13">
        <v>6</v>
      </c>
      <c r="E575" s="13">
        <v>0</v>
      </c>
      <c r="F575" s="12">
        <f t="shared" si="154"/>
        <v>11</v>
      </c>
      <c r="H575" s="9">
        <v>5</v>
      </c>
      <c r="I575" s="9">
        <v>11</v>
      </c>
      <c r="K575" s="9" t="s">
        <v>384</v>
      </c>
      <c r="L575" s="9">
        <v>1</v>
      </c>
      <c r="M575" s="9">
        <v>15</v>
      </c>
      <c r="R575" s="9">
        <v>7777</v>
      </c>
      <c r="U575" s="9">
        <f ca="1">IFERROR(OFFSET(ITEM_RES!$A$5,MATCH(BUILDING!T575,ITEM_RES!$J$5:$J$229,0)-1,0),0)</f>
        <v>0</v>
      </c>
      <c r="X575" s="9">
        <f ca="1">IFERROR(OFFSET(ITEM_RES!$A$5,MATCH(BUILDING!W575,ITEM_RES!$J$5:$J$229,0)-1,0),0)</f>
        <v>0</v>
      </c>
      <c r="Z575" s="9" t="s">
        <v>397</v>
      </c>
      <c r="AA575" s="9">
        <v>11</v>
      </c>
      <c r="AC575" s="9">
        <v>20000</v>
      </c>
      <c r="AE575" s="56">
        <f t="shared" si="149"/>
        <v>4000</v>
      </c>
      <c r="AF575" s="10">
        <f t="shared" si="156"/>
        <v>7200</v>
      </c>
      <c r="AH575" s="11">
        <f t="shared" si="148"/>
        <v>55</v>
      </c>
      <c r="AI575" s="10">
        <v>55</v>
      </c>
      <c r="AJ575" s="11">
        <f t="shared" si="155"/>
        <v>250</v>
      </c>
      <c r="AK575" s="10">
        <v>250</v>
      </c>
      <c r="AL575" s="11">
        <f t="shared" si="155"/>
        <v>250</v>
      </c>
      <c r="AM575" s="10">
        <v>250</v>
      </c>
      <c r="AN575" s="56">
        <f t="shared" si="150"/>
        <v>1</v>
      </c>
      <c r="AP575" s="11">
        <f ca="1">IFERROR(OFFSET(ITEM_RES!$A$1,MATCH(AQ575,ITEM_RES!$J:$J,0)-1,0),0)</f>
        <v>211020801</v>
      </c>
      <c r="AQ575" s="10" t="s">
        <v>456</v>
      </c>
      <c r="AR575" s="11">
        <v>1250</v>
      </c>
      <c r="AU575" s="11">
        <f ca="1">IFERROR(OFFSET(ITEM_RES!$A$1,MATCH(AV575,ITEM_RES!$J:$J,0)-1,0),0)</f>
        <v>0</v>
      </c>
      <c r="AZ575" s="11">
        <f ca="1">IFERROR(OFFSET(ITEM_RES!$A$1,MATCH(BA575,ITEM_RES!$J:$J,0)-1,0),0)</f>
        <v>0</v>
      </c>
      <c r="BE575" s="11">
        <f ca="1">IFERROR(OFFSET(ITEM_RES!$A$1,MATCH(BF575,ITEM_RES!$J:$J,0)-1,0),0)</f>
        <v>0</v>
      </c>
      <c r="BJ575" s="11">
        <f ca="1">IFERROR(OFFSET(ITEM_RES!$A$1,MATCH(BK575,ITEM_RES!$J:$J,0)-1,0),0)</f>
        <v>0</v>
      </c>
    </row>
    <row r="576" spans="1:65" x14ac:dyDescent="0.3">
      <c r="A576" s="14">
        <f t="shared" si="152"/>
        <v>115060012</v>
      </c>
      <c r="B576" s="13">
        <v>11</v>
      </c>
      <c r="C576" s="12">
        <f t="shared" si="153"/>
        <v>5</v>
      </c>
      <c r="D576" s="13">
        <v>6</v>
      </c>
      <c r="E576" s="13">
        <v>0</v>
      </c>
      <c r="F576" s="12">
        <f t="shared" si="154"/>
        <v>12</v>
      </c>
      <c r="H576" s="9">
        <v>5</v>
      </c>
      <c r="I576" s="9">
        <v>12</v>
      </c>
      <c r="K576" s="9" t="s">
        <v>384</v>
      </c>
      <c r="L576" s="9">
        <v>1</v>
      </c>
      <c r="M576" s="9">
        <v>15</v>
      </c>
      <c r="R576" s="9">
        <v>7777</v>
      </c>
      <c r="U576" s="9">
        <f ca="1">IFERROR(OFFSET(ITEM_RES!$A$5,MATCH(BUILDING!T576,ITEM_RES!$J$5:$J$229,0)-1,0),0)</f>
        <v>0</v>
      </c>
      <c r="X576" s="9">
        <f ca="1">IFERROR(OFFSET(ITEM_RES!$A$5,MATCH(BUILDING!W576,ITEM_RES!$J$5:$J$229,0)-1,0),0)</f>
        <v>0</v>
      </c>
      <c r="Z576" s="9" t="s">
        <v>397</v>
      </c>
      <c r="AA576" s="9">
        <v>12</v>
      </c>
      <c r="AC576" s="9">
        <v>24000</v>
      </c>
      <c r="AE576" s="56">
        <f t="shared" si="149"/>
        <v>4800</v>
      </c>
      <c r="AF576" s="10">
        <f t="shared" si="156"/>
        <v>8800</v>
      </c>
      <c r="AH576" s="11">
        <f t="shared" si="148"/>
        <v>60</v>
      </c>
      <c r="AI576" s="10">
        <v>60</v>
      </c>
      <c r="AJ576" s="11">
        <f t="shared" si="155"/>
        <v>300</v>
      </c>
      <c r="AK576" s="10">
        <v>300</v>
      </c>
      <c r="AL576" s="11">
        <f t="shared" si="155"/>
        <v>300</v>
      </c>
      <c r="AM576" s="10">
        <v>300</v>
      </c>
      <c r="AN576" s="56">
        <f t="shared" si="150"/>
        <v>1</v>
      </c>
      <c r="AP576" s="11">
        <f ca="1">IFERROR(OFFSET(ITEM_RES!$A$1,MATCH(AQ576,ITEM_RES!$J:$J,0)-1,0),0)</f>
        <v>211020801</v>
      </c>
      <c r="AQ576" s="10" t="s">
        <v>456</v>
      </c>
      <c r="AR576" s="11">
        <v>1500</v>
      </c>
      <c r="AU576" s="11">
        <f ca="1">IFERROR(OFFSET(ITEM_RES!$A$1,MATCH(AV576,ITEM_RES!$J:$J,0)-1,0),0)</f>
        <v>0</v>
      </c>
      <c r="AZ576" s="11">
        <f ca="1">IFERROR(OFFSET(ITEM_RES!$A$1,MATCH(BA576,ITEM_RES!$J:$J,0)-1,0),0)</f>
        <v>0</v>
      </c>
      <c r="BE576" s="11">
        <f ca="1">IFERROR(OFFSET(ITEM_RES!$A$1,MATCH(BF576,ITEM_RES!$J:$J,0)-1,0),0)</f>
        <v>0</v>
      </c>
      <c r="BJ576" s="11">
        <f ca="1">IFERROR(OFFSET(ITEM_RES!$A$1,MATCH(BK576,ITEM_RES!$J:$J,0)-1,0),0)</f>
        <v>0</v>
      </c>
    </row>
    <row r="577" spans="1:65" x14ac:dyDescent="0.3">
      <c r="A577" s="14">
        <f t="shared" si="152"/>
        <v>115060013</v>
      </c>
      <c r="B577" s="13">
        <v>11</v>
      </c>
      <c r="C577" s="12">
        <f t="shared" si="153"/>
        <v>5</v>
      </c>
      <c r="D577" s="13">
        <v>6</v>
      </c>
      <c r="E577" s="13">
        <v>0</v>
      </c>
      <c r="F577" s="12">
        <f t="shared" si="154"/>
        <v>13</v>
      </c>
      <c r="H577" s="9">
        <v>5</v>
      </c>
      <c r="I577" s="9">
        <v>13</v>
      </c>
      <c r="K577" s="9" t="s">
        <v>384</v>
      </c>
      <c r="L577" s="9">
        <v>1</v>
      </c>
      <c r="M577" s="9">
        <v>15</v>
      </c>
      <c r="R577" s="9">
        <v>7777</v>
      </c>
      <c r="U577" s="9">
        <f ca="1">IFERROR(OFFSET(ITEM_RES!$A$5,MATCH(BUILDING!T577,ITEM_RES!$J$5:$J$229,0)-1,0),0)</f>
        <v>0</v>
      </c>
      <c r="X577" s="9">
        <f ca="1">IFERROR(OFFSET(ITEM_RES!$A$5,MATCH(BUILDING!W577,ITEM_RES!$J$5:$J$229,0)-1,0),0)</f>
        <v>0</v>
      </c>
      <c r="Z577" s="9" t="s">
        <v>397</v>
      </c>
      <c r="AA577" s="9">
        <v>13</v>
      </c>
      <c r="AC577" s="9">
        <v>28000</v>
      </c>
      <c r="AE577" s="56">
        <f t="shared" si="149"/>
        <v>5600</v>
      </c>
      <c r="AF577" s="10">
        <f t="shared" si="156"/>
        <v>10400</v>
      </c>
      <c r="AH577" s="11">
        <f t="shared" si="148"/>
        <v>65</v>
      </c>
      <c r="AI577" s="10">
        <v>65</v>
      </c>
      <c r="AJ577" s="11">
        <f t="shared" si="155"/>
        <v>350</v>
      </c>
      <c r="AK577" s="10">
        <v>350</v>
      </c>
      <c r="AL577" s="11">
        <f t="shared" si="155"/>
        <v>350</v>
      </c>
      <c r="AM577" s="10">
        <v>350</v>
      </c>
      <c r="AN577" s="56">
        <f t="shared" si="150"/>
        <v>1</v>
      </c>
      <c r="AP577" s="11">
        <f ca="1">IFERROR(OFFSET(ITEM_RES!$A$1,MATCH(AQ577,ITEM_RES!$J:$J,0)-1,0),0)</f>
        <v>211020801</v>
      </c>
      <c r="AQ577" s="10" t="s">
        <v>456</v>
      </c>
      <c r="AR577" s="11">
        <v>1750</v>
      </c>
      <c r="AU577" s="11">
        <f ca="1">IFERROR(OFFSET(ITEM_RES!$A$1,MATCH(AV577,ITEM_RES!$J:$J,0)-1,0),0)</f>
        <v>0</v>
      </c>
      <c r="AZ577" s="11">
        <f ca="1">IFERROR(OFFSET(ITEM_RES!$A$1,MATCH(BA577,ITEM_RES!$J:$J,0)-1,0),0)</f>
        <v>0</v>
      </c>
      <c r="BE577" s="11">
        <f ca="1">IFERROR(OFFSET(ITEM_RES!$A$1,MATCH(BF577,ITEM_RES!$J:$J,0)-1,0),0)</f>
        <v>0</v>
      </c>
      <c r="BJ577" s="11">
        <f ca="1">IFERROR(OFFSET(ITEM_RES!$A$1,MATCH(BK577,ITEM_RES!$J:$J,0)-1,0),0)</f>
        <v>0</v>
      </c>
    </row>
    <row r="578" spans="1:65" x14ac:dyDescent="0.3">
      <c r="A578" s="14">
        <f t="shared" si="152"/>
        <v>115060014</v>
      </c>
      <c r="B578" s="13">
        <v>11</v>
      </c>
      <c r="C578" s="12">
        <f t="shared" si="153"/>
        <v>5</v>
      </c>
      <c r="D578" s="13">
        <v>6</v>
      </c>
      <c r="E578" s="13">
        <v>0</v>
      </c>
      <c r="F578" s="12">
        <f t="shared" si="154"/>
        <v>14</v>
      </c>
      <c r="H578" s="9">
        <v>5</v>
      </c>
      <c r="I578" s="9">
        <v>14</v>
      </c>
      <c r="K578" s="9" t="s">
        <v>384</v>
      </c>
      <c r="L578" s="9">
        <v>1</v>
      </c>
      <c r="M578" s="9">
        <v>15</v>
      </c>
      <c r="R578" s="9">
        <v>7777</v>
      </c>
      <c r="U578" s="9">
        <f ca="1">IFERROR(OFFSET(ITEM_RES!$A$5,MATCH(BUILDING!T578,ITEM_RES!$J$5:$J$229,0)-1,0),0)</f>
        <v>0</v>
      </c>
      <c r="X578" s="9">
        <f ca="1">IFERROR(OFFSET(ITEM_RES!$A$5,MATCH(BUILDING!W578,ITEM_RES!$J$5:$J$229,0)-1,0),0)</f>
        <v>0</v>
      </c>
      <c r="Z578" s="9" t="s">
        <v>397</v>
      </c>
      <c r="AA578" s="9">
        <v>14</v>
      </c>
      <c r="AC578" s="9">
        <v>36000</v>
      </c>
      <c r="AE578" s="56">
        <f t="shared" si="149"/>
        <v>7200</v>
      </c>
      <c r="AF578" s="10">
        <f t="shared" si="156"/>
        <v>12800</v>
      </c>
      <c r="AH578" s="11">
        <f t="shared" si="148"/>
        <v>70</v>
      </c>
      <c r="AI578" s="10">
        <v>70</v>
      </c>
      <c r="AJ578" s="11">
        <f t="shared" si="155"/>
        <v>450</v>
      </c>
      <c r="AK578" s="10">
        <v>450</v>
      </c>
      <c r="AL578" s="11">
        <f t="shared" si="155"/>
        <v>450</v>
      </c>
      <c r="AM578" s="10">
        <v>450</v>
      </c>
      <c r="AN578" s="56">
        <f t="shared" si="150"/>
        <v>1</v>
      </c>
      <c r="AP578" s="11">
        <f ca="1">IFERROR(OFFSET(ITEM_RES!$A$1,MATCH(AQ578,ITEM_RES!$J:$J,0)-1,0),0)</f>
        <v>211020901</v>
      </c>
      <c r="AQ578" s="10" t="s">
        <v>474</v>
      </c>
      <c r="AR578" s="11">
        <v>2250</v>
      </c>
      <c r="AU578" s="11">
        <f ca="1">IFERROR(OFFSET(ITEM_RES!$A$1,MATCH(AV578,ITEM_RES!$J:$J,0)-1,0),0)</f>
        <v>0</v>
      </c>
      <c r="AZ578" s="11">
        <f ca="1">IFERROR(OFFSET(ITEM_RES!$A$1,MATCH(BA578,ITEM_RES!$J:$J,0)-1,0),0)</f>
        <v>0</v>
      </c>
      <c r="BE578" s="11">
        <f ca="1">IFERROR(OFFSET(ITEM_RES!$A$1,MATCH(BF578,ITEM_RES!$J:$J,0)-1,0),0)</f>
        <v>0</v>
      </c>
      <c r="BJ578" s="11">
        <f ca="1">IFERROR(OFFSET(ITEM_RES!$A$1,MATCH(BK578,ITEM_RES!$J:$J,0)-1,0),0)</f>
        <v>0</v>
      </c>
    </row>
    <row r="579" spans="1:65" x14ac:dyDescent="0.3">
      <c r="A579" s="14">
        <f t="shared" si="152"/>
        <v>115060015</v>
      </c>
      <c r="B579" s="13">
        <v>11</v>
      </c>
      <c r="C579" s="12">
        <f t="shared" si="153"/>
        <v>5</v>
      </c>
      <c r="D579" s="13">
        <v>6</v>
      </c>
      <c r="E579" s="13">
        <v>0</v>
      </c>
      <c r="F579" s="12">
        <f t="shared" si="154"/>
        <v>15</v>
      </c>
      <c r="H579" s="9">
        <v>5</v>
      </c>
      <c r="I579" s="9">
        <v>15</v>
      </c>
      <c r="K579" s="9" t="s">
        <v>384</v>
      </c>
      <c r="L579" s="9">
        <v>1</v>
      </c>
      <c r="M579" s="9">
        <v>15</v>
      </c>
      <c r="R579" s="9">
        <v>7777</v>
      </c>
      <c r="U579" s="9">
        <f ca="1">IFERROR(OFFSET(ITEM_RES!$A$5,MATCH(BUILDING!T579,ITEM_RES!$J$5:$J$229,0)-1,0),0)</f>
        <v>0</v>
      </c>
      <c r="X579" s="9">
        <f ca="1">IFERROR(OFFSET(ITEM_RES!$A$5,MATCH(BUILDING!W579,ITEM_RES!$J$5:$J$229,0)-1,0),0)</f>
        <v>0</v>
      </c>
      <c r="Z579" s="9" t="s">
        <v>397</v>
      </c>
      <c r="AA579" s="9">
        <v>15</v>
      </c>
      <c r="AC579" s="9">
        <v>44000</v>
      </c>
      <c r="AE579" s="56">
        <f t="shared" si="149"/>
        <v>8800</v>
      </c>
      <c r="AF579" s="10">
        <f t="shared" si="156"/>
        <v>16000</v>
      </c>
      <c r="AH579" s="11">
        <f t="shared" si="148"/>
        <v>75</v>
      </c>
      <c r="AI579" s="10">
        <v>75</v>
      </c>
      <c r="AJ579" s="11">
        <f t="shared" si="155"/>
        <v>550</v>
      </c>
      <c r="AK579" s="10">
        <v>550</v>
      </c>
      <c r="AL579" s="11">
        <f t="shared" si="155"/>
        <v>550</v>
      </c>
      <c r="AM579" s="10">
        <v>550</v>
      </c>
      <c r="AN579" s="56">
        <f t="shared" si="150"/>
        <v>1</v>
      </c>
      <c r="AP579" s="11">
        <f ca="1">IFERROR(OFFSET(ITEM_RES!$A$1,MATCH(AQ579,ITEM_RES!$J:$J,0)-1,0),0)</f>
        <v>211020901</v>
      </c>
      <c r="AQ579" s="10" t="s">
        <v>469</v>
      </c>
      <c r="AR579" s="11">
        <v>2750</v>
      </c>
      <c r="AU579" s="11">
        <f ca="1">IFERROR(OFFSET(ITEM_RES!$A$1,MATCH(AV579,ITEM_RES!$J:$J,0)-1,0),0)</f>
        <v>0</v>
      </c>
      <c r="AZ579" s="11">
        <f ca="1">IFERROR(OFFSET(ITEM_RES!$A$1,MATCH(BA579,ITEM_RES!$J:$J,0)-1,0),0)</f>
        <v>0</v>
      </c>
      <c r="BE579" s="11">
        <f ca="1">IFERROR(OFFSET(ITEM_RES!$A$1,MATCH(BF579,ITEM_RES!$J:$J,0)-1,0),0)</f>
        <v>0</v>
      </c>
      <c r="BJ579" s="11">
        <f ca="1">IFERROR(OFFSET(ITEM_RES!$A$1,MATCH(BK579,ITEM_RES!$J:$J,0)-1,0),0)</f>
        <v>0</v>
      </c>
    </row>
    <row r="580" spans="1:65" x14ac:dyDescent="0.3">
      <c r="A580" s="14">
        <f t="shared" si="152"/>
        <v>115060016</v>
      </c>
      <c r="B580" s="13">
        <v>11</v>
      </c>
      <c r="C580" s="12">
        <f t="shared" si="153"/>
        <v>5</v>
      </c>
      <c r="D580" s="13">
        <v>6</v>
      </c>
      <c r="E580" s="13">
        <v>0</v>
      </c>
      <c r="F580" s="12">
        <f t="shared" si="154"/>
        <v>16</v>
      </c>
      <c r="H580" s="9">
        <v>5</v>
      </c>
      <c r="I580" s="9">
        <v>16</v>
      </c>
      <c r="K580" s="9" t="s">
        <v>384</v>
      </c>
      <c r="L580" s="9">
        <v>0</v>
      </c>
      <c r="M580" s="9">
        <v>15</v>
      </c>
      <c r="R580" s="9">
        <v>7777</v>
      </c>
      <c r="U580" s="9">
        <f ca="1">IFERROR(OFFSET(ITEM_RES!$A$5,MATCH(BUILDING!T580,ITEM_RES!$J$5:$J$229,0)-1,0),0)</f>
        <v>0</v>
      </c>
      <c r="X580" s="9">
        <f ca="1">IFERROR(OFFSET(ITEM_RES!$A$5,MATCH(BUILDING!W580,ITEM_RES!$J$5:$J$229,0)-1,0),0)</f>
        <v>0</v>
      </c>
      <c r="Z580" s="9" t="s">
        <v>397</v>
      </c>
      <c r="AA580" s="9">
        <v>16</v>
      </c>
      <c r="AC580" s="9">
        <v>56000</v>
      </c>
      <c r="AE580" s="56">
        <f t="shared" si="149"/>
        <v>11200</v>
      </c>
      <c r="AF580" s="10">
        <f t="shared" si="156"/>
        <v>20000</v>
      </c>
      <c r="AH580" s="11">
        <f t="shared" si="148"/>
        <v>80</v>
      </c>
      <c r="AI580" s="10">
        <v>80</v>
      </c>
      <c r="AJ580" s="11">
        <f t="shared" si="155"/>
        <v>700</v>
      </c>
      <c r="AK580" s="10">
        <v>700</v>
      </c>
      <c r="AL580" s="11">
        <f t="shared" si="155"/>
        <v>700</v>
      </c>
      <c r="AM580" s="10">
        <v>700</v>
      </c>
      <c r="AN580" s="56">
        <f t="shared" si="150"/>
        <v>1</v>
      </c>
      <c r="AP580" s="11">
        <f ca="1">IFERROR(OFFSET(ITEM_RES!$A$1,MATCH(AQ580,ITEM_RES!$J:$J,0)-1,0),0)</f>
        <v>211020901</v>
      </c>
      <c r="AQ580" s="10" t="s">
        <v>469</v>
      </c>
      <c r="AR580" s="11">
        <v>3500</v>
      </c>
      <c r="AU580" s="11">
        <f ca="1">IFERROR(OFFSET(ITEM_RES!$A$1,MATCH(AV580,ITEM_RES!$J:$J,0)-1,0),0)</f>
        <v>0</v>
      </c>
      <c r="AZ580" s="11">
        <f ca="1">IFERROR(OFFSET(ITEM_RES!$A$1,MATCH(BA580,ITEM_RES!$J:$J,0)-1,0),0)</f>
        <v>0</v>
      </c>
      <c r="BE580" s="11">
        <f ca="1">IFERROR(OFFSET(ITEM_RES!$A$1,MATCH(BF580,ITEM_RES!$J:$J,0)-1,0),0)</f>
        <v>0</v>
      </c>
      <c r="BJ580" s="11">
        <f ca="1">IFERROR(OFFSET(ITEM_RES!$A$1,MATCH(BK580,ITEM_RES!$J:$J,0)-1,0),0)</f>
        <v>0</v>
      </c>
    </row>
    <row r="581" spans="1:65" x14ac:dyDescent="0.3">
      <c r="A581" s="14">
        <f t="shared" si="152"/>
        <v>115060017</v>
      </c>
      <c r="B581" s="13">
        <v>11</v>
      </c>
      <c r="C581" s="12">
        <f t="shared" si="153"/>
        <v>5</v>
      </c>
      <c r="D581" s="13">
        <v>6</v>
      </c>
      <c r="E581" s="13">
        <v>0</v>
      </c>
      <c r="F581" s="12">
        <f t="shared" si="154"/>
        <v>17</v>
      </c>
      <c r="H581" s="9">
        <v>5</v>
      </c>
      <c r="I581" s="9">
        <v>17</v>
      </c>
      <c r="K581" s="9" t="s">
        <v>384</v>
      </c>
      <c r="L581" s="9">
        <v>0</v>
      </c>
      <c r="M581" s="9">
        <v>15</v>
      </c>
      <c r="R581" s="9">
        <v>7777</v>
      </c>
      <c r="U581" s="9">
        <f ca="1">IFERROR(OFFSET(ITEM_RES!$A$5,MATCH(BUILDING!T581,ITEM_RES!$J$5:$J$229,0)-1,0),0)</f>
        <v>0</v>
      </c>
      <c r="X581" s="9">
        <f ca="1">IFERROR(OFFSET(ITEM_RES!$A$5,MATCH(BUILDING!W581,ITEM_RES!$J$5:$J$229,0)-1,0),0)</f>
        <v>0</v>
      </c>
      <c r="Z581" s="9" t="s">
        <v>397</v>
      </c>
      <c r="AA581" s="9">
        <v>17</v>
      </c>
      <c r="AC581" s="9">
        <v>68000</v>
      </c>
      <c r="AE581" s="56">
        <f t="shared" si="149"/>
        <v>13600</v>
      </c>
      <c r="AF581" s="10">
        <f t="shared" si="156"/>
        <v>24800</v>
      </c>
      <c r="AH581" s="11">
        <f t="shared" si="148"/>
        <v>85</v>
      </c>
      <c r="AI581" s="10">
        <v>85</v>
      </c>
      <c r="AJ581" s="11">
        <f t="shared" si="155"/>
        <v>850</v>
      </c>
      <c r="AK581" s="10">
        <v>850</v>
      </c>
      <c r="AL581" s="11">
        <f t="shared" si="155"/>
        <v>850</v>
      </c>
      <c r="AM581" s="10">
        <v>850</v>
      </c>
      <c r="AN581" s="56">
        <f t="shared" si="150"/>
        <v>1</v>
      </c>
      <c r="AP581" s="11">
        <f ca="1">IFERROR(OFFSET(ITEM_RES!$A$1,MATCH(AQ581,ITEM_RES!$J:$J,0)-1,0),0)</f>
        <v>211020901</v>
      </c>
      <c r="AQ581" s="10" t="s">
        <v>469</v>
      </c>
      <c r="AR581" s="11">
        <v>4250</v>
      </c>
      <c r="AU581" s="11">
        <f ca="1">IFERROR(OFFSET(ITEM_RES!$A$1,MATCH(AV581,ITEM_RES!$J:$J,0)-1,0),0)</f>
        <v>0</v>
      </c>
      <c r="AZ581" s="11">
        <f ca="1">IFERROR(OFFSET(ITEM_RES!$A$1,MATCH(BA581,ITEM_RES!$J:$J,0)-1,0),0)</f>
        <v>0</v>
      </c>
      <c r="BE581" s="11">
        <f ca="1">IFERROR(OFFSET(ITEM_RES!$A$1,MATCH(BF581,ITEM_RES!$J:$J,0)-1,0),0)</f>
        <v>0</v>
      </c>
      <c r="BJ581" s="11">
        <f ca="1">IFERROR(OFFSET(ITEM_RES!$A$1,MATCH(BK581,ITEM_RES!$J:$J,0)-1,0),0)</f>
        <v>0</v>
      </c>
    </row>
    <row r="582" spans="1:65" x14ac:dyDescent="0.3">
      <c r="A582" s="14">
        <f t="shared" si="152"/>
        <v>115060018</v>
      </c>
      <c r="B582" s="13">
        <v>11</v>
      </c>
      <c r="C582" s="12">
        <f t="shared" si="153"/>
        <v>5</v>
      </c>
      <c r="D582" s="13">
        <v>6</v>
      </c>
      <c r="E582" s="13">
        <v>0</v>
      </c>
      <c r="F582" s="12">
        <f t="shared" si="154"/>
        <v>18</v>
      </c>
      <c r="H582" s="9">
        <v>5</v>
      </c>
      <c r="I582" s="9">
        <v>18</v>
      </c>
      <c r="K582" s="9" t="s">
        <v>384</v>
      </c>
      <c r="L582" s="9">
        <v>0</v>
      </c>
      <c r="M582" s="9">
        <v>15</v>
      </c>
      <c r="R582" s="9">
        <v>7777</v>
      </c>
      <c r="U582" s="9">
        <f ca="1">IFERROR(OFFSET(ITEM_RES!$A$5,MATCH(BUILDING!T582,ITEM_RES!$J$5:$J$229,0)-1,0),0)</f>
        <v>0</v>
      </c>
      <c r="X582" s="9">
        <f ca="1">IFERROR(OFFSET(ITEM_RES!$A$5,MATCH(BUILDING!W582,ITEM_RES!$J$5:$J$229,0)-1,0),0)</f>
        <v>0</v>
      </c>
      <c r="Z582" s="9" t="s">
        <v>397</v>
      </c>
      <c r="AA582" s="9">
        <v>18</v>
      </c>
      <c r="AC582" s="9">
        <v>84000</v>
      </c>
      <c r="AE582" s="56">
        <f t="shared" si="149"/>
        <v>16800</v>
      </c>
      <c r="AF582" s="10">
        <f t="shared" si="156"/>
        <v>30400</v>
      </c>
      <c r="AH582" s="11">
        <f t="shared" si="148"/>
        <v>90</v>
      </c>
      <c r="AI582" s="10">
        <v>90</v>
      </c>
      <c r="AJ582" s="11">
        <f t="shared" si="155"/>
        <v>1050</v>
      </c>
      <c r="AK582" s="10">
        <v>1050</v>
      </c>
      <c r="AL582" s="11">
        <f t="shared" si="155"/>
        <v>1050</v>
      </c>
      <c r="AM582" s="10">
        <v>1050</v>
      </c>
      <c r="AN582" s="56">
        <f t="shared" si="150"/>
        <v>1</v>
      </c>
      <c r="AP582" s="11">
        <f ca="1">IFERROR(OFFSET(ITEM_RES!$A$1,MATCH(AQ582,ITEM_RES!$J:$J,0)-1,0),0)</f>
        <v>211020901</v>
      </c>
      <c r="AQ582" s="10" t="s">
        <v>469</v>
      </c>
      <c r="AR582" s="11">
        <v>5250</v>
      </c>
      <c r="AU582" s="11">
        <f ca="1">IFERROR(OFFSET(ITEM_RES!$A$1,MATCH(AV582,ITEM_RES!$J:$J,0)-1,0),0)</f>
        <v>0</v>
      </c>
      <c r="AZ582" s="11">
        <f ca="1">IFERROR(OFFSET(ITEM_RES!$A$1,MATCH(BA582,ITEM_RES!$J:$J,0)-1,0),0)</f>
        <v>0</v>
      </c>
      <c r="BE582" s="11">
        <f ca="1">IFERROR(OFFSET(ITEM_RES!$A$1,MATCH(BF582,ITEM_RES!$J:$J,0)-1,0),0)</f>
        <v>0</v>
      </c>
      <c r="BJ582" s="11">
        <f ca="1">IFERROR(OFFSET(ITEM_RES!$A$1,MATCH(BK582,ITEM_RES!$J:$J,0)-1,0),0)</f>
        <v>0</v>
      </c>
    </row>
    <row r="583" spans="1:65" x14ac:dyDescent="0.3">
      <c r="A583" s="14">
        <f t="shared" si="152"/>
        <v>115060019</v>
      </c>
      <c r="B583" s="13">
        <v>11</v>
      </c>
      <c r="C583" s="12">
        <f t="shared" si="153"/>
        <v>5</v>
      </c>
      <c r="D583" s="13">
        <v>6</v>
      </c>
      <c r="E583" s="13">
        <v>0</v>
      </c>
      <c r="F583" s="12">
        <f t="shared" si="154"/>
        <v>19</v>
      </c>
      <c r="H583" s="9">
        <v>5</v>
      </c>
      <c r="I583" s="9">
        <v>19</v>
      </c>
      <c r="K583" s="9" t="s">
        <v>384</v>
      </c>
      <c r="L583" s="9">
        <v>0</v>
      </c>
      <c r="M583" s="9">
        <v>15</v>
      </c>
      <c r="R583" s="9">
        <v>7777</v>
      </c>
      <c r="U583" s="9">
        <f ca="1">IFERROR(OFFSET(ITEM_RES!$A$5,MATCH(BUILDING!T583,ITEM_RES!$J$5:$J$229,0)-1,0),0)</f>
        <v>0</v>
      </c>
      <c r="X583" s="9">
        <f ca="1">IFERROR(OFFSET(ITEM_RES!$A$5,MATCH(BUILDING!W583,ITEM_RES!$J$5:$J$229,0)-1,0),0)</f>
        <v>0</v>
      </c>
      <c r="Z583" s="9" t="s">
        <v>397</v>
      </c>
      <c r="AA583" s="9">
        <v>19</v>
      </c>
      <c r="AC583" s="9">
        <v>100000</v>
      </c>
      <c r="AE583" s="56">
        <f t="shared" si="149"/>
        <v>20000</v>
      </c>
      <c r="AF583" s="10">
        <f t="shared" si="156"/>
        <v>36800</v>
      </c>
      <c r="AH583" s="11">
        <f t="shared" si="148"/>
        <v>95</v>
      </c>
      <c r="AI583" s="10">
        <v>95</v>
      </c>
      <c r="AJ583" s="11">
        <f t="shared" si="155"/>
        <v>1250</v>
      </c>
      <c r="AK583" s="10">
        <v>1250</v>
      </c>
      <c r="AL583" s="11">
        <f t="shared" si="155"/>
        <v>1250</v>
      </c>
      <c r="AM583" s="10">
        <v>1250</v>
      </c>
      <c r="AN583" s="56">
        <f t="shared" si="150"/>
        <v>1</v>
      </c>
      <c r="AP583" s="11">
        <f ca="1">IFERROR(OFFSET(ITEM_RES!$A$1,MATCH(AQ583,ITEM_RES!$J:$J,0)-1,0),0)</f>
        <v>211020901</v>
      </c>
      <c r="AQ583" s="10" t="s">
        <v>469</v>
      </c>
      <c r="AR583" s="11">
        <v>6250</v>
      </c>
      <c r="AU583" s="11">
        <f ca="1">IFERROR(OFFSET(ITEM_RES!$A$1,MATCH(AV583,ITEM_RES!$J:$J,0)-1,0),0)</f>
        <v>0</v>
      </c>
      <c r="AZ583" s="11">
        <f ca="1">IFERROR(OFFSET(ITEM_RES!$A$1,MATCH(BA583,ITEM_RES!$J:$J,0)-1,0),0)</f>
        <v>0</v>
      </c>
      <c r="BE583" s="11">
        <f ca="1">IFERROR(OFFSET(ITEM_RES!$A$1,MATCH(BF583,ITEM_RES!$J:$J,0)-1,0),0)</f>
        <v>0</v>
      </c>
      <c r="BJ583" s="11">
        <f ca="1">IFERROR(OFFSET(ITEM_RES!$A$1,MATCH(BK583,ITEM_RES!$J:$J,0)-1,0),0)</f>
        <v>0</v>
      </c>
    </row>
    <row r="584" spans="1:65" ht="17.25" thickBot="1" x14ac:dyDescent="0.35">
      <c r="A584" s="14">
        <f t="shared" si="152"/>
        <v>115060020</v>
      </c>
      <c r="B584" s="13">
        <v>11</v>
      </c>
      <c r="C584" s="12">
        <f t="shared" si="153"/>
        <v>5</v>
      </c>
      <c r="D584" s="13">
        <v>6</v>
      </c>
      <c r="E584" s="13">
        <v>0</v>
      </c>
      <c r="F584" s="12">
        <f t="shared" si="154"/>
        <v>20</v>
      </c>
      <c r="H584" s="9">
        <v>5</v>
      </c>
      <c r="I584" s="9">
        <v>20</v>
      </c>
      <c r="K584" s="9" t="s">
        <v>384</v>
      </c>
      <c r="L584" s="9">
        <v>0</v>
      </c>
      <c r="M584" s="9">
        <v>15</v>
      </c>
      <c r="R584" s="9">
        <v>7777</v>
      </c>
      <c r="U584" s="9">
        <f ca="1">IFERROR(OFFSET(ITEM_RES!$A$5,MATCH(BUILDING!T584,ITEM_RES!$J$5:$J$229,0)-1,0),0)</f>
        <v>0</v>
      </c>
      <c r="X584" s="9">
        <f ca="1">IFERROR(OFFSET(ITEM_RES!$A$5,MATCH(BUILDING!W584,ITEM_RES!$J$5:$J$229,0)-1,0),0)</f>
        <v>0</v>
      </c>
      <c r="Z584" s="9" t="s">
        <v>397</v>
      </c>
      <c r="AA584" s="9">
        <v>20</v>
      </c>
      <c r="AC584" s="9">
        <v>120000</v>
      </c>
      <c r="AE584" s="56">
        <f t="shared" si="149"/>
        <v>24000</v>
      </c>
      <c r="AF584" s="10">
        <f t="shared" si="156"/>
        <v>44000</v>
      </c>
      <c r="AH584" s="11">
        <f t="shared" si="148"/>
        <v>100</v>
      </c>
      <c r="AI584" s="10">
        <v>100</v>
      </c>
      <c r="AJ584" s="11">
        <f t="shared" si="155"/>
        <v>1500</v>
      </c>
      <c r="AK584" s="10">
        <v>1500</v>
      </c>
      <c r="AL584" s="11">
        <f t="shared" si="155"/>
        <v>1500</v>
      </c>
      <c r="AM584" s="10">
        <v>1500</v>
      </c>
      <c r="AN584" s="56">
        <f t="shared" si="150"/>
        <v>1</v>
      </c>
      <c r="AP584" s="11">
        <f ca="1">IFERROR(OFFSET(ITEM_RES!$A$1,MATCH(AQ584,ITEM_RES!$J:$J,0)-1,0),0)</f>
        <v>211020901</v>
      </c>
      <c r="AQ584" s="10" t="s">
        <v>469</v>
      </c>
      <c r="AR584" s="11">
        <v>7500</v>
      </c>
      <c r="AU584" s="11">
        <f ca="1">IFERROR(OFFSET(ITEM_RES!$A$1,MATCH(AV584,ITEM_RES!$J:$J,0)-1,0),0)</f>
        <v>0</v>
      </c>
      <c r="AZ584" s="11">
        <f ca="1">IFERROR(OFFSET(ITEM_RES!$A$1,MATCH(BA584,ITEM_RES!$J:$J,0)-1,0),0)</f>
        <v>0</v>
      </c>
      <c r="BE584" s="11">
        <f ca="1">IFERROR(OFFSET(ITEM_RES!$A$1,MATCH(BF584,ITEM_RES!$J:$J,0)-1,0),0)</f>
        <v>0</v>
      </c>
      <c r="BJ584" s="11">
        <f ca="1">IFERROR(OFFSET(ITEM_RES!$A$1,MATCH(BK584,ITEM_RES!$J:$J,0)-1,0),0)</f>
        <v>0</v>
      </c>
    </row>
    <row r="585" spans="1:65" s="15" customFormat="1" x14ac:dyDescent="0.3">
      <c r="A585" s="21">
        <f t="shared" si="152"/>
        <v>115070001</v>
      </c>
      <c r="B585" s="20">
        <v>11</v>
      </c>
      <c r="C585" s="19">
        <f t="shared" si="153"/>
        <v>5</v>
      </c>
      <c r="D585" s="20">
        <v>7</v>
      </c>
      <c r="E585" s="20">
        <v>0</v>
      </c>
      <c r="F585" s="19">
        <f t="shared" si="154"/>
        <v>1</v>
      </c>
      <c r="G585" s="80"/>
      <c r="H585" s="16">
        <v>5</v>
      </c>
      <c r="I585" s="16">
        <v>1</v>
      </c>
      <c r="J585" s="80"/>
      <c r="K585" s="16" t="s">
        <v>385</v>
      </c>
      <c r="L585" s="16">
        <v>1</v>
      </c>
      <c r="M585" s="16">
        <v>15</v>
      </c>
      <c r="N585" s="16"/>
      <c r="O585" s="17"/>
      <c r="P585" s="17"/>
      <c r="Q585" s="18"/>
      <c r="R585" s="16">
        <v>8888</v>
      </c>
      <c r="S585" s="80"/>
      <c r="T585" s="88"/>
      <c r="U585" s="16">
        <f ca="1">IFERROR(OFFSET(ITEM_RES!$A$5,MATCH(BUILDING!T585,ITEM_RES!$J$5:$J$229,0)-1,0),0)</f>
        <v>0</v>
      </c>
      <c r="V585" s="18"/>
      <c r="W585" s="88"/>
      <c r="X585" s="16">
        <f ca="1">IFERROR(OFFSET(ITEM_RES!$A$5,MATCH(BUILDING!W585,ITEM_RES!$J$5:$J$229,0)-1,0),0)</f>
        <v>0</v>
      </c>
      <c r="Y585" s="80"/>
      <c r="Z585" s="16" t="s">
        <v>399</v>
      </c>
      <c r="AA585" s="16">
        <v>1</v>
      </c>
      <c r="AB585" s="80"/>
      <c r="AC585" s="16">
        <v>0</v>
      </c>
      <c r="AD585" s="80"/>
      <c r="AE585" s="57">
        <f t="shared" si="149"/>
        <v>1080</v>
      </c>
      <c r="AF585" s="17">
        <f>AE585</f>
        <v>1080</v>
      </c>
      <c r="AG585" s="80"/>
      <c r="AH585" s="18">
        <f t="shared" si="148"/>
        <v>5</v>
      </c>
      <c r="AI585" s="17">
        <v>5</v>
      </c>
      <c r="AJ585" s="18">
        <f t="shared" si="155"/>
        <v>5</v>
      </c>
      <c r="AK585" s="17">
        <v>5</v>
      </c>
      <c r="AL585" s="18">
        <f t="shared" si="155"/>
        <v>5</v>
      </c>
      <c r="AM585" s="17">
        <v>5</v>
      </c>
      <c r="AN585" s="57">
        <f t="shared" si="150"/>
        <v>3</v>
      </c>
      <c r="AO585" s="18"/>
      <c r="AP585" s="18">
        <f ca="1">IFERROR(OFFSET(ITEM_RES!$A$1,MATCH(AQ585,ITEM_RES!$J:$J,0)-1,0),0)</f>
        <v>211020801</v>
      </c>
      <c r="AQ585" s="17" t="s">
        <v>456</v>
      </c>
      <c r="AR585" s="18">
        <v>25</v>
      </c>
      <c r="AS585" s="17"/>
      <c r="AT585" s="18"/>
      <c r="AU585" s="18">
        <f ca="1">IFERROR(OFFSET(ITEM_RES!$A$1,MATCH(AV585,ITEM_RES!$J:$J,0)-1,0),0)</f>
        <v>0</v>
      </c>
      <c r="AV585" s="17"/>
      <c r="AW585" s="18"/>
      <c r="AX585" s="17"/>
      <c r="AY585" s="18"/>
      <c r="AZ585" s="18">
        <f ca="1">IFERROR(OFFSET(ITEM_RES!$A$1,MATCH(BA585,ITEM_RES!$J:$J,0)-1,0),0)</f>
        <v>213010101</v>
      </c>
      <c r="BA585" s="17" t="s">
        <v>481</v>
      </c>
      <c r="BB585" s="18">
        <v>1</v>
      </c>
      <c r="BC585" s="17"/>
      <c r="BD585" s="18"/>
      <c r="BE585" s="18">
        <f ca="1">IFERROR(OFFSET(ITEM_RES!$A$1,MATCH(BF585,ITEM_RES!$J:$J,0)-1,0),0)</f>
        <v>213010301</v>
      </c>
      <c r="BF585" s="17" t="s">
        <v>505</v>
      </c>
      <c r="BG585" s="18">
        <v>1</v>
      </c>
      <c r="BH585" s="17"/>
      <c r="BI585" s="18"/>
      <c r="BJ585" s="18">
        <f ca="1">IFERROR(OFFSET(ITEM_RES!$A$1,MATCH(BK585,ITEM_RES!$J:$J,0)-1,0),0)</f>
        <v>0</v>
      </c>
      <c r="BK585" s="17"/>
      <c r="BL585" s="18"/>
      <c r="BM585" s="17"/>
    </row>
    <row r="586" spans="1:65" x14ac:dyDescent="0.3">
      <c r="A586" s="14">
        <f t="shared" si="152"/>
        <v>115070002</v>
      </c>
      <c r="B586" s="13">
        <v>11</v>
      </c>
      <c r="C586" s="12">
        <f t="shared" si="153"/>
        <v>5</v>
      </c>
      <c r="D586" s="13">
        <v>7</v>
      </c>
      <c r="E586" s="13">
        <v>0</v>
      </c>
      <c r="F586" s="12">
        <f t="shared" si="154"/>
        <v>2</v>
      </c>
      <c r="H586" s="9">
        <v>5</v>
      </c>
      <c r="I586" s="9">
        <v>2</v>
      </c>
      <c r="K586" s="9" t="s">
        <v>385</v>
      </c>
      <c r="L586" s="9">
        <v>1</v>
      </c>
      <c r="M586" s="9">
        <v>15</v>
      </c>
      <c r="R586" s="9">
        <v>8888</v>
      </c>
      <c r="U586" s="9">
        <f ca="1">IFERROR(OFFSET(ITEM_RES!$A$5,MATCH(BUILDING!T586,ITEM_RES!$J$5:$J$229,0)-1,0),0)</f>
        <v>0</v>
      </c>
      <c r="X586" s="9">
        <f ca="1">IFERROR(OFFSET(ITEM_RES!$A$5,MATCH(BUILDING!W586,ITEM_RES!$J$5:$J$229,0)-1,0),0)</f>
        <v>0</v>
      </c>
      <c r="Z586" s="9" t="s">
        <v>399</v>
      </c>
      <c r="AA586" s="9">
        <v>2</v>
      </c>
      <c r="AC586" s="9">
        <v>400</v>
      </c>
      <c r="AE586" s="56">
        <f t="shared" si="149"/>
        <v>160</v>
      </c>
      <c r="AF586" s="10">
        <f>AE585+AE586</f>
        <v>1240</v>
      </c>
      <c r="AH586" s="11">
        <f t="shared" si="148"/>
        <v>10</v>
      </c>
      <c r="AI586" s="10">
        <v>10</v>
      </c>
      <c r="AJ586" s="11">
        <f t="shared" si="155"/>
        <v>10</v>
      </c>
      <c r="AK586" s="10">
        <v>10</v>
      </c>
      <c r="AL586" s="11">
        <f t="shared" si="155"/>
        <v>10</v>
      </c>
      <c r="AM586" s="10">
        <v>10</v>
      </c>
      <c r="AN586" s="56">
        <f t="shared" si="150"/>
        <v>1</v>
      </c>
      <c r="AP586" s="11">
        <f ca="1">IFERROR(OFFSET(ITEM_RES!$A$1,MATCH(AQ586,ITEM_RES!$J:$J,0)-1,0),0)</f>
        <v>211020801</v>
      </c>
      <c r="AQ586" s="10" t="s">
        <v>456</v>
      </c>
      <c r="AR586" s="11">
        <v>50</v>
      </c>
      <c r="AU586" s="11">
        <f ca="1">IFERROR(OFFSET(ITEM_RES!$A$1,MATCH(AV586,ITEM_RES!$J:$J,0)-1,0),0)</f>
        <v>0</v>
      </c>
      <c r="AZ586" s="11">
        <f ca="1">IFERROR(OFFSET(ITEM_RES!$A$1,MATCH(BA586,ITEM_RES!$J:$J,0)-1,0),0)</f>
        <v>0</v>
      </c>
      <c r="BE586" s="11">
        <f ca="1">IFERROR(OFFSET(ITEM_RES!$A$1,MATCH(BF586,ITEM_RES!$J:$J,0)-1,0),0)</f>
        <v>0</v>
      </c>
      <c r="BJ586" s="11">
        <f ca="1">IFERROR(OFFSET(ITEM_RES!$A$1,MATCH(BK586,ITEM_RES!$J:$J,0)-1,0),0)</f>
        <v>0</v>
      </c>
    </row>
    <row r="587" spans="1:65" x14ac:dyDescent="0.3">
      <c r="A587" s="14">
        <f t="shared" si="152"/>
        <v>115070003</v>
      </c>
      <c r="B587" s="13">
        <v>11</v>
      </c>
      <c r="C587" s="12">
        <f t="shared" si="153"/>
        <v>5</v>
      </c>
      <c r="D587" s="13">
        <v>7</v>
      </c>
      <c r="E587" s="13">
        <v>0</v>
      </c>
      <c r="F587" s="12">
        <f t="shared" si="154"/>
        <v>3</v>
      </c>
      <c r="H587" s="9">
        <v>5</v>
      </c>
      <c r="I587" s="9">
        <v>3</v>
      </c>
      <c r="K587" s="9" t="s">
        <v>386</v>
      </c>
      <c r="L587" s="9">
        <v>1</v>
      </c>
      <c r="M587" s="9">
        <v>15</v>
      </c>
      <c r="R587" s="9">
        <v>8888</v>
      </c>
      <c r="U587" s="9">
        <f ca="1">IFERROR(OFFSET(ITEM_RES!$A$5,MATCH(BUILDING!T587,ITEM_RES!$J$5:$J$229,0)-1,0),0)</f>
        <v>0</v>
      </c>
      <c r="X587" s="9">
        <f ca="1">IFERROR(OFFSET(ITEM_RES!$A$5,MATCH(BUILDING!W587,ITEM_RES!$J$5:$J$229,0)-1,0),0)</f>
        <v>0</v>
      </c>
      <c r="Z587" s="9" t="s">
        <v>398</v>
      </c>
      <c r="AA587" s="9">
        <v>3</v>
      </c>
      <c r="AC587" s="9">
        <v>1200</v>
      </c>
      <c r="AE587" s="56">
        <f t="shared" si="149"/>
        <v>240</v>
      </c>
      <c r="AF587" s="10">
        <f t="shared" ref="AF587:AF604" si="157">AE586+AE587</f>
        <v>400</v>
      </c>
      <c r="AH587" s="11">
        <f t="shared" si="148"/>
        <v>15</v>
      </c>
      <c r="AI587" s="10">
        <v>15</v>
      </c>
      <c r="AJ587" s="11">
        <f t="shared" si="155"/>
        <v>15</v>
      </c>
      <c r="AK587" s="10">
        <v>15</v>
      </c>
      <c r="AL587" s="11">
        <f t="shared" si="155"/>
        <v>15</v>
      </c>
      <c r="AM587" s="10">
        <v>15</v>
      </c>
      <c r="AN587" s="56">
        <f t="shared" si="150"/>
        <v>1</v>
      </c>
      <c r="AP587" s="11">
        <f ca="1">IFERROR(OFFSET(ITEM_RES!$A$1,MATCH(AQ587,ITEM_RES!$J:$J,0)-1,0),0)</f>
        <v>211020801</v>
      </c>
      <c r="AQ587" s="10" t="s">
        <v>456</v>
      </c>
      <c r="AR587" s="11">
        <v>75</v>
      </c>
      <c r="AU587" s="11">
        <f ca="1">IFERROR(OFFSET(ITEM_RES!$A$1,MATCH(AV587,ITEM_RES!$J:$J,0)-1,0),0)</f>
        <v>0</v>
      </c>
      <c r="AZ587" s="11">
        <f ca="1">IFERROR(OFFSET(ITEM_RES!$A$1,MATCH(BA587,ITEM_RES!$J:$J,0)-1,0),0)</f>
        <v>0</v>
      </c>
      <c r="BE587" s="11">
        <f ca="1">IFERROR(OFFSET(ITEM_RES!$A$1,MATCH(BF587,ITEM_RES!$J:$J,0)-1,0),0)</f>
        <v>0</v>
      </c>
      <c r="BJ587" s="11">
        <f ca="1">IFERROR(OFFSET(ITEM_RES!$A$1,MATCH(BK587,ITEM_RES!$J:$J,0)-1,0),0)</f>
        <v>0</v>
      </c>
    </row>
    <row r="588" spans="1:65" x14ac:dyDescent="0.3">
      <c r="A588" s="14">
        <f t="shared" si="152"/>
        <v>115070004</v>
      </c>
      <c r="B588" s="13">
        <v>11</v>
      </c>
      <c r="C588" s="12">
        <f t="shared" si="153"/>
        <v>5</v>
      </c>
      <c r="D588" s="13">
        <v>7</v>
      </c>
      <c r="E588" s="13">
        <v>0</v>
      </c>
      <c r="F588" s="12">
        <f t="shared" si="154"/>
        <v>4</v>
      </c>
      <c r="H588" s="9">
        <v>5</v>
      </c>
      <c r="I588" s="9">
        <v>4</v>
      </c>
      <c r="K588" s="9" t="s">
        <v>386</v>
      </c>
      <c r="L588" s="9">
        <v>1</v>
      </c>
      <c r="M588" s="9">
        <v>15</v>
      </c>
      <c r="R588" s="9">
        <v>8888</v>
      </c>
      <c r="U588" s="9">
        <f ca="1">IFERROR(OFFSET(ITEM_RES!$A$5,MATCH(BUILDING!T588,ITEM_RES!$J$5:$J$229,0)-1,0),0)</f>
        <v>0</v>
      </c>
      <c r="X588" s="9">
        <f ca="1">IFERROR(OFFSET(ITEM_RES!$A$5,MATCH(BUILDING!W588,ITEM_RES!$J$5:$J$229,0)-1,0),0)</f>
        <v>0</v>
      </c>
      <c r="Z588" s="9" t="s">
        <v>398</v>
      </c>
      <c r="AA588" s="9">
        <v>4</v>
      </c>
      <c r="AC588" s="9">
        <v>2000</v>
      </c>
      <c r="AE588" s="56">
        <f t="shared" si="149"/>
        <v>400</v>
      </c>
      <c r="AF588" s="10">
        <f t="shared" si="157"/>
        <v>640</v>
      </c>
      <c r="AH588" s="11">
        <f t="shared" si="148"/>
        <v>20</v>
      </c>
      <c r="AI588" s="10">
        <v>20</v>
      </c>
      <c r="AJ588" s="11">
        <f t="shared" si="155"/>
        <v>25</v>
      </c>
      <c r="AK588" s="10">
        <v>25</v>
      </c>
      <c r="AL588" s="11">
        <f t="shared" si="155"/>
        <v>25</v>
      </c>
      <c r="AM588" s="10">
        <v>25</v>
      </c>
      <c r="AN588" s="56">
        <f t="shared" si="150"/>
        <v>1</v>
      </c>
      <c r="AP588" s="11">
        <f ca="1">IFERROR(OFFSET(ITEM_RES!$A$1,MATCH(AQ588,ITEM_RES!$J:$J,0)-1,0),0)</f>
        <v>211020801</v>
      </c>
      <c r="AQ588" s="10" t="s">
        <v>456</v>
      </c>
      <c r="AR588" s="11">
        <v>125</v>
      </c>
      <c r="AU588" s="11">
        <f ca="1">IFERROR(OFFSET(ITEM_RES!$A$1,MATCH(AV588,ITEM_RES!$J:$J,0)-1,0),0)</f>
        <v>0</v>
      </c>
      <c r="AZ588" s="11">
        <f ca="1">IFERROR(OFFSET(ITEM_RES!$A$1,MATCH(BA588,ITEM_RES!$J:$J,0)-1,0),0)</f>
        <v>0</v>
      </c>
      <c r="BE588" s="11">
        <f ca="1">IFERROR(OFFSET(ITEM_RES!$A$1,MATCH(BF588,ITEM_RES!$J:$J,0)-1,0),0)</f>
        <v>0</v>
      </c>
      <c r="BJ588" s="11">
        <f ca="1">IFERROR(OFFSET(ITEM_RES!$A$1,MATCH(BK588,ITEM_RES!$J:$J,0)-1,0),0)</f>
        <v>0</v>
      </c>
    </row>
    <row r="589" spans="1:65" x14ac:dyDescent="0.3">
      <c r="A589" s="14">
        <f t="shared" si="152"/>
        <v>115070005</v>
      </c>
      <c r="B589" s="13">
        <v>11</v>
      </c>
      <c r="C589" s="12">
        <f t="shared" si="153"/>
        <v>5</v>
      </c>
      <c r="D589" s="13">
        <v>7</v>
      </c>
      <c r="E589" s="13">
        <v>0</v>
      </c>
      <c r="F589" s="12">
        <f t="shared" si="154"/>
        <v>5</v>
      </c>
      <c r="H589" s="9">
        <v>5</v>
      </c>
      <c r="I589" s="9">
        <v>5</v>
      </c>
      <c r="K589" s="9" t="s">
        <v>386</v>
      </c>
      <c r="L589" s="9">
        <v>1</v>
      </c>
      <c r="M589" s="9">
        <v>15</v>
      </c>
      <c r="R589" s="9">
        <v>8888</v>
      </c>
      <c r="U589" s="9">
        <f ca="1">IFERROR(OFFSET(ITEM_RES!$A$5,MATCH(BUILDING!T589,ITEM_RES!$J$5:$J$229,0)-1,0),0)</f>
        <v>0</v>
      </c>
      <c r="X589" s="9">
        <f ca="1">IFERROR(OFFSET(ITEM_RES!$A$5,MATCH(BUILDING!W589,ITEM_RES!$J$5:$J$229,0)-1,0),0)</f>
        <v>0</v>
      </c>
      <c r="Z589" s="9" t="s">
        <v>398</v>
      </c>
      <c r="AA589" s="9">
        <v>5</v>
      </c>
      <c r="AC589" s="9">
        <v>3200</v>
      </c>
      <c r="AE589" s="56">
        <f t="shared" si="149"/>
        <v>1140</v>
      </c>
      <c r="AF589" s="10">
        <f t="shared" si="157"/>
        <v>1540</v>
      </c>
      <c r="AH589" s="11">
        <f t="shared" si="148"/>
        <v>25</v>
      </c>
      <c r="AI589" s="10">
        <v>25</v>
      </c>
      <c r="AJ589" s="11">
        <f t="shared" si="155"/>
        <v>40</v>
      </c>
      <c r="AK589" s="10">
        <v>40</v>
      </c>
      <c r="AL589" s="11">
        <f t="shared" si="155"/>
        <v>40</v>
      </c>
      <c r="AM589" s="10">
        <v>40</v>
      </c>
      <c r="AN589" s="56">
        <f t="shared" si="150"/>
        <v>2</v>
      </c>
      <c r="AP589" s="11">
        <f ca="1">IFERROR(OFFSET(ITEM_RES!$A$1,MATCH(AQ589,ITEM_RES!$J:$J,0)-1,0),0)</f>
        <v>211020801</v>
      </c>
      <c r="AQ589" s="10" t="s">
        <v>456</v>
      </c>
      <c r="AR589" s="11">
        <v>200</v>
      </c>
      <c r="AU589" s="11">
        <f ca="1">IFERROR(OFFSET(ITEM_RES!$A$1,MATCH(AV589,ITEM_RES!$J:$J,0)-1,0),0)</f>
        <v>0</v>
      </c>
      <c r="AZ589" s="11">
        <f ca="1">IFERROR(OFFSET(ITEM_RES!$A$1,MATCH(BA589,ITEM_RES!$J:$J,0)-1,0),0)</f>
        <v>0</v>
      </c>
      <c r="BE589" s="11">
        <f ca="1">IFERROR(OFFSET(ITEM_RES!$A$1,MATCH(BF589,ITEM_RES!$J:$J,0)-1,0),0)</f>
        <v>213011801</v>
      </c>
      <c r="BF589" s="10" t="s">
        <v>513</v>
      </c>
      <c r="BG589" s="11">
        <v>1</v>
      </c>
      <c r="BJ589" s="11">
        <f ca="1">IFERROR(OFFSET(ITEM_RES!$A$1,MATCH(BK589,ITEM_RES!$J:$J,0)-1,0),0)</f>
        <v>0</v>
      </c>
    </row>
    <row r="590" spans="1:65" x14ac:dyDescent="0.3">
      <c r="A590" s="14">
        <f t="shared" si="152"/>
        <v>115070006</v>
      </c>
      <c r="B590" s="13">
        <v>11</v>
      </c>
      <c r="C590" s="12">
        <f t="shared" si="153"/>
        <v>5</v>
      </c>
      <c r="D590" s="13">
        <v>7</v>
      </c>
      <c r="E590" s="13">
        <v>0</v>
      </c>
      <c r="F590" s="12">
        <f t="shared" si="154"/>
        <v>6</v>
      </c>
      <c r="H590" s="9">
        <v>5</v>
      </c>
      <c r="I590" s="9">
        <v>6</v>
      </c>
      <c r="K590" s="9" t="s">
        <v>386</v>
      </c>
      <c r="L590" s="9">
        <v>1</v>
      </c>
      <c r="M590" s="9">
        <v>15</v>
      </c>
      <c r="R590" s="9">
        <v>8888</v>
      </c>
      <c r="U590" s="9">
        <f ca="1">IFERROR(OFFSET(ITEM_RES!$A$5,MATCH(BUILDING!T590,ITEM_RES!$J$5:$J$229,0)-1,0),0)</f>
        <v>0</v>
      </c>
      <c r="X590" s="9">
        <f ca="1">IFERROR(OFFSET(ITEM_RES!$A$5,MATCH(BUILDING!W590,ITEM_RES!$J$5:$J$229,0)-1,0),0)</f>
        <v>0</v>
      </c>
      <c r="Z590" s="9" t="s">
        <v>398</v>
      </c>
      <c r="AA590" s="9">
        <v>6</v>
      </c>
      <c r="AC590" s="9">
        <v>4000</v>
      </c>
      <c r="AE590" s="56">
        <f t="shared" si="149"/>
        <v>800</v>
      </c>
      <c r="AF590" s="10">
        <f t="shared" si="157"/>
        <v>1940</v>
      </c>
      <c r="AH590" s="11">
        <f t="shared" si="148"/>
        <v>30</v>
      </c>
      <c r="AI590" s="10">
        <v>30</v>
      </c>
      <c r="AJ590" s="11">
        <f t="shared" si="155"/>
        <v>50</v>
      </c>
      <c r="AK590" s="10">
        <v>50</v>
      </c>
      <c r="AL590" s="11">
        <f t="shared" si="155"/>
        <v>50</v>
      </c>
      <c r="AM590" s="10">
        <v>50</v>
      </c>
      <c r="AN590" s="56">
        <f t="shared" si="150"/>
        <v>1</v>
      </c>
      <c r="AP590" s="11">
        <f ca="1">IFERROR(OFFSET(ITEM_RES!$A$1,MATCH(AQ590,ITEM_RES!$J:$J,0)-1,0),0)</f>
        <v>211020801</v>
      </c>
      <c r="AQ590" s="10" t="s">
        <v>456</v>
      </c>
      <c r="AR590" s="11">
        <v>250</v>
      </c>
      <c r="AU590" s="11">
        <f ca="1">IFERROR(OFFSET(ITEM_RES!$A$1,MATCH(AV590,ITEM_RES!$J:$J,0)-1,0),0)</f>
        <v>0</v>
      </c>
      <c r="AZ590" s="11">
        <f ca="1">IFERROR(OFFSET(ITEM_RES!$A$1,MATCH(BA590,ITEM_RES!$J:$J,0)-1,0),0)</f>
        <v>0</v>
      </c>
      <c r="BE590" s="11">
        <f ca="1">IFERROR(OFFSET(ITEM_RES!$A$1,MATCH(BF590,ITEM_RES!$J:$J,0)-1,0),0)</f>
        <v>0</v>
      </c>
      <c r="BJ590" s="11">
        <f ca="1">IFERROR(OFFSET(ITEM_RES!$A$1,MATCH(BK590,ITEM_RES!$J:$J,0)-1,0),0)</f>
        <v>0</v>
      </c>
    </row>
    <row r="591" spans="1:65" x14ac:dyDescent="0.3">
      <c r="A591" s="14">
        <f t="shared" si="152"/>
        <v>115070007</v>
      </c>
      <c r="B591" s="13">
        <v>11</v>
      </c>
      <c r="C591" s="12">
        <f t="shared" si="153"/>
        <v>5</v>
      </c>
      <c r="D591" s="13">
        <v>7</v>
      </c>
      <c r="E591" s="13">
        <v>0</v>
      </c>
      <c r="F591" s="12">
        <f t="shared" si="154"/>
        <v>7</v>
      </c>
      <c r="H591" s="9">
        <v>5</v>
      </c>
      <c r="I591" s="9">
        <v>7</v>
      </c>
      <c r="K591" s="9" t="s">
        <v>386</v>
      </c>
      <c r="L591" s="9">
        <v>1</v>
      </c>
      <c r="M591" s="9">
        <v>15</v>
      </c>
      <c r="R591" s="9">
        <v>8888</v>
      </c>
      <c r="U591" s="9">
        <f ca="1">IFERROR(OFFSET(ITEM_RES!$A$5,MATCH(BUILDING!T591,ITEM_RES!$J$5:$J$229,0)-1,0),0)</f>
        <v>0</v>
      </c>
      <c r="X591" s="9">
        <f ca="1">IFERROR(OFFSET(ITEM_RES!$A$5,MATCH(BUILDING!W591,ITEM_RES!$J$5:$J$229,0)-1,0),0)</f>
        <v>0</v>
      </c>
      <c r="Z591" s="9" t="s">
        <v>398</v>
      </c>
      <c r="AA591" s="9">
        <v>7</v>
      </c>
      <c r="AC591" s="9">
        <v>8000</v>
      </c>
      <c r="AE591" s="56">
        <f t="shared" si="149"/>
        <v>1600</v>
      </c>
      <c r="AF591" s="10">
        <f t="shared" si="157"/>
        <v>2400</v>
      </c>
      <c r="AH591" s="11">
        <f t="shared" si="148"/>
        <v>35</v>
      </c>
      <c r="AI591" s="10">
        <v>35</v>
      </c>
      <c r="AJ591" s="11">
        <f t="shared" si="155"/>
        <v>100</v>
      </c>
      <c r="AK591" s="10">
        <v>100</v>
      </c>
      <c r="AL591" s="11">
        <f t="shared" si="155"/>
        <v>100</v>
      </c>
      <c r="AM591" s="10">
        <v>100</v>
      </c>
      <c r="AN591" s="56">
        <f t="shared" si="150"/>
        <v>1</v>
      </c>
      <c r="AP591" s="11">
        <f ca="1">IFERROR(OFFSET(ITEM_RES!$A$1,MATCH(AQ591,ITEM_RES!$J:$J,0)-1,0),0)</f>
        <v>211020801</v>
      </c>
      <c r="AQ591" s="10" t="s">
        <v>456</v>
      </c>
      <c r="AR591" s="11">
        <v>500</v>
      </c>
      <c r="AU591" s="11">
        <f ca="1">IFERROR(OFFSET(ITEM_RES!$A$1,MATCH(AV591,ITEM_RES!$J:$J,0)-1,0),0)</f>
        <v>0</v>
      </c>
      <c r="AZ591" s="11">
        <f ca="1">IFERROR(OFFSET(ITEM_RES!$A$1,MATCH(BA591,ITEM_RES!$J:$J,0)-1,0),0)</f>
        <v>0</v>
      </c>
      <c r="BE591" s="11">
        <f ca="1">IFERROR(OFFSET(ITEM_RES!$A$1,MATCH(BF591,ITEM_RES!$J:$J,0)-1,0),0)</f>
        <v>0</v>
      </c>
      <c r="BJ591" s="11">
        <f ca="1">IFERROR(OFFSET(ITEM_RES!$A$1,MATCH(BK591,ITEM_RES!$J:$J,0)-1,0),0)</f>
        <v>0</v>
      </c>
    </row>
    <row r="592" spans="1:65" x14ac:dyDescent="0.3">
      <c r="A592" s="14">
        <f t="shared" si="152"/>
        <v>115070008</v>
      </c>
      <c r="B592" s="13">
        <v>11</v>
      </c>
      <c r="C592" s="12">
        <f t="shared" si="153"/>
        <v>5</v>
      </c>
      <c r="D592" s="13">
        <v>7</v>
      </c>
      <c r="E592" s="13">
        <v>0</v>
      </c>
      <c r="F592" s="12">
        <f t="shared" si="154"/>
        <v>8</v>
      </c>
      <c r="H592" s="9">
        <v>5</v>
      </c>
      <c r="I592" s="9">
        <v>8</v>
      </c>
      <c r="K592" s="9" t="s">
        <v>386</v>
      </c>
      <c r="L592" s="9">
        <v>1</v>
      </c>
      <c r="M592" s="9">
        <v>15</v>
      </c>
      <c r="R592" s="9">
        <v>8888</v>
      </c>
      <c r="U592" s="9">
        <f ca="1">IFERROR(OFFSET(ITEM_RES!$A$5,MATCH(BUILDING!T592,ITEM_RES!$J$5:$J$229,0)-1,0),0)</f>
        <v>0</v>
      </c>
      <c r="X592" s="9">
        <f ca="1">IFERROR(OFFSET(ITEM_RES!$A$5,MATCH(BUILDING!W592,ITEM_RES!$J$5:$J$229,0)-1,0),0)</f>
        <v>0</v>
      </c>
      <c r="Z592" s="9" t="s">
        <v>398</v>
      </c>
      <c r="AA592" s="9">
        <v>8</v>
      </c>
      <c r="AC592" s="9">
        <v>8000</v>
      </c>
      <c r="AE592" s="56">
        <f t="shared" si="149"/>
        <v>1600</v>
      </c>
      <c r="AF592" s="10">
        <f t="shared" si="157"/>
        <v>3200</v>
      </c>
      <c r="AH592" s="11">
        <f t="shared" si="148"/>
        <v>40</v>
      </c>
      <c r="AI592" s="10">
        <v>40</v>
      </c>
      <c r="AJ592" s="11">
        <f t="shared" si="155"/>
        <v>100</v>
      </c>
      <c r="AK592" s="10">
        <v>100</v>
      </c>
      <c r="AL592" s="11">
        <f t="shared" si="155"/>
        <v>100</v>
      </c>
      <c r="AM592" s="10">
        <v>100</v>
      </c>
      <c r="AN592" s="56">
        <f t="shared" si="150"/>
        <v>1</v>
      </c>
      <c r="AP592" s="11">
        <f ca="1">IFERROR(OFFSET(ITEM_RES!$A$1,MATCH(AQ592,ITEM_RES!$J:$J,0)-1,0),0)</f>
        <v>211020801</v>
      </c>
      <c r="AQ592" s="10" t="s">
        <v>456</v>
      </c>
      <c r="AR592" s="11">
        <v>500</v>
      </c>
      <c r="AU592" s="11">
        <f ca="1">IFERROR(OFFSET(ITEM_RES!$A$1,MATCH(AV592,ITEM_RES!$J:$J,0)-1,0),0)</f>
        <v>0</v>
      </c>
      <c r="AZ592" s="11">
        <f ca="1">IFERROR(OFFSET(ITEM_RES!$A$1,MATCH(BA592,ITEM_RES!$J:$J,0)-1,0),0)</f>
        <v>0</v>
      </c>
      <c r="BE592" s="11">
        <f ca="1">IFERROR(OFFSET(ITEM_RES!$A$1,MATCH(BF592,ITEM_RES!$J:$J,0)-1,0),0)</f>
        <v>0</v>
      </c>
      <c r="BJ592" s="11">
        <f ca="1">IFERROR(OFFSET(ITEM_RES!$A$1,MATCH(BK592,ITEM_RES!$J:$J,0)-1,0),0)</f>
        <v>0</v>
      </c>
    </row>
    <row r="593" spans="1:65" x14ac:dyDescent="0.3">
      <c r="A593" s="14">
        <f t="shared" si="152"/>
        <v>115070009</v>
      </c>
      <c r="B593" s="13">
        <v>11</v>
      </c>
      <c r="C593" s="12">
        <f t="shared" si="153"/>
        <v>5</v>
      </c>
      <c r="D593" s="13">
        <v>7</v>
      </c>
      <c r="E593" s="13">
        <v>0</v>
      </c>
      <c r="F593" s="12">
        <f t="shared" si="154"/>
        <v>9</v>
      </c>
      <c r="H593" s="9">
        <v>5</v>
      </c>
      <c r="I593" s="9">
        <v>9</v>
      </c>
      <c r="K593" s="9" t="s">
        <v>386</v>
      </c>
      <c r="L593" s="9">
        <v>1</v>
      </c>
      <c r="M593" s="9">
        <v>15</v>
      </c>
      <c r="R593" s="9">
        <v>8888</v>
      </c>
      <c r="U593" s="9">
        <f ca="1">IFERROR(OFFSET(ITEM_RES!$A$5,MATCH(BUILDING!T593,ITEM_RES!$J$5:$J$229,0)-1,0),0)</f>
        <v>0</v>
      </c>
      <c r="X593" s="9">
        <f ca="1">IFERROR(OFFSET(ITEM_RES!$A$5,MATCH(BUILDING!W593,ITEM_RES!$J$5:$J$229,0)-1,0),0)</f>
        <v>0</v>
      </c>
      <c r="Z593" s="9" t="s">
        <v>398</v>
      </c>
      <c r="AA593" s="9">
        <v>9</v>
      </c>
      <c r="AC593" s="9">
        <v>12000</v>
      </c>
      <c r="AE593" s="56">
        <f t="shared" si="149"/>
        <v>2400</v>
      </c>
      <c r="AF593" s="10">
        <f t="shared" si="157"/>
        <v>4000</v>
      </c>
      <c r="AH593" s="11">
        <f t="shared" si="148"/>
        <v>45</v>
      </c>
      <c r="AI593" s="10">
        <v>45</v>
      </c>
      <c r="AJ593" s="11">
        <f t="shared" si="155"/>
        <v>150</v>
      </c>
      <c r="AK593" s="10">
        <v>150</v>
      </c>
      <c r="AL593" s="11">
        <f t="shared" si="155"/>
        <v>150</v>
      </c>
      <c r="AM593" s="10">
        <v>150</v>
      </c>
      <c r="AN593" s="56">
        <f t="shared" si="150"/>
        <v>1</v>
      </c>
      <c r="AP593" s="11">
        <f ca="1">IFERROR(OFFSET(ITEM_RES!$A$1,MATCH(AQ593,ITEM_RES!$J:$J,0)-1,0),0)</f>
        <v>211020801</v>
      </c>
      <c r="AQ593" s="10" t="s">
        <v>456</v>
      </c>
      <c r="AR593" s="11">
        <v>750</v>
      </c>
      <c r="AU593" s="11">
        <f ca="1">IFERROR(OFFSET(ITEM_RES!$A$1,MATCH(AV593,ITEM_RES!$J:$J,0)-1,0),0)</f>
        <v>0</v>
      </c>
      <c r="AZ593" s="11">
        <f ca="1">IFERROR(OFFSET(ITEM_RES!$A$1,MATCH(BA593,ITEM_RES!$J:$J,0)-1,0),0)</f>
        <v>0</v>
      </c>
      <c r="BE593" s="11">
        <f ca="1">IFERROR(OFFSET(ITEM_RES!$A$1,MATCH(BF593,ITEM_RES!$J:$J,0)-1,0),0)</f>
        <v>0</v>
      </c>
      <c r="BJ593" s="11">
        <f ca="1">IFERROR(OFFSET(ITEM_RES!$A$1,MATCH(BK593,ITEM_RES!$J:$J,0)-1,0),0)</f>
        <v>0</v>
      </c>
    </row>
    <row r="594" spans="1:65" x14ac:dyDescent="0.3">
      <c r="A594" s="14">
        <f t="shared" si="152"/>
        <v>115070010</v>
      </c>
      <c r="B594" s="13">
        <v>11</v>
      </c>
      <c r="C594" s="12">
        <f t="shared" si="153"/>
        <v>5</v>
      </c>
      <c r="D594" s="13">
        <v>7</v>
      </c>
      <c r="E594" s="13">
        <v>0</v>
      </c>
      <c r="F594" s="12">
        <f t="shared" si="154"/>
        <v>10</v>
      </c>
      <c r="H594" s="9">
        <v>5</v>
      </c>
      <c r="I594" s="9">
        <v>10</v>
      </c>
      <c r="K594" s="9" t="s">
        <v>386</v>
      </c>
      <c r="L594" s="9">
        <v>1</v>
      </c>
      <c r="M594" s="9">
        <v>15</v>
      </c>
      <c r="R594" s="9">
        <v>8888</v>
      </c>
      <c r="U594" s="9">
        <f ca="1">IFERROR(OFFSET(ITEM_RES!$A$5,MATCH(BUILDING!T594,ITEM_RES!$J$5:$J$229,0)-1,0),0)</f>
        <v>0</v>
      </c>
      <c r="X594" s="9">
        <f ca="1">IFERROR(OFFSET(ITEM_RES!$A$5,MATCH(BUILDING!W594,ITEM_RES!$J$5:$J$229,0)-1,0),0)</f>
        <v>0</v>
      </c>
      <c r="Z594" s="9" t="s">
        <v>398</v>
      </c>
      <c r="AA594" s="9">
        <v>10</v>
      </c>
      <c r="AC594" s="9">
        <v>16000</v>
      </c>
      <c r="AE594" s="56">
        <f t="shared" si="149"/>
        <v>3200</v>
      </c>
      <c r="AF594" s="10">
        <f t="shared" si="157"/>
        <v>5600</v>
      </c>
      <c r="AH594" s="11">
        <f t="shared" si="148"/>
        <v>50</v>
      </c>
      <c r="AI594" s="10">
        <v>50</v>
      </c>
      <c r="AJ594" s="11">
        <f t="shared" si="155"/>
        <v>200</v>
      </c>
      <c r="AK594" s="10">
        <v>200</v>
      </c>
      <c r="AL594" s="11">
        <f t="shared" si="155"/>
        <v>200</v>
      </c>
      <c r="AM594" s="10">
        <v>200</v>
      </c>
      <c r="AN594" s="56">
        <f t="shared" si="150"/>
        <v>1</v>
      </c>
      <c r="AP594" s="11">
        <f ca="1">IFERROR(OFFSET(ITEM_RES!$A$1,MATCH(AQ594,ITEM_RES!$J:$J,0)-1,0),0)</f>
        <v>211020801</v>
      </c>
      <c r="AQ594" s="10" t="s">
        <v>456</v>
      </c>
      <c r="AR594" s="11">
        <v>1000</v>
      </c>
      <c r="AU594" s="11">
        <f ca="1">IFERROR(OFFSET(ITEM_RES!$A$1,MATCH(AV594,ITEM_RES!$J:$J,0)-1,0),0)</f>
        <v>0</v>
      </c>
      <c r="AZ594" s="11">
        <f ca="1">IFERROR(OFFSET(ITEM_RES!$A$1,MATCH(BA594,ITEM_RES!$J:$J,0)-1,0),0)</f>
        <v>0</v>
      </c>
      <c r="BE594" s="11">
        <f ca="1">IFERROR(OFFSET(ITEM_RES!$A$1,MATCH(BF594,ITEM_RES!$J:$J,0)-1,0),0)</f>
        <v>0</v>
      </c>
      <c r="BJ594" s="11">
        <f ca="1">IFERROR(OFFSET(ITEM_RES!$A$1,MATCH(BK594,ITEM_RES!$J:$J,0)-1,0),0)</f>
        <v>0</v>
      </c>
    </row>
    <row r="595" spans="1:65" x14ac:dyDescent="0.3">
      <c r="A595" s="14">
        <f t="shared" si="152"/>
        <v>115070011</v>
      </c>
      <c r="B595" s="13">
        <v>11</v>
      </c>
      <c r="C595" s="12">
        <f t="shared" si="153"/>
        <v>5</v>
      </c>
      <c r="D595" s="13">
        <v>7</v>
      </c>
      <c r="E595" s="13">
        <v>0</v>
      </c>
      <c r="F595" s="12">
        <f t="shared" si="154"/>
        <v>11</v>
      </c>
      <c r="H595" s="9">
        <v>5</v>
      </c>
      <c r="I595" s="9">
        <v>11</v>
      </c>
      <c r="K595" s="9" t="s">
        <v>386</v>
      </c>
      <c r="L595" s="9">
        <v>1</v>
      </c>
      <c r="M595" s="9">
        <v>15</v>
      </c>
      <c r="R595" s="9">
        <v>8888</v>
      </c>
      <c r="U595" s="9">
        <f ca="1">IFERROR(OFFSET(ITEM_RES!$A$5,MATCH(BUILDING!T595,ITEM_RES!$J$5:$J$229,0)-1,0),0)</f>
        <v>0</v>
      </c>
      <c r="X595" s="9">
        <f ca="1">IFERROR(OFFSET(ITEM_RES!$A$5,MATCH(BUILDING!W595,ITEM_RES!$J$5:$J$229,0)-1,0),0)</f>
        <v>0</v>
      </c>
      <c r="Z595" s="9" t="s">
        <v>398</v>
      </c>
      <c r="AA595" s="9">
        <v>11</v>
      </c>
      <c r="AC595" s="9">
        <v>20000</v>
      </c>
      <c r="AE595" s="56">
        <f t="shared" si="149"/>
        <v>4000</v>
      </c>
      <c r="AF595" s="10">
        <f t="shared" si="157"/>
        <v>7200</v>
      </c>
      <c r="AH595" s="11">
        <f t="shared" si="148"/>
        <v>55</v>
      </c>
      <c r="AI595" s="10">
        <v>55</v>
      </c>
      <c r="AJ595" s="11">
        <f t="shared" si="155"/>
        <v>250</v>
      </c>
      <c r="AK595" s="10">
        <v>250</v>
      </c>
      <c r="AL595" s="11">
        <f t="shared" si="155"/>
        <v>250</v>
      </c>
      <c r="AM595" s="10">
        <v>250</v>
      </c>
      <c r="AN595" s="56">
        <f t="shared" si="150"/>
        <v>1</v>
      </c>
      <c r="AP595" s="11">
        <f ca="1">IFERROR(OFFSET(ITEM_RES!$A$1,MATCH(AQ595,ITEM_RES!$J:$J,0)-1,0),0)</f>
        <v>211020801</v>
      </c>
      <c r="AQ595" s="10" t="s">
        <v>456</v>
      </c>
      <c r="AR595" s="11">
        <v>1250</v>
      </c>
      <c r="AU595" s="11">
        <f ca="1">IFERROR(OFFSET(ITEM_RES!$A$1,MATCH(AV595,ITEM_RES!$J:$J,0)-1,0),0)</f>
        <v>0</v>
      </c>
      <c r="AZ595" s="11">
        <f ca="1">IFERROR(OFFSET(ITEM_RES!$A$1,MATCH(BA595,ITEM_RES!$J:$J,0)-1,0),0)</f>
        <v>0</v>
      </c>
      <c r="BE595" s="11">
        <f ca="1">IFERROR(OFFSET(ITEM_RES!$A$1,MATCH(BF595,ITEM_RES!$J:$J,0)-1,0),0)</f>
        <v>0</v>
      </c>
      <c r="BJ595" s="11">
        <f ca="1">IFERROR(OFFSET(ITEM_RES!$A$1,MATCH(BK595,ITEM_RES!$J:$J,0)-1,0),0)</f>
        <v>0</v>
      </c>
    </row>
    <row r="596" spans="1:65" x14ac:dyDescent="0.3">
      <c r="A596" s="14">
        <f t="shared" si="152"/>
        <v>115070012</v>
      </c>
      <c r="B596" s="13">
        <v>11</v>
      </c>
      <c r="C596" s="12">
        <f t="shared" si="153"/>
        <v>5</v>
      </c>
      <c r="D596" s="13">
        <v>7</v>
      </c>
      <c r="E596" s="13">
        <v>0</v>
      </c>
      <c r="F596" s="12">
        <f t="shared" si="154"/>
        <v>12</v>
      </c>
      <c r="H596" s="9">
        <v>5</v>
      </c>
      <c r="I596" s="9">
        <v>12</v>
      </c>
      <c r="K596" s="9" t="s">
        <v>386</v>
      </c>
      <c r="L596" s="9">
        <v>1</v>
      </c>
      <c r="M596" s="9">
        <v>15</v>
      </c>
      <c r="R596" s="9">
        <v>8888</v>
      </c>
      <c r="U596" s="9">
        <f ca="1">IFERROR(OFFSET(ITEM_RES!$A$5,MATCH(BUILDING!T596,ITEM_RES!$J$5:$J$229,0)-1,0),0)</f>
        <v>0</v>
      </c>
      <c r="X596" s="9">
        <f ca="1">IFERROR(OFFSET(ITEM_RES!$A$5,MATCH(BUILDING!W596,ITEM_RES!$J$5:$J$229,0)-1,0),0)</f>
        <v>0</v>
      </c>
      <c r="Z596" s="9" t="s">
        <v>398</v>
      </c>
      <c r="AA596" s="9">
        <v>12</v>
      </c>
      <c r="AC596" s="9">
        <v>24000</v>
      </c>
      <c r="AE596" s="56">
        <f t="shared" si="149"/>
        <v>4800</v>
      </c>
      <c r="AF596" s="10">
        <f t="shared" si="157"/>
        <v>8800</v>
      </c>
      <c r="AH596" s="11">
        <f t="shared" si="148"/>
        <v>60</v>
      </c>
      <c r="AI596" s="10">
        <v>60</v>
      </c>
      <c r="AJ596" s="11">
        <f t="shared" si="155"/>
        <v>300</v>
      </c>
      <c r="AK596" s="10">
        <v>300</v>
      </c>
      <c r="AL596" s="11">
        <f t="shared" si="155"/>
        <v>300</v>
      </c>
      <c r="AM596" s="10">
        <v>300</v>
      </c>
      <c r="AN596" s="56">
        <f t="shared" si="150"/>
        <v>1</v>
      </c>
      <c r="AP596" s="11">
        <f ca="1">IFERROR(OFFSET(ITEM_RES!$A$1,MATCH(AQ596,ITEM_RES!$J:$J,0)-1,0),0)</f>
        <v>211020801</v>
      </c>
      <c r="AQ596" s="10" t="s">
        <v>456</v>
      </c>
      <c r="AR596" s="11">
        <v>1500</v>
      </c>
      <c r="AU596" s="11">
        <f ca="1">IFERROR(OFFSET(ITEM_RES!$A$1,MATCH(AV596,ITEM_RES!$J:$J,0)-1,0),0)</f>
        <v>0</v>
      </c>
      <c r="AZ596" s="11">
        <f ca="1">IFERROR(OFFSET(ITEM_RES!$A$1,MATCH(BA596,ITEM_RES!$J:$J,0)-1,0),0)</f>
        <v>0</v>
      </c>
      <c r="BE596" s="11">
        <f ca="1">IFERROR(OFFSET(ITEM_RES!$A$1,MATCH(BF596,ITEM_RES!$J:$J,0)-1,0),0)</f>
        <v>0</v>
      </c>
      <c r="BJ596" s="11">
        <f ca="1">IFERROR(OFFSET(ITEM_RES!$A$1,MATCH(BK596,ITEM_RES!$J:$J,0)-1,0),0)</f>
        <v>0</v>
      </c>
    </row>
    <row r="597" spans="1:65" x14ac:dyDescent="0.3">
      <c r="A597" s="14">
        <f t="shared" si="152"/>
        <v>115070013</v>
      </c>
      <c r="B597" s="13">
        <v>11</v>
      </c>
      <c r="C597" s="12">
        <f t="shared" si="153"/>
        <v>5</v>
      </c>
      <c r="D597" s="13">
        <v>7</v>
      </c>
      <c r="E597" s="13">
        <v>0</v>
      </c>
      <c r="F597" s="12">
        <f t="shared" si="154"/>
        <v>13</v>
      </c>
      <c r="H597" s="9">
        <v>5</v>
      </c>
      <c r="I597" s="9">
        <v>13</v>
      </c>
      <c r="K597" s="9" t="s">
        <v>386</v>
      </c>
      <c r="L597" s="9">
        <v>1</v>
      </c>
      <c r="M597" s="9">
        <v>15</v>
      </c>
      <c r="R597" s="9">
        <v>8888</v>
      </c>
      <c r="U597" s="9">
        <f ca="1">IFERROR(OFFSET(ITEM_RES!$A$5,MATCH(BUILDING!T597,ITEM_RES!$J$5:$J$229,0)-1,0),0)</f>
        <v>0</v>
      </c>
      <c r="X597" s="9">
        <f ca="1">IFERROR(OFFSET(ITEM_RES!$A$5,MATCH(BUILDING!W597,ITEM_RES!$J$5:$J$229,0)-1,0),0)</f>
        <v>0</v>
      </c>
      <c r="Z597" s="9" t="s">
        <v>398</v>
      </c>
      <c r="AA597" s="9">
        <v>13</v>
      </c>
      <c r="AC597" s="9">
        <v>28000</v>
      </c>
      <c r="AE597" s="56">
        <f t="shared" si="149"/>
        <v>5600</v>
      </c>
      <c r="AF597" s="10">
        <f t="shared" si="157"/>
        <v>10400</v>
      </c>
      <c r="AH597" s="11">
        <f t="shared" si="148"/>
        <v>65</v>
      </c>
      <c r="AI597" s="10">
        <v>65</v>
      </c>
      <c r="AJ597" s="11">
        <f t="shared" si="155"/>
        <v>350</v>
      </c>
      <c r="AK597" s="10">
        <v>350</v>
      </c>
      <c r="AL597" s="11">
        <f t="shared" si="155"/>
        <v>350</v>
      </c>
      <c r="AM597" s="10">
        <v>350</v>
      </c>
      <c r="AN597" s="56">
        <f t="shared" si="150"/>
        <v>1</v>
      </c>
      <c r="AP597" s="11">
        <f ca="1">IFERROR(OFFSET(ITEM_RES!$A$1,MATCH(AQ597,ITEM_RES!$J:$J,0)-1,0),0)</f>
        <v>211020901</v>
      </c>
      <c r="AQ597" s="10" t="s">
        <v>470</v>
      </c>
      <c r="AR597" s="11">
        <v>1750</v>
      </c>
      <c r="AU597" s="11">
        <f ca="1">IFERROR(OFFSET(ITEM_RES!$A$1,MATCH(AV597,ITEM_RES!$J:$J,0)-1,0),0)</f>
        <v>0</v>
      </c>
      <c r="AZ597" s="11">
        <f ca="1">IFERROR(OFFSET(ITEM_RES!$A$1,MATCH(BA597,ITEM_RES!$J:$J,0)-1,0),0)</f>
        <v>0</v>
      </c>
      <c r="BE597" s="11">
        <f ca="1">IFERROR(OFFSET(ITEM_RES!$A$1,MATCH(BF597,ITEM_RES!$J:$J,0)-1,0),0)</f>
        <v>0</v>
      </c>
      <c r="BJ597" s="11">
        <f ca="1">IFERROR(OFFSET(ITEM_RES!$A$1,MATCH(BK597,ITEM_RES!$J:$J,0)-1,0),0)</f>
        <v>0</v>
      </c>
    </row>
    <row r="598" spans="1:65" x14ac:dyDescent="0.3">
      <c r="A598" s="14">
        <f t="shared" si="152"/>
        <v>115070014</v>
      </c>
      <c r="B598" s="13">
        <v>11</v>
      </c>
      <c r="C598" s="12">
        <f t="shared" si="153"/>
        <v>5</v>
      </c>
      <c r="D598" s="13">
        <v>7</v>
      </c>
      <c r="E598" s="13">
        <v>0</v>
      </c>
      <c r="F598" s="12">
        <f t="shared" si="154"/>
        <v>14</v>
      </c>
      <c r="H598" s="9">
        <v>5</v>
      </c>
      <c r="I598" s="9">
        <v>14</v>
      </c>
      <c r="K598" s="9" t="s">
        <v>386</v>
      </c>
      <c r="L598" s="9">
        <v>1</v>
      </c>
      <c r="M598" s="9">
        <v>15</v>
      </c>
      <c r="R598" s="9">
        <v>8888</v>
      </c>
      <c r="U598" s="9">
        <f ca="1">IFERROR(OFFSET(ITEM_RES!$A$5,MATCH(BUILDING!T598,ITEM_RES!$J$5:$J$229,0)-1,0),0)</f>
        <v>0</v>
      </c>
      <c r="X598" s="9">
        <f ca="1">IFERROR(OFFSET(ITEM_RES!$A$5,MATCH(BUILDING!W598,ITEM_RES!$J$5:$J$229,0)-1,0),0)</f>
        <v>0</v>
      </c>
      <c r="Z598" s="9" t="s">
        <v>398</v>
      </c>
      <c r="AA598" s="9">
        <v>14</v>
      </c>
      <c r="AC598" s="9">
        <v>36000</v>
      </c>
      <c r="AE598" s="56">
        <f t="shared" si="149"/>
        <v>7200</v>
      </c>
      <c r="AF598" s="10">
        <f t="shared" si="157"/>
        <v>12800</v>
      </c>
      <c r="AH598" s="11">
        <f t="shared" si="148"/>
        <v>70</v>
      </c>
      <c r="AI598" s="10">
        <v>70</v>
      </c>
      <c r="AJ598" s="11">
        <f t="shared" si="155"/>
        <v>450</v>
      </c>
      <c r="AK598" s="10">
        <v>450</v>
      </c>
      <c r="AL598" s="11">
        <f t="shared" si="155"/>
        <v>450</v>
      </c>
      <c r="AM598" s="10">
        <v>450</v>
      </c>
      <c r="AN598" s="56">
        <f t="shared" si="150"/>
        <v>1</v>
      </c>
      <c r="AP598" s="11">
        <f ca="1">IFERROR(OFFSET(ITEM_RES!$A$1,MATCH(AQ598,ITEM_RES!$J:$J,0)-1,0),0)</f>
        <v>211020901</v>
      </c>
      <c r="AQ598" s="10" t="s">
        <v>469</v>
      </c>
      <c r="AR598" s="11">
        <v>2250</v>
      </c>
      <c r="AU598" s="11">
        <f ca="1">IFERROR(OFFSET(ITEM_RES!$A$1,MATCH(AV598,ITEM_RES!$J:$J,0)-1,0),0)</f>
        <v>0</v>
      </c>
      <c r="AZ598" s="11">
        <f ca="1">IFERROR(OFFSET(ITEM_RES!$A$1,MATCH(BA598,ITEM_RES!$J:$J,0)-1,0),0)</f>
        <v>0</v>
      </c>
      <c r="BE598" s="11">
        <f ca="1">IFERROR(OFFSET(ITEM_RES!$A$1,MATCH(BF598,ITEM_RES!$J:$J,0)-1,0),0)</f>
        <v>0</v>
      </c>
      <c r="BJ598" s="11">
        <f ca="1">IFERROR(OFFSET(ITEM_RES!$A$1,MATCH(BK598,ITEM_RES!$J:$J,0)-1,0),0)</f>
        <v>0</v>
      </c>
    </row>
    <row r="599" spans="1:65" x14ac:dyDescent="0.3">
      <c r="A599" s="14">
        <f t="shared" si="152"/>
        <v>115070015</v>
      </c>
      <c r="B599" s="13">
        <v>11</v>
      </c>
      <c r="C599" s="12">
        <f t="shared" si="153"/>
        <v>5</v>
      </c>
      <c r="D599" s="13">
        <v>7</v>
      </c>
      <c r="E599" s="13">
        <v>0</v>
      </c>
      <c r="F599" s="12">
        <f t="shared" si="154"/>
        <v>15</v>
      </c>
      <c r="H599" s="9">
        <v>5</v>
      </c>
      <c r="I599" s="9">
        <v>15</v>
      </c>
      <c r="K599" s="9" t="s">
        <v>386</v>
      </c>
      <c r="L599" s="9">
        <v>1</v>
      </c>
      <c r="M599" s="9">
        <v>15</v>
      </c>
      <c r="R599" s="9">
        <v>8888</v>
      </c>
      <c r="U599" s="9">
        <f ca="1">IFERROR(OFFSET(ITEM_RES!$A$5,MATCH(BUILDING!T599,ITEM_RES!$J$5:$J$229,0)-1,0),0)</f>
        <v>0</v>
      </c>
      <c r="X599" s="9">
        <f ca="1">IFERROR(OFFSET(ITEM_RES!$A$5,MATCH(BUILDING!W599,ITEM_RES!$J$5:$J$229,0)-1,0),0)</f>
        <v>0</v>
      </c>
      <c r="Z599" s="9" t="s">
        <v>398</v>
      </c>
      <c r="AA599" s="9">
        <v>15</v>
      </c>
      <c r="AC599" s="9">
        <v>44000</v>
      </c>
      <c r="AE599" s="56">
        <f t="shared" si="149"/>
        <v>9300</v>
      </c>
      <c r="AF599" s="10">
        <f t="shared" si="157"/>
        <v>16500</v>
      </c>
      <c r="AH599" s="11">
        <f t="shared" si="148"/>
        <v>75</v>
      </c>
      <c r="AI599" s="10">
        <v>75</v>
      </c>
      <c r="AJ599" s="11">
        <f t="shared" si="155"/>
        <v>550</v>
      </c>
      <c r="AK599" s="10">
        <v>550</v>
      </c>
      <c r="AL599" s="11">
        <f t="shared" si="155"/>
        <v>550</v>
      </c>
      <c r="AM599" s="10">
        <v>550</v>
      </c>
      <c r="AN599" s="56">
        <f t="shared" si="150"/>
        <v>2</v>
      </c>
      <c r="AP599" s="11">
        <f ca="1">IFERROR(OFFSET(ITEM_RES!$A$1,MATCH(AQ599,ITEM_RES!$J:$J,0)-1,0),0)</f>
        <v>211020901</v>
      </c>
      <c r="AQ599" s="10" t="s">
        <v>469</v>
      </c>
      <c r="AR599" s="11">
        <v>2750</v>
      </c>
      <c r="AU599" s="11">
        <f ca="1">IFERROR(OFFSET(ITEM_RES!$A$1,MATCH(AV599,ITEM_RES!$J:$J,0)-1,0),0)</f>
        <v>0</v>
      </c>
      <c r="AZ599" s="11">
        <f ca="1">IFERROR(OFFSET(ITEM_RES!$A$1,MATCH(BA599,ITEM_RES!$J:$J,0)-1,0),0)</f>
        <v>0</v>
      </c>
      <c r="BE599" s="11">
        <f ca="1">IFERROR(OFFSET(ITEM_RES!$A$1,MATCH(BF599,ITEM_RES!$J:$J,0)-1,0),0)</f>
        <v>213011801</v>
      </c>
      <c r="BF599" s="10" t="s">
        <v>513</v>
      </c>
      <c r="BG599" s="11">
        <v>1</v>
      </c>
      <c r="BJ599" s="11">
        <f ca="1">IFERROR(OFFSET(ITEM_RES!$A$1,MATCH(BK599,ITEM_RES!$J:$J,0)-1,0),0)</f>
        <v>0</v>
      </c>
    </row>
    <row r="600" spans="1:65" x14ac:dyDescent="0.3">
      <c r="A600" s="14">
        <f t="shared" si="152"/>
        <v>115070016</v>
      </c>
      <c r="B600" s="13">
        <v>11</v>
      </c>
      <c r="C600" s="12">
        <f t="shared" si="153"/>
        <v>5</v>
      </c>
      <c r="D600" s="13">
        <v>7</v>
      </c>
      <c r="E600" s="13">
        <v>0</v>
      </c>
      <c r="F600" s="12">
        <f t="shared" si="154"/>
        <v>16</v>
      </c>
      <c r="H600" s="9">
        <v>5</v>
      </c>
      <c r="I600" s="9">
        <v>16</v>
      </c>
      <c r="K600" s="9" t="s">
        <v>386</v>
      </c>
      <c r="L600" s="9">
        <v>0</v>
      </c>
      <c r="M600" s="9">
        <v>15</v>
      </c>
      <c r="R600" s="9">
        <v>8888</v>
      </c>
      <c r="U600" s="9">
        <f ca="1">IFERROR(OFFSET(ITEM_RES!$A$5,MATCH(BUILDING!T600,ITEM_RES!$J$5:$J$229,0)-1,0),0)</f>
        <v>0</v>
      </c>
      <c r="X600" s="9">
        <f ca="1">IFERROR(OFFSET(ITEM_RES!$A$5,MATCH(BUILDING!W600,ITEM_RES!$J$5:$J$229,0)-1,0),0)</f>
        <v>0</v>
      </c>
      <c r="Z600" s="9" t="s">
        <v>398</v>
      </c>
      <c r="AA600" s="9">
        <v>16</v>
      </c>
      <c r="AC600" s="9">
        <v>56000</v>
      </c>
      <c r="AE600" s="56">
        <f t="shared" si="149"/>
        <v>11200</v>
      </c>
      <c r="AF600" s="10">
        <f t="shared" si="157"/>
        <v>20500</v>
      </c>
      <c r="AH600" s="11">
        <f t="shared" si="148"/>
        <v>80</v>
      </c>
      <c r="AI600" s="10">
        <v>80</v>
      </c>
      <c r="AJ600" s="11">
        <f t="shared" si="155"/>
        <v>700</v>
      </c>
      <c r="AK600" s="10">
        <v>700</v>
      </c>
      <c r="AL600" s="11">
        <f t="shared" si="155"/>
        <v>700</v>
      </c>
      <c r="AM600" s="10">
        <v>700</v>
      </c>
      <c r="AN600" s="56">
        <f t="shared" si="150"/>
        <v>1</v>
      </c>
      <c r="AP600" s="11">
        <f ca="1">IFERROR(OFFSET(ITEM_RES!$A$1,MATCH(AQ600,ITEM_RES!$J:$J,0)-1,0),0)</f>
        <v>211020901</v>
      </c>
      <c r="AQ600" s="10" t="s">
        <v>469</v>
      </c>
      <c r="AR600" s="11">
        <v>3500</v>
      </c>
      <c r="AU600" s="11">
        <f ca="1">IFERROR(OFFSET(ITEM_RES!$A$1,MATCH(AV600,ITEM_RES!$J:$J,0)-1,0),0)</f>
        <v>0</v>
      </c>
      <c r="AZ600" s="11">
        <f ca="1">IFERROR(OFFSET(ITEM_RES!$A$1,MATCH(BA600,ITEM_RES!$J:$J,0)-1,0),0)</f>
        <v>0</v>
      </c>
      <c r="BE600" s="11">
        <f ca="1">IFERROR(OFFSET(ITEM_RES!$A$1,MATCH(BF600,ITEM_RES!$J:$J,0)-1,0),0)</f>
        <v>0</v>
      </c>
      <c r="BJ600" s="11">
        <f ca="1">IFERROR(OFFSET(ITEM_RES!$A$1,MATCH(BK600,ITEM_RES!$J:$J,0)-1,0),0)</f>
        <v>0</v>
      </c>
    </row>
    <row r="601" spans="1:65" x14ac:dyDescent="0.3">
      <c r="A601" s="14">
        <f t="shared" si="152"/>
        <v>115070017</v>
      </c>
      <c r="B601" s="13">
        <v>11</v>
      </c>
      <c r="C601" s="12">
        <f t="shared" si="153"/>
        <v>5</v>
      </c>
      <c r="D601" s="13">
        <v>7</v>
      </c>
      <c r="E601" s="13">
        <v>0</v>
      </c>
      <c r="F601" s="12">
        <f t="shared" si="154"/>
        <v>17</v>
      </c>
      <c r="H601" s="9">
        <v>5</v>
      </c>
      <c r="I601" s="9">
        <v>17</v>
      </c>
      <c r="K601" s="9" t="s">
        <v>386</v>
      </c>
      <c r="L601" s="9">
        <v>0</v>
      </c>
      <c r="M601" s="9">
        <v>15</v>
      </c>
      <c r="R601" s="9">
        <v>8888</v>
      </c>
      <c r="U601" s="9">
        <f ca="1">IFERROR(OFFSET(ITEM_RES!$A$5,MATCH(BUILDING!T601,ITEM_RES!$J$5:$J$229,0)-1,0),0)</f>
        <v>0</v>
      </c>
      <c r="X601" s="9">
        <f ca="1">IFERROR(OFFSET(ITEM_RES!$A$5,MATCH(BUILDING!W601,ITEM_RES!$J$5:$J$229,0)-1,0),0)</f>
        <v>0</v>
      </c>
      <c r="Z601" s="9" t="s">
        <v>398</v>
      </c>
      <c r="AA601" s="9">
        <v>17</v>
      </c>
      <c r="AC601" s="9">
        <v>68000</v>
      </c>
      <c r="AE601" s="56">
        <f t="shared" si="149"/>
        <v>13600</v>
      </c>
      <c r="AF601" s="10">
        <f t="shared" si="157"/>
        <v>24800</v>
      </c>
      <c r="AH601" s="11">
        <f t="shared" ref="AH601:AH604" si="158">ROUND(AI601,0)</f>
        <v>85</v>
      </c>
      <c r="AI601" s="10">
        <v>85</v>
      </c>
      <c r="AJ601" s="11">
        <f t="shared" si="155"/>
        <v>850</v>
      </c>
      <c r="AK601" s="10">
        <v>850</v>
      </c>
      <c r="AL601" s="11">
        <f t="shared" si="155"/>
        <v>850</v>
      </c>
      <c r="AM601" s="10">
        <v>850</v>
      </c>
      <c r="AN601" s="56">
        <f t="shared" si="150"/>
        <v>1</v>
      </c>
      <c r="AP601" s="11">
        <f ca="1">IFERROR(OFFSET(ITEM_RES!$A$1,MATCH(AQ601,ITEM_RES!$J:$J,0)-1,0),0)</f>
        <v>211020901</v>
      </c>
      <c r="AQ601" s="10" t="s">
        <v>469</v>
      </c>
      <c r="AR601" s="11">
        <v>4250</v>
      </c>
      <c r="AU601" s="11">
        <f ca="1">IFERROR(OFFSET(ITEM_RES!$A$1,MATCH(AV601,ITEM_RES!$J:$J,0)-1,0),0)</f>
        <v>0</v>
      </c>
      <c r="AZ601" s="11">
        <f ca="1">IFERROR(OFFSET(ITEM_RES!$A$1,MATCH(BA601,ITEM_RES!$J:$J,0)-1,0),0)</f>
        <v>0</v>
      </c>
      <c r="BE601" s="11">
        <f ca="1">IFERROR(OFFSET(ITEM_RES!$A$1,MATCH(BF601,ITEM_RES!$J:$J,0)-1,0),0)</f>
        <v>0</v>
      </c>
      <c r="BJ601" s="11">
        <f ca="1">IFERROR(OFFSET(ITEM_RES!$A$1,MATCH(BK601,ITEM_RES!$J:$J,0)-1,0),0)</f>
        <v>0</v>
      </c>
    </row>
    <row r="602" spans="1:65" x14ac:dyDescent="0.3">
      <c r="A602" s="14">
        <f t="shared" si="152"/>
        <v>115070018</v>
      </c>
      <c r="B602" s="13">
        <v>11</v>
      </c>
      <c r="C602" s="12">
        <f t="shared" si="153"/>
        <v>5</v>
      </c>
      <c r="D602" s="13">
        <v>7</v>
      </c>
      <c r="E602" s="13">
        <v>0</v>
      </c>
      <c r="F602" s="12">
        <f t="shared" si="154"/>
        <v>18</v>
      </c>
      <c r="H602" s="9">
        <v>5</v>
      </c>
      <c r="I602" s="9">
        <v>18</v>
      </c>
      <c r="K602" s="9" t="s">
        <v>386</v>
      </c>
      <c r="L602" s="9">
        <v>0</v>
      </c>
      <c r="M602" s="9">
        <v>15</v>
      </c>
      <c r="R602" s="9">
        <v>8888</v>
      </c>
      <c r="U602" s="9">
        <f ca="1">IFERROR(OFFSET(ITEM_RES!$A$5,MATCH(BUILDING!T602,ITEM_RES!$J$5:$J$229,0)-1,0),0)</f>
        <v>0</v>
      </c>
      <c r="X602" s="9">
        <f ca="1">IFERROR(OFFSET(ITEM_RES!$A$5,MATCH(BUILDING!W602,ITEM_RES!$J$5:$J$229,0)-1,0),0)</f>
        <v>0</v>
      </c>
      <c r="Z602" s="9" t="s">
        <v>398</v>
      </c>
      <c r="AA602" s="9">
        <v>18</v>
      </c>
      <c r="AC602" s="9">
        <v>84000</v>
      </c>
      <c r="AE602" s="56">
        <f t="shared" ref="AE602:AE604" si="159">AK602*10+AM602+AR602+AW602+500*BB602+500*BG602+500*BL602</f>
        <v>16800</v>
      </c>
      <c r="AF602" s="10">
        <f t="shared" si="157"/>
        <v>30400</v>
      </c>
      <c r="AH602" s="11">
        <f t="shared" si="158"/>
        <v>90</v>
      </c>
      <c r="AI602" s="10">
        <v>90</v>
      </c>
      <c r="AJ602" s="11">
        <f t="shared" si="155"/>
        <v>1050</v>
      </c>
      <c r="AK602" s="10">
        <v>1050</v>
      </c>
      <c r="AL602" s="11">
        <f t="shared" si="155"/>
        <v>1050</v>
      </c>
      <c r="AM602" s="10">
        <v>1050</v>
      </c>
      <c r="AN602" s="56">
        <f t="shared" ref="AN602:AN604" si="160">(AR602&gt;0)*1+(AW602&gt;0)*1+(BB602&gt;0)*1+(BG602&gt;0)*1+(BL602&gt;0)*1</f>
        <v>1</v>
      </c>
      <c r="AP602" s="11">
        <f ca="1">IFERROR(OFFSET(ITEM_RES!$A$1,MATCH(AQ602,ITEM_RES!$J:$J,0)-1,0),0)</f>
        <v>211020901</v>
      </c>
      <c r="AQ602" s="10" t="s">
        <v>469</v>
      </c>
      <c r="AR602" s="11">
        <v>5250</v>
      </c>
      <c r="AU602" s="11">
        <f ca="1">IFERROR(OFFSET(ITEM_RES!$A$1,MATCH(AV602,ITEM_RES!$J:$J,0)-1,0),0)</f>
        <v>0</v>
      </c>
      <c r="AZ602" s="11">
        <f ca="1">IFERROR(OFFSET(ITEM_RES!$A$1,MATCH(BA602,ITEM_RES!$J:$J,0)-1,0),0)</f>
        <v>0</v>
      </c>
      <c r="BE602" s="11">
        <f ca="1">IFERROR(OFFSET(ITEM_RES!$A$1,MATCH(BF602,ITEM_RES!$J:$J,0)-1,0),0)</f>
        <v>0</v>
      </c>
      <c r="BJ602" s="11">
        <f ca="1">IFERROR(OFFSET(ITEM_RES!$A$1,MATCH(BK602,ITEM_RES!$J:$J,0)-1,0),0)</f>
        <v>0</v>
      </c>
    </row>
    <row r="603" spans="1:65" x14ac:dyDescent="0.3">
      <c r="A603" s="14">
        <f t="shared" si="152"/>
        <v>115070019</v>
      </c>
      <c r="B603" s="13">
        <v>11</v>
      </c>
      <c r="C603" s="12">
        <f t="shared" si="153"/>
        <v>5</v>
      </c>
      <c r="D603" s="13">
        <v>7</v>
      </c>
      <c r="E603" s="13">
        <v>0</v>
      </c>
      <c r="F603" s="12">
        <f t="shared" si="154"/>
        <v>19</v>
      </c>
      <c r="H603" s="9">
        <v>5</v>
      </c>
      <c r="I603" s="9">
        <v>19</v>
      </c>
      <c r="K603" s="9" t="s">
        <v>386</v>
      </c>
      <c r="L603" s="9">
        <v>0</v>
      </c>
      <c r="M603" s="9">
        <v>15</v>
      </c>
      <c r="R603" s="9">
        <v>8888</v>
      </c>
      <c r="U603" s="9">
        <f ca="1">IFERROR(OFFSET(ITEM_RES!$A$5,MATCH(BUILDING!T603,ITEM_RES!$J$5:$J$229,0)-1,0),0)</f>
        <v>0</v>
      </c>
      <c r="X603" s="9">
        <f ca="1">IFERROR(OFFSET(ITEM_RES!$A$5,MATCH(BUILDING!W603,ITEM_RES!$J$5:$J$229,0)-1,0),0)</f>
        <v>0</v>
      </c>
      <c r="Z603" s="9" t="s">
        <v>398</v>
      </c>
      <c r="AA603" s="9">
        <v>19</v>
      </c>
      <c r="AC603" s="9">
        <v>100000</v>
      </c>
      <c r="AE603" s="56">
        <f t="shared" si="159"/>
        <v>20000</v>
      </c>
      <c r="AF603" s="10">
        <f t="shared" si="157"/>
        <v>36800</v>
      </c>
      <c r="AH603" s="11">
        <f t="shared" si="158"/>
        <v>95</v>
      </c>
      <c r="AI603" s="10">
        <v>95</v>
      </c>
      <c r="AJ603" s="11">
        <f t="shared" si="155"/>
        <v>1250</v>
      </c>
      <c r="AK603" s="10">
        <v>1250</v>
      </c>
      <c r="AL603" s="11">
        <f t="shared" si="155"/>
        <v>1250</v>
      </c>
      <c r="AM603" s="10">
        <v>1250</v>
      </c>
      <c r="AN603" s="56">
        <f t="shared" si="160"/>
        <v>1</v>
      </c>
      <c r="AP603" s="11">
        <f ca="1">IFERROR(OFFSET(ITEM_RES!$A$1,MATCH(AQ603,ITEM_RES!$J:$J,0)-1,0),0)</f>
        <v>211020901</v>
      </c>
      <c r="AQ603" s="10" t="s">
        <v>469</v>
      </c>
      <c r="AR603" s="11">
        <v>6250</v>
      </c>
      <c r="AU603" s="11">
        <f ca="1">IFERROR(OFFSET(ITEM_RES!$A$1,MATCH(AV603,ITEM_RES!$J:$J,0)-1,0),0)</f>
        <v>0</v>
      </c>
      <c r="AZ603" s="11">
        <f ca="1">IFERROR(OFFSET(ITEM_RES!$A$1,MATCH(BA603,ITEM_RES!$J:$J,0)-1,0),0)</f>
        <v>0</v>
      </c>
      <c r="BE603" s="11">
        <f ca="1">IFERROR(OFFSET(ITEM_RES!$A$1,MATCH(BF603,ITEM_RES!$J:$J,0)-1,0),0)</f>
        <v>0</v>
      </c>
      <c r="BJ603" s="11">
        <f ca="1">IFERROR(OFFSET(ITEM_RES!$A$1,MATCH(BK603,ITEM_RES!$J:$J,0)-1,0),0)</f>
        <v>0</v>
      </c>
    </row>
    <row r="604" spans="1:65" ht="17.25" thickBot="1" x14ac:dyDescent="0.35">
      <c r="A604" s="14">
        <f t="shared" si="152"/>
        <v>115070020</v>
      </c>
      <c r="B604" s="13">
        <v>11</v>
      </c>
      <c r="C604" s="12">
        <f t="shared" si="153"/>
        <v>5</v>
      </c>
      <c r="D604" s="13">
        <v>7</v>
      </c>
      <c r="E604" s="13">
        <v>0</v>
      </c>
      <c r="F604" s="12">
        <f t="shared" si="154"/>
        <v>20</v>
      </c>
      <c r="H604" s="9">
        <v>5</v>
      </c>
      <c r="I604" s="9">
        <v>20</v>
      </c>
      <c r="K604" s="9" t="s">
        <v>386</v>
      </c>
      <c r="L604" s="9">
        <v>0</v>
      </c>
      <c r="M604" s="9">
        <v>15</v>
      </c>
      <c r="R604" s="9">
        <v>8888</v>
      </c>
      <c r="U604" s="9">
        <f ca="1">IFERROR(OFFSET(ITEM_RES!$A$5,MATCH(BUILDING!T604,ITEM_RES!$J$5:$J$229,0)-1,0),0)</f>
        <v>0</v>
      </c>
      <c r="X604" s="9">
        <f ca="1">IFERROR(OFFSET(ITEM_RES!$A$5,MATCH(BUILDING!W604,ITEM_RES!$J$5:$J$229,0)-1,0),0)</f>
        <v>0</v>
      </c>
      <c r="Z604" s="9" t="s">
        <v>398</v>
      </c>
      <c r="AA604" s="9">
        <v>20</v>
      </c>
      <c r="AC604" s="9">
        <v>120000</v>
      </c>
      <c r="AE604" s="56">
        <f t="shared" si="159"/>
        <v>24500</v>
      </c>
      <c r="AF604" s="10">
        <f t="shared" si="157"/>
        <v>44500</v>
      </c>
      <c r="AH604" s="11">
        <f t="shared" si="158"/>
        <v>100</v>
      </c>
      <c r="AI604" s="10">
        <v>100</v>
      </c>
      <c r="AJ604" s="11">
        <f t="shared" si="155"/>
        <v>1500</v>
      </c>
      <c r="AK604" s="10">
        <v>1500</v>
      </c>
      <c r="AL604" s="11">
        <f t="shared" si="155"/>
        <v>1500</v>
      </c>
      <c r="AM604" s="10">
        <v>1500</v>
      </c>
      <c r="AN604" s="56">
        <f t="shared" si="160"/>
        <v>2</v>
      </c>
      <c r="AP604" s="11">
        <f ca="1">IFERROR(OFFSET(ITEM_RES!$A$1,MATCH(AQ604,ITEM_RES!$J:$J,0)-1,0),0)</f>
        <v>211020901</v>
      </c>
      <c r="AQ604" s="10" t="s">
        <v>469</v>
      </c>
      <c r="AR604" s="11">
        <v>7500</v>
      </c>
      <c r="AU604" s="11">
        <f ca="1">IFERROR(OFFSET(ITEM_RES!$A$1,MATCH(AV604,ITEM_RES!$J:$J,0)-1,0),0)</f>
        <v>0</v>
      </c>
      <c r="AZ604" s="11">
        <f ca="1">IFERROR(OFFSET(ITEM_RES!$A$1,MATCH(BA604,ITEM_RES!$J:$J,0)-1,0),0)</f>
        <v>0</v>
      </c>
      <c r="BE604" s="11">
        <f ca="1">IFERROR(OFFSET(ITEM_RES!$A$1,MATCH(BF604,ITEM_RES!$J:$J,0)-1,0),0)</f>
        <v>213011801</v>
      </c>
      <c r="BF604" s="10" t="s">
        <v>513</v>
      </c>
      <c r="BG604" s="11">
        <v>1</v>
      </c>
      <c r="BJ604" s="11">
        <f ca="1">IFERROR(OFFSET(ITEM_RES!$A$1,MATCH(BK604,ITEM_RES!$J:$J,0)-1,0),0)</f>
        <v>0</v>
      </c>
    </row>
    <row r="605" spans="1:65" s="15" customFormat="1" x14ac:dyDescent="0.3">
      <c r="A605" s="21"/>
      <c r="B605" s="20"/>
      <c r="C605" s="19"/>
      <c r="D605" s="20"/>
      <c r="E605" s="20"/>
      <c r="F605" s="19"/>
      <c r="G605" s="80"/>
      <c r="H605" s="16"/>
      <c r="I605" s="16"/>
      <c r="J605" s="80"/>
      <c r="K605" s="16"/>
      <c r="L605" s="16"/>
      <c r="M605" s="16"/>
      <c r="N605" s="16"/>
      <c r="O605" s="17"/>
      <c r="P605" s="17"/>
      <c r="Q605" s="18"/>
      <c r="R605" s="16"/>
      <c r="S605" s="80"/>
      <c r="T605" s="88"/>
      <c r="U605" s="16"/>
      <c r="V605" s="18"/>
      <c r="W605" s="88"/>
      <c r="X605" s="16"/>
      <c r="Y605" s="80"/>
      <c r="Z605" s="16"/>
      <c r="AA605" s="16"/>
      <c r="AB605" s="80"/>
      <c r="AC605" s="16"/>
      <c r="AD605" s="80"/>
      <c r="AE605" s="57"/>
      <c r="AF605" s="17"/>
      <c r="AG605" s="80"/>
      <c r="AH605" s="18"/>
      <c r="AI605" s="17"/>
      <c r="AJ605" s="18"/>
      <c r="AK605" s="17"/>
      <c r="AL605" s="18"/>
      <c r="AM605" s="17"/>
      <c r="AN605" s="57"/>
      <c r="AO605" s="18"/>
      <c r="AP605" s="18"/>
      <c r="AQ605" s="17"/>
      <c r="AR605" s="18"/>
      <c r="AS605" s="17"/>
      <c r="AT605" s="18"/>
      <c r="AU605" s="18"/>
      <c r="AV605" s="17"/>
      <c r="AW605" s="18"/>
      <c r="AX605" s="17"/>
      <c r="AY605" s="18"/>
      <c r="AZ605" s="18"/>
      <c r="BA605" s="17"/>
      <c r="BB605" s="18"/>
      <c r="BC605" s="17"/>
      <c r="BD605" s="18"/>
      <c r="BE605" s="18"/>
      <c r="BF605" s="17"/>
      <c r="BG605" s="18"/>
      <c r="BH605" s="17"/>
      <c r="BI605" s="18"/>
      <c r="BJ605" s="18"/>
      <c r="BK605" s="17"/>
      <c r="BL605" s="18"/>
      <c r="BM605" s="17"/>
    </row>
  </sheetData>
  <phoneticPr fontId="12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7" tint="0.79998168889431442"/>
  </sheetPr>
  <dimension ref="A1:U108"/>
  <sheetViews>
    <sheetView tabSelected="1" topLeftCell="B1" zoomScale="90" zoomScaleNormal="90" workbookViewId="0">
      <selection activeCell="Q15" sqref="Q15"/>
    </sheetView>
  </sheetViews>
  <sheetFormatPr defaultColWidth="8.75" defaultRowHeight="16.5" x14ac:dyDescent="0.15"/>
  <cols>
    <col min="1" max="1" width="12.875" style="34" bestFit="1" customWidth="1"/>
    <col min="2" max="2" width="3.875" style="36" bestFit="1" customWidth="1"/>
    <col min="3" max="3" width="9" style="36" customWidth="1"/>
    <col min="4" max="4" width="8" style="36" customWidth="1"/>
    <col min="5" max="5" width="4" style="36" bestFit="1" customWidth="1"/>
    <col min="6" max="6" width="3.875" style="36" customWidth="1"/>
    <col min="7" max="7" width="5.75" style="76" bestFit="1" customWidth="1"/>
    <col min="8" max="8" width="10" style="35" bestFit="1" customWidth="1"/>
    <col min="9" max="9" width="5.75" style="76" customWidth="1"/>
    <col min="10" max="10" width="11.875" style="35" bestFit="1" customWidth="1"/>
    <col min="11" max="12" width="9.875" style="36" bestFit="1" customWidth="1"/>
    <col min="13" max="13" width="22.25" style="36" bestFit="1" customWidth="1"/>
    <col min="14" max="14" width="14.25" style="36" bestFit="1" customWidth="1"/>
    <col min="15" max="15" width="39.125" style="34" bestFit="1" customWidth="1"/>
    <col min="16" max="16" width="19" style="35" bestFit="1" customWidth="1"/>
    <col min="17" max="17" width="11.875" style="35" bestFit="1" customWidth="1"/>
    <col min="18" max="18" width="5.75" style="76" customWidth="1"/>
    <col min="19" max="19" width="11.875" style="35" bestFit="1" customWidth="1"/>
    <col min="20" max="20" width="5.75" style="76" bestFit="1" customWidth="1"/>
    <col min="21" max="21" width="10.25" style="35" bestFit="1" customWidth="1"/>
    <col min="22" max="16384" width="8.75" style="34"/>
  </cols>
  <sheetData>
    <row r="1" spans="1:21" x14ac:dyDescent="0.15">
      <c r="A1" s="14" t="s">
        <v>59</v>
      </c>
      <c r="G1" s="71"/>
      <c r="H1" s="35" t="s">
        <v>60</v>
      </c>
      <c r="I1" s="71"/>
      <c r="J1" s="35" t="s">
        <v>60</v>
      </c>
      <c r="O1" s="34" t="s">
        <v>60</v>
      </c>
      <c r="P1" s="35" t="s">
        <v>60</v>
      </c>
      <c r="Q1" s="35" t="s">
        <v>60</v>
      </c>
      <c r="R1" s="71"/>
      <c r="S1" s="35" t="s">
        <v>60</v>
      </c>
      <c r="T1" s="71"/>
      <c r="U1" s="1" t="s">
        <v>60</v>
      </c>
    </row>
    <row r="2" spans="1:21" x14ac:dyDescent="0.15">
      <c r="A2" s="14" t="s">
        <v>61</v>
      </c>
      <c r="G2" s="71"/>
      <c r="H2" s="35" t="s">
        <v>61</v>
      </c>
      <c r="I2" s="71"/>
      <c r="J2" s="35" t="s">
        <v>62</v>
      </c>
      <c r="O2" s="34" t="s">
        <v>62</v>
      </c>
      <c r="P2" s="35" t="s">
        <v>62</v>
      </c>
      <c r="Q2" s="35" t="s">
        <v>62</v>
      </c>
      <c r="R2" s="71"/>
      <c r="S2" s="35" t="s">
        <v>62</v>
      </c>
      <c r="T2" s="71"/>
      <c r="U2" s="1" t="s">
        <v>61</v>
      </c>
    </row>
    <row r="3" spans="1:21" x14ac:dyDescent="0.15">
      <c r="A3" s="14" t="s">
        <v>217</v>
      </c>
      <c r="G3" s="71"/>
      <c r="H3" s="35" t="s">
        <v>343</v>
      </c>
      <c r="I3" s="71"/>
      <c r="J3" s="35" t="s">
        <v>338</v>
      </c>
      <c r="O3" s="34" t="s">
        <v>322</v>
      </c>
      <c r="P3" s="35" t="s">
        <v>347</v>
      </c>
      <c r="Q3" s="35" t="s">
        <v>324</v>
      </c>
      <c r="R3" s="71"/>
      <c r="S3" s="35" t="s">
        <v>442</v>
      </c>
      <c r="T3" s="71"/>
      <c r="U3" s="1" t="s">
        <v>336</v>
      </c>
    </row>
    <row r="4" spans="1:21" s="81" customFormat="1" ht="83.25" thickBot="1" x14ac:dyDescent="0.2">
      <c r="A4" s="81" t="s">
        <v>337</v>
      </c>
      <c r="B4" s="82" t="s">
        <v>433</v>
      </c>
      <c r="C4" s="82" t="s">
        <v>664</v>
      </c>
      <c r="D4" s="82" t="s">
        <v>665</v>
      </c>
      <c r="E4" s="82" t="s">
        <v>434</v>
      </c>
      <c r="F4" s="82" t="s">
        <v>435</v>
      </c>
      <c r="G4" s="72" t="s">
        <v>355</v>
      </c>
      <c r="H4" s="83" t="s">
        <v>344</v>
      </c>
      <c r="I4" s="72" t="s">
        <v>354</v>
      </c>
      <c r="J4" s="83" t="s">
        <v>431</v>
      </c>
      <c r="K4" s="84" t="s">
        <v>428</v>
      </c>
      <c r="L4" s="84" t="s">
        <v>429</v>
      </c>
      <c r="M4" s="84" t="s">
        <v>353</v>
      </c>
      <c r="N4" s="84" t="s">
        <v>352</v>
      </c>
      <c r="O4" s="81" t="s">
        <v>323</v>
      </c>
      <c r="P4" s="83" t="s">
        <v>348</v>
      </c>
      <c r="Q4" s="83" t="s">
        <v>325</v>
      </c>
      <c r="R4" s="72" t="s">
        <v>670</v>
      </c>
      <c r="S4" s="81" t="s">
        <v>593</v>
      </c>
      <c r="T4" s="72" t="s">
        <v>346</v>
      </c>
      <c r="U4" s="2" t="s">
        <v>432</v>
      </c>
    </row>
    <row r="5" spans="1:21" s="37" customFormat="1" x14ac:dyDescent="0.15">
      <c r="A5" s="37">
        <f t="shared" ref="A5:A10" si="0">B5*10000000+C5*1000000+D5*10000+E5*100+F5</f>
        <v>211010101</v>
      </c>
      <c r="B5" s="39">
        <v>21</v>
      </c>
      <c r="C5" s="117">
        <v>1</v>
      </c>
      <c r="D5" s="121">
        <v>1</v>
      </c>
      <c r="E5" s="39">
        <v>1</v>
      </c>
      <c r="F5" s="39">
        <f>H5</f>
        <v>1</v>
      </c>
      <c r="G5" s="73"/>
      <c r="H5" s="38">
        <v>1</v>
      </c>
      <c r="I5" s="74"/>
      <c r="J5" s="38" t="s">
        <v>400</v>
      </c>
      <c r="K5" s="39" t="s">
        <v>427</v>
      </c>
      <c r="L5" s="39" t="s">
        <v>424</v>
      </c>
      <c r="M5" s="39"/>
      <c r="N5" s="39"/>
      <c r="O5" s="37" t="str">
        <f>CONCATENATE(M5,N5,".png")</f>
        <v>.png</v>
      </c>
      <c r="P5" s="38"/>
      <c r="Q5" s="38" t="s">
        <v>430</v>
      </c>
      <c r="R5" s="74"/>
      <c r="S5" s="38">
        <v>10</v>
      </c>
      <c r="T5" s="74"/>
      <c r="U5" s="38">
        <v>1</v>
      </c>
    </row>
    <row r="6" spans="1:21" s="37" customFormat="1" x14ac:dyDescent="0.15">
      <c r="A6" s="37">
        <f t="shared" si="0"/>
        <v>211010201</v>
      </c>
      <c r="B6" s="39">
        <v>21</v>
      </c>
      <c r="C6" s="117">
        <v>1</v>
      </c>
      <c r="D6" s="121">
        <v>1</v>
      </c>
      <c r="E6" s="39">
        <v>2</v>
      </c>
      <c r="F6" s="39">
        <f t="shared" ref="F6:F20" si="1">H6</f>
        <v>1</v>
      </c>
      <c r="G6" s="74"/>
      <c r="H6" s="62">
        <v>1</v>
      </c>
      <c r="I6" s="77"/>
      <c r="J6" s="62" t="s">
        <v>401</v>
      </c>
      <c r="K6" s="39" t="s">
        <v>427</v>
      </c>
      <c r="L6" s="39" t="s">
        <v>424</v>
      </c>
      <c r="M6" s="69"/>
      <c r="N6" s="69"/>
      <c r="O6" s="70" t="str">
        <f>CONCATENATE(M6,N6,".png")</f>
        <v>.png</v>
      </c>
      <c r="P6" s="62"/>
      <c r="Q6" s="38" t="s">
        <v>430</v>
      </c>
      <c r="R6" s="77"/>
      <c r="S6" s="62">
        <v>10</v>
      </c>
      <c r="T6" s="77"/>
      <c r="U6" s="62">
        <v>1</v>
      </c>
    </row>
    <row r="7" spans="1:21" s="37" customFormat="1" x14ac:dyDescent="0.15">
      <c r="A7" s="37">
        <f t="shared" si="0"/>
        <v>211010301</v>
      </c>
      <c r="B7" s="39">
        <v>21</v>
      </c>
      <c r="C7" s="117">
        <v>1</v>
      </c>
      <c r="D7" s="121">
        <v>1</v>
      </c>
      <c r="E7" s="39">
        <v>3</v>
      </c>
      <c r="F7" s="39">
        <f t="shared" si="1"/>
        <v>1</v>
      </c>
      <c r="G7" s="74"/>
      <c r="H7" s="62">
        <v>1</v>
      </c>
      <c r="I7" s="77"/>
      <c r="J7" s="62" t="s">
        <v>402</v>
      </c>
      <c r="K7" s="39" t="s">
        <v>427</v>
      </c>
      <c r="L7" s="39" t="s">
        <v>424</v>
      </c>
      <c r="M7" s="69"/>
      <c r="N7" s="69"/>
      <c r="O7" s="70" t="str">
        <f>CONCATENATE(M7,N7,".png")</f>
        <v>.png</v>
      </c>
      <c r="P7" s="62"/>
      <c r="Q7" s="38" t="s">
        <v>430</v>
      </c>
      <c r="R7" s="77"/>
      <c r="S7" s="62">
        <v>10</v>
      </c>
      <c r="T7" s="77"/>
      <c r="U7" s="62">
        <v>1</v>
      </c>
    </row>
    <row r="8" spans="1:21" s="37" customFormat="1" x14ac:dyDescent="0.15">
      <c r="A8" s="37">
        <f t="shared" si="0"/>
        <v>211020101</v>
      </c>
      <c r="B8" s="39">
        <v>21</v>
      </c>
      <c r="C8" s="117">
        <v>1</v>
      </c>
      <c r="D8" s="120">
        <v>2</v>
      </c>
      <c r="E8" s="39">
        <v>1</v>
      </c>
      <c r="F8" s="39">
        <f>H8</f>
        <v>1</v>
      </c>
      <c r="G8" s="74"/>
      <c r="H8" s="62">
        <v>1</v>
      </c>
      <c r="I8" s="77"/>
      <c r="J8" s="62" t="s">
        <v>477</v>
      </c>
      <c r="K8" s="39" t="s">
        <v>464</v>
      </c>
      <c r="L8" s="39" t="s">
        <v>478</v>
      </c>
      <c r="M8" s="69"/>
      <c r="N8" s="69"/>
      <c r="O8" s="70"/>
      <c r="P8" s="62"/>
      <c r="Q8" s="38" t="s">
        <v>430</v>
      </c>
      <c r="R8" s="77"/>
      <c r="S8" s="62">
        <v>10</v>
      </c>
      <c r="T8" s="77"/>
      <c r="U8" s="62"/>
    </row>
    <row r="9" spans="1:21" s="37" customFormat="1" x14ac:dyDescent="0.15">
      <c r="A9" s="37">
        <f t="shared" si="0"/>
        <v>211010501</v>
      </c>
      <c r="B9" s="39">
        <v>21</v>
      </c>
      <c r="C9" s="117">
        <v>1</v>
      </c>
      <c r="D9" s="121">
        <v>1</v>
      </c>
      <c r="E9" s="39">
        <v>5</v>
      </c>
      <c r="F9" s="39">
        <f t="shared" si="1"/>
        <v>1</v>
      </c>
      <c r="G9" s="74"/>
      <c r="H9" s="62">
        <v>1</v>
      </c>
      <c r="I9" s="77"/>
      <c r="J9" s="35" t="s">
        <v>403</v>
      </c>
      <c r="K9" s="39" t="s">
        <v>427</v>
      </c>
      <c r="L9" s="39" t="s">
        <v>424</v>
      </c>
      <c r="M9" s="69"/>
      <c r="N9" s="69"/>
      <c r="O9" s="70" t="str">
        <f>CONCATENATE(M9,N9,".png")</f>
        <v>.png</v>
      </c>
      <c r="P9" s="62"/>
      <c r="Q9" s="38" t="s">
        <v>430</v>
      </c>
      <c r="R9" s="77"/>
      <c r="S9" s="38">
        <v>10</v>
      </c>
      <c r="T9" s="77"/>
      <c r="U9" s="62">
        <v>1</v>
      </c>
    </row>
    <row r="10" spans="1:21" x14ac:dyDescent="0.15">
      <c r="A10" s="34">
        <f t="shared" si="0"/>
        <v>211020201</v>
      </c>
      <c r="B10" s="36">
        <v>21</v>
      </c>
      <c r="C10" s="117">
        <v>1</v>
      </c>
      <c r="D10" s="120">
        <v>2</v>
      </c>
      <c r="E10" s="36">
        <v>2</v>
      </c>
      <c r="F10" s="39">
        <f t="shared" si="1"/>
        <v>1</v>
      </c>
      <c r="G10" s="74"/>
      <c r="H10" s="38">
        <v>1</v>
      </c>
      <c r="J10" s="35" t="s">
        <v>565</v>
      </c>
      <c r="K10" s="39" t="s">
        <v>427</v>
      </c>
      <c r="L10" s="39" t="s">
        <v>424</v>
      </c>
      <c r="Q10" s="38" t="s">
        <v>430</v>
      </c>
      <c r="S10" s="62">
        <v>10</v>
      </c>
      <c r="U10" s="35">
        <v>1</v>
      </c>
    </row>
    <row r="11" spans="1:21" x14ac:dyDescent="0.15">
      <c r="A11" s="34">
        <f>B11*10000000+C11*1000000+D11*10000+E11*100+F11</f>
        <v>211020401</v>
      </c>
      <c r="B11" s="36">
        <v>21</v>
      </c>
      <c r="C11" s="117">
        <v>1</v>
      </c>
      <c r="D11" s="120">
        <v>2</v>
      </c>
      <c r="E11" s="36">
        <v>4</v>
      </c>
      <c r="F11" s="39">
        <f>H11</f>
        <v>1</v>
      </c>
      <c r="G11" s="74"/>
      <c r="H11" s="62">
        <v>1</v>
      </c>
      <c r="J11" s="35" t="s">
        <v>476</v>
      </c>
      <c r="K11" s="39" t="s">
        <v>424</v>
      </c>
      <c r="L11" s="39"/>
      <c r="Q11" s="38" t="s">
        <v>430</v>
      </c>
      <c r="S11" s="62">
        <v>10</v>
      </c>
      <c r="U11" s="35">
        <v>1</v>
      </c>
    </row>
    <row r="12" spans="1:21" x14ac:dyDescent="0.15">
      <c r="A12" s="34">
        <f t="shared" ref="A12:A57" si="2">B12*10000000+C12*1000000+D12*10000+E12*100+F12</f>
        <v>211021001</v>
      </c>
      <c r="B12" s="36">
        <v>21</v>
      </c>
      <c r="C12" s="118">
        <v>1</v>
      </c>
      <c r="D12" s="123">
        <v>2</v>
      </c>
      <c r="E12" s="36">
        <v>10</v>
      </c>
      <c r="F12" s="39">
        <f t="shared" si="1"/>
        <v>1</v>
      </c>
      <c r="G12" s="74"/>
      <c r="H12" s="62">
        <v>1</v>
      </c>
      <c r="J12" s="62" t="s">
        <v>423</v>
      </c>
      <c r="K12" s="39" t="s">
        <v>424</v>
      </c>
      <c r="Q12" s="38" t="s">
        <v>430</v>
      </c>
      <c r="S12" s="62">
        <v>10</v>
      </c>
      <c r="U12" s="35">
        <v>1</v>
      </c>
    </row>
    <row r="13" spans="1:21" x14ac:dyDescent="0.15">
      <c r="A13" s="34">
        <f t="shared" si="2"/>
        <v>211020601</v>
      </c>
      <c r="B13" s="36">
        <v>21</v>
      </c>
      <c r="C13" s="118">
        <v>1</v>
      </c>
      <c r="D13" s="120">
        <v>2</v>
      </c>
      <c r="E13" s="36">
        <v>6</v>
      </c>
      <c r="F13" s="39">
        <f t="shared" si="1"/>
        <v>1</v>
      </c>
      <c r="G13" s="74"/>
      <c r="H13" s="38">
        <v>1</v>
      </c>
      <c r="J13" s="35" t="s">
        <v>407</v>
      </c>
      <c r="K13" s="36" t="s">
        <v>424</v>
      </c>
      <c r="Q13" s="38" t="s">
        <v>430</v>
      </c>
      <c r="S13" s="62">
        <v>10</v>
      </c>
      <c r="U13" s="35">
        <v>1</v>
      </c>
    </row>
    <row r="14" spans="1:21" x14ac:dyDescent="0.15">
      <c r="A14" s="34">
        <f t="shared" si="2"/>
        <v>211020801</v>
      </c>
      <c r="B14" s="36">
        <v>21</v>
      </c>
      <c r="C14" s="118">
        <v>1</v>
      </c>
      <c r="D14" s="123">
        <v>2</v>
      </c>
      <c r="E14" s="36">
        <v>8</v>
      </c>
      <c r="F14" s="39">
        <f t="shared" si="1"/>
        <v>1</v>
      </c>
      <c r="G14" s="74"/>
      <c r="H14" s="62">
        <v>1</v>
      </c>
      <c r="J14" s="35" t="s">
        <v>409</v>
      </c>
      <c r="K14" s="36" t="s">
        <v>424</v>
      </c>
      <c r="Q14" s="38" t="s">
        <v>430</v>
      </c>
      <c r="S14" s="38">
        <v>10</v>
      </c>
      <c r="U14" s="35">
        <v>1</v>
      </c>
    </row>
    <row r="15" spans="1:21" x14ac:dyDescent="0.15">
      <c r="A15" s="34">
        <f t="shared" si="2"/>
        <v>211021301</v>
      </c>
      <c r="B15" s="36">
        <v>21</v>
      </c>
      <c r="C15" s="118">
        <v>1</v>
      </c>
      <c r="D15" s="120">
        <v>2</v>
      </c>
      <c r="E15" s="36">
        <v>13</v>
      </c>
      <c r="F15" s="39">
        <f t="shared" si="1"/>
        <v>1</v>
      </c>
      <c r="G15" s="74"/>
      <c r="H15" s="62">
        <v>1</v>
      </c>
      <c r="J15" s="35" t="s">
        <v>412</v>
      </c>
      <c r="K15" s="36" t="s">
        <v>424</v>
      </c>
      <c r="Q15" s="38" t="s">
        <v>430</v>
      </c>
      <c r="S15" s="62">
        <v>10</v>
      </c>
      <c r="U15" s="35">
        <v>1</v>
      </c>
    </row>
    <row r="16" spans="1:21" x14ac:dyDescent="0.15">
      <c r="A16" s="34">
        <f t="shared" ref="A16" si="3">B16*10000000+C16*1000000+D16*10000+E16*100+F16</f>
        <v>211021201</v>
      </c>
      <c r="B16" s="36">
        <v>21</v>
      </c>
      <c r="C16" s="118">
        <v>1</v>
      </c>
      <c r="D16" s="120">
        <v>2</v>
      </c>
      <c r="E16" s="36">
        <v>12</v>
      </c>
      <c r="F16" s="39">
        <f t="shared" ref="F16" si="4">H16</f>
        <v>1</v>
      </c>
      <c r="G16" s="74"/>
      <c r="H16" s="62">
        <v>1</v>
      </c>
      <c r="J16" s="35" t="s">
        <v>533</v>
      </c>
      <c r="K16" s="36" t="s">
        <v>534</v>
      </c>
      <c r="L16" s="36" t="s">
        <v>535</v>
      </c>
      <c r="Q16" s="38" t="s">
        <v>430</v>
      </c>
      <c r="S16" s="62">
        <v>10</v>
      </c>
      <c r="U16" s="35">
        <v>1</v>
      </c>
    </row>
    <row r="17" spans="1:21" x14ac:dyDescent="0.15">
      <c r="A17" s="34">
        <f t="shared" si="2"/>
        <v>213010101</v>
      </c>
      <c r="B17" s="36">
        <v>21</v>
      </c>
      <c r="C17" s="36">
        <v>3</v>
      </c>
      <c r="D17" s="122">
        <v>1</v>
      </c>
      <c r="E17" s="36">
        <v>1</v>
      </c>
      <c r="F17" s="39">
        <f t="shared" si="1"/>
        <v>1</v>
      </c>
      <c r="G17" s="74"/>
      <c r="H17" s="62">
        <v>1</v>
      </c>
      <c r="J17" s="35" t="s">
        <v>413</v>
      </c>
      <c r="K17" s="36" t="s">
        <v>424</v>
      </c>
      <c r="Q17" s="38" t="s">
        <v>430</v>
      </c>
      <c r="S17" s="62">
        <v>500</v>
      </c>
      <c r="U17" s="35">
        <v>1</v>
      </c>
    </row>
    <row r="18" spans="1:21" x14ac:dyDescent="0.15">
      <c r="A18" s="34">
        <f t="shared" si="2"/>
        <v>213010201</v>
      </c>
      <c r="B18" s="36">
        <v>21</v>
      </c>
      <c r="C18" s="36">
        <v>3</v>
      </c>
      <c r="D18" s="122">
        <v>1</v>
      </c>
      <c r="E18" s="36">
        <v>2</v>
      </c>
      <c r="F18" s="39">
        <f t="shared" si="1"/>
        <v>1</v>
      </c>
      <c r="G18" s="74"/>
      <c r="H18" s="38">
        <v>1</v>
      </c>
      <c r="J18" s="35" t="s">
        <v>414</v>
      </c>
      <c r="K18" s="36" t="s">
        <v>424</v>
      </c>
      <c r="Q18" s="38" t="s">
        <v>430</v>
      </c>
      <c r="S18" s="38">
        <v>1000</v>
      </c>
      <c r="U18" s="35">
        <v>1</v>
      </c>
    </row>
    <row r="19" spans="1:21" x14ac:dyDescent="0.15">
      <c r="A19" s="34">
        <f t="shared" si="2"/>
        <v>213010301</v>
      </c>
      <c r="B19" s="36">
        <v>21</v>
      </c>
      <c r="C19" s="36">
        <v>3</v>
      </c>
      <c r="D19" s="122">
        <v>1</v>
      </c>
      <c r="E19" s="36">
        <v>3</v>
      </c>
      <c r="F19" s="39">
        <f t="shared" si="1"/>
        <v>1</v>
      </c>
      <c r="G19" s="74"/>
      <c r="H19" s="62">
        <v>1</v>
      </c>
      <c r="J19" s="35" t="s">
        <v>415</v>
      </c>
      <c r="K19" s="36" t="s">
        <v>424</v>
      </c>
      <c r="Q19" s="38" t="s">
        <v>430</v>
      </c>
      <c r="S19" s="38">
        <v>1000</v>
      </c>
      <c r="U19" s="35">
        <v>1</v>
      </c>
    </row>
    <row r="20" spans="1:21" x14ac:dyDescent="0.15">
      <c r="A20" s="34">
        <f t="shared" si="2"/>
        <v>213010401</v>
      </c>
      <c r="B20" s="36">
        <v>21</v>
      </c>
      <c r="C20" s="36">
        <v>3</v>
      </c>
      <c r="D20" s="122">
        <v>1</v>
      </c>
      <c r="E20" s="36">
        <v>4</v>
      </c>
      <c r="F20" s="39">
        <f t="shared" si="1"/>
        <v>1</v>
      </c>
      <c r="G20" s="74"/>
      <c r="H20" s="62">
        <v>1</v>
      </c>
      <c r="J20" s="35" t="s">
        <v>416</v>
      </c>
      <c r="K20" s="36" t="s">
        <v>424</v>
      </c>
      <c r="Q20" s="38" t="s">
        <v>430</v>
      </c>
      <c r="S20" s="38">
        <v>1000</v>
      </c>
      <c r="U20" s="35">
        <v>1</v>
      </c>
    </row>
    <row r="21" spans="1:21" x14ac:dyDescent="0.15">
      <c r="A21" s="34">
        <f t="shared" si="2"/>
        <v>213010501</v>
      </c>
      <c r="B21" s="36">
        <v>21</v>
      </c>
      <c r="C21" s="36">
        <v>3</v>
      </c>
      <c r="D21" s="122">
        <v>1</v>
      </c>
      <c r="E21" s="36">
        <v>5</v>
      </c>
      <c r="F21" s="39">
        <f>H21</f>
        <v>1</v>
      </c>
      <c r="G21" s="74"/>
      <c r="H21" s="62">
        <v>1</v>
      </c>
      <c r="J21" s="35" t="s">
        <v>482</v>
      </c>
      <c r="K21" s="36" t="s">
        <v>478</v>
      </c>
      <c r="Q21" s="38" t="s">
        <v>516</v>
      </c>
      <c r="S21" s="38">
        <v>1000</v>
      </c>
      <c r="U21" s="35">
        <v>1</v>
      </c>
    </row>
    <row r="22" spans="1:21" x14ac:dyDescent="0.15">
      <c r="A22" s="34">
        <f t="shared" si="2"/>
        <v>213010601</v>
      </c>
      <c r="B22" s="36">
        <v>21</v>
      </c>
      <c r="C22" s="36">
        <v>3</v>
      </c>
      <c r="D22" s="122">
        <v>1</v>
      </c>
      <c r="E22" s="36">
        <v>6</v>
      </c>
      <c r="F22" s="39">
        <f t="shared" ref="F22:F57" si="5">H22</f>
        <v>1</v>
      </c>
      <c r="G22" s="74"/>
      <c r="H22" s="62">
        <v>1</v>
      </c>
      <c r="J22" s="35" t="s">
        <v>483</v>
      </c>
      <c r="K22" s="36" t="s">
        <v>478</v>
      </c>
      <c r="Q22" s="38" t="s">
        <v>516</v>
      </c>
      <c r="S22" s="38">
        <v>1000</v>
      </c>
      <c r="U22" s="35">
        <v>1</v>
      </c>
    </row>
    <row r="23" spans="1:21" x14ac:dyDescent="0.15">
      <c r="A23" s="34">
        <f t="shared" si="2"/>
        <v>213010701</v>
      </c>
      <c r="B23" s="36">
        <v>21</v>
      </c>
      <c r="C23" s="36">
        <v>3</v>
      </c>
      <c r="D23" s="122">
        <v>1</v>
      </c>
      <c r="E23" s="36">
        <v>7</v>
      </c>
      <c r="F23" s="39">
        <f t="shared" si="5"/>
        <v>1</v>
      </c>
      <c r="G23" s="74"/>
      <c r="H23" s="62">
        <v>1</v>
      </c>
      <c r="J23" s="35" t="s">
        <v>484</v>
      </c>
      <c r="K23" s="36" t="s">
        <v>478</v>
      </c>
      <c r="Q23" s="38" t="s">
        <v>516</v>
      </c>
      <c r="S23" s="38">
        <v>1000</v>
      </c>
      <c r="U23" s="35">
        <v>1</v>
      </c>
    </row>
    <row r="24" spans="1:21" x14ac:dyDescent="0.15">
      <c r="A24" s="34">
        <f t="shared" si="2"/>
        <v>213010801</v>
      </c>
      <c r="B24" s="36">
        <v>21</v>
      </c>
      <c r="C24" s="36">
        <v>3</v>
      </c>
      <c r="D24" s="122">
        <v>1</v>
      </c>
      <c r="E24" s="36">
        <v>8</v>
      </c>
      <c r="F24" s="39">
        <f t="shared" si="5"/>
        <v>1</v>
      </c>
      <c r="G24" s="74"/>
      <c r="H24" s="62">
        <v>1</v>
      </c>
      <c r="J24" s="35" t="s">
        <v>491</v>
      </c>
      <c r="K24" s="36" t="s">
        <v>478</v>
      </c>
      <c r="Q24" s="38" t="s">
        <v>516</v>
      </c>
      <c r="S24" s="38">
        <v>1000</v>
      </c>
      <c r="U24" s="35">
        <v>1</v>
      </c>
    </row>
    <row r="25" spans="1:21" x14ac:dyDescent="0.15">
      <c r="A25" s="34">
        <f t="shared" si="2"/>
        <v>213010901</v>
      </c>
      <c r="B25" s="36">
        <v>21</v>
      </c>
      <c r="C25" s="36">
        <v>3</v>
      </c>
      <c r="D25" s="122">
        <v>1</v>
      </c>
      <c r="E25" s="36">
        <v>9</v>
      </c>
      <c r="F25" s="39">
        <f t="shared" si="5"/>
        <v>1</v>
      </c>
      <c r="G25" s="74"/>
      <c r="H25" s="62">
        <v>1</v>
      </c>
      <c r="J25" s="35" t="s">
        <v>485</v>
      </c>
      <c r="K25" s="36" t="s">
        <v>478</v>
      </c>
      <c r="Q25" s="38" t="s">
        <v>516</v>
      </c>
      <c r="S25" s="38">
        <v>1000</v>
      </c>
      <c r="U25" s="35">
        <v>1</v>
      </c>
    </row>
    <row r="26" spans="1:21" x14ac:dyDescent="0.15">
      <c r="A26" s="34">
        <f t="shared" si="2"/>
        <v>213011001</v>
      </c>
      <c r="B26" s="36">
        <v>21</v>
      </c>
      <c r="C26" s="36">
        <v>3</v>
      </c>
      <c r="D26" s="122">
        <v>1</v>
      </c>
      <c r="E26" s="36">
        <v>10</v>
      </c>
      <c r="F26" s="39">
        <f t="shared" si="5"/>
        <v>1</v>
      </c>
      <c r="G26" s="74"/>
      <c r="H26" s="62">
        <v>1</v>
      </c>
      <c r="J26" s="35" t="s">
        <v>486</v>
      </c>
      <c r="K26" s="36" t="s">
        <v>478</v>
      </c>
      <c r="Q26" s="38" t="s">
        <v>516</v>
      </c>
      <c r="S26" s="38">
        <v>1000</v>
      </c>
      <c r="U26" s="35">
        <v>1</v>
      </c>
    </row>
    <row r="27" spans="1:21" x14ac:dyDescent="0.15">
      <c r="A27" s="34">
        <f t="shared" si="2"/>
        <v>213011101</v>
      </c>
      <c r="B27" s="36">
        <v>21</v>
      </c>
      <c r="C27" s="36">
        <v>3</v>
      </c>
      <c r="D27" s="122">
        <v>1</v>
      </c>
      <c r="E27" s="36">
        <v>11</v>
      </c>
      <c r="F27" s="39">
        <f t="shared" si="5"/>
        <v>1</v>
      </c>
      <c r="G27" s="74"/>
      <c r="H27" s="62">
        <v>1</v>
      </c>
      <c r="J27" s="35" t="s">
        <v>487</v>
      </c>
      <c r="K27" s="36" t="s">
        <v>478</v>
      </c>
      <c r="Q27" s="38" t="s">
        <v>516</v>
      </c>
      <c r="S27" s="38">
        <v>1000</v>
      </c>
      <c r="U27" s="35">
        <v>1</v>
      </c>
    </row>
    <row r="28" spans="1:21" x14ac:dyDescent="0.15">
      <c r="A28" s="34">
        <f t="shared" si="2"/>
        <v>213011201</v>
      </c>
      <c r="B28" s="36">
        <v>21</v>
      </c>
      <c r="C28" s="36">
        <v>3</v>
      </c>
      <c r="D28" s="122">
        <v>1</v>
      </c>
      <c r="E28" s="36">
        <v>12</v>
      </c>
      <c r="F28" s="39">
        <f t="shared" si="5"/>
        <v>1</v>
      </c>
      <c r="G28" s="74"/>
      <c r="H28" s="62">
        <v>1</v>
      </c>
      <c r="J28" s="35" t="s">
        <v>497</v>
      </c>
      <c r="K28" s="36" t="s">
        <v>478</v>
      </c>
      <c r="Q28" s="38" t="s">
        <v>516</v>
      </c>
      <c r="S28" s="38">
        <v>1000</v>
      </c>
      <c r="U28" s="35">
        <v>1</v>
      </c>
    </row>
    <row r="29" spans="1:21" x14ac:dyDescent="0.15">
      <c r="A29" s="34">
        <f t="shared" si="2"/>
        <v>213011301</v>
      </c>
      <c r="B29" s="36">
        <v>21</v>
      </c>
      <c r="C29" s="36">
        <v>3</v>
      </c>
      <c r="D29" s="122">
        <v>1</v>
      </c>
      <c r="E29" s="36">
        <v>13</v>
      </c>
      <c r="F29" s="39">
        <f t="shared" si="5"/>
        <v>1</v>
      </c>
      <c r="G29" s="74"/>
      <c r="H29" s="62">
        <v>1</v>
      </c>
      <c r="J29" s="35" t="s">
        <v>501</v>
      </c>
      <c r="K29" s="36" t="s">
        <v>478</v>
      </c>
      <c r="Q29" s="38" t="s">
        <v>516</v>
      </c>
      <c r="S29" s="38">
        <v>1000</v>
      </c>
      <c r="U29" s="35">
        <v>1</v>
      </c>
    </row>
    <row r="30" spans="1:21" x14ac:dyDescent="0.15">
      <c r="A30" s="34">
        <f t="shared" si="2"/>
        <v>213011401</v>
      </c>
      <c r="B30" s="36">
        <v>21</v>
      </c>
      <c r="C30" s="36">
        <v>3</v>
      </c>
      <c r="D30" s="122">
        <v>1</v>
      </c>
      <c r="E30" s="36">
        <v>14</v>
      </c>
      <c r="F30" s="39">
        <f t="shared" si="5"/>
        <v>1</v>
      </c>
      <c r="G30" s="74"/>
      <c r="H30" s="62">
        <v>1</v>
      </c>
      <c r="J30" s="35" t="s">
        <v>502</v>
      </c>
      <c r="K30" s="36" t="s">
        <v>478</v>
      </c>
      <c r="Q30" s="38" t="s">
        <v>516</v>
      </c>
      <c r="S30" s="38">
        <v>1000</v>
      </c>
      <c r="U30" s="35">
        <v>1</v>
      </c>
    </row>
    <row r="31" spans="1:21" x14ac:dyDescent="0.15">
      <c r="A31" s="34">
        <f t="shared" si="2"/>
        <v>213011501</v>
      </c>
      <c r="B31" s="36">
        <v>21</v>
      </c>
      <c r="C31" s="36">
        <v>3</v>
      </c>
      <c r="D31" s="122">
        <v>1</v>
      </c>
      <c r="E31" s="36">
        <v>15</v>
      </c>
      <c r="F31" s="39">
        <f t="shared" si="5"/>
        <v>1</v>
      </c>
      <c r="G31" s="74"/>
      <c r="H31" s="62">
        <v>1</v>
      </c>
      <c r="J31" s="35" t="s">
        <v>507</v>
      </c>
      <c r="K31" s="36" t="s">
        <v>478</v>
      </c>
      <c r="Q31" s="38" t="s">
        <v>516</v>
      </c>
      <c r="S31" s="38">
        <v>1000</v>
      </c>
      <c r="U31" s="35">
        <v>1</v>
      </c>
    </row>
    <row r="32" spans="1:21" x14ac:dyDescent="0.15">
      <c r="A32" s="34">
        <f t="shared" si="2"/>
        <v>213011601</v>
      </c>
      <c r="B32" s="36">
        <v>21</v>
      </c>
      <c r="C32" s="36">
        <v>3</v>
      </c>
      <c r="D32" s="122">
        <v>1</v>
      </c>
      <c r="E32" s="36">
        <v>16</v>
      </c>
      <c r="F32" s="39">
        <f t="shared" si="5"/>
        <v>1</v>
      </c>
      <c r="G32" s="74"/>
      <c r="H32" s="62">
        <v>1</v>
      </c>
      <c r="J32" s="35" t="s">
        <v>515</v>
      </c>
      <c r="K32" s="36" t="s">
        <v>478</v>
      </c>
      <c r="Q32" s="38" t="s">
        <v>516</v>
      </c>
      <c r="S32" s="38">
        <v>1000</v>
      </c>
      <c r="U32" s="35">
        <v>1</v>
      </c>
    </row>
    <row r="33" spans="1:21" x14ac:dyDescent="0.15">
      <c r="A33" s="34">
        <f t="shared" si="2"/>
        <v>213011701</v>
      </c>
      <c r="B33" s="36">
        <v>21</v>
      </c>
      <c r="C33" s="36">
        <v>3</v>
      </c>
      <c r="D33" s="122">
        <v>1</v>
      </c>
      <c r="E33" s="36">
        <v>17</v>
      </c>
      <c r="F33" s="39">
        <f t="shared" si="5"/>
        <v>1</v>
      </c>
      <c r="G33" s="74"/>
      <c r="H33" s="62">
        <v>1</v>
      </c>
      <c r="J33" s="35" t="s">
        <v>509</v>
      </c>
      <c r="K33" s="36" t="s">
        <v>478</v>
      </c>
      <c r="Q33" s="38" t="s">
        <v>516</v>
      </c>
      <c r="S33" s="38">
        <v>1000</v>
      </c>
      <c r="U33" s="35">
        <v>1</v>
      </c>
    </row>
    <row r="34" spans="1:21" x14ac:dyDescent="0.15">
      <c r="A34" s="34">
        <f t="shared" si="2"/>
        <v>213011801</v>
      </c>
      <c r="B34" s="36">
        <v>21</v>
      </c>
      <c r="C34" s="36">
        <v>3</v>
      </c>
      <c r="D34" s="122">
        <v>1</v>
      </c>
      <c r="E34" s="36">
        <v>18</v>
      </c>
      <c r="F34" s="39">
        <f t="shared" si="5"/>
        <v>1</v>
      </c>
      <c r="G34" s="74"/>
      <c r="H34" s="62">
        <v>1</v>
      </c>
      <c r="J34" s="35" t="s">
        <v>510</v>
      </c>
      <c r="K34" s="36" t="s">
        <v>478</v>
      </c>
      <c r="Q34" s="38" t="s">
        <v>516</v>
      </c>
      <c r="R34" s="89" t="s">
        <v>536</v>
      </c>
      <c r="S34" s="38">
        <v>1000</v>
      </c>
      <c r="U34" s="35">
        <v>1</v>
      </c>
    </row>
    <row r="35" spans="1:21" x14ac:dyDescent="0.15">
      <c r="A35" s="34">
        <f t="shared" si="2"/>
        <v>213011901</v>
      </c>
      <c r="B35" s="36">
        <v>21</v>
      </c>
      <c r="C35" s="36">
        <v>3</v>
      </c>
      <c r="D35" s="122">
        <v>1</v>
      </c>
      <c r="E35" s="36">
        <v>19</v>
      </c>
      <c r="F35" s="39">
        <f t="shared" si="5"/>
        <v>1</v>
      </c>
      <c r="G35" s="74"/>
      <c r="H35" s="62">
        <v>1</v>
      </c>
      <c r="J35" s="35" t="s">
        <v>512</v>
      </c>
      <c r="K35" s="36" t="s">
        <v>478</v>
      </c>
      <c r="Q35" s="38" t="s">
        <v>516</v>
      </c>
      <c r="S35" s="38">
        <v>1000</v>
      </c>
      <c r="U35" s="35">
        <v>1</v>
      </c>
    </row>
    <row r="36" spans="1:21" x14ac:dyDescent="0.15">
      <c r="A36" s="34">
        <f t="shared" si="2"/>
        <v>212010101</v>
      </c>
      <c r="B36" s="36">
        <v>21</v>
      </c>
      <c r="C36" s="119">
        <v>2</v>
      </c>
      <c r="D36" s="122">
        <v>1</v>
      </c>
      <c r="E36" s="36">
        <v>1</v>
      </c>
      <c r="F36" s="39">
        <f t="shared" si="5"/>
        <v>1</v>
      </c>
      <c r="G36" s="74"/>
      <c r="H36" s="62">
        <v>1</v>
      </c>
      <c r="J36" s="35" t="s">
        <v>522</v>
      </c>
      <c r="K36" s="36" t="s">
        <v>531</v>
      </c>
      <c r="Q36" s="38" t="s">
        <v>532</v>
      </c>
      <c r="S36" s="38">
        <v>10</v>
      </c>
      <c r="U36" s="35">
        <v>1</v>
      </c>
    </row>
    <row r="37" spans="1:21" x14ac:dyDescent="0.15">
      <c r="A37" s="34">
        <f t="shared" si="2"/>
        <v>212010201</v>
      </c>
      <c r="B37" s="36">
        <v>21</v>
      </c>
      <c r="C37" s="119">
        <v>2</v>
      </c>
      <c r="D37" s="122">
        <v>1</v>
      </c>
      <c r="E37" s="36">
        <v>2</v>
      </c>
      <c r="F37" s="39">
        <f t="shared" si="5"/>
        <v>1</v>
      </c>
      <c r="G37" s="74"/>
      <c r="H37" s="62">
        <v>1</v>
      </c>
      <c r="J37" s="35" t="s">
        <v>523</v>
      </c>
      <c r="K37" s="36" t="s">
        <v>531</v>
      </c>
      <c r="Q37" s="38" t="s">
        <v>532</v>
      </c>
      <c r="S37" s="38">
        <v>100</v>
      </c>
      <c r="U37" s="35">
        <v>1</v>
      </c>
    </row>
    <row r="38" spans="1:21" x14ac:dyDescent="0.15">
      <c r="A38" s="34">
        <f t="shared" si="2"/>
        <v>212010301</v>
      </c>
      <c r="B38" s="36">
        <v>21</v>
      </c>
      <c r="C38" s="119">
        <v>2</v>
      </c>
      <c r="D38" s="122">
        <v>1</v>
      </c>
      <c r="E38" s="36">
        <v>3</v>
      </c>
      <c r="F38" s="39">
        <f t="shared" si="5"/>
        <v>1</v>
      </c>
      <c r="G38" s="74"/>
      <c r="H38" s="62">
        <v>1</v>
      </c>
      <c r="J38" s="35" t="s">
        <v>524</v>
      </c>
      <c r="K38" s="36" t="s">
        <v>531</v>
      </c>
      <c r="Q38" s="38" t="s">
        <v>532</v>
      </c>
      <c r="S38" s="38">
        <v>1000</v>
      </c>
      <c r="U38" s="35">
        <v>1</v>
      </c>
    </row>
    <row r="39" spans="1:21" x14ac:dyDescent="0.15">
      <c r="A39" s="34">
        <f t="shared" si="2"/>
        <v>212020101</v>
      </c>
      <c r="B39" s="36">
        <v>21</v>
      </c>
      <c r="C39" s="119">
        <v>2</v>
      </c>
      <c r="D39" s="123">
        <v>2</v>
      </c>
      <c r="E39" s="36">
        <v>1</v>
      </c>
      <c r="F39" s="39">
        <f t="shared" si="5"/>
        <v>1</v>
      </c>
      <c r="G39" s="74"/>
      <c r="H39" s="62">
        <v>1</v>
      </c>
      <c r="J39" s="35" t="s">
        <v>417</v>
      </c>
      <c r="K39" s="36" t="s">
        <v>424</v>
      </c>
      <c r="Q39" s="38" t="s">
        <v>430</v>
      </c>
      <c r="S39" s="38">
        <v>10</v>
      </c>
      <c r="U39" s="35">
        <v>1</v>
      </c>
    </row>
    <row r="40" spans="1:21" x14ac:dyDescent="0.15">
      <c r="A40" s="34">
        <f t="shared" si="2"/>
        <v>212020201</v>
      </c>
      <c r="B40" s="36">
        <v>21</v>
      </c>
      <c r="C40" s="119">
        <v>2</v>
      </c>
      <c r="D40" s="123">
        <v>2</v>
      </c>
      <c r="E40" s="36">
        <v>2</v>
      </c>
      <c r="F40" s="39">
        <f t="shared" si="5"/>
        <v>1</v>
      </c>
      <c r="G40" s="74"/>
      <c r="H40" s="38">
        <v>1</v>
      </c>
      <c r="J40" s="35" t="s">
        <v>418</v>
      </c>
      <c r="K40" s="36" t="s">
        <v>424</v>
      </c>
      <c r="Q40" s="38" t="s">
        <v>430</v>
      </c>
      <c r="S40" s="38">
        <v>100</v>
      </c>
      <c r="U40" s="35">
        <v>1</v>
      </c>
    </row>
    <row r="41" spans="1:21" x14ac:dyDescent="0.15">
      <c r="A41" s="34">
        <f t="shared" si="2"/>
        <v>212020301</v>
      </c>
      <c r="B41" s="36">
        <v>21</v>
      </c>
      <c r="C41" s="119">
        <v>2</v>
      </c>
      <c r="D41" s="123">
        <v>2</v>
      </c>
      <c r="E41" s="36">
        <v>3</v>
      </c>
      <c r="F41" s="39">
        <f t="shared" si="5"/>
        <v>1</v>
      </c>
      <c r="G41" s="74"/>
      <c r="H41" s="62">
        <v>1</v>
      </c>
      <c r="J41" s="35" t="s">
        <v>419</v>
      </c>
      <c r="K41" s="36" t="s">
        <v>424</v>
      </c>
      <c r="Q41" s="38" t="s">
        <v>430</v>
      </c>
      <c r="S41" s="38">
        <v>1000</v>
      </c>
      <c r="U41" s="35">
        <v>1</v>
      </c>
    </row>
    <row r="42" spans="1:21" x14ac:dyDescent="0.15">
      <c r="A42" s="34">
        <f t="shared" si="2"/>
        <v>212030101</v>
      </c>
      <c r="B42" s="36">
        <v>21</v>
      </c>
      <c r="C42" s="119">
        <v>2</v>
      </c>
      <c r="D42" s="124">
        <v>3</v>
      </c>
      <c r="E42" s="36">
        <v>1</v>
      </c>
      <c r="F42" s="39">
        <f t="shared" si="5"/>
        <v>1</v>
      </c>
      <c r="G42" s="74"/>
      <c r="H42" s="62">
        <v>1</v>
      </c>
      <c r="J42" s="35" t="s">
        <v>420</v>
      </c>
      <c r="K42" s="36" t="s">
        <v>424</v>
      </c>
      <c r="Q42" s="38" t="s">
        <v>430</v>
      </c>
      <c r="S42" s="38">
        <v>10</v>
      </c>
      <c r="U42" s="35">
        <v>1</v>
      </c>
    </row>
    <row r="43" spans="1:21" x14ac:dyDescent="0.15">
      <c r="A43" s="34">
        <f t="shared" si="2"/>
        <v>212030201</v>
      </c>
      <c r="B43" s="36">
        <v>21</v>
      </c>
      <c r="C43" s="119">
        <v>2</v>
      </c>
      <c r="D43" s="124">
        <v>3</v>
      </c>
      <c r="E43" s="36">
        <v>2</v>
      </c>
      <c r="F43" s="39">
        <f t="shared" si="5"/>
        <v>1</v>
      </c>
      <c r="G43" s="74"/>
      <c r="H43" s="62">
        <v>1</v>
      </c>
      <c r="J43" s="35" t="s">
        <v>421</v>
      </c>
      <c r="K43" s="36" t="s">
        <v>424</v>
      </c>
      <c r="Q43" s="38" t="s">
        <v>430</v>
      </c>
      <c r="S43" s="38">
        <v>100</v>
      </c>
      <c r="U43" s="35">
        <v>1</v>
      </c>
    </row>
    <row r="44" spans="1:21" x14ac:dyDescent="0.15">
      <c r="A44" s="34">
        <f t="shared" si="2"/>
        <v>212030301</v>
      </c>
      <c r="B44" s="36">
        <v>21</v>
      </c>
      <c r="C44" s="119">
        <v>2</v>
      </c>
      <c r="D44" s="124">
        <v>3</v>
      </c>
      <c r="E44" s="36">
        <v>3</v>
      </c>
      <c r="F44" s="39">
        <f t="shared" si="5"/>
        <v>1</v>
      </c>
      <c r="G44" s="74"/>
      <c r="H44" s="38">
        <v>1</v>
      </c>
      <c r="J44" s="35" t="s">
        <v>422</v>
      </c>
      <c r="K44" s="36" t="s">
        <v>424</v>
      </c>
      <c r="Q44" s="38" t="s">
        <v>430</v>
      </c>
      <c r="S44" s="38">
        <v>1000</v>
      </c>
      <c r="U44" s="35">
        <v>1</v>
      </c>
    </row>
    <row r="45" spans="1:21" x14ac:dyDescent="0.15">
      <c r="A45" s="34">
        <f t="shared" ref="A45:A47" si="6">B45*10000000+C45*1000000+D45*10000+E45*100+F45</f>
        <v>212040101</v>
      </c>
      <c r="B45" s="36">
        <v>21</v>
      </c>
      <c r="C45" s="119">
        <v>2</v>
      </c>
      <c r="D45" s="125">
        <v>4</v>
      </c>
      <c r="E45" s="36">
        <v>1</v>
      </c>
      <c r="F45" s="39">
        <f t="shared" si="5"/>
        <v>1</v>
      </c>
      <c r="G45" s="74"/>
      <c r="H45" s="62">
        <v>1</v>
      </c>
      <c r="J45" s="35" t="s">
        <v>525</v>
      </c>
      <c r="K45" s="36" t="s">
        <v>424</v>
      </c>
      <c r="Q45" s="38" t="s">
        <v>430</v>
      </c>
      <c r="S45" s="38">
        <v>10</v>
      </c>
      <c r="U45" s="35">
        <v>1</v>
      </c>
    </row>
    <row r="46" spans="1:21" x14ac:dyDescent="0.15">
      <c r="A46" s="34">
        <f t="shared" si="6"/>
        <v>212040201</v>
      </c>
      <c r="B46" s="36">
        <v>21</v>
      </c>
      <c r="C46" s="119">
        <v>2</v>
      </c>
      <c r="D46" s="125">
        <v>4</v>
      </c>
      <c r="E46" s="36">
        <v>2</v>
      </c>
      <c r="F46" s="39">
        <f t="shared" si="5"/>
        <v>1</v>
      </c>
      <c r="G46" s="74"/>
      <c r="H46" s="62">
        <v>1</v>
      </c>
      <c r="J46" s="35" t="s">
        <v>526</v>
      </c>
      <c r="K46" s="36" t="s">
        <v>424</v>
      </c>
      <c r="Q46" s="38" t="s">
        <v>430</v>
      </c>
      <c r="S46" s="38">
        <v>100</v>
      </c>
      <c r="U46" s="35">
        <v>1</v>
      </c>
    </row>
    <row r="47" spans="1:21" x14ac:dyDescent="0.15">
      <c r="A47" s="34">
        <f t="shared" si="6"/>
        <v>212040301</v>
      </c>
      <c r="B47" s="36">
        <v>21</v>
      </c>
      <c r="C47" s="119">
        <v>2</v>
      </c>
      <c r="D47" s="125">
        <v>4</v>
      </c>
      <c r="E47" s="36">
        <v>3</v>
      </c>
      <c r="F47" s="39">
        <f t="shared" si="5"/>
        <v>1</v>
      </c>
      <c r="G47" s="74"/>
      <c r="H47" s="38">
        <v>1</v>
      </c>
      <c r="J47" s="35" t="s">
        <v>527</v>
      </c>
      <c r="K47" s="36" t="s">
        <v>424</v>
      </c>
      <c r="Q47" s="38" t="s">
        <v>430</v>
      </c>
      <c r="S47" s="38">
        <v>1000</v>
      </c>
      <c r="U47" s="35">
        <v>1</v>
      </c>
    </row>
    <row r="48" spans="1:21" x14ac:dyDescent="0.15">
      <c r="A48" s="34">
        <f t="shared" ref="A48:A50" si="7">B48*10000000+C48*1000000+D48*10000+E48*100+F48</f>
        <v>212050101</v>
      </c>
      <c r="B48" s="36">
        <v>21</v>
      </c>
      <c r="C48" s="119">
        <v>2</v>
      </c>
      <c r="D48" s="126">
        <v>5</v>
      </c>
      <c r="E48" s="36">
        <v>1</v>
      </c>
      <c r="F48" s="39">
        <f t="shared" si="5"/>
        <v>1</v>
      </c>
      <c r="G48" s="74"/>
      <c r="H48" s="62">
        <v>1</v>
      </c>
      <c r="J48" s="35" t="s">
        <v>528</v>
      </c>
      <c r="K48" s="36" t="s">
        <v>424</v>
      </c>
      <c r="Q48" s="38" t="s">
        <v>430</v>
      </c>
      <c r="S48" s="38">
        <v>10</v>
      </c>
      <c r="U48" s="35">
        <v>1</v>
      </c>
    </row>
    <row r="49" spans="1:21" x14ac:dyDescent="0.15">
      <c r="A49" s="34">
        <f t="shared" si="7"/>
        <v>212050201</v>
      </c>
      <c r="B49" s="36">
        <v>21</v>
      </c>
      <c r="C49" s="119">
        <v>2</v>
      </c>
      <c r="D49" s="126">
        <v>5</v>
      </c>
      <c r="E49" s="36">
        <v>2</v>
      </c>
      <c r="F49" s="39">
        <f t="shared" si="5"/>
        <v>1</v>
      </c>
      <c r="G49" s="74"/>
      <c r="H49" s="62">
        <v>1</v>
      </c>
      <c r="J49" s="35" t="s">
        <v>529</v>
      </c>
      <c r="K49" s="36" t="s">
        <v>424</v>
      </c>
      <c r="Q49" s="38" t="s">
        <v>430</v>
      </c>
      <c r="S49" s="38">
        <v>100</v>
      </c>
      <c r="U49" s="35">
        <v>1</v>
      </c>
    </row>
    <row r="50" spans="1:21" x14ac:dyDescent="0.15">
      <c r="A50" s="34">
        <f t="shared" si="7"/>
        <v>212050301</v>
      </c>
      <c r="B50" s="36">
        <v>21</v>
      </c>
      <c r="C50" s="119">
        <v>2</v>
      </c>
      <c r="D50" s="126">
        <v>5</v>
      </c>
      <c r="E50" s="36">
        <v>3</v>
      </c>
      <c r="F50" s="39">
        <f t="shared" si="5"/>
        <v>1</v>
      </c>
      <c r="G50" s="74"/>
      <c r="H50" s="38">
        <v>1</v>
      </c>
      <c r="J50" s="35" t="s">
        <v>530</v>
      </c>
      <c r="K50" s="36" t="s">
        <v>424</v>
      </c>
      <c r="Q50" s="38" t="s">
        <v>430</v>
      </c>
      <c r="S50" s="38">
        <v>1000</v>
      </c>
      <c r="U50" s="35">
        <v>1</v>
      </c>
    </row>
    <row r="51" spans="1:21" x14ac:dyDescent="0.15">
      <c r="A51" s="34">
        <f t="shared" si="2"/>
        <v>211010601</v>
      </c>
      <c r="B51" s="36">
        <v>21</v>
      </c>
      <c r="C51" s="118">
        <v>1</v>
      </c>
      <c r="D51" s="122">
        <v>1</v>
      </c>
      <c r="E51" s="36">
        <v>6</v>
      </c>
      <c r="F51" s="39">
        <f t="shared" si="5"/>
        <v>1</v>
      </c>
      <c r="G51" s="74"/>
      <c r="H51" s="62">
        <v>1</v>
      </c>
      <c r="J51" s="35" t="s">
        <v>404</v>
      </c>
      <c r="K51" s="36" t="s">
        <v>426</v>
      </c>
      <c r="Q51" s="38" t="s">
        <v>430</v>
      </c>
      <c r="S51" s="38">
        <v>10</v>
      </c>
      <c r="U51" s="35">
        <v>1</v>
      </c>
    </row>
    <row r="52" spans="1:21" x14ac:dyDescent="0.15">
      <c r="A52" s="34">
        <f t="shared" si="2"/>
        <v>211021101</v>
      </c>
      <c r="B52" s="36">
        <v>21</v>
      </c>
      <c r="C52" s="118">
        <v>1</v>
      </c>
      <c r="D52" s="123">
        <v>2</v>
      </c>
      <c r="E52" s="36">
        <v>11</v>
      </c>
      <c r="F52" s="39">
        <f t="shared" si="5"/>
        <v>1</v>
      </c>
      <c r="G52" s="74"/>
      <c r="H52" s="62">
        <v>1</v>
      </c>
      <c r="J52" s="35" t="s">
        <v>406</v>
      </c>
      <c r="K52" s="36" t="s">
        <v>426</v>
      </c>
      <c r="Q52" s="38" t="s">
        <v>430</v>
      </c>
      <c r="S52" s="62">
        <v>10</v>
      </c>
      <c r="U52" s="35">
        <v>1</v>
      </c>
    </row>
    <row r="53" spans="1:21" x14ac:dyDescent="0.15">
      <c r="A53" s="34">
        <f t="shared" si="2"/>
        <v>211010401</v>
      </c>
      <c r="B53" s="36">
        <v>21</v>
      </c>
      <c r="C53" s="118">
        <v>1</v>
      </c>
      <c r="D53" s="122">
        <v>1</v>
      </c>
      <c r="E53" s="36">
        <v>4</v>
      </c>
      <c r="F53" s="39">
        <f t="shared" si="5"/>
        <v>1</v>
      </c>
      <c r="G53" s="74"/>
      <c r="H53" s="62">
        <v>1</v>
      </c>
      <c r="J53" s="35" t="s">
        <v>405</v>
      </c>
      <c r="K53" s="36" t="s">
        <v>425</v>
      </c>
      <c r="Q53" s="38" t="s">
        <v>430</v>
      </c>
      <c r="S53" s="62">
        <v>10</v>
      </c>
      <c r="U53" s="35">
        <v>1</v>
      </c>
    </row>
    <row r="54" spans="1:21" x14ac:dyDescent="0.15">
      <c r="A54" s="34">
        <f t="shared" si="2"/>
        <v>211020701</v>
      </c>
      <c r="B54" s="36">
        <v>21</v>
      </c>
      <c r="C54" s="118">
        <v>1</v>
      </c>
      <c r="D54" s="123">
        <v>2</v>
      </c>
      <c r="E54" s="36">
        <v>7</v>
      </c>
      <c r="F54" s="39">
        <f t="shared" si="5"/>
        <v>1</v>
      </c>
      <c r="G54" s="74"/>
      <c r="H54" s="38">
        <v>1</v>
      </c>
      <c r="J54" s="35" t="s">
        <v>408</v>
      </c>
      <c r="K54" s="36" t="s">
        <v>425</v>
      </c>
      <c r="Q54" s="38" t="s">
        <v>430</v>
      </c>
      <c r="S54" s="38">
        <v>10</v>
      </c>
      <c r="U54" s="35">
        <v>1</v>
      </c>
    </row>
    <row r="55" spans="1:21" x14ac:dyDescent="0.15">
      <c r="A55" s="34">
        <f t="shared" si="2"/>
        <v>211020901</v>
      </c>
      <c r="B55" s="36">
        <v>21</v>
      </c>
      <c r="C55" s="118">
        <v>1</v>
      </c>
      <c r="D55" s="123">
        <v>2</v>
      </c>
      <c r="E55" s="36">
        <v>9</v>
      </c>
      <c r="F55" s="39">
        <f t="shared" si="5"/>
        <v>1</v>
      </c>
      <c r="G55" s="74"/>
      <c r="H55" s="62">
        <v>1</v>
      </c>
      <c r="J55" s="35" t="s">
        <v>410</v>
      </c>
      <c r="K55" s="36" t="s">
        <v>425</v>
      </c>
      <c r="Q55" s="38" t="s">
        <v>430</v>
      </c>
      <c r="S55" s="62">
        <v>10</v>
      </c>
      <c r="U55" s="35">
        <v>1</v>
      </c>
    </row>
    <row r="56" spans="1:21" x14ac:dyDescent="0.15">
      <c r="A56" s="34">
        <f t="shared" si="2"/>
        <v>211020301</v>
      </c>
      <c r="B56" s="36">
        <v>21</v>
      </c>
      <c r="C56" s="118">
        <v>1</v>
      </c>
      <c r="D56" s="123">
        <v>2</v>
      </c>
      <c r="E56" s="36">
        <v>3</v>
      </c>
      <c r="F56" s="39">
        <f t="shared" si="5"/>
        <v>1</v>
      </c>
      <c r="G56" s="74"/>
      <c r="H56" s="62">
        <v>1</v>
      </c>
      <c r="J56" s="35" t="s">
        <v>411</v>
      </c>
      <c r="K56" s="36" t="s">
        <v>425</v>
      </c>
      <c r="Q56" s="38" t="s">
        <v>430</v>
      </c>
      <c r="S56" s="62">
        <v>10</v>
      </c>
      <c r="U56" s="35">
        <v>1</v>
      </c>
    </row>
    <row r="57" spans="1:21" x14ac:dyDescent="0.15">
      <c r="A57" s="34">
        <f t="shared" si="2"/>
        <v>211020501</v>
      </c>
      <c r="B57" s="36">
        <v>21</v>
      </c>
      <c r="C57" s="118">
        <v>1</v>
      </c>
      <c r="D57" s="123">
        <v>2</v>
      </c>
      <c r="E57" s="36">
        <v>5</v>
      </c>
      <c r="F57" s="39">
        <f t="shared" si="5"/>
        <v>1</v>
      </c>
      <c r="G57" s="74"/>
      <c r="H57" s="62">
        <v>1</v>
      </c>
      <c r="J57" s="35" t="s">
        <v>446</v>
      </c>
      <c r="K57" s="36" t="s">
        <v>425</v>
      </c>
      <c r="Q57" s="38" t="s">
        <v>430</v>
      </c>
      <c r="S57" s="38">
        <v>10</v>
      </c>
      <c r="U57" s="35">
        <v>1</v>
      </c>
    </row>
    <row r="58" spans="1:21" x14ac:dyDescent="0.15">
      <c r="G58" s="74"/>
      <c r="Q58" s="38" t="s">
        <v>430</v>
      </c>
      <c r="S58" s="62">
        <v>10</v>
      </c>
      <c r="U58" s="35">
        <v>1</v>
      </c>
    </row>
    <row r="59" spans="1:21" x14ac:dyDescent="0.15">
      <c r="G59" s="74"/>
      <c r="Q59" s="38" t="s">
        <v>430</v>
      </c>
      <c r="S59" s="38">
        <v>10</v>
      </c>
      <c r="U59" s="35">
        <v>1</v>
      </c>
    </row>
    <row r="60" spans="1:21" x14ac:dyDescent="0.15">
      <c r="G60" s="74"/>
    </row>
    <row r="61" spans="1:21" x14ac:dyDescent="0.15">
      <c r="G61" s="74"/>
    </row>
    <row r="62" spans="1:21" x14ac:dyDescent="0.15">
      <c r="G62" s="74"/>
    </row>
    <row r="63" spans="1:21" x14ac:dyDescent="0.15">
      <c r="G63" s="74"/>
    </row>
    <row r="64" spans="1:21" x14ac:dyDescent="0.15">
      <c r="G64" s="74"/>
    </row>
    <row r="65" spans="7:7" x14ac:dyDescent="0.15">
      <c r="G65" s="74"/>
    </row>
    <row r="66" spans="7:7" x14ac:dyDescent="0.15">
      <c r="G66" s="74"/>
    </row>
    <row r="67" spans="7:7" x14ac:dyDescent="0.15">
      <c r="G67" s="74"/>
    </row>
    <row r="68" spans="7:7" ht="17.25" thickBot="1" x14ac:dyDescent="0.2">
      <c r="G68" s="74"/>
    </row>
    <row r="69" spans="7:7" x14ac:dyDescent="0.15">
      <c r="G69" s="73"/>
    </row>
    <row r="70" spans="7:7" x14ac:dyDescent="0.15">
      <c r="G70" s="74"/>
    </row>
    <row r="71" spans="7:7" x14ac:dyDescent="0.15">
      <c r="G71" s="74"/>
    </row>
    <row r="72" spans="7:7" x14ac:dyDescent="0.15">
      <c r="G72" s="74"/>
    </row>
    <row r="73" spans="7:7" x14ac:dyDescent="0.15">
      <c r="G73" s="74"/>
    </row>
    <row r="74" spans="7:7" x14ac:dyDescent="0.15">
      <c r="G74" s="74"/>
    </row>
    <row r="75" spans="7:7" x14ac:dyDescent="0.15">
      <c r="G75" s="74"/>
    </row>
    <row r="76" spans="7:7" x14ac:dyDescent="0.15">
      <c r="G76" s="74"/>
    </row>
    <row r="77" spans="7:7" x14ac:dyDescent="0.15">
      <c r="G77" s="74"/>
    </row>
    <row r="78" spans="7:7" x14ac:dyDescent="0.15">
      <c r="G78" s="74"/>
    </row>
    <row r="79" spans="7:7" x14ac:dyDescent="0.15">
      <c r="G79" s="74"/>
    </row>
    <row r="80" spans="7:7" x14ac:dyDescent="0.15">
      <c r="G80" s="74"/>
    </row>
    <row r="81" spans="7:7" x14ac:dyDescent="0.15">
      <c r="G81" s="74"/>
    </row>
    <row r="82" spans="7:7" x14ac:dyDescent="0.15">
      <c r="G82" s="74"/>
    </row>
    <row r="83" spans="7:7" x14ac:dyDescent="0.15">
      <c r="G83" s="74"/>
    </row>
    <row r="84" spans="7:7" x14ac:dyDescent="0.15">
      <c r="G84" s="74"/>
    </row>
    <row r="85" spans="7:7" x14ac:dyDescent="0.15">
      <c r="G85" s="74"/>
    </row>
    <row r="86" spans="7:7" x14ac:dyDescent="0.15">
      <c r="G86" s="74"/>
    </row>
    <row r="87" spans="7:7" x14ac:dyDescent="0.15">
      <c r="G87" s="74"/>
    </row>
    <row r="88" spans="7:7" ht="17.25" thickBot="1" x14ac:dyDescent="0.2">
      <c r="G88" s="74"/>
    </row>
    <row r="89" spans="7:7" x14ac:dyDescent="0.15">
      <c r="G89" s="73"/>
    </row>
    <row r="90" spans="7:7" x14ac:dyDescent="0.15">
      <c r="G90" s="74"/>
    </row>
    <row r="91" spans="7:7" x14ac:dyDescent="0.15">
      <c r="G91" s="74"/>
    </row>
    <row r="92" spans="7:7" x14ac:dyDescent="0.15">
      <c r="G92" s="74"/>
    </row>
    <row r="93" spans="7:7" x14ac:dyDescent="0.15">
      <c r="G93" s="74"/>
    </row>
    <row r="94" spans="7:7" x14ac:dyDescent="0.15">
      <c r="G94" s="74"/>
    </row>
    <row r="95" spans="7:7" x14ac:dyDescent="0.15">
      <c r="G95" s="74"/>
    </row>
    <row r="96" spans="7:7" x14ac:dyDescent="0.15">
      <c r="G96" s="74"/>
    </row>
    <row r="97" spans="7:7" x14ac:dyDescent="0.15">
      <c r="G97" s="74"/>
    </row>
    <row r="98" spans="7:7" x14ac:dyDescent="0.15">
      <c r="G98" s="74"/>
    </row>
    <row r="99" spans="7:7" x14ac:dyDescent="0.15">
      <c r="G99" s="74"/>
    </row>
    <row r="100" spans="7:7" x14ac:dyDescent="0.15">
      <c r="G100" s="74"/>
    </row>
    <row r="101" spans="7:7" x14ac:dyDescent="0.15">
      <c r="G101" s="74"/>
    </row>
    <row r="102" spans="7:7" x14ac:dyDescent="0.15">
      <c r="G102" s="74"/>
    </row>
    <row r="103" spans="7:7" x14ac:dyDescent="0.15">
      <c r="G103" s="74"/>
    </row>
    <row r="104" spans="7:7" x14ac:dyDescent="0.15">
      <c r="G104" s="74"/>
    </row>
    <row r="105" spans="7:7" x14ac:dyDescent="0.15">
      <c r="G105" s="74"/>
    </row>
    <row r="106" spans="7:7" x14ac:dyDescent="0.15">
      <c r="G106" s="74"/>
    </row>
    <row r="107" spans="7:7" x14ac:dyDescent="0.15">
      <c r="G107" s="74"/>
    </row>
    <row r="108" spans="7:7" ht="17.25" thickBot="1" x14ac:dyDescent="0.2">
      <c r="G108" s="75"/>
    </row>
  </sheetData>
  <phoneticPr fontId="12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24"/>
  <sheetViews>
    <sheetView workbookViewId="0">
      <selection activeCell="F17" sqref="F17"/>
    </sheetView>
  </sheetViews>
  <sheetFormatPr defaultRowHeight="16.5" x14ac:dyDescent="0.15"/>
  <cols>
    <col min="1" max="2" width="11.25" style="56" bestFit="1" customWidth="1"/>
    <col min="3" max="16384" width="9" style="116"/>
  </cols>
  <sheetData>
    <row r="1" spans="1:2" x14ac:dyDescent="0.15">
      <c r="A1" s="56" t="s">
        <v>60</v>
      </c>
      <c r="B1" s="56" t="s">
        <v>60</v>
      </c>
    </row>
    <row r="2" spans="1:2" x14ac:dyDescent="0.15">
      <c r="A2" s="56" t="s">
        <v>61</v>
      </c>
      <c r="B2" s="56" t="s">
        <v>61</v>
      </c>
    </row>
    <row r="3" spans="1:2" x14ac:dyDescent="0.15">
      <c r="A3" s="56" t="s">
        <v>743</v>
      </c>
      <c r="B3" s="56" t="s">
        <v>594</v>
      </c>
    </row>
    <row r="4" spans="1:2" ht="17.25" thickBot="1" x14ac:dyDescent="0.2">
      <c r="A4" s="58" t="s">
        <v>595</v>
      </c>
      <c r="B4" s="58" t="s">
        <v>596</v>
      </c>
    </row>
    <row r="5" spans="1:2" x14ac:dyDescent="0.15">
      <c r="A5" s="56">
        <v>1</v>
      </c>
      <c r="B5" s="56">
        <v>1000</v>
      </c>
    </row>
    <row r="6" spans="1:2" x14ac:dyDescent="0.15">
      <c r="A6" s="56">
        <v>2</v>
      </c>
      <c r="B6" s="56">
        <v>10000</v>
      </c>
    </row>
    <row r="7" spans="1:2" x14ac:dyDescent="0.15">
      <c r="A7" s="56">
        <v>3</v>
      </c>
      <c r="B7" s="56">
        <v>19000</v>
      </c>
    </row>
    <row r="8" spans="1:2" x14ac:dyDescent="0.15">
      <c r="A8" s="56">
        <v>4</v>
      </c>
      <c r="B8" s="56">
        <v>28000</v>
      </c>
    </row>
    <row r="9" spans="1:2" x14ac:dyDescent="0.15">
      <c r="A9" s="56">
        <v>5</v>
      </c>
      <c r="B9" s="56">
        <v>37000</v>
      </c>
    </row>
    <row r="10" spans="1:2" x14ac:dyDescent="0.15">
      <c r="A10" s="56">
        <v>6</v>
      </c>
      <c r="B10" s="56">
        <v>46000</v>
      </c>
    </row>
    <row r="11" spans="1:2" x14ac:dyDescent="0.15">
      <c r="A11" s="56">
        <v>7</v>
      </c>
      <c r="B11" s="56">
        <v>55000</v>
      </c>
    </row>
    <row r="12" spans="1:2" x14ac:dyDescent="0.15">
      <c r="A12" s="56">
        <v>8</v>
      </c>
      <c r="B12" s="56">
        <v>64000</v>
      </c>
    </row>
    <row r="13" spans="1:2" x14ac:dyDescent="0.15">
      <c r="A13" s="56">
        <v>9</v>
      </c>
      <c r="B13" s="56">
        <v>73000</v>
      </c>
    </row>
    <row r="14" spans="1:2" x14ac:dyDescent="0.15">
      <c r="A14" s="56">
        <v>10</v>
      </c>
      <c r="B14" s="56">
        <v>82000</v>
      </c>
    </row>
    <row r="15" spans="1:2" x14ac:dyDescent="0.15">
      <c r="A15" s="56">
        <v>11</v>
      </c>
      <c r="B15" s="56">
        <v>91000</v>
      </c>
    </row>
    <row r="16" spans="1:2" x14ac:dyDescent="0.15">
      <c r="A16" s="56">
        <v>12</v>
      </c>
      <c r="B16" s="56">
        <v>100000</v>
      </c>
    </row>
    <row r="17" spans="1:2" x14ac:dyDescent="0.15">
      <c r="A17" s="56">
        <v>13</v>
      </c>
      <c r="B17" s="56">
        <v>109000</v>
      </c>
    </row>
    <row r="18" spans="1:2" x14ac:dyDescent="0.15">
      <c r="A18" s="56">
        <v>14</v>
      </c>
      <c r="B18" s="56">
        <v>118000</v>
      </c>
    </row>
    <row r="19" spans="1:2" x14ac:dyDescent="0.15">
      <c r="A19" s="56">
        <v>15</v>
      </c>
      <c r="B19" s="56">
        <v>127000</v>
      </c>
    </row>
    <row r="20" spans="1:2" x14ac:dyDescent="0.15">
      <c r="A20" s="56">
        <v>16</v>
      </c>
      <c r="B20" s="56">
        <v>136000</v>
      </c>
    </row>
    <row r="21" spans="1:2" x14ac:dyDescent="0.15">
      <c r="A21" s="56">
        <v>17</v>
      </c>
      <c r="B21" s="56">
        <v>145000</v>
      </c>
    </row>
    <row r="22" spans="1:2" x14ac:dyDescent="0.15">
      <c r="A22" s="56">
        <v>18</v>
      </c>
      <c r="B22" s="56">
        <v>154000</v>
      </c>
    </row>
    <row r="23" spans="1:2" x14ac:dyDescent="0.15">
      <c r="A23" s="56">
        <v>19</v>
      </c>
      <c r="B23" s="56">
        <v>163000</v>
      </c>
    </row>
    <row r="24" spans="1:2" x14ac:dyDescent="0.15">
      <c r="A24" s="56">
        <v>20</v>
      </c>
      <c r="B24" s="56">
        <v>172000</v>
      </c>
    </row>
  </sheetData>
  <phoneticPr fontId="1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24"/>
  <sheetViews>
    <sheetView workbookViewId="0">
      <selection activeCell="G7" sqref="G7:G8"/>
    </sheetView>
  </sheetViews>
  <sheetFormatPr defaultRowHeight="16.5" x14ac:dyDescent="0.15"/>
  <cols>
    <col min="1" max="2" width="11.25" style="56" bestFit="1" customWidth="1"/>
    <col min="3" max="16384" width="9" style="93"/>
  </cols>
  <sheetData>
    <row r="1" spans="1:2" x14ac:dyDescent="0.15">
      <c r="A1" s="56" t="s">
        <v>603</v>
      </c>
      <c r="B1" s="56" t="s">
        <v>60</v>
      </c>
    </row>
    <row r="2" spans="1:2" x14ac:dyDescent="0.15">
      <c r="A2" s="56" t="s">
        <v>61</v>
      </c>
      <c r="B2" s="56" t="s">
        <v>61</v>
      </c>
    </row>
    <row r="3" spans="1:2" x14ac:dyDescent="0.15">
      <c r="A3" s="56" t="s">
        <v>743</v>
      </c>
      <c r="B3" s="56" t="s">
        <v>599</v>
      </c>
    </row>
    <row r="4" spans="1:2" ht="17.25" thickBot="1" x14ac:dyDescent="0.2">
      <c r="A4" s="58" t="s">
        <v>597</v>
      </c>
      <c r="B4" s="58" t="s">
        <v>598</v>
      </c>
    </row>
    <row r="5" spans="1:2" x14ac:dyDescent="0.15">
      <c r="A5" s="56">
        <v>1</v>
      </c>
      <c r="B5" s="56">
        <v>1000</v>
      </c>
    </row>
    <row r="6" spans="1:2" x14ac:dyDescent="0.15">
      <c r="A6" s="56">
        <v>2</v>
      </c>
      <c r="B6" s="56">
        <v>10000</v>
      </c>
    </row>
    <row r="7" spans="1:2" x14ac:dyDescent="0.15">
      <c r="A7" s="56">
        <v>3</v>
      </c>
      <c r="B7" s="56">
        <v>19000</v>
      </c>
    </row>
    <row r="8" spans="1:2" x14ac:dyDescent="0.15">
      <c r="A8" s="56">
        <v>4</v>
      </c>
      <c r="B8" s="56">
        <v>28000</v>
      </c>
    </row>
    <row r="9" spans="1:2" x14ac:dyDescent="0.15">
      <c r="A9" s="56">
        <v>5</v>
      </c>
      <c r="B9" s="56">
        <v>37000</v>
      </c>
    </row>
    <row r="10" spans="1:2" x14ac:dyDescent="0.15">
      <c r="A10" s="56">
        <v>6</v>
      </c>
      <c r="B10" s="56">
        <v>46000</v>
      </c>
    </row>
    <row r="11" spans="1:2" x14ac:dyDescent="0.15">
      <c r="A11" s="56">
        <v>7</v>
      </c>
      <c r="B11" s="56">
        <v>55000</v>
      </c>
    </row>
    <row r="12" spans="1:2" x14ac:dyDescent="0.15">
      <c r="A12" s="56">
        <v>8</v>
      </c>
      <c r="B12" s="56">
        <v>64000</v>
      </c>
    </row>
    <row r="13" spans="1:2" x14ac:dyDescent="0.15">
      <c r="A13" s="56">
        <v>9</v>
      </c>
      <c r="B13" s="56">
        <v>73000</v>
      </c>
    </row>
    <row r="14" spans="1:2" x14ac:dyDescent="0.15">
      <c r="A14" s="56">
        <v>10</v>
      </c>
      <c r="B14" s="56">
        <v>82000</v>
      </c>
    </row>
    <row r="15" spans="1:2" x14ac:dyDescent="0.15">
      <c r="A15" s="56">
        <v>11</v>
      </c>
      <c r="B15" s="56">
        <v>91000</v>
      </c>
    </row>
    <row r="16" spans="1:2" x14ac:dyDescent="0.15">
      <c r="A16" s="56">
        <v>12</v>
      </c>
      <c r="B16" s="56">
        <v>100000</v>
      </c>
    </row>
    <row r="17" spans="1:2" x14ac:dyDescent="0.15">
      <c r="A17" s="56">
        <v>13</v>
      </c>
      <c r="B17" s="56">
        <v>109000</v>
      </c>
    </row>
    <row r="18" spans="1:2" x14ac:dyDescent="0.15">
      <c r="A18" s="56">
        <v>14</v>
      </c>
      <c r="B18" s="56">
        <v>118000</v>
      </c>
    </row>
    <row r="19" spans="1:2" x14ac:dyDescent="0.15">
      <c r="A19" s="56">
        <v>15</v>
      </c>
      <c r="B19" s="56">
        <v>127000</v>
      </c>
    </row>
    <row r="20" spans="1:2" x14ac:dyDescent="0.15">
      <c r="A20" s="56">
        <v>16</v>
      </c>
      <c r="B20" s="56">
        <v>136000</v>
      </c>
    </row>
    <row r="21" spans="1:2" x14ac:dyDescent="0.15">
      <c r="A21" s="56">
        <v>17</v>
      </c>
      <c r="B21" s="56">
        <v>145000</v>
      </c>
    </row>
    <row r="22" spans="1:2" x14ac:dyDescent="0.15">
      <c r="A22" s="56">
        <v>18</v>
      </c>
      <c r="B22" s="56">
        <v>154000</v>
      </c>
    </row>
    <row r="23" spans="1:2" x14ac:dyDescent="0.15">
      <c r="A23" s="56">
        <v>19</v>
      </c>
      <c r="B23" s="56">
        <v>163000</v>
      </c>
    </row>
    <row r="24" spans="1:2" x14ac:dyDescent="0.15">
      <c r="A24" s="56">
        <v>20</v>
      </c>
      <c r="B24" s="56">
        <v>172000</v>
      </c>
    </row>
  </sheetData>
  <phoneticPr fontId="1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F24"/>
  <sheetViews>
    <sheetView workbookViewId="0">
      <selection activeCell="K16" sqref="K15:K16"/>
    </sheetView>
  </sheetViews>
  <sheetFormatPr defaultRowHeight="16.5" x14ac:dyDescent="0.15"/>
  <cols>
    <col min="1" max="1" width="11.25" style="11" bestFit="1" customWidth="1"/>
    <col min="2" max="2" width="17.75" style="96" customWidth="1"/>
    <col min="3" max="3" width="15.25" style="142" customWidth="1"/>
    <col min="4" max="4" width="15.25" style="96" customWidth="1"/>
    <col min="5" max="5" width="15.25" style="142" customWidth="1"/>
    <col min="6" max="6" width="15.25" style="96" customWidth="1"/>
    <col min="7" max="16384" width="9" style="96"/>
  </cols>
  <sheetData>
    <row r="1" spans="1:6" x14ac:dyDescent="0.15">
      <c r="A1" s="11" t="s">
        <v>605</v>
      </c>
      <c r="B1" s="56" t="s">
        <v>60</v>
      </c>
      <c r="C1" s="141" t="s">
        <v>60</v>
      </c>
      <c r="D1" s="56" t="s">
        <v>60</v>
      </c>
      <c r="E1" s="141" t="s">
        <v>60</v>
      </c>
      <c r="F1" s="56" t="s">
        <v>60</v>
      </c>
    </row>
    <row r="2" spans="1:6" x14ac:dyDescent="0.15">
      <c r="A2" s="11" t="s">
        <v>61</v>
      </c>
      <c r="B2" s="96" t="s">
        <v>61</v>
      </c>
      <c r="C2" s="142" t="s">
        <v>61</v>
      </c>
      <c r="D2" s="96" t="s">
        <v>61</v>
      </c>
      <c r="E2" s="142" t="s">
        <v>61</v>
      </c>
      <c r="F2" s="96" t="s">
        <v>61</v>
      </c>
    </row>
    <row r="3" spans="1:6" x14ac:dyDescent="0.15">
      <c r="A3" s="11" t="s">
        <v>743</v>
      </c>
      <c r="B3" s="96" t="s">
        <v>744</v>
      </c>
      <c r="C3" s="142" t="s">
        <v>746</v>
      </c>
      <c r="D3" s="96" t="s">
        <v>747</v>
      </c>
      <c r="E3" s="142" t="s">
        <v>748</v>
      </c>
      <c r="F3" s="96" t="s">
        <v>749</v>
      </c>
    </row>
    <row r="4" spans="1:6" s="97" customFormat="1" ht="33.75" thickBot="1" x14ac:dyDescent="0.2">
      <c r="A4" s="144" t="s">
        <v>604</v>
      </c>
      <c r="B4" s="58" t="s">
        <v>745</v>
      </c>
      <c r="C4" s="143" t="s">
        <v>736</v>
      </c>
      <c r="D4" s="58" t="s">
        <v>735</v>
      </c>
      <c r="E4" s="143" t="s">
        <v>737</v>
      </c>
      <c r="F4" s="58" t="s">
        <v>735</v>
      </c>
    </row>
    <row r="5" spans="1:6" x14ac:dyDescent="0.15">
      <c r="A5" s="11">
        <v>1</v>
      </c>
      <c r="B5" s="96">
        <v>50</v>
      </c>
      <c r="C5" s="142">
        <v>20</v>
      </c>
      <c r="D5" s="96">
        <v>620</v>
      </c>
      <c r="E5" s="142">
        <v>20</v>
      </c>
      <c r="F5" s="96">
        <v>620</v>
      </c>
    </row>
    <row r="6" spans="1:6" x14ac:dyDescent="0.15">
      <c r="A6" s="11">
        <v>2</v>
      </c>
      <c r="B6" s="96">
        <v>50</v>
      </c>
      <c r="C6" s="142">
        <v>20</v>
      </c>
      <c r="D6" s="96">
        <v>620</v>
      </c>
      <c r="E6" s="142">
        <v>20</v>
      </c>
      <c r="F6" s="96">
        <v>620</v>
      </c>
    </row>
    <row r="7" spans="1:6" x14ac:dyDescent="0.15">
      <c r="A7" s="11">
        <v>3</v>
      </c>
      <c r="B7" s="96">
        <v>50</v>
      </c>
      <c r="C7" s="142">
        <v>20</v>
      </c>
      <c r="D7" s="96">
        <v>620</v>
      </c>
      <c r="E7" s="142">
        <v>20</v>
      </c>
      <c r="F7" s="96">
        <v>620</v>
      </c>
    </row>
    <row r="8" spans="1:6" x14ac:dyDescent="0.15">
      <c r="A8" s="11">
        <v>4</v>
      </c>
      <c r="B8" s="96">
        <v>50</v>
      </c>
      <c r="C8" s="142">
        <v>20</v>
      </c>
      <c r="D8" s="96">
        <v>720</v>
      </c>
      <c r="E8" s="142">
        <v>20</v>
      </c>
      <c r="F8" s="96">
        <v>720</v>
      </c>
    </row>
    <row r="9" spans="1:6" x14ac:dyDescent="0.15">
      <c r="A9" s="11">
        <v>5</v>
      </c>
      <c r="B9" s="96">
        <v>50</v>
      </c>
      <c r="C9" s="142">
        <v>20</v>
      </c>
      <c r="D9" s="96">
        <v>2200</v>
      </c>
      <c r="E9" s="142">
        <v>19</v>
      </c>
      <c r="F9" s="96">
        <v>2200</v>
      </c>
    </row>
    <row r="10" spans="1:6" x14ac:dyDescent="0.15">
      <c r="A10" s="11">
        <v>6</v>
      </c>
      <c r="B10" s="96">
        <v>50</v>
      </c>
      <c r="C10" s="142">
        <v>20</v>
      </c>
      <c r="D10" s="96">
        <v>3200</v>
      </c>
      <c r="E10" s="142">
        <v>18</v>
      </c>
      <c r="F10" s="96">
        <v>3200</v>
      </c>
    </row>
    <row r="11" spans="1:6" x14ac:dyDescent="0.15">
      <c r="A11" s="11">
        <v>7</v>
      </c>
      <c r="B11" s="96">
        <v>50</v>
      </c>
      <c r="C11" s="142">
        <v>20</v>
      </c>
      <c r="D11" s="96">
        <v>4000</v>
      </c>
      <c r="E11" s="142">
        <v>16</v>
      </c>
      <c r="F11" s="96">
        <v>4000</v>
      </c>
    </row>
    <row r="12" spans="1:6" x14ac:dyDescent="0.15">
      <c r="A12" s="11">
        <v>8</v>
      </c>
      <c r="B12" s="96">
        <v>50</v>
      </c>
      <c r="C12" s="142">
        <v>20</v>
      </c>
      <c r="D12" s="96">
        <v>4600</v>
      </c>
      <c r="E12" s="142">
        <v>14</v>
      </c>
      <c r="F12" s="96">
        <v>4600</v>
      </c>
    </row>
    <row r="13" spans="1:6" x14ac:dyDescent="0.15">
      <c r="A13" s="11">
        <v>9</v>
      </c>
      <c r="B13" s="96">
        <v>50</v>
      </c>
      <c r="C13" s="142">
        <v>20</v>
      </c>
      <c r="D13" s="96">
        <v>5000</v>
      </c>
      <c r="E13" s="142">
        <v>12</v>
      </c>
      <c r="F13" s="96">
        <v>5000</v>
      </c>
    </row>
    <row r="14" spans="1:6" x14ac:dyDescent="0.15">
      <c r="A14" s="11">
        <v>10</v>
      </c>
      <c r="B14" s="96">
        <v>50</v>
      </c>
      <c r="C14" s="142">
        <v>20</v>
      </c>
      <c r="D14" s="96">
        <v>5100</v>
      </c>
      <c r="E14" s="142">
        <v>10</v>
      </c>
      <c r="F14" s="96">
        <v>5100</v>
      </c>
    </row>
    <row r="15" spans="1:6" x14ac:dyDescent="0.15">
      <c r="A15" s="11">
        <v>11</v>
      </c>
      <c r="B15" s="96">
        <v>50</v>
      </c>
      <c r="C15" s="142">
        <v>19</v>
      </c>
      <c r="D15" s="96">
        <v>7000</v>
      </c>
      <c r="E15" s="142">
        <v>9</v>
      </c>
      <c r="F15" s="96">
        <v>7000</v>
      </c>
    </row>
    <row r="16" spans="1:6" x14ac:dyDescent="0.15">
      <c r="A16" s="11">
        <v>12</v>
      </c>
      <c r="B16" s="96">
        <v>50</v>
      </c>
      <c r="C16" s="142">
        <v>18</v>
      </c>
      <c r="D16" s="96">
        <v>6200</v>
      </c>
      <c r="E16" s="142">
        <v>8</v>
      </c>
      <c r="F16" s="96">
        <v>6200</v>
      </c>
    </row>
    <row r="17" spans="1:6" x14ac:dyDescent="0.15">
      <c r="A17" s="11">
        <v>13</v>
      </c>
      <c r="B17" s="96">
        <v>50</v>
      </c>
      <c r="C17" s="142">
        <v>17</v>
      </c>
      <c r="D17" s="96">
        <v>7700</v>
      </c>
      <c r="E17" s="142">
        <v>8</v>
      </c>
      <c r="F17" s="96">
        <v>7700</v>
      </c>
    </row>
    <row r="18" spans="1:6" x14ac:dyDescent="0.15">
      <c r="A18" s="11">
        <v>14</v>
      </c>
      <c r="B18" s="96">
        <v>50</v>
      </c>
      <c r="C18" s="142">
        <v>16</v>
      </c>
      <c r="D18" s="96">
        <v>8700</v>
      </c>
      <c r="E18" s="142">
        <v>8</v>
      </c>
      <c r="F18" s="96">
        <v>8700</v>
      </c>
    </row>
    <row r="19" spans="1:6" x14ac:dyDescent="0.15">
      <c r="A19" s="11">
        <v>15</v>
      </c>
      <c r="B19" s="96">
        <v>50</v>
      </c>
      <c r="C19" s="142">
        <v>15</v>
      </c>
      <c r="D19" s="96">
        <v>11000</v>
      </c>
      <c r="E19" s="142">
        <v>7</v>
      </c>
      <c r="F19" s="96">
        <v>11000</v>
      </c>
    </row>
    <row r="20" spans="1:6" x14ac:dyDescent="0.15">
      <c r="A20" s="11">
        <v>16</v>
      </c>
      <c r="B20" s="96">
        <v>50</v>
      </c>
      <c r="C20" s="142">
        <v>14</v>
      </c>
      <c r="D20" s="96">
        <v>11000</v>
      </c>
      <c r="E20" s="142">
        <v>7</v>
      </c>
      <c r="F20" s="96">
        <v>11000</v>
      </c>
    </row>
    <row r="21" spans="1:6" x14ac:dyDescent="0.15">
      <c r="A21" s="11">
        <v>17</v>
      </c>
      <c r="B21" s="96">
        <v>50</v>
      </c>
      <c r="C21" s="142">
        <v>13</v>
      </c>
      <c r="D21" s="96">
        <v>13000</v>
      </c>
      <c r="E21" s="142">
        <v>7</v>
      </c>
      <c r="F21" s="96">
        <v>13000</v>
      </c>
    </row>
    <row r="22" spans="1:6" x14ac:dyDescent="0.15">
      <c r="A22" s="11">
        <v>18</v>
      </c>
      <c r="B22" s="96">
        <v>50</v>
      </c>
      <c r="C22" s="142">
        <v>12</v>
      </c>
      <c r="D22" s="96">
        <v>15000</v>
      </c>
      <c r="E22" s="142">
        <v>6</v>
      </c>
      <c r="F22" s="96">
        <v>15000</v>
      </c>
    </row>
    <row r="23" spans="1:6" x14ac:dyDescent="0.15">
      <c r="A23" s="11">
        <v>19</v>
      </c>
      <c r="B23" s="96">
        <v>50</v>
      </c>
      <c r="C23" s="142">
        <v>11</v>
      </c>
      <c r="D23" s="96">
        <v>15000</v>
      </c>
      <c r="E23" s="142">
        <v>6</v>
      </c>
      <c r="F23" s="96">
        <v>15000</v>
      </c>
    </row>
    <row r="24" spans="1:6" x14ac:dyDescent="0.15">
      <c r="A24" s="11">
        <v>20</v>
      </c>
      <c r="B24" s="96">
        <v>50</v>
      </c>
      <c r="C24" s="142">
        <v>10</v>
      </c>
      <c r="D24" s="96">
        <v>18000</v>
      </c>
      <c r="E24" s="142">
        <v>5</v>
      </c>
      <c r="F24" s="96">
        <v>18000</v>
      </c>
    </row>
  </sheetData>
  <phoneticPr fontId="1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U16"/>
  <sheetViews>
    <sheetView workbookViewId="0">
      <selection activeCell="G15" sqref="G15"/>
    </sheetView>
  </sheetViews>
  <sheetFormatPr defaultRowHeight="16.5" x14ac:dyDescent="0.3"/>
  <cols>
    <col min="1" max="1" width="13.75" style="131" customWidth="1"/>
    <col min="2" max="2" width="6.375" style="127" customWidth="1"/>
    <col min="3" max="3" width="5.875" style="132" customWidth="1"/>
    <col min="4" max="4" width="5.25" style="127" customWidth="1"/>
    <col min="5" max="5" width="5.625" style="127" customWidth="1"/>
    <col min="6" max="6" width="5.5" style="132" customWidth="1"/>
    <col min="7" max="7" width="13" style="133" customWidth="1"/>
    <col min="8" max="8" width="13.5" style="127" customWidth="1"/>
    <col min="9" max="9" width="11" style="128" customWidth="1"/>
    <col min="10" max="10" width="24.375" style="133" customWidth="1"/>
    <col min="11" max="12" width="9" style="128"/>
    <col min="13" max="13" width="18.5" style="133" customWidth="1"/>
    <col min="14" max="14" width="9" style="128"/>
    <col min="15" max="15" width="13.5" style="133" customWidth="1"/>
    <col min="16" max="18" width="9" style="128"/>
    <col min="19" max="19" width="34.875" style="133" customWidth="1"/>
    <col min="20" max="21" width="9" style="128"/>
    <col min="22" max="16384" width="9" style="127"/>
  </cols>
  <sheetData>
    <row r="1" spans="1:21" x14ac:dyDescent="0.3">
      <c r="A1" s="11" t="s">
        <v>59</v>
      </c>
      <c r="B1" s="10"/>
      <c r="C1" s="107"/>
      <c r="D1" s="10"/>
      <c r="E1" s="10"/>
      <c r="F1" s="107"/>
      <c r="I1" s="128" t="s">
        <v>695</v>
      </c>
      <c r="K1" s="128" t="s">
        <v>60</v>
      </c>
      <c r="L1" s="128" t="s">
        <v>60</v>
      </c>
      <c r="N1" s="128" t="s">
        <v>60</v>
      </c>
      <c r="P1" s="128" t="s">
        <v>60</v>
      </c>
      <c r="Q1" s="128" t="s">
        <v>60</v>
      </c>
      <c r="R1" s="128" t="s">
        <v>60</v>
      </c>
      <c r="T1" s="128" t="s">
        <v>60</v>
      </c>
      <c r="U1" s="128" t="s">
        <v>60</v>
      </c>
    </row>
    <row r="2" spans="1:21" x14ac:dyDescent="0.3">
      <c r="A2" s="11" t="s">
        <v>61</v>
      </c>
      <c r="B2" s="10"/>
      <c r="C2" s="107"/>
      <c r="D2" s="10"/>
      <c r="E2" s="10"/>
      <c r="F2" s="107"/>
      <c r="I2" s="128" t="s">
        <v>690</v>
      </c>
      <c r="K2" s="128" t="s">
        <v>690</v>
      </c>
      <c r="L2" s="128" t="s">
        <v>690</v>
      </c>
      <c r="N2" s="128" t="s">
        <v>690</v>
      </c>
      <c r="P2" s="128" t="s">
        <v>690</v>
      </c>
      <c r="Q2" s="128" t="s">
        <v>690</v>
      </c>
      <c r="R2" s="128" t="s">
        <v>690</v>
      </c>
      <c r="T2" s="128" t="s">
        <v>690</v>
      </c>
      <c r="U2" s="128" t="s">
        <v>690</v>
      </c>
    </row>
    <row r="3" spans="1:21" x14ac:dyDescent="0.3">
      <c r="A3" s="11" t="s">
        <v>217</v>
      </c>
      <c r="B3" s="10"/>
      <c r="C3" s="107"/>
      <c r="D3" s="10"/>
      <c r="E3" s="10"/>
      <c r="F3" s="107"/>
      <c r="I3" s="128" t="s">
        <v>696</v>
      </c>
      <c r="K3" s="128" t="s">
        <v>697</v>
      </c>
      <c r="L3" s="128" t="s">
        <v>698</v>
      </c>
      <c r="N3" s="128" t="s">
        <v>699</v>
      </c>
      <c r="P3" s="128" t="s">
        <v>700</v>
      </c>
      <c r="Q3" s="128" t="s">
        <v>701</v>
      </c>
      <c r="R3" s="128" t="s">
        <v>702</v>
      </c>
      <c r="T3" s="128" t="s">
        <v>703</v>
      </c>
      <c r="U3" s="128" t="s">
        <v>704</v>
      </c>
    </row>
    <row r="4" spans="1:21" ht="55.5" customHeight="1" thickBot="1" x14ac:dyDescent="0.35">
      <c r="A4" s="90" t="s">
        <v>673</v>
      </c>
      <c r="B4" s="92" t="s">
        <v>671</v>
      </c>
      <c r="C4" s="108" t="s">
        <v>672</v>
      </c>
      <c r="D4" s="92"/>
      <c r="E4" s="92"/>
      <c r="F4" s="108" t="s">
        <v>694</v>
      </c>
      <c r="G4" s="134" t="s">
        <v>674</v>
      </c>
      <c r="H4" s="92" t="s">
        <v>675</v>
      </c>
      <c r="I4" s="91" t="s">
        <v>676</v>
      </c>
      <c r="J4" s="134" t="s">
        <v>730</v>
      </c>
      <c r="K4" s="91" t="s">
        <v>731</v>
      </c>
      <c r="L4" s="91" t="s">
        <v>732</v>
      </c>
      <c r="M4" s="134" t="s">
        <v>720</v>
      </c>
      <c r="N4" s="91" t="s">
        <v>677</v>
      </c>
      <c r="O4" s="134" t="s">
        <v>724</v>
      </c>
      <c r="P4" s="91" t="s">
        <v>693</v>
      </c>
      <c r="Q4" s="91" t="s">
        <v>691</v>
      </c>
      <c r="R4" s="91" t="s">
        <v>692</v>
      </c>
      <c r="S4" s="134" t="s">
        <v>678</v>
      </c>
      <c r="T4" s="91" t="s">
        <v>691</v>
      </c>
      <c r="U4" s="91" t="s">
        <v>692</v>
      </c>
    </row>
    <row r="5" spans="1:21" s="129" customFormat="1" x14ac:dyDescent="0.3">
      <c r="A5" s="18">
        <f t="shared" ref="A5:A16" si="0">B5*10000000+C5*1000000+D5*10000+E5*100+F5</f>
        <v>11010001</v>
      </c>
      <c r="B5" s="17">
        <v>1</v>
      </c>
      <c r="C5" s="109">
        <v>1</v>
      </c>
      <c r="D5" s="17">
        <v>1</v>
      </c>
      <c r="E5" s="17">
        <v>0</v>
      </c>
      <c r="F5" s="109">
        <v>1</v>
      </c>
      <c r="G5" s="135" t="s">
        <v>679</v>
      </c>
      <c r="I5" s="130">
        <v>100</v>
      </c>
      <c r="J5" s="137"/>
      <c r="K5" s="130"/>
      <c r="L5" s="130"/>
      <c r="M5" s="139" t="s">
        <v>721</v>
      </c>
      <c r="N5" s="130">
        <v>50</v>
      </c>
      <c r="O5" s="139" t="s">
        <v>726</v>
      </c>
      <c r="P5" s="130"/>
      <c r="Q5" s="130">
        <v>2000</v>
      </c>
      <c r="R5" s="130">
        <v>200</v>
      </c>
      <c r="S5" s="137" t="s">
        <v>727</v>
      </c>
      <c r="T5" s="130">
        <v>2000</v>
      </c>
      <c r="U5" s="130"/>
    </row>
    <row r="6" spans="1:21" x14ac:dyDescent="0.3">
      <c r="A6" s="11">
        <f t="shared" si="0"/>
        <v>11020001</v>
      </c>
      <c r="B6" s="10">
        <v>1</v>
      </c>
      <c r="C6" s="107">
        <v>1</v>
      </c>
      <c r="D6" s="10">
        <v>2</v>
      </c>
      <c r="E6" s="10">
        <v>0</v>
      </c>
      <c r="F6" s="107">
        <v>1</v>
      </c>
      <c r="G6" s="133" t="s">
        <v>680</v>
      </c>
      <c r="H6" s="127" t="s">
        <v>705</v>
      </c>
      <c r="I6" s="128">
        <v>50</v>
      </c>
      <c r="M6" s="140" t="s">
        <v>722</v>
      </c>
      <c r="N6" s="128">
        <v>200</v>
      </c>
      <c r="O6" s="138" t="s">
        <v>725</v>
      </c>
      <c r="Q6" s="128">
        <v>2000</v>
      </c>
      <c r="R6" s="128">
        <v>200</v>
      </c>
      <c r="S6" s="133" t="s">
        <v>729</v>
      </c>
      <c r="T6" s="128">
        <v>0</v>
      </c>
      <c r="U6" s="128">
        <v>100</v>
      </c>
    </row>
    <row r="7" spans="1:21" x14ac:dyDescent="0.3">
      <c r="A7" s="11">
        <f t="shared" si="0"/>
        <v>11030001</v>
      </c>
      <c r="B7" s="10">
        <v>1</v>
      </c>
      <c r="C7" s="107">
        <v>1</v>
      </c>
      <c r="D7" s="10">
        <v>3</v>
      </c>
      <c r="E7" s="10">
        <v>0</v>
      </c>
      <c r="F7" s="107">
        <v>1</v>
      </c>
      <c r="G7" s="133" t="s">
        <v>681</v>
      </c>
      <c r="H7" s="127" t="s">
        <v>705</v>
      </c>
      <c r="I7" s="128">
        <v>30</v>
      </c>
      <c r="M7" s="140" t="s">
        <v>723</v>
      </c>
      <c r="N7" s="128">
        <v>200</v>
      </c>
      <c r="O7" s="138" t="s">
        <v>725</v>
      </c>
      <c r="Q7" s="128">
        <v>2000</v>
      </c>
      <c r="R7" s="128">
        <v>200</v>
      </c>
      <c r="S7" s="133" t="s">
        <v>728</v>
      </c>
      <c r="T7" s="128">
        <v>0</v>
      </c>
      <c r="U7" s="128">
        <v>100</v>
      </c>
    </row>
    <row r="8" spans="1:21" x14ac:dyDescent="0.3">
      <c r="A8" s="11">
        <f t="shared" si="0"/>
        <v>10010001</v>
      </c>
      <c r="B8" s="10">
        <v>1</v>
      </c>
      <c r="C8" s="107">
        <v>0</v>
      </c>
      <c r="D8" s="10">
        <v>1</v>
      </c>
      <c r="E8" s="10">
        <v>0</v>
      </c>
      <c r="F8" s="107">
        <v>1</v>
      </c>
      <c r="G8" s="133" t="s">
        <v>682</v>
      </c>
      <c r="H8" s="127" t="s">
        <v>706</v>
      </c>
      <c r="I8" s="128">
        <v>50</v>
      </c>
      <c r="P8" s="128">
        <v>10000</v>
      </c>
    </row>
    <row r="9" spans="1:21" x14ac:dyDescent="0.3">
      <c r="A9" s="11">
        <f t="shared" si="0"/>
        <v>10020001</v>
      </c>
      <c r="B9" s="10">
        <v>1</v>
      </c>
      <c r="C9" s="107">
        <v>0</v>
      </c>
      <c r="D9" s="10">
        <v>2</v>
      </c>
      <c r="E9" s="10">
        <v>0</v>
      </c>
      <c r="F9" s="107">
        <v>1</v>
      </c>
      <c r="G9" s="133" t="s">
        <v>683</v>
      </c>
      <c r="H9" s="127" t="s">
        <v>707</v>
      </c>
      <c r="I9" s="128">
        <v>50</v>
      </c>
      <c r="P9" s="128">
        <v>10000</v>
      </c>
    </row>
    <row r="10" spans="1:21" x14ac:dyDescent="0.3">
      <c r="A10" s="11">
        <f t="shared" si="0"/>
        <v>12010001</v>
      </c>
      <c r="B10" s="10">
        <v>1</v>
      </c>
      <c r="C10" s="107">
        <v>2</v>
      </c>
      <c r="D10" s="10">
        <v>1</v>
      </c>
      <c r="E10" s="10">
        <v>0</v>
      </c>
      <c r="F10" s="107">
        <v>1</v>
      </c>
      <c r="G10" s="136" t="s">
        <v>684</v>
      </c>
      <c r="I10" s="128">
        <v>50</v>
      </c>
      <c r="J10" s="138" t="s">
        <v>713</v>
      </c>
      <c r="K10" s="128">
        <v>200</v>
      </c>
    </row>
    <row r="11" spans="1:21" x14ac:dyDescent="0.3">
      <c r="A11" s="11">
        <f t="shared" si="0"/>
        <v>12020001</v>
      </c>
      <c r="B11" s="10">
        <v>1</v>
      </c>
      <c r="C11" s="107">
        <v>2</v>
      </c>
      <c r="D11" s="10">
        <v>2</v>
      </c>
      <c r="E11" s="10">
        <v>0</v>
      </c>
      <c r="F11" s="107">
        <v>1</v>
      </c>
      <c r="G11" s="136" t="s">
        <v>685</v>
      </c>
      <c r="I11" s="128">
        <v>50</v>
      </c>
      <c r="J11" s="138" t="s">
        <v>713</v>
      </c>
      <c r="K11" s="128">
        <v>300</v>
      </c>
    </row>
    <row r="12" spans="1:21" x14ac:dyDescent="0.3">
      <c r="A12" s="11">
        <f t="shared" si="0"/>
        <v>12030001</v>
      </c>
      <c r="B12" s="10">
        <v>1</v>
      </c>
      <c r="C12" s="107">
        <v>2</v>
      </c>
      <c r="D12" s="10">
        <v>3</v>
      </c>
      <c r="E12" s="10">
        <v>0</v>
      </c>
      <c r="F12" s="107">
        <v>1</v>
      </c>
      <c r="G12" s="133" t="s">
        <v>686</v>
      </c>
      <c r="H12" s="127" t="s">
        <v>708</v>
      </c>
      <c r="I12" s="128">
        <v>50</v>
      </c>
      <c r="J12" s="138" t="s">
        <v>714</v>
      </c>
      <c r="K12" s="128">
        <v>400</v>
      </c>
      <c r="L12" s="128">
        <v>400</v>
      </c>
    </row>
    <row r="13" spans="1:21" x14ac:dyDescent="0.3">
      <c r="A13" s="11">
        <f t="shared" si="0"/>
        <v>12040001</v>
      </c>
      <c r="B13" s="10">
        <v>1</v>
      </c>
      <c r="C13" s="107">
        <v>2</v>
      </c>
      <c r="D13" s="10">
        <v>4</v>
      </c>
      <c r="E13" s="10">
        <v>0</v>
      </c>
      <c r="F13" s="107">
        <v>1</v>
      </c>
      <c r="G13" s="133" t="s">
        <v>687</v>
      </c>
      <c r="H13" s="127" t="s">
        <v>709</v>
      </c>
      <c r="I13" s="128">
        <v>50</v>
      </c>
      <c r="J13" s="138" t="s">
        <v>715</v>
      </c>
      <c r="K13" s="128">
        <v>200</v>
      </c>
    </row>
    <row r="14" spans="1:21" x14ac:dyDescent="0.3">
      <c r="A14" s="11">
        <f t="shared" si="0"/>
        <v>12050001</v>
      </c>
      <c r="B14" s="10">
        <v>1</v>
      </c>
      <c r="C14" s="107">
        <v>2</v>
      </c>
      <c r="D14" s="10">
        <v>5</v>
      </c>
      <c r="E14" s="10">
        <v>0</v>
      </c>
      <c r="F14" s="107">
        <v>1</v>
      </c>
      <c r="G14" s="133" t="s">
        <v>688</v>
      </c>
      <c r="H14" s="127" t="s">
        <v>710</v>
      </c>
      <c r="I14" s="128">
        <v>50</v>
      </c>
      <c r="J14" s="138" t="s">
        <v>717</v>
      </c>
      <c r="K14" s="128">
        <v>200</v>
      </c>
    </row>
    <row r="15" spans="1:21" x14ac:dyDescent="0.3">
      <c r="A15" s="11">
        <f t="shared" si="0"/>
        <v>13010001</v>
      </c>
      <c r="B15" s="10">
        <v>1</v>
      </c>
      <c r="C15" s="107">
        <v>3</v>
      </c>
      <c r="D15" s="10">
        <v>1</v>
      </c>
      <c r="E15" s="10">
        <v>0</v>
      </c>
      <c r="F15" s="107">
        <v>1</v>
      </c>
      <c r="G15" s="136" t="s">
        <v>689</v>
      </c>
      <c r="H15" s="127" t="s">
        <v>712</v>
      </c>
      <c r="I15" s="128">
        <v>50</v>
      </c>
      <c r="J15" s="138" t="s">
        <v>719</v>
      </c>
      <c r="K15" s="128">
        <v>70</v>
      </c>
      <c r="L15" s="128">
        <v>3000</v>
      </c>
      <c r="P15" s="128">
        <v>80</v>
      </c>
    </row>
    <row r="16" spans="1:21" x14ac:dyDescent="0.3">
      <c r="A16" s="11">
        <f t="shared" si="0"/>
        <v>13020001</v>
      </c>
      <c r="B16" s="10">
        <v>1</v>
      </c>
      <c r="C16" s="107">
        <v>3</v>
      </c>
      <c r="D16" s="10">
        <v>2</v>
      </c>
      <c r="E16" s="10">
        <v>0</v>
      </c>
      <c r="F16" s="107">
        <v>1</v>
      </c>
      <c r="G16" s="136" t="s">
        <v>711</v>
      </c>
      <c r="H16" s="127" t="s">
        <v>712</v>
      </c>
      <c r="I16" s="128">
        <v>50</v>
      </c>
      <c r="J16" s="138" t="s">
        <v>718</v>
      </c>
      <c r="K16" s="128">
        <v>80</v>
      </c>
      <c r="L16" s="128">
        <v>3000</v>
      </c>
      <c r="P16" s="128">
        <v>90</v>
      </c>
    </row>
  </sheetData>
  <phoneticPr fontId="1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X594"/>
  <sheetViews>
    <sheetView zoomScaleNormal="100" workbookViewId="0">
      <selection activeCell="H37" sqref="H37"/>
    </sheetView>
  </sheetViews>
  <sheetFormatPr defaultRowHeight="16.5" x14ac:dyDescent="0.15"/>
  <cols>
    <col min="1" max="1" width="11.25" style="11" bestFit="1" customWidth="1"/>
    <col min="2" max="2" width="5.75" style="13" customWidth="1"/>
    <col min="3" max="3" width="4.625" style="12" customWidth="1"/>
    <col min="4" max="4" width="3.875" style="13" customWidth="1"/>
    <col min="5" max="5" width="2.875" style="13" bestFit="1" customWidth="1"/>
    <col min="6" max="6" width="3.875" style="12" bestFit="1" customWidth="1"/>
    <col min="7" max="7" width="18.875" style="56" customWidth="1"/>
    <col min="8" max="8" width="18" style="56" customWidth="1"/>
    <col min="9" max="10" width="20.125" style="56" customWidth="1"/>
    <col min="11" max="12" width="18" style="56" customWidth="1"/>
    <col min="13" max="14" width="18" style="10" customWidth="1"/>
    <col min="15" max="15" width="11.375" style="98" customWidth="1"/>
    <col min="16" max="16" width="11.875" style="98" customWidth="1"/>
    <col min="17" max="19" width="13.75" style="98" customWidth="1"/>
    <col min="20" max="20" width="69.125" style="98" customWidth="1"/>
    <col min="21" max="21" width="13.75" style="98" customWidth="1"/>
    <col min="22" max="22" width="9.875" style="96" customWidth="1"/>
    <col min="23" max="23" width="10.75" style="96" customWidth="1"/>
    <col min="24" max="24" width="12.625" style="96" customWidth="1"/>
    <col min="25" max="16384" width="9" style="96"/>
  </cols>
  <sheetData>
    <row r="1" spans="1:24" s="98" customFormat="1" x14ac:dyDescent="0.15">
      <c r="A1" s="11" t="s">
        <v>605</v>
      </c>
      <c r="B1" s="13"/>
      <c r="C1" s="12"/>
      <c r="D1" s="13"/>
      <c r="E1" s="13"/>
      <c r="F1" s="12"/>
      <c r="G1" s="56" t="s">
        <v>663</v>
      </c>
      <c r="H1" s="56" t="s">
        <v>640</v>
      </c>
      <c r="I1" s="56" t="s">
        <v>640</v>
      </c>
      <c r="J1" s="56" t="s">
        <v>640</v>
      </c>
      <c r="K1" s="56" t="s">
        <v>640</v>
      </c>
      <c r="L1" s="56"/>
      <c r="M1" s="10"/>
      <c r="N1" s="10"/>
      <c r="O1" s="56"/>
      <c r="P1" s="56"/>
      <c r="R1" s="56"/>
      <c r="S1" s="56"/>
      <c r="T1" s="56"/>
      <c r="U1" s="56"/>
      <c r="V1" s="56"/>
      <c r="W1" s="56"/>
      <c r="X1" s="56"/>
    </row>
    <row r="2" spans="1:24" s="98" customFormat="1" x14ac:dyDescent="0.15">
      <c r="A2" s="11" t="s">
        <v>61</v>
      </c>
      <c r="B2" s="13"/>
      <c r="C2" s="12"/>
      <c r="D2" s="13"/>
      <c r="E2" s="13"/>
      <c r="F2" s="12"/>
      <c r="G2" s="56" t="s">
        <v>61</v>
      </c>
      <c r="H2" s="56" t="s">
        <v>61</v>
      </c>
      <c r="I2" s="56" t="s">
        <v>61</v>
      </c>
      <c r="J2" s="56" t="s">
        <v>61</v>
      </c>
      <c r="K2" s="56" t="s">
        <v>61</v>
      </c>
      <c r="L2" s="56"/>
      <c r="M2" s="10"/>
      <c r="N2" s="10"/>
      <c r="P2" s="56"/>
      <c r="R2" s="56"/>
      <c r="S2" s="56"/>
    </row>
    <row r="3" spans="1:24" s="98" customFormat="1" x14ac:dyDescent="0.15">
      <c r="A3" s="11" t="s">
        <v>613</v>
      </c>
      <c r="B3" s="13"/>
      <c r="C3" s="12"/>
      <c r="D3" s="13"/>
      <c r="E3" s="13"/>
      <c r="F3" s="12"/>
      <c r="G3" s="56" t="s">
        <v>634</v>
      </c>
      <c r="H3" s="56" t="s">
        <v>636</v>
      </c>
      <c r="I3" s="56" t="s">
        <v>637</v>
      </c>
      <c r="J3" s="56" t="s">
        <v>669</v>
      </c>
      <c r="K3" s="56" t="s">
        <v>638</v>
      </c>
      <c r="L3" s="56"/>
      <c r="M3" s="10"/>
      <c r="N3" s="10"/>
    </row>
    <row r="4" spans="1:24" s="97" customFormat="1" ht="57.75" customHeight="1" thickBot="1" x14ac:dyDescent="0.2">
      <c r="A4" s="99" t="s">
        <v>608</v>
      </c>
      <c r="B4" s="111" t="s">
        <v>614</v>
      </c>
      <c r="C4" s="112"/>
      <c r="D4" s="111"/>
      <c r="E4" s="111"/>
      <c r="F4" s="112"/>
      <c r="G4" s="94" t="s">
        <v>622</v>
      </c>
      <c r="H4" s="94" t="s">
        <v>610</v>
      </c>
      <c r="I4" s="94" t="s">
        <v>635</v>
      </c>
      <c r="J4" s="94" t="s">
        <v>609</v>
      </c>
      <c r="K4" s="94" t="s">
        <v>639</v>
      </c>
      <c r="L4" s="94"/>
      <c r="M4" s="95" t="s">
        <v>641</v>
      </c>
      <c r="N4" s="95" t="s">
        <v>642</v>
      </c>
    </row>
    <row r="5" spans="1:24" s="115" customFormat="1" x14ac:dyDescent="0.15">
      <c r="A5" s="18">
        <f>B5*10000000+C5*1000000+D5*10000+E5*100+F5</f>
        <v>20010001</v>
      </c>
      <c r="B5" s="20">
        <v>2</v>
      </c>
      <c r="C5" s="19">
        <v>0</v>
      </c>
      <c r="D5" s="20">
        <v>1</v>
      </c>
      <c r="E5" s="20">
        <v>0</v>
      </c>
      <c r="F5" s="19">
        <v>1</v>
      </c>
      <c r="G5" s="57">
        <v>20000</v>
      </c>
      <c r="H5" s="57">
        <v>50</v>
      </c>
      <c r="I5" s="57">
        <v>0</v>
      </c>
      <c r="J5" s="57">
        <v>50</v>
      </c>
      <c r="K5" s="57">
        <v>5</v>
      </c>
      <c r="L5" s="57"/>
      <c r="M5" s="17">
        <v>35</v>
      </c>
      <c r="N5" s="17">
        <f>(H5-ARITHMETIC_COEFFICIENT!I10*M5/100)*J5*K5</f>
        <v>3750</v>
      </c>
    </row>
    <row r="6" spans="1:24" x14ac:dyDescent="0.15">
      <c r="A6" s="11">
        <f t="shared" ref="A6:A69" si="0">B6*10000000+C6*1000000+D6*10000+E6*100+F6</f>
        <v>20010002</v>
      </c>
      <c r="B6" s="13">
        <v>2</v>
      </c>
      <c r="C6" s="12">
        <v>0</v>
      </c>
      <c r="D6" s="13">
        <v>1</v>
      </c>
      <c r="E6" s="13">
        <v>0</v>
      </c>
      <c r="F6" s="12">
        <v>2</v>
      </c>
      <c r="G6" s="56">
        <v>20000</v>
      </c>
      <c r="H6" s="56">
        <v>30</v>
      </c>
      <c r="I6" s="56">
        <v>0</v>
      </c>
      <c r="J6" s="56">
        <v>50</v>
      </c>
      <c r="K6" s="56">
        <v>8</v>
      </c>
      <c r="M6" s="10">
        <v>35</v>
      </c>
      <c r="N6" s="10">
        <f>(H6-ARITHMETIC_COEFFICIENT!I11*M6/100)*J6*K6</f>
        <v>-58000</v>
      </c>
      <c r="O6" s="110"/>
    </row>
    <row r="7" spans="1:24" x14ac:dyDescent="0.15">
      <c r="A7" s="11">
        <f t="shared" si="0"/>
        <v>20010003</v>
      </c>
      <c r="B7" s="13">
        <v>2</v>
      </c>
      <c r="C7" s="12">
        <v>0</v>
      </c>
      <c r="D7" s="13">
        <v>1</v>
      </c>
      <c r="E7" s="13">
        <v>0</v>
      </c>
      <c r="F7" s="12">
        <v>3</v>
      </c>
      <c r="G7" s="56">
        <v>20000</v>
      </c>
      <c r="H7" s="56">
        <v>20</v>
      </c>
      <c r="I7" s="56">
        <v>0</v>
      </c>
      <c r="J7" s="56">
        <v>50</v>
      </c>
      <c r="K7" s="56">
        <v>1</v>
      </c>
      <c r="M7" s="10">
        <v>35</v>
      </c>
      <c r="N7" s="10">
        <f>(H7-ARITHMETIC_COEFFICIENT!I12*M7/100)*J7*K7</f>
        <v>-86500</v>
      </c>
      <c r="O7" s="110"/>
    </row>
    <row r="8" spans="1:24" x14ac:dyDescent="0.15">
      <c r="A8" s="11">
        <f t="shared" si="0"/>
        <v>20010004</v>
      </c>
      <c r="B8" s="13">
        <v>2</v>
      </c>
      <c r="C8" s="12">
        <v>0</v>
      </c>
      <c r="D8" s="13">
        <v>1</v>
      </c>
      <c r="E8" s="13">
        <v>0</v>
      </c>
      <c r="F8" s="12">
        <v>4</v>
      </c>
      <c r="G8" s="56">
        <v>20000</v>
      </c>
      <c r="H8" s="56">
        <v>24</v>
      </c>
      <c r="I8" s="56">
        <v>0</v>
      </c>
      <c r="J8" s="56">
        <v>50</v>
      </c>
      <c r="K8" s="56">
        <v>2</v>
      </c>
      <c r="M8" s="10">
        <v>35</v>
      </c>
      <c r="N8" s="10">
        <f>(H8-ARITHMETIC_COEFFICIENT!I13*M8/100)*J8*K8</f>
        <v>2400</v>
      </c>
    </row>
    <row r="9" spans="1:24" x14ac:dyDescent="0.15">
      <c r="A9" s="11">
        <f t="shared" si="0"/>
        <v>20010005</v>
      </c>
      <c r="B9" s="13">
        <v>2</v>
      </c>
      <c r="C9" s="12">
        <v>0</v>
      </c>
      <c r="D9" s="13">
        <v>1</v>
      </c>
      <c r="E9" s="13">
        <v>0</v>
      </c>
      <c r="F9" s="12">
        <v>5</v>
      </c>
      <c r="G9" s="56">
        <v>20000</v>
      </c>
      <c r="H9" s="56">
        <v>28</v>
      </c>
      <c r="I9" s="56">
        <v>0</v>
      </c>
      <c r="J9" s="56">
        <v>50</v>
      </c>
      <c r="K9" s="56">
        <v>1</v>
      </c>
      <c r="M9" s="10">
        <v>35</v>
      </c>
      <c r="N9" s="10">
        <f>(H9-ARITHMETIC_COEFFICIENT!I14*M9/100)*J9*K9</f>
        <v>1400</v>
      </c>
    </row>
    <row r="10" spans="1:24" x14ac:dyDescent="0.15">
      <c r="A10" s="11">
        <f t="shared" si="0"/>
        <v>20010006</v>
      </c>
      <c r="B10" s="13">
        <v>2</v>
      </c>
      <c r="C10" s="12">
        <v>0</v>
      </c>
      <c r="D10" s="13">
        <v>1</v>
      </c>
      <c r="E10" s="13">
        <v>0</v>
      </c>
      <c r="F10" s="12">
        <v>6</v>
      </c>
      <c r="G10" s="56">
        <v>20000</v>
      </c>
      <c r="H10" s="56">
        <v>32</v>
      </c>
      <c r="I10" s="56">
        <v>0</v>
      </c>
      <c r="J10" s="56">
        <v>78</v>
      </c>
      <c r="K10" s="56">
        <v>2</v>
      </c>
      <c r="M10" s="10">
        <v>35</v>
      </c>
      <c r="N10" s="10">
        <f>(H10-ARITHMETIC_COEFFICIENT!I15*M10/100)*J10*K10</f>
        <v>4992</v>
      </c>
    </row>
    <row r="11" spans="1:24" x14ac:dyDescent="0.15">
      <c r="A11" s="11">
        <f t="shared" si="0"/>
        <v>20010007</v>
      </c>
      <c r="B11" s="13">
        <v>2</v>
      </c>
      <c r="C11" s="12">
        <v>0</v>
      </c>
      <c r="D11" s="13">
        <v>1</v>
      </c>
      <c r="E11" s="13">
        <v>0</v>
      </c>
      <c r="F11" s="12">
        <v>7</v>
      </c>
      <c r="G11" s="56">
        <v>20000</v>
      </c>
      <c r="H11" s="56">
        <v>36</v>
      </c>
      <c r="I11" s="56">
        <v>0</v>
      </c>
      <c r="J11" s="56">
        <v>100</v>
      </c>
      <c r="K11" s="56">
        <v>1</v>
      </c>
      <c r="M11" s="10">
        <v>35</v>
      </c>
      <c r="N11" s="10">
        <f>(H11-ARITHMETIC_COEFFICIENT!I16*M11/100)*J11*K11</f>
        <v>3600</v>
      </c>
    </row>
    <row r="12" spans="1:24" x14ac:dyDescent="0.15">
      <c r="A12" s="11">
        <f t="shared" si="0"/>
        <v>20010008</v>
      </c>
      <c r="B12" s="13">
        <v>2</v>
      </c>
      <c r="C12" s="12">
        <v>0</v>
      </c>
      <c r="D12" s="13">
        <v>1</v>
      </c>
      <c r="E12" s="13">
        <v>0</v>
      </c>
      <c r="F12" s="12">
        <v>8</v>
      </c>
      <c r="G12" s="56">
        <v>20000</v>
      </c>
      <c r="H12" s="56">
        <v>40</v>
      </c>
      <c r="I12" s="56">
        <v>0</v>
      </c>
      <c r="J12" s="56">
        <v>80</v>
      </c>
      <c r="K12" s="56">
        <v>1</v>
      </c>
      <c r="M12" s="10">
        <v>35</v>
      </c>
      <c r="N12" s="10">
        <f>(H12-ARITHMETIC_COEFFICIENT!I17*M12/100)*J12*K12</f>
        <v>3200</v>
      </c>
    </row>
    <row r="13" spans="1:24" x14ac:dyDescent="0.15">
      <c r="A13" s="11">
        <f t="shared" si="0"/>
        <v>20010009</v>
      </c>
      <c r="B13" s="13">
        <v>2</v>
      </c>
      <c r="C13" s="12">
        <v>0</v>
      </c>
      <c r="D13" s="13">
        <v>1</v>
      </c>
      <c r="E13" s="13">
        <v>0</v>
      </c>
      <c r="F13" s="12">
        <v>9</v>
      </c>
      <c r="G13" s="56">
        <v>20000</v>
      </c>
      <c r="H13" s="56">
        <v>44</v>
      </c>
      <c r="I13" s="56">
        <v>0</v>
      </c>
      <c r="J13" s="56">
        <v>60</v>
      </c>
      <c r="K13" s="56">
        <v>1</v>
      </c>
      <c r="M13" s="10">
        <v>35</v>
      </c>
      <c r="N13" s="10">
        <f>(H13-ARITHMETIC_COEFFICIENT!I18*M13/100)*J13*K13</f>
        <v>2640</v>
      </c>
    </row>
    <row r="14" spans="1:24" ht="17.25" thickBot="1" x14ac:dyDescent="0.2">
      <c r="A14" s="11">
        <f t="shared" si="0"/>
        <v>20010010</v>
      </c>
      <c r="B14" s="13">
        <v>2</v>
      </c>
      <c r="C14" s="12">
        <v>0</v>
      </c>
      <c r="D14" s="13">
        <v>1</v>
      </c>
      <c r="E14" s="13">
        <v>0</v>
      </c>
      <c r="F14" s="12">
        <v>10</v>
      </c>
      <c r="G14" s="56">
        <v>20000</v>
      </c>
      <c r="H14" s="56">
        <v>48</v>
      </c>
      <c r="I14" s="56">
        <v>0</v>
      </c>
      <c r="J14" s="56">
        <v>75</v>
      </c>
      <c r="K14" s="56">
        <v>2</v>
      </c>
      <c r="M14" s="10">
        <v>35</v>
      </c>
      <c r="N14" s="10">
        <f>(H14-ARITHMETIC_COEFFICIENT!I19*M14/100)*J14*K14</f>
        <v>7200</v>
      </c>
    </row>
    <row r="15" spans="1:24" s="115" customFormat="1" x14ac:dyDescent="0.15">
      <c r="A15" s="18">
        <f t="shared" si="0"/>
        <v>20020001</v>
      </c>
      <c r="B15" s="20">
        <v>2</v>
      </c>
      <c r="C15" s="19">
        <v>0</v>
      </c>
      <c r="D15" s="20">
        <v>2</v>
      </c>
      <c r="E15" s="20">
        <v>0</v>
      </c>
      <c r="F15" s="19">
        <v>1</v>
      </c>
      <c r="G15" s="57">
        <v>30000</v>
      </c>
      <c r="H15" s="57"/>
      <c r="I15" s="57"/>
      <c r="J15" s="57"/>
      <c r="K15" s="57"/>
      <c r="L15" s="57"/>
      <c r="M15" s="17">
        <v>45</v>
      </c>
      <c r="N15" s="17">
        <f>(H15-ARITHMETIC_COEFFICIENT!I20*M15)*J15*K15</f>
        <v>0</v>
      </c>
    </row>
    <row r="16" spans="1:24" s="98" customFormat="1" x14ac:dyDescent="0.15">
      <c r="A16" s="11">
        <f t="shared" si="0"/>
        <v>20020002</v>
      </c>
      <c r="B16" s="13">
        <v>2</v>
      </c>
      <c r="C16" s="12">
        <v>0</v>
      </c>
      <c r="D16" s="13">
        <v>2</v>
      </c>
      <c r="E16" s="13">
        <v>0</v>
      </c>
      <c r="F16" s="12">
        <v>2</v>
      </c>
      <c r="G16" s="56">
        <v>30000</v>
      </c>
      <c r="H16" s="56"/>
      <c r="I16" s="56"/>
      <c r="J16" s="56"/>
      <c r="K16" s="56"/>
      <c r="L16" s="56"/>
      <c r="M16" s="10">
        <v>45</v>
      </c>
      <c r="N16" s="10">
        <f>(H16-ARITHMETIC_COEFFICIENT!I21*M16)*J16*K16</f>
        <v>0</v>
      </c>
    </row>
    <row r="17" spans="1:14" s="98" customFormat="1" x14ac:dyDescent="0.15">
      <c r="A17" s="11">
        <f t="shared" si="0"/>
        <v>20020003</v>
      </c>
      <c r="B17" s="13">
        <v>2</v>
      </c>
      <c r="C17" s="12">
        <v>0</v>
      </c>
      <c r="D17" s="13">
        <v>2</v>
      </c>
      <c r="E17" s="13">
        <v>0</v>
      </c>
      <c r="F17" s="12">
        <v>3</v>
      </c>
      <c r="G17" s="56">
        <v>30000</v>
      </c>
      <c r="H17" s="56"/>
      <c r="I17" s="56"/>
      <c r="J17" s="56"/>
      <c r="K17" s="56"/>
      <c r="L17" s="56"/>
      <c r="M17" s="10">
        <v>45</v>
      </c>
      <c r="N17" s="10">
        <f>(H17-ARITHMETIC_COEFFICIENT!I22*M17)*J17*K17</f>
        <v>0</v>
      </c>
    </row>
    <row r="18" spans="1:14" s="98" customFormat="1" x14ac:dyDescent="0.15">
      <c r="A18" s="11">
        <f t="shared" si="0"/>
        <v>20020004</v>
      </c>
      <c r="B18" s="13">
        <v>2</v>
      </c>
      <c r="C18" s="12">
        <v>0</v>
      </c>
      <c r="D18" s="13">
        <v>2</v>
      </c>
      <c r="E18" s="13">
        <v>0</v>
      </c>
      <c r="F18" s="12">
        <v>4</v>
      </c>
      <c r="G18" s="56">
        <v>30000</v>
      </c>
      <c r="H18" s="56"/>
      <c r="I18" s="56"/>
      <c r="J18" s="56"/>
      <c r="K18" s="56"/>
      <c r="L18" s="56"/>
      <c r="M18" s="10">
        <v>45</v>
      </c>
      <c r="N18" s="10">
        <f>(H18-ARITHMETIC_COEFFICIENT!I23*M18)*J18*K18</f>
        <v>0</v>
      </c>
    </row>
    <row r="19" spans="1:14" s="98" customFormat="1" x14ac:dyDescent="0.15">
      <c r="A19" s="11">
        <f t="shared" si="0"/>
        <v>20020005</v>
      </c>
      <c r="B19" s="13">
        <v>2</v>
      </c>
      <c r="C19" s="12">
        <v>0</v>
      </c>
      <c r="D19" s="13">
        <v>2</v>
      </c>
      <c r="E19" s="13">
        <v>0</v>
      </c>
      <c r="F19" s="12">
        <v>5</v>
      </c>
      <c r="G19" s="56">
        <v>30000</v>
      </c>
      <c r="H19" s="56"/>
      <c r="I19" s="56"/>
      <c r="J19" s="56"/>
      <c r="K19" s="56"/>
      <c r="L19" s="56"/>
      <c r="M19" s="10">
        <v>45</v>
      </c>
      <c r="N19" s="10">
        <f>(H19-ARITHMETIC_COEFFICIENT!I24*M19)*J19*K19</f>
        <v>0</v>
      </c>
    </row>
    <row r="20" spans="1:14" s="98" customFormat="1" x14ac:dyDescent="0.15">
      <c r="A20" s="11">
        <f t="shared" si="0"/>
        <v>20020006</v>
      </c>
      <c r="B20" s="13">
        <v>2</v>
      </c>
      <c r="C20" s="12">
        <v>0</v>
      </c>
      <c r="D20" s="13">
        <v>2</v>
      </c>
      <c r="E20" s="13">
        <v>0</v>
      </c>
      <c r="F20" s="12">
        <v>6</v>
      </c>
      <c r="G20" s="56">
        <v>30000</v>
      </c>
      <c r="H20" s="56"/>
      <c r="I20" s="56"/>
      <c r="J20" s="56"/>
      <c r="K20" s="56"/>
      <c r="L20" s="56"/>
      <c r="M20" s="10">
        <v>45</v>
      </c>
      <c r="N20" s="10">
        <f>(H20-ARITHMETIC_COEFFICIENT!I25*M20)*J20*K20</f>
        <v>0</v>
      </c>
    </row>
    <row r="21" spans="1:14" s="98" customFormat="1" x14ac:dyDescent="0.15">
      <c r="A21" s="11">
        <f t="shared" si="0"/>
        <v>20020007</v>
      </c>
      <c r="B21" s="13">
        <v>2</v>
      </c>
      <c r="C21" s="12">
        <v>0</v>
      </c>
      <c r="D21" s="13">
        <v>2</v>
      </c>
      <c r="E21" s="13">
        <v>0</v>
      </c>
      <c r="F21" s="12">
        <v>7</v>
      </c>
      <c r="G21" s="56">
        <v>30000</v>
      </c>
      <c r="H21" s="56"/>
      <c r="I21" s="56"/>
      <c r="J21" s="56"/>
      <c r="K21" s="56"/>
      <c r="L21" s="56"/>
      <c r="M21" s="10">
        <v>45</v>
      </c>
      <c r="N21" s="10">
        <f>(H21-ARITHMETIC_COEFFICIENT!I26*M21)*J21*K21</f>
        <v>0</v>
      </c>
    </row>
    <row r="22" spans="1:14" s="98" customFormat="1" x14ac:dyDescent="0.15">
      <c r="A22" s="11">
        <f t="shared" si="0"/>
        <v>20020008</v>
      </c>
      <c r="B22" s="13">
        <v>2</v>
      </c>
      <c r="C22" s="12">
        <v>0</v>
      </c>
      <c r="D22" s="13">
        <v>2</v>
      </c>
      <c r="E22" s="13">
        <v>0</v>
      </c>
      <c r="F22" s="12">
        <v>8</v>
      </c>
      <c r="G22" s="56">
        <v>30000</v>
      </c>
      <c r="H22" s="56"/>
      <c r="I22" s="56"/>
      <c r="J22" s="56"/>
      <c r="K22" s="56"/>
      <c r="L22" s="56"/>
      <c r="M22" s="10">
        <v>45</v>
      </c>
      <c r="N22" s="10">
        <f>(H22-ARITHMETIC_COEFFICIENT!I27*M22)*J22*K22</f>
        <v>0</v>
      </c>
    </row>
    <row r="23" spans="1:14" s="98" customFormat="1" x14ac:dyDescent="0.15">
      <c r="A23" s="11">
        <f t="shared" si="0"/>
        <v>20020009</v>
      </c>
      <c r="B23" s="13">
        <v>2</v>
      </c>
      <c r="C23" s="12">
        <v>0</v>
      </c>
      <c r="D23" s="13">
        <v>2</v>
      </c>
      <c r="E23" s="13">
        <v>0</v>
      </c>
      <c r="F23" s="12">
        <v>9</v>
      </c>
      <c r="G23" s="56">
        <v>30000</v>
      </c>
      <c r="H23" s="56"/>
      <c r="I23" s="56"/>
      <c r="J23" s="56"/>
      <c r="K23" s="56"/>
      <c r="L23" s="56"/>
      <c r="M23" s="10">
        <v>45</v>
      </c>
      <c r="N23" s="10">
        <f>(H23-ARITHMETIC_COEFFICIENT!I28*M23)*J23*K23</f>
        <v>0</v>
      </c>
    </row>
    <row r="24" spans="1:14" s="98" customFormat="1" ht="17.25" thickBot="1" x14ac:dyDescent="0.2">
      <c r="A24" s="11">
        <f t="shared" si="0"/>
        <v>20020010</v>
      </c>
      <c r="B24" s="113">
        <v>2</v>
      </c>
      <c r="C24" s="12">
        <v>0</v>
      </c>
      <c r="D24" s="113">
        <v>2</v>
      </c>
      <c r="E24" s="113">
        <v>0</v>
      </c>
      <c r="F24" s="12">
        <v>10</v>
      </c>
      <c r="G24" s="56">
        <v>30000</v>
      </c>
      <c r="H24" s="56"/>
      <c r="I24" s="56"/>
      <c r="J24" s="56"/>
      <c r="K24" s="56"/>
      <c r="L24" s="56"/>
      <c r="M24" s="10">
        <v>45</v>
      </c>
      <c r="N24" s="10">
        <f>(H24-ARITHMETIC_COEFFICIENT!I29*M24)*J24*K24</f>
        <v>0</v>
      </c>
    </row>
    <row r="25" spans="1:14" s="115" customFormat="1" x14ac:dyDescent="0.15">
      <c r="A25" s="18">
        <f t="shared" si="0"/>
        <v>20030001</v>
      </c>
      <c r="B25" s="20">
        <v>2</v>
      </c>
      <c r="C25" s="19">
        <v>0</v>
      </c>
      <c r="D25" s="20">
        <v>3</v>
      </c>
      <c r="E25" s="20">
        <v>0</v>
      </c>
      <c r="F25" s="19">
        <v>1</v>
      </c>
      <c r="G25" s="57">
        <v>40000</v>
      </c>
      <c r="H25" s="57"/>
      <c r="I25" s="57"/>
      <c r="J25" s="57"/>
      <c r="K25" s="57"/>
      <c r="L25" s="57"/>
      <c r="M25" s="17">
        <v>55</v>
      </c>
      <c r="N25" s="17">
        <f>(H25-ARITHMETIC_COEFFICIENT!I30*M25)*J25*K25</f>
        <v>0</v>
      </c>
    </row>
    <row r="26" spans="1:14" s="98" customFormat="1" x14ac:dyDescent="0.15">
      <c r="A26" s="11">
        <f t="shared" si="0"/>
        <v>20030002</v>
      </c>
      <c r="B26" s="13">
        <v>2</v>
      </c>
      <c r="C26" s="12">
        <v>0</v>
      </c>
      <c r="D26" s="13">
        <v>3</v>
      </c>
      <c r="E26" s="13">
        <v>0</v>
      </c>
      <c r="F26" s="12">
        <v>2</v>
      </c>
      <c r="G26" s="56">
        <v>40000</v>
      </c>
      <c r="H26" s="56"/>
      <c r="I26" s="56"/>
      <c r="J26" s="56"/>
      <c r="K26" s="56"/>
      <c r="L26" s="56"/>
      <c r="M26" s="10">
        <v>55</v>
      </c>
      <c r="N26" s="10">
        <f>(H26-ARITHMETIC_COEFFICIENT!I31*M26)*J26*K26</f>
        <v>0</v>
      </c>
    </row>
    <row r="27" spans="1:14" s="98" customFormat="1" x14ac:dyDescent="0.15">
      <c r="A27" s="11">
        <f t="shared" si="0"/>
        <v>20030003</v>
      </c>
      <c r="B27" s="13">
        <v>2</v>
      </c>
      <c r="C27" s="12">
        <v>0</v>
      </c>
      <c r="D27" s="13">
        <v>3</v>
      </c>
      <c r="E27" s="13">
        <v>0</v>
      </c>
      <c r="F27" s="12">
        <v>3</v>
      </c>
      <c r="G27" s="56">
        <v>40000</v>
      </c>
      <c r="H27" s="56"/>
      <c r="I27" s="56"/>
      <c r="J27" s="56"/>
      <c r="K27" s="56"/>
      <c r="L27" s="56"/>
      <c r="M27" s="10">
        <v>55</v>
      </c>
      <c r="N27" s="10">
        <f>(H27-ARITHMETIC_COEFFICIENT!I32*M27)*J27*K27</f>
        <v>0</v>
      </c>
    </row>
    <row r="28" spans="1:14" s="98" customFormat="1" x14ac:dyDescent="0.15">
      <c r="A28" s="11">
        <f t="shared" si="0"/>
        <v>20030004</v>
      </c>
      <c r="B28" s="13">
        <v>2</v>
      </c>
      <c r="C28" s="12">
        <v>0</v>
      </c>
      <c r="D28" s="13">
        <v>3</v>
      </c>
      <c r="E28" s="13">
        <v>0</v>
      </c>
      <c r="F28" s="12">
        <v>4</v>
      </c>
      <c r="G28" s="56">
        <v>40000</v>
      </c>
      <c r="H28" s="56"/>
      <c r="I28" s="56"/>
      <c r="J28" s="56"/>
      <c r="K28" s="56"/>
      <c r="L28" s="56"/>
      <c r="M28" s="10">
        <v>55</v>
      </c>
      <c r="N28" s="10">
        <f>(H28-ARITHMETIC_COEFFICIENT!I33*M28)*J28*K28</f>
        <v>0</v>
      </c>
    </row>
    <row r="29" spans="1:14" s="98" customFormat="1" x14ac:dyDescent="0.15">
      <c r="A29" s="11">
        <f t="shared" si="0"/>
        <v>20030005</v>
      </c>
      <c r="B29" s="13">
        <v>2</v>
      </c>
      <c r="C29" s="12">
        <v>0</v>
      </c>
      <c r="D29" s="13">
        <v>3</v>
      </c>
      <c r="E29" s="13">
        <v>0</v>
      </c>
      <c r="F29" s="12">
        <v>5</v>
      </c>
      <c r="G29" s="56">
        <v>40000</v>
      </c>
      <c r="H29" s="56"/>
      <c r="I29" s="56"/>
      <c r="J29" s="56"/>
      <c r="K29" s="56"/>
      <c r="L29" s="56"/>
      <c r="M29" s="10">
        <v>55</v>
      </c>
      <c r="N29" s="10">
        <f>(H29-ARITHMETIC_COEFFICIENT!I34*M29)*J29*K29</f>
        <v>0</v>
      </c>
    </row>
    <row r="30" spans="1:14" s="98" customFormat="1" x14ac:dyDescent="0.15">
      <c r="A30" s="11">
        <f t="shared" si="0"/>
        <v>20030006</v>
      </c>
      <c r="B30" s="13">
        <v>2</v>
      </c>
      <c r="C30" s="12">
        <v>0</v>
      </c>
      <c r="D30" s="13">
        <v>3</v>
      </c>
      <c r="E30" s="13">
        <v>0</v>
      </c>
      <c r="F30" s="12">
        <v>6</v>
      </c>
      <c r="G30" s="56">
        <v>40000</v>
      </c>
      <c r="H30" s="56"/>
      <c r="I30" s="56"/>
      <c r="J30" s="56"/>
      <c r="K30" s="56"/>
      <c r="L30" s="56"/>
      <c r="M30" s="10">
        <v>55</v>
      </c>
      <c r="N30" s="10">
        <f>(H30-ARITHMETIC_COEFFICIENT!I35*M30)*J30*K30</f>
        <v>0</v>
      </c>
    </row>
    <row r="31" spans="1:14" s="98" customFormat="1" x14ac:dyDescent="0.15">
      <c r="A31" s="11">
        <f t="shared" si="0"/>
        <v>20030007</v>
      </c>
      <c r="B31" s="13">
        <v>2</v>
      </c>
      <c r="C31" s="12">
        <v>0</v>
      </c>
      <c r="D31" s="13">
        <v>3</v>
      </c>
      <c r="E31" s="13">
        <v>0</v>
      </c>
      <c r="F31" s="12">
        <v>7</v>
      </c>
      <c r="G31" s="56">
        <v>40000</v>
      </c>
      <c r="H31" s="56"/>
      <c r="I31" s="56"/>
      <c r="J31" s="56"/>
      <c r="K31" s="56"/>
      <c r="L31" s="56"/>
      <c r="M31" s="10">
        <v>55</v>
      </c>
      <c r="N31" s="10">
        <f>(H31-ARITHMETIC_COEFFICIENT!I36*M31)*J31*K31</f>
        <v>0</v>
      </c>
    </row>
    <row r="32" spans="1:14" s="98" customFormat="1" x14ac:dyDescent="0.15">
      <c r="A32" s="11">
        <f t="shared" si="0"/>
        <v>20030008</v>
      </c>
      <c r="B32" s="13">
        <v>2</v>
      </c>
      <c r="C32" s="12">
        <v>0</v>
      </c>
      <c r="D32" s="13">
        <v>3</v>
      </c>
      <c r="E32" s="13">
        <v>0</v>
      </c>
      <c r="F32" s="12">
        <v>8</v>
      </c>
      <c r="G32" s="56">
        <v>40000</v>
      </c>
      <c r="H32" s="56"/>
      <c r="I32" s="56"/>
      <c r="J32" s="56"/>
      <c r="K32" s="56"/>
      <c r="L32" s="56"/>
      <c r="M32" s="10">
        <v>55</v>
      </c>
      <c r="N32" s="10">
        <f>(H32-ARITHMETIC_COEFFICIENT!I37*M32)*J32*K32</f>
        <v>0</v>
      </c>
    </row>
    <row r="33" spans="1:14" s="98" customFormat="1" x14ac:dyDescent="0.15">
      <c r="A33" s="11">
        <f t="shared" si="0"/>
        <v>20030009</v>
      </c>
      <c r="B33" s="13">
        <v>2</v>
      </c>
      <c r="C33" s="12">
        <v>0</v>
      </c>
      <c r="D33" s="13">
        <v>3</v>
      </c>
      <c r="E33" s="13">
        <v>0</v>
      </c>
      <c r="F33" s="12">
        <v>9</v>
      </c>
      <c r="G33" s="56">
        <v>40000</v>
      </c>
      <c r="H33" s="56"/>
      <c r="I33" s="56"/>
      <c r="J33" s="56"/>
      <c r="K33" s="56"/>
      <c r="L33" s="56"/>
      <c r="M33" s="10">
        <v>55</v>
      </c>
      <c r="N33" s="10">
        <f>(H33-ARITHMETIC_COEFFICIENT!I38*M33)*J33*K33</f>
        <v>0</v>
      </c>
    </row>
    <row r="34" spans="1:14" s="98" customFormat="1" ht="17.25" thickBot="1" x14ac:dyDescent="0.2">
      <c r="A34" s="11">
        <f t="shared" si="0"/>
        <v>20030010</v>
      </c>
      <c r="B34" s="113">
        <v>2</v>
      </c>
      <c r="C34" s="12">
        <v>0</v>
      </c>
      <c r="D34" s="113">
        <v>3</v>
      </c>
      <c r="E34" s="113">
        <v>0</v>
      </c>
      <c r="F34" s="12">
        <v>10</v>
      </c>
      <c r="G34" s="56">
        <v>40000</v>
      </c>
      <c r="H34" s="56"/>
      <c r="I34" s="56"/>
      <c r="J34" s="56"/>
      <c r="K34" s="56"/>
      <c r="L34" s="56"/>
      <c r="M34" s="10">
        <v>55</v>
      </c>
      <c r="N34" s="10">
        <f>(H34-ARITHMETIC_COEFFICIENT!I39*M34)*J34*K34</f>
        <v>0</v>
      </c>
    </row>
    <row r="35" spans="1:14" s="115" customFormat="1" x14ac:dyDescent="0.15">
      <c r="A35" s="18">
        <f t="shared" si="0"/>
        <v>20040001</v>
      </c>
      <c r="B35" s="20">
        <v>2</v>
      </c>
      <c r="C35" s="19">
        <v>0</v>
      </c>
      <c r="D35" s="20">
        <v>4</v>
      </c>
      <c r="E35" s="20">
        <v>0</v>
      </c>
      <c r="F35" s="19">
        <v>1</v>
      </c>
      <c r="G35" s="57">
        <v>50000</v>
      </c>
      <c r="H35" s="57"/>
      <c r="I35" s="57"/>
      <c r="J35" s="57"/>
      <c r="K35" s="57"/>
      <c r="L35" s="57"/>
      <c r="M35" s="17"/>
      <c r="N35" s="17">
        <f>(H35-ARITHMETIC_COEFFICIENT!I40*M35)*J35*K35</f>
        <v>0</v>
      </c>
    </row>
    <row r="36" spans="1:14" s="98" customFormat="1" x14ac:dyDescent="0.15">
      <c r="A36" s="11">
        <f t="shared" si="0"/>
        <v>20040002</v>
      </c>
      <c r="B36" s="13">
        <v>2</v>
      </c>
      <c r="C36" s="12">
        <v>0</v>
      </c>
      <c r="D36" s="13">
        <v>4</v>
      </c>
      <c r="E36" s="13">
        <v>0</v>
      </c>
      <c r="F36" s="12">
        <v>2</v>
      </c>
      <c r="G36" s="56">
        <v>50000</v>
      </c>
      <c r="H36" s="56"/>
      <c r="I36" s="56"/>
      <c r="J36" s="56"/>
      <c r="K36" s="56"/>
      <c r="L36" s="56"/>
      <c r="M36" s="10"/>
      <c r="N36" s="10">
        <f>(H36-ARITHMETIC_COEFFICIENT!I41*M36)*J36*K36</f>
        <v>0</v>
      </c>
    </row>
    <row r="37" spans="1:14" s="98" customFormat="1" x14ac:dyDescent="0.15">
      <c r="A37" s="11">
        <f t="shared" si="0"/>
        <v>20040003</v>
      </c>
      <c r="B37" s="13">
        <v>2</v>
      </c>
      <c r="C37" s="12">
        <v>0</v>
      </c>
      <c r="D37" s="13">
        <v>4</v>
      </c>
      <c r="E37" s="13">
        <v>0</v>
      </c>
      <c r="F37" s="12">
        <v>3</v>
      </c>
      <c r="G37" s="56">
        <v>50000</v>
      </c>
      <c r="H37" s="56"/>
      <c r="I37" s="56"/>
      <c r="J37" s="56"/>
      <c r="K37" s="56"/>
      <c r="L37" s="56"/>
      <c r="M37" s="10"/>
      <c r="N37" s="10">
        <f>(H37-ARITHMETIC_COEFFICIENT!I42*M37)*J37*K37</f>
        <v>0</v>
      </c>
    </row>
    <row r="38" spans="1:14" s="98" customFormat="1" x14ac:dyDescent="0.15">
      <c r="A38" s="11">
        <f t="shared" si="0"/>
        <v>20040004</v>
      </c>
      <c r="B38" s="13">
        <v>2</v>
      </c>
      <c r="C38" s="12">
        <v>0</v>
      </c>
      <c r="D38" s="13">
        <v>4</v>
      </c>
      <c r="E38" s="13">
        <v>0</v>
      </c>
      <c r="F38" s="12">
        <v>4</v>
      </c>
      <c r="G38" s="56">
        <v>50000</v>
      </c>
      <c r="H38" s="56"/>
      <c r="I38" s="56"/>
      <c r="J38" s="56"/>
      <c r="K38" s="56"/>
      <c r="L38" s="56"/>
      <c r="M38" s="10"/>
      <c r="N38" s="10">
        <f>(H38-ARITHMETIC_COEFFICIENT!I43*M38)*J38*K38</f>
        <v>0</v>
      </c>
    </row>
    <row r="39" spans="1:14" s="98" customFormat="1" x14ac:dyDescent="0.15">
      <c r="A39" s="11">
        <f t="shared" si="0"/>
        <v>20040005</v>
      </c>
      <c r="B39" s="13">
        <v>2</v>
      </c>
      <c r="C39" s="12">
        <v>0</v>
      </c>
      <c r="D39" s="13">
        <v>4</v>
      </c>
      <c r="E39" s="13">
        <v>0</v>
      </c>
      <c r="F39" s="12">
        <v>5</v>
      </c>
      <c r="G39" s="56">
        <v>50000</v>
      </c>
      <c r="H39" s="56"/>
      <c r="I39" s="56"/>
      <c r="J39" s="56"/>
      <c r="K39" s="56"/>
      <c r="L39" s="56"/>
      <c r="M39" s="10"/>
      <c r="N39" s="10">
        <f>(H39-ARITHMETIC_COEFFICIENT!I44*M39)*J39*K39</f>
        <v>0</v>
      </c>
    </row>
    <row r="40" spans="1:14" s="98" customFormat="1" x14ac:dyDescent="0.15">
      <c r="A40" s="11">
        <f t="shared" si="0"/>
        <v>20040006</v>
      </c>
      <c r="B40" s="13">
        <v>2</v>
      </c>
      <c r="C40" s="12">
        <v>0</v>
      </c>
      <c r="D40" s="13">
        <v>4</v>
      </c>
      <c r="E40" s="13">
        <v>0</v>
      </c>
      <c r="F40" s="12">
        <v>6</v>
      </c>
      <c r="G40" s="56">
        <v>50000</v>
      </c>
      <c r="H40" s="56"/>
      <c r="I40" s="56"/>
      <c r="J40" s="56"/>
      <c r="K40" s="56"/>
      <c r="L40" s="56"/>
      <c r="M40" s="10"/>
      <c r="N40" s="10">
        <f>(H40-ARITHMETIC_COEFFICIENT!I45*M40)*J40*K40</f>
        <v>0</v>
      </c>
    </row>
    <row r="41" spans="1:14" s="98" customFormat="1" x14ac:dyDescent="0.15">
      <c r="A41" s="11">
        <f t="shared" si="0"/>
        <v>20040007</v>
      </c>
      <c r="B41" s="13">
        <v>2</v>
      </c>
      <c r="C41" s="12">
        <v>0</v>
      </c>
      <c r="D41" s="13">
        <v>4</v>
      </c>
      <c r="E41" s="13">
        <v>0</v>
      </c>
      <c r="F41" s="12">
        <v>7</v>
      </c>
      <c r="G41" s="56">
        <v>50000</v>
      </c>
      <c r="H41" s="56"/>
      <c r="I41" s="56"/>
      <c r="J41" s="56"/>
      <c r="K41" s="56"/>
      <c r="L41" s="56"/>
      <c r="M41" s="10"/>
      <c r="N41" s="10">
        <f>(H41-ARITHMETIC_COEFFICIENT!I46*M41)*J41*K41</f>
        <v>0</v>
      </c>
    </row>
    <row r="42" spans="1:14" s="98" customFormat="1" x14ac:dyDescent="0.15">
      <c r="A42" s="11">
        <f t="shared" si="0"/>
        <v>20040008</v>
      </c>
      <c r="B42" s="13">
        <v>2</v>
      </c>
      <c r="C42" s="12">
        <v>0</v>
      </c>
      <c r="D42" s="13">
        <v>4</v>
      </c>
      <c r="E42" s="13">
        <v>0</v>
      </c>
      <c r="F42" s="12">
        <v>8</v>
      </c>
      <c r="G42" s="56">
        <v>50000</v>
      </c>
      <c r="H42" s="56"/>
      <c r="I42" s="56"/>
      <c r="J42" s="56"/>
      <c r="K42" s="56"/>
      <c r="L42" s="56"/>
      <c r="M42" s="10"/>
      <c r="N42" s="10">
        <f>(H42-ARITHMETIC_COEFFICIENT!I47*M42)*J42*K42</f>
        <v>0</v>
      </c>
    </row>
    <row r="43" spans="1:14" s="98" customFormat="1" x14ac:dyDescent="0.15">
      <c r="A43" s="11">
        <f t="shared" si="0"/>
        <v>20040009</v>
      </c>
      <c r="B43" s="13">
        <v>2</v>
      </c>
      <c r="C43" s="12">
        <v>0</v>
      </c>
      <c r="D43" s="13">
        <v>4</v>
      </c>
      <c r="E43" s="13">
        <v>0</v>
      </c>
      <c r="F43" s="12">
        <v>9</v>
      </c>
      <c r="G43" s="56">
        <v>50000</v>
      </c>
      <c r="H43" s="56"/>
      <c r="I43" s="56"/>
      <c r="J43" s="56"/>
      <c r="K43" s="56"/>
      <c r="L43" s="56"/>
      <c r="M43" s="10"/>
      <c r="N43" s="10">
        <f>(H43-ARITHMETIC_COEFFICIENT!I48*M43)*J43*K43</f>
        <v>0</v>
      </c>
    </row>
    <row r="44" spans="1:14" s="98" customFormat="1" ht="17.25" thickBot="1" x14ac:dyDescent="0.2">
      <c r="A44" s="11">
        <f t="shared" si="0"/>
        <v>20040010</v>
      </c>
      <c r="B44" s="113">
        <v>2</v>
      </c>
      <c r="C44" s="12">
        <v>0</v>
      </c>
      <c r="D44" s="113">
        <v>4</v>
      </c>
      <c r="E44" s="113">
        <v>0</v>
      </c>
      <c r="F44" s="12">
        <v>10</v>
      </c>
      <c r="G44" s="56">
        <v>50000</v>
      </c>
      <c r="H44" s="56"/>
      <c r="I44" s="56"/>
      <c r="J44" s="56"/>
      <c r="K44" s="56"/>
      <c r="L44" s="56"/>
      <c r="M44" s="10"/>
      <c r="N44" s="10">
        <f>(H44-ARITHMETIC_COEFFICIENT!I49*M44)*J44*K44</f>
        <v>0</v>
      </c>
    </row>
    <row r="45" spans="1:14" s="115" customFormat="1" x14ac:dyDescent="0.15">
      <c r="A45" s="18">
        <f t="shared" si="0"/>
        <v>20050001</v>
      </c>
      <c r="B45" s="20">
        <v>2</v>
      </c>
      <c r="C45" s="19">
        <v>0</v>
      </c>
      <c r="D45" s="20">
        <v>5</v>
      </c>
      <c r="E45" s="20">
        <v>0</v>
      </c>
      <c r="F45" s="19">
        <v>1</v>
      </c>
      <c r="G45" s="57">
        <v>60000</v>
      </c>
      <c r="H45" s="57"/>
      <c r="I45" s="57"/>
      <c r="J45" s="57"/>
      <c r="K45" s="57"/>
      <c r="L45" s="57"/>
      <c r="M45" s="17"/>
      <c r="N45" s="17">
        <f>(H45-ARITHMETIC_COEFFICIENT!I50*M45)*J45*K45</f>
        <v>0</v>
      </c>
    </row>
    <row r="46" spans="1:14" s="98" customFormat="1" x14ac:dyDescent="0.15">
      <c r="A46" s="11">
        <f t="shared" si="0"/>
        <v>20050002</v>
      </c>
      <c r="B46" s="13">
        <v>2</v>
      </c>
      <c r="C46" s="12">
        <v>0</v>
      </c>
      <c r="D46" s="13">
        <v>5</v>
      </c>
      <c r="E46" s="13">
        <v>0</v>
      </c>
      <c r="F46" s="12">
        <v>2</v>
      </c>
      <c r="G46" s="56">
        <v>60000</v>
      </c>
      <c r="H46" s="56"/>
      <c r="I46" s="56"/>
      <c r="J46" s="56"/>
      <c r="K46" s="56"/>
      <c r="L46" s="56"/>
      <c r="M46" s="10"/>
      <c r="N46" s="10">
        <f>(H46-ARITHMETIC_COEFFICIENT!I51*M46)*J46*K46</f>
        <v>0</v>
      </c>
    </row>
    <row r="47" spans="1:14" s="98" customFormat="1" x14ac:dyDescent="0.15">
      <c r="A47" s="11">
        <f t="shared" si="0"/>
        <v>20050003</v>
      </c>
      <c r="B47" s="13">
        <v>2</v>
      </c>
      <c r="C47" s="12">
        <v>0</v>
      </c>
      <c r="D47" s="13">
        <v>5</v>
      </c>
      <c r="E47" s="13">
        <v>0</v>
      </c>
      <c r="F47" s="12">
        <v>3</v>
      </c>
      <c r="G47" s="56">
        <v>60000</v>
      </c>
      <c r="H47" s="56"/>
      <c r="I47" s="56"/>
      <c r="J47" s="56"/>
      <c r="K47" s="56"/>
      <c r="L47" s="56"/>
      <c r="M47" s="10"/>
      <c r="N47" s="10">
        <f>(H47-ARITHMETIC_COEFFICIENT!I52*M47)*J47*K47</f>
        <v>0</v>
      </c>
    </row>
    <row r="48" spans="1:14" s="98" customFormat="1" x14ac:dyDescent="0.15">
      <c r="A48" s="11">
        <f t="shared" si="0"/>
        <v>20050004</v>
      </c>
      <c r="B48" s="13">
        <v>2</v>
      </c>
      <c r="C48" s="12">
        <v>0</v>
      </c>
      <c r="D48" s="13">
        <v>5</v>
      </c>
      <c r="E48" s="13">
        <v>0</v>
      </c>
      <c r="F48" s="12">
        <v>4</v>
      </c>
      <c r="G48" s="56">
        <v>60000</v>
      </c>
      <c r="H48" s="56"/>
      <c r="I48" s="56"/>
      <c r="J48" s="56"/>
      <c r="K48" s="56"/>
      <c r="L48" s="56"/>
      <c r="M48" s="10"/>
      <c r="N48" s="10">
        <f>(H48-ARITHMETIC_COEFFICIENT!I53*M48)*J48*K48</f>
        <v>0</v>
      </c>
    </row>
    <row r="49" spans="1:14" s="98" customFormat="1" x14ac:dyDescent="0.15">
      <c r="A49" s="11">
        <f t="shared" si="0"/>
        <v>20050005</v>
      </c>
      <c r="B49" s="13">
        <v>2</v>
      </c>
      <c r="C49" s="12">
        <v>0</v>
      </c>
      <c r="D49" s="13">
        <v>5</v>
      </c>
      <c r="E49" s="13">
        <v>0</v>
      </c>
      <c r="F49" s="12">
        <v>5</v>
      </c>
      <c r="G49" s="56">
        <v>60000</v>
      </c>
      <c r="H49" s="56"/>
      <c r="I49" s="56"/>
      <c r="J49" s="56"/>
      <c r="K49" s="56"/>
      <c r="L49" s="56"/>
      <c r="M49" s="10"/>
      <c r="N49" s="10">
        <f>(H49-ARITHMETIC_COEFFICIENT!I54*M49)*J49*K49</f>
        <v>0</v>
      </c>
    </row>
    <row r="50" spans="1:14" s="98" customFormat="1" x14ac:dyDescent="0.15">
      <c r="A50" s="11">
        <f t="shared" si="0"/>
        <v>20050006</v>
      </c>
      <c r="B50" s="13">
        <v>2</v>
      </c>
      <c r="C50" s="12">
        <v>0</v>
      </c>
      <c r="D50" s="13">
        <v>5</v>
      </c>
      <c r="E50" s="13">
        <v>0</v>
      </c>
      <c r="F50" s="12">
        <v>6</v>
      </c>
      <c r="G50" s="56">
        <v>60000</v>
      </c>
      <c r="H50" s="56"/>
      <c r="I50" s="56"/>
      <c r="J50" s="56"/>
      <c r="K50" s="56"/>
      <c r="L50" s="56"/>
      <c r="M50" s="10"/>
      <c r="N50" s="10">
        <f>(H50-ARITHMETIC_COEFFICIENT!I55*M50)*J50*K50</f>
        <v>0</v>
      </c>
    </row>
    <row r="51" spans="1:14" s="98" customFormat="1" x14ac:dyDescent="0.15">
      <c r="A51" s="11">
        <f t="shared" si="0"/>
        <v>20050007</v>
      </c>
      <c r="B51" s="13">
        <v>2</v>
      </c>
      <c r="C51" s="12">
        <v>0</v>
      </c>
      <c r="D51" s="13">
        <v>5</v>
      </c>
      <c r="E51" s="13">
        <v>0</v>
      </c>
      <c r="F51" s="12">
        <v>7</v>
      </c>
      <c r="G51" s="56">
        <v>60000</v>
      </c>
      <c r="H51" s="56"/>
      <c r="I51" s="56"/>
      <c r="J51" s="56"/>
      <c r="K51" s="56"/>
      <c r="L51" s="56"/>
      <c r="M51" s="10"/>
      <c r="N51" s="10">
        <f>(H51-ARITHMETIC_COEFFICIENT!I56*M51)*J51*K51</f>
        <v>0</v>
      </c>
    </row>
    <row r="52" spans="1:14" s="98" customFormat="1" x14ac:dyDescent="0.15">
      <c r="A52" s="11">
        <f t="shared" si="0"/>
        <v>20050008</v>
      </c>
      <c r="B52" s="13">
        <v>2</v>
      </c>
      <c r="C52" s="12">
        <v>0</v>
      </c>
      <c r="D52" s="13">
        <v>5</v>
      </c>
      <c r="E52" s="13">
        <v>0</v>
      </c>
      <c r="F52" s="12">
        <v>8</v>
      </c>
      <c r="G52" s="56">
        <v>60000</v>
      </c>
      <c r="H52" s="56"/>
      <c r="I52" s="56"/>
      <c r="J52" s="56"/>
      <c r="K52" s="56"/>
      <c r="L52" s="56"/>
      <c r="M52" s="10"/>
      <c r="N52" s="10">
        <f>(H52-ARITHMETIC_COEFFICIENT!I57*M52)*J52*K52</f>
        <v>0</v>
      </c>
    </row>
    <row r="53" spans="1:14" s="98" customFormat="1" x14ac:dyDescent="0.15">
      <c r="A53" s="11">
        <f t="shared" si="0"/>
        <v>20050009</v>
      </c>
      <c r="B53" s="13">
        <v>2</v>
      </c>
      <c r="C53" s="12">
        <v>0</v>
      </c>
      <c r="D53" s="13">
        <v>5</v>
      </c>
      <c r="E53" s="13">
        <v>0</v>
      </c>
      <c r="F53" s="12">
        <v>9</v>
      </c>
      <c r="G53" s="56">
        <v>60000</v>
      </c>
      <c r="H53" s="56"/>
      <c r="I53" s="56"/>
      <c r="J53" s="56"/>
      <c r="K53" s="56"/>
      <c r="L53" s="56"/>
      <c r="M53" s="10"/>
      <c r="N53" s="10">
        <f>(H53-ARITHMETIC_COEFFICIENT!I58*M53)*J53*K53</f>
        <v>0</v>
      </c>
    </row>
    <row r="54" spans="1:14" s="98" customFormat="1" ht="17.25" thickBot="1" x14ac:dyDescent="0.2">
      <c r="A54" s="11">
        <f t="shared" si="0"/>
        <v>20050010</v>
      </c>
      <c r="B54" s="113">
        <v>2</v>
      </c>
      <c r="C54" s="12">
        <v>0</v>
      </c>
      <c r="D54" s="113">
        <v>5</v>
      </c>
      <c r="E54" s="113">
        <v>0</v>
      </c>
      <c r="F54" s="12">
        <v>10</v>
      </c>
      <c r="G54" s="56">
        <v>60000</v>
      </c>
      <c r="H54" s="56"/>
      <c r="I54" s="56"/>
      <c r="J54" s="56"/>
      <c r="K54" s="56"/>
      <c r="L54" s="56"/>
      <c r="M54" s="10"/>
      <c r="N54" s="10">
        <f>(H54-ARITHMETIC_COEFFICIENT!I59*M54)*J54*K54</f>
        <v>0</v>
      </c>
    </row>
    <row r="55" spans="1:14" s="115" customFormat="1" x14ac:dyDescent="0.15">
      <c r="A55" s="18">
        <f t="shared" si="0"/>
        <v>20060001</v>
      </c>
      <c r="B55" s="20">
        <v>2</v>
      </c>
      <c r="C55" s="19">
        <v>0</v>
      </c>
      <c r="D55" s="20">
        <v>6</v>
      </c>
      <c r="E55" s="20">
        <v>0</v>
      </c>
      <c r="F55" s="19">
        <v>1</v>
      </c>
      <c r="G55" s="57">
        <v>70000</v>
      </c>
      <c r="H55" s="57"/>
      <c r="I55" s="57"/>
      <c r="J55" s="57"/>
      <c r="K55" s="57"/>
      <c r="L55" s="57"/>
      <c r="M55" s="17"/>
      <c r="N55" s="17">
        <f>(H55-ARITHMETIC_COEFFICIENT!I60*M55)*J55*K55</f>
        <v>0</v>
      </c>
    </row>
    <row r="56" spans="1:14" s="98" customFormat="1" x14ac:dyDescent="0.15">
      <c r="A56" s="11">
        <f t="shared" si="0"/>
        <v>20060002</v>
      </c>
      <c r="B56" s="13">
        <v>2</v>
      </c>
      <c r="C56" s="12">
        <v>0</v>
      </c>
      <c r="D56" s="13">
        <v>6</v>
      </c>
      <c r="E56" s="13">
        <v>0</v>
      </c>
      <c r="F56" s="12">
        <v>2</v>
      </c>
      <c r="G56" s="56">
        <v>70000</v>
      </c>
      <c r="H56" s="56"/>
      <c r="I56" s="56"/>
      <c r="J56" s="56"/>
      <c r="K56" s="56"/>
      <c r="L56" s="56"/>
      <c r="M56" s="10"/>
      <c r="N56" s="10">
        <f>(H56-ARITHMETIC_COEFFICIENT!I61*M56)*J56*K56</f>
        <v>0</v>
      </c>
    </row>
    <row r="57" spans="1:14" s="98" customFormat="1" x14ac:dyDescent="0.15">
      <c r="A57" s="11">
        <f t="shared" si="0"/>
        <v>20060003</v>
      </c>
      <c r="B57" s="13">
        <v>2</v>
      </c>
      <c r="C57" s="12">
        <v>0</v>
      </c>
      <c r="D57" s="13">
        <v>6</v>
      </c>
      <c r="E57" s="13">
        <v>0</v>
      </c>
      <c r="F57" s="12">
        <v>3</v>
      </c>
      <c r="G57" s="56">
        <v>70000</v>
      </c>
      <c r="H57" s="56"/>
      <c r="I57" s="56"/>
      <c r="J57" s="56"/>
      <c r="K57" s="56"/>
      <c r="L57" s="56"/>
      <c r="M57" s="10"/>
      <c r="N57" s="10">
        <f>(H57-ARITHMETIC_COEFFICIENT!I62*M57)*J57*K57</f>
        <v>0</v>
      </c>
    </row>
    <row r="58" spans="1:14" s="98" customFormat="1" x14ac:dyDescent="0.15">
      <c r="A58" s="11">
        <f t="shared" si="0"/>
        <v>20060004</v>
      </c>
      <c r="B58" s="13">
        <v>2</v>
      </c>
      <c r="C58" s="12">
        <v>0</v>
      </c>
      <c r="D58" s="13">
        <v>6</v>
      </c>
      <c r="E58" s="13">
        <v>0</v>
      </c>
      <c r="F58" s="12">
        <v>4</v>
      </c>
      <c r="G58" s="56">
        <v>70000</v>
      </c>
      <c r="H58" s="56"/>
      <c r="I58" s="56"/>
      <c r="J58" s="56"/>
      <c r="K58" s="56"/>
      <c r="L58" s="56"/>
      <c r="M58" s="10"/>
      <c r="N58" s="10">
        <f>(H58-ARITHMETIC_COEFFICIENT!I63*M58)*J58*K58</f>
        <v>0</v>
      </c>
    </row>
    <row r="59" spans="1:14" s="98" customFormat="1" x14ac:dyDescent="0.15">
      <c r="A59" s="11">
        <f t="shared" si="0"/>
        <v>20060005</v>
      </c>
      <c r="B59" s="13">
        <v>2</v>
      </c>
      <c r="C59" s="12">
        <v>0</v>
      </c>
      <c r="D59" s="13">
        <v>6</v>
      </c>
      <c r="E59" s="13">
        <v>0</v>
      </c>
      <c r="F59" s="12">
        <v>5</v>
      </c>
      <c r="G59" s="56">
        <v>70000</v>
      </c>
      <c r="H59" s="56"/>
      <c r="I59" s="56"/>
      <c r="J59" s="56"/>
      <c r="K59" s="56"/>
      <c r="L59" s="56"/>
      <c r="M59" s="10"/>
      <c r="N59" s="10">
        <f>(H59-ARITHMETIC_COEFFICIENT!I64*M59)*J59*K59</f>
        <v>0</v>
      </c>
    </row>
    <row r="60" spans="1:14" s="98" customFormat="1" x14ac:dyDescent="0.15">
      <c r="A60" s="11">
        <f t="shared" si="0"/>
        <v>20060006</v>
      </c>
      <c r="B60" s="13">
        <v>2</v>
      </c>
      <c r="C60" s="12">
        <v>0</v>
      </c>
      <c r="D60" s="13">
        <v>6</v>
      </c>
      <c r="E60" s="13">
        <v>0</v>
      </c>
      <c r="F60" s="12">
        <v>6</v>
      </c>
      <c r="G60" s="56">
        <v>70000</v>
      </c>
      <c r="H60" s="56"/>
      <c r="I60" s="56"/>
      <c r="J60" s="56"/>
      <c r="K60" s="56"/>
      <c r="L60" s="56"/>
      <c r="M60" s="10"/>
      <c r="N60" s="10">
        <f>(H60-ARITHMETIC_COEFFICIENT!I65*M60)*J60*K60</f>
        <v>0</v>
      </c>
    </row>
    <row r="61" spans="1:14" s="98" customFormat="1" x14ac:dyDescent="0.15">
      <c r="A61" s="11">
        <f t="shared" si="0"/>
        <v>20060007</v>
      </c>
      <c r="B61" s="13">
        <v>2</v>
      </c>
      <c r="C61" s="12">
        <v>0</v>
      </c>
      <c r="D61" s="13">
        <v>6</v>
      </c>
      <c r="E61" s="13">
        <v>0</v>
      </c>
      <c r="F61" s="12">
        <v>7</v>
      </c>
      <c r="G61" s="56">
        <v>70000</v>
      </c>
      <c r="H61" s="56"/>
      <c r="I61" s="56"/>
      <c r="J61" s="56"/>
      <c r="K61" s="56"/>
      <c r="L61" s="56"/>
      <c r="M61" s="10"/>
      <c r="N61" s="10">
        <f>(H61-ARITHMETIC_COEFFICIENT!I66*M61)*J61*K61</f>
        <v>0</v>
      </c>
    </row>
    <row r="62" spans="1:14" s="98" customFormat="1" x14ac:dyDescent="0.15">
      <c r="A62" s="11">
        <f t="shared" si="0"/>
        <v>20060008</v>
      </c>
      <c r="B62" s="13">
        <v>2</v>
      </c>
      <c r="C62" s="12">
        <v>0</v>
      </c>
      <c r="D62" s="13">
        <v>6</v>
      </c>
      <c r="E62" s="13">
        <v>0</v>
      </c>
      <c r="F62" s="12">
        <v>8</v>
      </c>
      <c r="G62" s="56">
        <v>70000</v>
      </c>
      <c r="H62" s="56"/>
      <c r="I62" s="56"/>
      <c r="J62" s="56"/>
      <c r="K62" s="56"/>
      <c r="L62" s="56"/>
      <c r="M62" s="10"/>
      <c r="N62" s="10">
        <f>(H62-ARITHMETIC_COEFFICIENT!I67*M62)*J62*K62</f>
        <v>0</v>
      </c>
    </row>
    <row r="63" spans="1:14" s="98" customFormat="1" x14ac:dyDescent="0.15">
      <c r="A63" s="11">
        <f t="shared" si="0"/>
        <v>20060009</v>
      </c>
      <c r="B63" s="13">
        <v>2</v>
      </c>
      <c r="C63" s="12">
        <v>0</v>
      </c>
      <c r="D63" s="13">
        <v>6</v>
      </c>
      <c r="E63" s="13">
        <v>0</v>
      </c>
      <c r="F63" s="12">
        <v>9</v>
      </c>
      <c r="G63" s="56">
        <v>70000</v>
      </c>
      <c r="H63" s="56"/>
      <c r="I63" s="56"/>
      <c r="J63" s="56"/>
      <c r="K63" s="56"/>
      <c r="L63" s="56"/>
      <c r="M63" s="10"/>
      <c r="N63" s="10">
        <f>(H63-ARITHMETIC_COEFFICIENT!I68*M63)*J63*K63</f>
        <v>0</v>
      </c>
    </row>
    <row r="64" spans="1:14" s="98" customFormat="1" ht="17.25" thickBot="1" x14ac:dyDescent="0.2">
      <c r="A64" s="11">
        <f t="shared" si="0"/>
        <v>20060010</v>
      </c>
      <c r="B64" s="113">
        <v>2</v>
      </c>
      <c r="C64" s="12">
        <v>0</v>
      </c>
      <c r="D64" s="113">
        <v>6</v>
      </c>
      <c r="E64" s="113">
        <v>0</v>
      </c>
      <c r="F64" s="12">
        <v>10</v>
      </c>
      <c r="G64" s="56">
        <v>70000</v>
      </c>
      <c r="H64" s="56"/>
      <c r="I64" s="56"/>
      <c r="J64" s="56"/>
      <c r="K64" s="56"/>
      <c r="L64" s="56"/>
      <c r="M64" s="10"/>
      <c r="N64" s="10">
        <f>(H64-ARITHMETIC_COEFFICIENT!I69*M64)*J64*K64</f>
        <v>0</v>
      </c>
    </row>
    <row r="65" spans="1:14" s="115" customFormat="1" x14ac:dyDescent="0.15">
      <c r="A65" s="18">
        <f t="shared" si="0"/>
        <v>20070001</v>
      </c>
      <c r="B65" s="20">
        <v>2</v>
      </c>
      <c r="C65" s="19">
        <v>0</v>
      </c>
      <c r="D65" s="20">
        <v>7</v>
      </c>
      <c r="E65" s="20">
        <v>0</v>
      </c>
      <c r="F65" s="19">
        <v>1</v>
      </c>
      <c r="G65" s="57">
        <v>80000</v>
      </c>
      <c r="H65" s="57"/>
      <c r="I65" s="57"/>
      <c r="J65" s="57"/>
      <c r="K65" s="57"/>
      <c r="L65" s="57"/>
      <c r="M65" s="17"/>
      <c r="N65" s="17">
        <f>(H65-ARITHMETIC_COEFFICIENT!I70*M65)*J65*K65</f>
        <v>0</v>
      </c>
    </row>
    <row r="66" spans="1:14" s="98" customFormat="1" x14ac:dyDescent="0.15">
      <c r="A66" s="11">
        <f t="shared" si="0"/>
        <v>20070002</v>
      </c>
      <c r="B66" s="13">
        <v>2</v>
      </c>
      <c r="C66" s="12">
        <v>0</v>
      </c>
      <c r="D66" s="13">
        <v>7</v>
      </c>
      <c r="E66" s="13">
        <v>0</v>
      </c>
      <c r="F66" s="12">
        <v>2</v>
      </c>
      <c r="G66" s="56">
        <v>80000</v>
      </c>
      <c r="H66" s="56"/>
      <c r="I66" s="56"/>
      <c r="J66" s="56"/>
      <c r="K66" s="56"/>
      <c r="L66" s="56"/>
      <c r="M66" s="10"/>
      <c r="N66" s="10">
        <f>(H66-ARITHMETIC_COEFFICIENT!I71*M66)*J66*K66</f>
        <v>0</v>
      </c>
    </row>
    <row r="67" spans="1:14" s="98" customFormat="1" x14ac:dyDescent="0.15">
      <c r="A67" s="11">
        <f t="shared" si="0"/>
        <v>20070003</v>
      </c>
      <c r="B67" s="13">
        <v>2</v>
      </c>
      <c r="C67" s="12">
        <v>0</v>
      </c>
      <c r="D67" s="13">
        <v>7</v>
      </c>
      <c r="E67" s="13">
        <v>0</v>
      </c>
      <c r="F67" s="12">
        <v>3</v>
      </c>
      <c r="G67" s="56">
        <v>80000</v>
      </c>
      <c r="H67" s="56"/>
      <c r="I67" s="56"/>
      <c r="J67" s="56"/>
      <c r="K67" s="56"/>
      <c r="L67" s="56"/>
      <c r="M67" s="10"/>
      <c r="N67" s="10">
        <f>(H67-ARITHMETIC_COEFFICIENT!I72*M67)*J67*K67</f>
        <v>0</v>
      </c>
    </row>
    <row r="68" spans="1:14" s="98" customFormat="1" x14ac:dyDescent="0.15">
      <c r="A68" s="11">
        <f t="shared" si="0"/>
        <v>20070004</v>
      </c>
      <c r="B68" s="13">
        <v>2</v>
      </c>
      <c r="C68" s="12">
        <v>0</v>
      </c>
      <c r="D68" s="13">
        <v>7</v>
      </c>
      <c r="E68" s="13">
        <v>0</v>
      </c>
      <c r="F68" s="12">
        <v>4</v>
      </c>
      <c r="G68" s="56">
        <v>80000</v>
      </c>
      <c r="H68" s="56"/>
      <c r="I68" s="56"/>
      <c r="J68" s="56"/>
      <c r="K68" s="56"/>
      <c r="L68" s="56"/>
      <c r="M68" s="10"/>
      <c r="N68" s="10">
        <f>(H68-ARITHMETIC_COEFFICIENT!I73*M68)*J68*K68</f>
        <v>0</v>
      </c>
    </row>
    <row r="69" spans="1:14" s="98" customFormat="1" x14ac:dyDescent="0.15">
      <c r="A69" s="11">
        <f t="shared" si="0"/>
        <v>20070005</v>
      </c>
      <c r="B69" s="13">
        <v>2</v>
      </c>
      <c r="C69" s="12">
        <v>0</v>
      </c>
      <c r="D69" s="13">
        <v>7</v>
      </c>
      <c r="E69" s="13">
        <v>0</v>
      </c>
      <c r="F69" s="12">
        <v>5</v>
      </c>
      <c r="G69" s="56">
        <v>80000</v>
      </c>
      <c r="H69" s="56"/>
      <c r="I69" s="56"/>
      <c r="J69" s="56"/>
      <c r="K69" s="56"/>
      <c r="L69" s="56"/>
      <c r="M69" s="10"/>
      <c r="N69" s="10">
        <f>(H69-ARITHMETIC_COEFFICIENT!I74*M69)*J69*K69</f>
        <v>0</v>
      </c>
    </row>
    <row r="70" spans="1:14" s="98" customFormat="1" x14ac:dyDescent="0.15">
      <c r="A70" s="11">
        <f t="shared" ref="A70:A104" si="1">B70*10000000+C70*1000000+D70*10000+E70*100+F70</f>
        <v>20070006</v>
      </c>
      <c r="B70" s="13">
        <v>2</v>
      </c>
      <c r="C70" s="12">
        <v>0</v>
      </c>
      <c r="D70" s="13">
        <v>7</v>
      </c>
      <c r="E70" s="13">
        <v>0</v>
      </c>
      <c r="F70" s="12">
        <v>6</v>
      </c>
      <c r="G70" s="56">
        <v>80000</v>
      </c>
      <c r="H70" s="56"/>
      <c r="I70" s="56"/>
      <c r="J70" s="56"/>
      <c r="K70" s="56"/>
      <c r="L70" s="56"/>
      <c r="M70" s="10"/>
      <c r="N70" s="10">
        <f>(H70-ARITHMETIC_COEFFICIENT!I75*M70)*J70*K70</f>
        <v>0</v>
      </c>
    </row>
    <row r="71" spans="1:14" s="98" customFormat="1" x14ac:dyDescent="0.15">
      <c r="A71" s="11">
        <f t="shared" si="1"/>
        <v>20070007</v>
      </c>
      <c r="B71" s="13">
        <v>2</v>
      </c>
      <c r="C71" s="12">
        <v>0</v>
      </c>
      <c r="D71" s="13">
        <v>7</v>
      </c>
      <c r="E71" s="13">
        <v>0</v>
      </c>
      <c r="F71" s="12">
        <v>7</v>
      </c>
      <c r="G71" s="56">
        <v>80000</v>
      </c>
      <c r="H71" s="56"/>
      <c r="I71" s="56"/>
      <c r="J71" s="56"/>
      <c r="K71" s="56"/>
      <c r="L71" s="56"/>
      <c r="M71" s="10"/>
      <c r="N71" s="10">
        <f>(H71-ARITHMETIC_COEFFICIENT!I76*M71)*J71*K71</f>
        <v>0</v>
      </c>
    </row>
    <row r="72" spans="1:14" s="98" customFormat="1" x14ac:dyDescent="0.15">
      <c r="A72" s="11">
        <f t="shared" si="1"/>
        <v>20070008</v>
      </c>
      <c r="B72" s="13">
        <v>2</v>
      </c>
      <c r="C72" s="12">
        <v>0</v>
      </c>
      <c r="D72" s="13">
        <v>7</v>
      </c>
      <c r="E72" s="13">
        <v>0</v>
      </c>
      <c r="F72" s="12">
        <v>8</v>
      </c>
      <c r="G72" s="56">
        <v>80000</v>
      </c>
      <c r="H72" s="56"/>
      <c r="I72" s="56"/>
      <c r="J72" s="56"/>
      <c r="K72" s="56"/>
      <c r="L72" s="56"/>
      <c r="M72" s="10"/>
      <c r="N72" s="10">
        <f>(H72-ARITHMETIC_COEFFICIENT!I77*M72)*J72*K72</f>
        <v>0</v>
      </c>
    </row>
    <row r="73" spans="1:14" s="98" customFormat="1" x14ac:dyDescent="0.15">
      <c r="A73" s="11">
        <f t="shared" si="1"/>
        <v>20070009</v>
      </c>
      <c r="B73" s="13">
        <v>2</v>
      </c>
      <c r="C73" s="12">
        <v>0</v>
      </c>
      <c r="D73" s="13">
        <v>7</v>
      </c>
      <c r="E73" s="13">
        <v>0</v>
      </c>
      <c r="F73" s="12">
        <v>9</v>
      </c>
      <c r="G73" s="56">
        <v>80000</v>
      </c>
      <c r="H73" s="56"/>
      <c r="I73" s="56"/>
      <c r="J73" s="56"/>
      <c r="K73" s="56"/>
      <c r="L73" s="56"/>
      <c r="M73" s="10"/>
      <c r="N73" s="10">
        <f>(H73-ARITHMETIC_COEFFICIENT!I78*M73)*J73*K73</f>
        <v>0</v>
      </c>
    </row>
    <row r="74" spans="1:14" s="98" customFormat="1" ht="17.25" thickBot="1" x14ac:dyDescent="0.2">
      <c r="A74" s="11">
        <f t="shared" si="1"/>
        <v>20070010</v>
      </c>
      <c r="B74" s="113">
        <v>2</v>
      </c>
      <c r="C74" s="12">
        <v>0</v>
      </c>
      <c r="D74" s="113">
        <v>7</v>
      </c>
      <c r="E74" s="113">
        <v>0</v>
      </c>
      <c r="F74" s="12">
        <v>10</v>
      </c>
      <c r="G74" s="56">
        <v>80000</v>
      </c>
      <c r="H74" s="56"/>
      <c r="I74" s="56"/>
      <c r="J74" s="56"/>
      <c r="K74" s="56"/>
      <c r="L74" s="56"/>
      <c r="M74" s="10"/>
      <c r="N74" s="10">
        <f>(H74-ARITHMETIC_COEFFICIENT!I79*M74)*J74*K74</f>
        <v>0</v>
      </c>
    </row>
    <row r="75" spans="1:14" s="115" customFormat="1" x14ac:dyDescent="0.15">
      <c r="A75" s="18">
        <f t="shared" si="1"/>
        <v>20080001</v>
      </c>
      <c r="B75" s="20">
        <v>2</v>
      </c>
      <c r="C75" s="19">
        <v>0</v>
      </c>
      <c r="D75" s="20">
        <v>8</v>
      </c>
      <c r="E75" s="20">
        <v>0</v>
      </c>
      <c r="F75" s="19">
        <v>1</v>
      </c>
      <c r="G75" s="57">
        <v>90000</v>
      </c>
      <c r="H75" s="57"/>
      <c r="I75" s="57"/>
      <c r="J75" s="57"/>
      <c r="K75" s="57"/>
      <c r="L75" s="57"/>
      <c r="M75" s="17"/>
      <c r="N75" s="17">
        <f>(H75-ARITHMETIC_COEFFICIENT!I80*M75)*J75*K75</f>
        <v>0</v>
      </c>
    </row>
    <row r="76" spans="1:14" s="98" customFormat="1" x14ac:dyDescent="0.15">
      <c r="A76" s="11">
        <f t="shared" si="1"/>
        <v>20080002</v>
      </c>
      <c r="B76" s="13">
        <v>2</v>
      </c>
      <c r="C76" s="12">
        <v>0</v>
      </c>
      <c r="D76" s="13">
        <v>8</v>
      </c>
      <c r="E76" s="13">
        <v>0</v>
      </c>
      <c r="F76" s="12">
        <v>2</v>
      </c>
      <c r="G76" s="56">
        <v>90000</v>
      </c>
      <c r="H76" s="56"/>
      <c r="I76" s="56"/>
      <c r="J76" s="56"/>
      <c r="K76" s="56"/>
      <c r="L76" s="56"/>
      <c r="M76" s="10"/>
      <c r="N76" s="10">
        <f>(H76-ARITHMETIC_COEFFICIENT!I81*M76)*J76*K76</f>
        <v>0</v>
      </c>
    </row>
    <row r="77" spans="1:14" s="98" customFormat="1" x14ac:dyDescent="0.15">
      <c r="A77" s="11">
        <f t="shared" si="1"/>
        <v>20080003</v>
      </c>
      <c r="B77" s="13">
        <v>2</v>
      </c>
      <c r="C77" s="12">
        <v>0</v>
      </c>
      <c r="D77" s="13">
        <v>8</v>
      </c>
      <c r="E77" s="13">
        <v>0</v>
      </c>
      <c r="F77" s="12">
        <v>3</v>
      </c>
      <c r="G77" s="56">
        <v>90000</v>
      </c>
      <c r="H77" s="56"/>
      <c r="I77" s="56"/>
      <c r="J77" s="56"/>
      <c r="K77" s="56"/>
      <c r="L77" s="56"/>
      <c r="M77" s="10"/>
      <c r="N77" s="10">
        <f>(H77-ARITHMETIC_COEFFICIENT!I82*M77)*J77*K77</f>
        <v>0</v>
      </c>
    </row>
    <row r="78" spans="1:14" s="98" customFormat="1" x14ac:dyDescent="0.15">
      <c r="A78" s="11">
        <f t="shared" si="1"/>
        <v>20080004</v>
      </c>
      <c r="B78" s="13">
        <v>2</v>
      </c>
      <c r="C78" s="12">
        <v>0</v>
      </c>
      <c r="D78" s="13">
        <v>8</v>
      </c>
      <c r="E78" s="13">
        <v>0</v>
      </c>
      <c r="F78" s="12">
        <v>4</v>
      </c>
      <c r="G78" s="56">
        <v>90000</v>
      </c>
      <c r="H78" s="56"/>
      <c r="I78" s="56"/>
      <c r="J78" s="56"/>
      <c r="K78" s="56"/>
      <c r="L78" s="56"/>
      <c r="M78" s="10"/>
      <c r="N78" s="10">
        <f>(H78-ARITHMETIC_COEFFICIENT!I83*M78)*J78*K78</f>
        <v>0</v>
      </c>
    </row>
    <row r="79" spans="1:14" s="98" customFormat="1" x14ac:dyDescent="0.15">
      <c r="A79" s="11">
        <f t="shared" si="1"/>
        <v>20080005</v>
      </c>
      <c r="B79" s="13">
        <v>2</v>
      </c>
      <c r="C79" s="12">
        <v>0</v>
      </c>
      <c r="D79" s="13">
        <v>8</v>
      </c>
      <c r="E79" s="13">
        <v>0</v>
      </c>
      <c r="F79" s="12">
        <v>5</v>
      </c>
      <c r="G79" s="56">
        <v>90000</v>
      </c>
      <c r="H79" s="56"/>
      <c r="I79" s="56"/>
      <c r="J79" s="56"/>
      <c r="K79" s="56"/>
      <c r="L79" s="56"/>
      <c r="M79" s="10"/>
      <c r="N79" s="10">
        <f>(H79-ARITHMETIC_COEFFICIENT!I84*M79)*J79*K79</f>
        <v>0</v>
      </c>
    </row>
    <row r="80" spans="1:14" s="98" customFormat="1" x14ac:dyDescent="0.15">
      <c r="A80" s="11">
        <f t="shared" si="1"/>
        <v>20080006</v>
      </c>
      <c r="B80" s="13">
        <v>2</v>
      </c>
      <c r="C80" s="12">
        <v>0</v>
      </c>
      <c r="D80" s="13">
        <v>8</v>
      </c>
      <c r="E80" s="13">
        <v>0</v>
      </c>
      <c r="F80" s="12">
        <v>6</v>
      </c>
      <c r="G80" s="56">
        <v>90000</v>
      </c>
      <c r="H80" s="56"/>
      <c r="I80" s="56"/>
      <c r="J80" s="56"/>
      <c r="K80" s="56"/>
      <c r="L80" s="56"/>
      <c r="M80" s="10"/>
      <c r="N80" s="10">
        <f>(H80-ARITHMETIC_COEFFICIENT!I85*M80)*J80*K80</f>
        <v>0</v>
      </c>
    </row>
    <row r="81" spans="1:14" s="98" customFormat="1" x14ac:dyDescent="0.15">
      <c r="A81" s="11">
        <f t="shared" si="1"/>
        <v>20080007</v>
      </c>
      <c r="B81" s="13">
        <v>2</v>
      </c>
      <c r="C81" s="12">
        <v>0</v>
      </c>
      <c r="D81" s="13">
        <v>8</v>
      </c>
      <c r="E81" s="13">
        <v>0</v>
      </c>
      <c r="F81" s="12">
        <v>7</v>
      </c>
      <c r="G81" s="56">
        <v>90000</v>
      </c>
      <c r="H81" s="56"/>
      <c r="I81" s="56"/>
      <c r="J81" s="56"/>
      <c r="K81" s="56"/>
      <c r="L81" s="56"/>
      <c r="M81" s="10"/>
      <c r="N81" s="10">
        <f>(H81-ARITHMETIC_COEFFICIENT!I86*M81)*J81*K81</f>
        <v>0</v>
      </c>
    </row>
    <row r="82" spans="1:14" s="98" customFormat="1" x14ac:dyDescent="0.15">
      <c r="A82" s="11">
        <f t="shared" si="1"/>
        <v>20080008</v>
      </c>
      <c r="B82" s="13">
        <v>2</v>
      </c>
      <c r="C82" s="12">
        <v>0</v>
      </c>
      <c r="D82" s="13">
        <v>8</v>
      </c>
      <c r="E82" s="13">
        <v>0</v>
      </c>
      <c r="F82" s="12">
        <v>8</v>
      </c>
      <c r="G82" s="56">
        <v>90000</v>
      </c>
      <c r="H82" s="56"/>
      <c r="I82" s="56"/>
      <c r="J82" s="56"/>
      <c r="K82" s="56"/>
      <c r="L82" s="56"/>
      <c r="M82" s="10"/>
      <c r="N82" s="10">
        <f>(H82-ARITHMETIC_COEFFICIENT!I87*M82)*J82*K82</f>
        <v>0</v>
      </c>
    </row>
    <row r="83" spans="1:14" s="98" customFormat="1" x14ac:dyDescent="0.15">
      <c r="A83" s="11">
        <f t="shared" si="1"/>
        <v>20080009</v>
      </c>
      <c r="B83" s="13">
        <v>2</v>
      </c>
      <c r="C83" s="12">
        <v>0</v>
      </c>
      <c r="D83" s="13">
        <v>8</v>
      </c>
      <c r="E83" s="13">
        <v>0</v>
      </c>
      <c r="F83" s="12">
        <v>9</v>
      </c>
      <c r="G83" s="56">
        <v>90000</v>
      </c>
      <c r="H83" s="56"/>
      <c r="I83" s="56"/>
      <c r="J83" s="56"/>
      <c r="K83" s="56"/>
      <c r="L83" s="56"/>
      <c r="M83" s="10"/>
      <c r="N83" s="10">
        <f>(H83-ARITHMETIC_COEFFICIENT!I88*M83)*J83*K83</f>
        <v>0</v>
      </c>
    </row>
    <row r="84" spans="1:14" s="98" customFormat="1" ht="17.25" thickBot="1" x14ac:dyDescent="0.2">
      <c r="A84" s="11">
        <f t="shared" si="1"/>
        <v>20080010</v>
      </c>
      <c r="B84" s="113">
        <v>2</v>
      </c>
      <c r="C84" s="12">
        <v>0</v>
      </c>
      <c r="D84" s="113">
        <v>8</v>
      </c>
      <c r="E84" s="113">
        <v>0</v>
      </c>
      <c r="F84" s="12">
        <v>10</v>
      </c>
      <c r="G84" s="56">
        <v>90000</v>
      </c>
      <c r="H84" s="56"/>
      <c r="I84" s="56"/>
      <c r="J84" s="56"/>
      <c r="K84" s="56"/>
      <c r="L84" s="56"/>
      <c r="M84" s="10"/>
      <c r="N84" s="10">
        <f>(H84-ARITHMETIC_COEFFICIENT!I89*M84)*J84*K84</f>
        <v>0</v>
      </c>
    </row>
    <row r="85" spans="1:14" s="115" customFormat="1" x14ac:dyDescent="0.15">
      <c r="A85" s="18">
        <f t="shared" si="1"/>
        <v>20090001</v>
      </c>
      <c r="B85" s="20">
        <v>2</v>
      </c>
      <c r="C85" s="19">
        <v>0</v>
      </c>
      <c r="D85" s="20">
        <v>9</v>
      </c>
      <c r="E85" s="20">
        <v>0</v>
      </c>
      <c r="F85" s="19">
        <v>1</v>
      </c>
      <c r="G85" s="57">
        <v>100000</v>
      </c>
      <c r="H85" s="57"/>
      <c r="I85" s="57"/>
      <c r="J85" s="57"/>
      <c r="K85" s="57"/>
      <c r="L85" s="57"/>
      <c r="M85" s="17"/>
      <c r="N85" s="17">
        <f>(H85-ARITHMETIC_COEFFICIENT!I90*M85)*J85*K85</f>
        <v>0</v>
      </c>
    </row>
    <row r="86" spans="1:14" s="98" customFormat="1" x14ac:dyDescent="0.15">
      <c r="A86" s="11">
        <f t="shared" si="1"/>
        <v>20090002</v>
      </c>
      <c r="B86" s="13">
        <v>2</v>
      </c>
      <c r="C86" s="12">
        <v>0</v>
      </c>
      <c r="D86" s="13">
        <v>9</v>
      </c>
      <c r="E86" s="13">
        <v>0</v>
      </c>
      <c r="F86" s="12">
        <v>2</v>
      </c>
      <c r="G86" s="56">
        <v>100000</v>
      </c>
      <c r="H86" s="56"/>
      <c r="I86" s="56"/>
      <c r="J86" s="56"/>
      <c r="K86" s="56"/>
      <c r="L86" s="56"/>
      <c r="M86" s="10"/>
      <c r="N86" s="10">
        <f>(H86-ARITHMETIC_COEFFICIENT!I91*M86)*J86*K86</f>
        <v>0</v>
      </c>
    </row>
    <row r="87" spans="1:14" s="98" customFormat="1" x14ac:dyDescent="0.15">
      <c r="A87" s="11">
        <f t="shared" si="1"/>
        <v>20090003</v>
      </c>
      <c r="B87" s="13">
        <v>2</v>
      </c>
      <c r="C87" s="12">
        <v>0</v>
      </c>
      <c r="D87" s="13">
        <v>9</v>
      </c>
      <c r="E87" s="13">
        <v>0</v>
      </c>
      <c r="F87" s="12">
        <v>3</v>
      </c>
      <c r="G87" s="56">
        <v>100000</v>
      </c>
      <c r="H87" s="56"/>
      <c r="I87" s="56"/>
      <c r="J87" s="56"/>
      <c r="K87" s="56"/>
      <c r="L87" s="56"/>
      <c r="M87" s="10"/>
      <c r="N87" s="10">
        <f>(H87-ARITHMETIC_COEFFICIENT!I92*M87)*J87*K87</f>
        <v>0</v>
      </c>
    </row>
    <row r="88" spans="1:14" s="98" customFormat="1" x14ac:dyDescent="0.15">
      <c r="A88" s="11">
        <f t="shared" si="1"/>
        <v>20090004</v>
      </c>
      <c r="B88" s="13">
        <v>2</v>
      </c>
      <c r="C88" s="12">
        <v>0</v>
      </c>
      <c r="D88" s="13">
        <v>9</v>
      </c>
      <c r="E88" s="13">
        <v>0</v>
      </c>
      <c r="F88" s="12">
        <v>4</v>
      </c>
      <c r="G88" s="56">
        <v>100000</v>
      </c>
      <c r="H88" s="56"/>
      <c r="I88" s="56"/>
      <c r="J88" s="56"/>
      <c r="K88" s="56"/>
      <c r="L88" s="56"/>
      <c r="M88" s="10"/>
      <c r="N88" s="10">
        <f>(H88-ARITHMETIC_COEFFICIENT!I93*M88)*J88*K88</f>
        <v>0</v>
      </c>
    </row>
    <row r="89" spans="1:14" s="98" customFormat="1" x14ac:dyDescent="0.15">
      <c r="A89" s="11">
        <f t="shared" si="1"/>
        <v>20090005</v>
      </c>
      <c r="B89" s="13">
        <v>2</v>
      </c>
      <c r="C89" s="12">
        <v>0</v>
      </c>
      <c r="D89" s="13">
        <v>9</v>
      </c>
      <c r="E89" s="13">
        <v>0</v>
      </c>
      <c r="F89" s="12">
        <v>5</v>
      </c>
      <c r="G89" s="56">
        <v>100000</v>
      </c>
      <c r="H89" s="56"/>
      <c r="I89" s="56"/>
      <c r="J89" s="56"/>
      <c r="K89" s="56"/>
      <c r="L89" s="56"/>
      <c r="M89" s="10"/>
      <c r="N89" s="10">
        <f>(H89-ARITHMETIC_COEFFICIENT!I94*M89)*J89*K89</f>
        <v>0</v>
      </c>
    </row>
    <row r="90" spans="1:14" s="98" customFormat="1" x14ac:dyDescent="0.15">
      <c r="A90" s="11">
        <f t="shared" si="1"/>
        <v>20090006</v>
      </c>
      <c r="B90" s="13">
        <v>2</v>
      </c>
      <c r="C90" s="12">
        <v>0</v>
      </c>
      <c r="D90" s="13">
        <v>9</v>
      </c>
      <c r="E90" s="13">
        <v>0</v>
      </c>
      <c r="F90" s="12">
        <v>6</v>
      </c>
      <c r="G90" s="56">
        <v>100000</v>
      </c>
      <c r="H90" s="56"/>
      <c r="I90" s="56"/>
      <c r="J90" s="56"/>
      <c r="K90" s="56"/>
      <c r="L90" s="56"/>
      <c r="M90" s="10"/>
      <c r="N90" s="10">
        <f>(H90-ARITHMETIC_COEFFICIENT!I95*M90)*J90*K90</f>
        <v>0</v>
      </c>
    </row>
    <row r="91" spans="1:14" s="98" customFormat="1" x14ac:dyDescent="0.15">
      <c r="A91" s="11">
        <f t="shared" si="1"/>
        <v>20090007</v>
      </c>
      <c r="B91" s="13">
        <v>2</v>
      </c>
      <c r="C91" s="12">
        <v>0</v>
      </c>
      <c r="D91" s="13">
        <v>9</v>
      </c>
      <c r="E91" s="13">
        <v>0</v>
      </c>
      <c r="F91" s="12">
        <v>7</v>
      </c>
      <c r="G91" s="56">
        <v>100000</v>
      </c>
      <c r="H91" s="56"/>
      <c r="I91" s="56"/>
      <c r="J91" s="56"/>
      <c r="K91" s="56"/>
      <c r="L91" s="56"/>
      <c r="M91" s="10"/>
      <c r="N91" s="10">
        <f>(H91-ARITHMETIC_COEFFICIENT!I96*M91)*J91*K91</f>
        <v>0</v>
      </c>
    </row>
    <row r="92" spans="1:14" s="98" customFormat="1" x14ac:dyDescent="0.15">
      <c r="A92" s="11">
        <f t="shared" si="1"/>
        <v>20090008</v>
      </c>
      <c r="B92" s="13">
        <v>2</v>
      </c>
      <c r="C92" s="12">
        <v>0</v>
      </c>
      <c r="D92" s="13">
        <v>9</v>
      </c>
      <c r="E92" s="13">
        <v>0</v>
      </c>
      <c r="F92" s="12">
        <v>8</v>
      </c>
      <c r="G92" s="56">
        <v>100000</v>
      </c>
      <c r="H92" s="56"/>
      <c r="I92" s="56"/>
      <c r="J92" s="56"/>
      <c r="K92" s="56"/>
      <c r="L92" s="56"/>
      <c r="M92" s="10"/>
      <c r="N92" s="10">
        <f>(H92-ARITHMETIC_COEFFICIENT!I97*M92)*J92*K92</f>
        <v>0</v>
      </c>
    </row>
    <row r="93" spans="1:14" s="98" customFormat="1" x14ac:dyDescent="0.15">
      <c r="A93" s="11">
        <f t="shared" si="1"/>
        <v>20090009</v>
      </c>
      <c r="B93" s="13">
        <v>2</v>
      </c>
      <c r="C93" s="12">
        <v>0</v>
      </c>
      <c r="D93" s="13">
        <v>9</v>
      </c>
      <c r="E93" s="13">
        <v>0</v>
      </c>
      <c r="F93" s="12">
        <v>9</v>
      </c>
      <c r="G93" s="56">
        <v>100000</v>
      </c>
      <c r="H93" s="56"/>
      <c r="I93" s="56"/>
      <c r="J93" s="56"/>
      <c r="K93" s="56"/>
      <c r="L93" s="56"/>
      <c r="M93" s="10"/>
      <c r="N93" s="10">
        <f>(H93-ARITHMETIC_COEFFICIENT!I98*M93)*J93*K93</f>
        <v>0</v>
      </c>
    </row>
    <row r="94" spans="1:14" s="98" customFormat="1" ht="17.25" thickBot="1" x14ac:dyDescent="0.2">
      <c r="A94" s="11">
        <f t="shared" si="1"/>
        <v>20090010</v>
      </c>
      <c r="B94" s="113">
        <v>2</v>
      </c>
      <c r="C94" s="12">
        <v>0</v>
      </c>
      <c r="D94" s="113">
        <v>9</v>
      </c>
      <c r="E94" s="113">
        <v>0</v>
      </c>
      <c r="F94" s="12">
        <v>10</v>
      </c>
      <c r="G94" s="56">
        <v>100000</v>
      </c>
      <c r="H94" s="56"/>
      <c r="I94" s="56"/>
      <c r="J94" s="56"/>
      <c r="K94" s="56"/>
      <c r="L94" s="56"/>
      <c r="M94" s="10"/>
      <c r="N94" s="10">
        <f>(H94-ARITHMETIC_COEFFICIENT!I99*M94)*J94*K94</f>
        <v>0</v>
      </c>
    </row>
    <row r="95" spans="1:14" s="115" customFormat="1" x14ac:dyDescent="0.15">
      <c r="A95" s="18">
        <f t="shared" si="1"/>
        <v>20100001</v>
      </c>
      <c r="B95" s="20">
        <v>2</v>
      </c>
      <c r="C95" s="19">
        <v>0</v>
      </c>
      <c r="D95" s="20">
        <v>10</v>
      </c>
      <c r="E95" s="20">
        <v>0</v>
      </c>
      <c r="F95" s="19">
        <v>1</v>
      </c>
      <c r="G95" s="57">
        <v>110000</v>
      </c>
      <c r="H95" s="57"/>
      <c r="I95" s="57"/>
      <c r="J95" s="57"/>
      <c r="K95" s="57"/>
      <c r="L95" s="57"/>
      <c r="M95" s="17"/>
      <c r="N95" s="17">
        <f>(H95-ARITHMETIC_COEFFICIENT!I100*M95)*J95*K95</f>
        <v>0</v>
      </c>
    </row>
    <row r="96" spans="1:14" s="98" customFormat="1" x14ac:dyDescent="0.15">
      <c r="A96" s="11">
        <f t="shared" si="1"/>
        <v>20100002</v>
      </c>
      <c r="B96" s="13">
        <v>2</v>
      </c>
      <c r="C96" s="12">
        <v>0</v>
      </c>
      <c r="D96" s="13">
        <v>10</v>
      </c>
      <c r="E96" s="13">
        <v>0</v>
      </c>
      <c r="F96" s="12">
        <v>2</v>
      </c>
      <c r="G96" s="56">
        <v>110000</v>
      </c>
      <c r="H96" s="56"/>
      <c r="I96" s="56"/>
      <c r="J96" s="56"/>
      <c r="K96" s="56"/>
      <c r="L96" s="56"/>
      <c r="M96" s="10"/>
      <c r="N96" s="10">
        <f>(H96-ARITHMETIC_COEFFICIENT!I101*M96)*J96*K96</f>
        <v>0</v>
      </c>
    </row>
    <row r="97" spans="1:14" s="98" customFormat="1" x14ac:dyDescent="0.15">
      <c r="A97" s="11">
        <f t="shared" si="1"/>
        <v>20100003</v>
      </c>
      <c r="B97" s="13">
        <v>2</v>
      </c>
      <c r="C97" s="12">
        <v>0</v>
      </c>
      <c r="D97" s="13">
        <v>10</v>
      </c>
      <c r="E97" s="13">
        <v>0</v>
      </c>
      <c r="F97" s="12">
        <v>3</v>
      </c>
      <c r="G97" s="56">
        <v>110000</v>
      </c>
      <c r="H97" s="56"/>
      <c r="I97" s="56"/>
      <c r="J97" s="56"/>
      <c r="K97" s="56"/>
      <c r="L97" s="56"/>
      <c r="M97" s="10"/>
      <c r="N97" s="10">
        <f>(H97-ARITHMETIC_COEFFICIENT!I102*M97)*J97*K97</f>
        <v>0</v>
      </c>
    </row>
    <row r="98" spans="1:14" s="98" customFormat="1" x14ac:dyDescent="0.15">
      <c r="A98" s="11">
        <f t="shared" si="1"/>
        <v>20100004</v>
      </c>
      <c r="B98" s="13">
        <v>2</v>
      </c>
      <c r="C98" s="12">
        <v>0</v>
      </c>
      <c r="D98" s="13">
        <v>10</v>
      </c>
      <c r="E98" s="13">
        <v>0</v>
      </c>
      <c r="F98" s="12">
        <v>4</v>
      </c>
      <c r="G98" s="56">
        <v>110000</v>
      </c>
      <c r="H98" s="56"/>
      <c r="I98" s="56"/>
      <c r="J98" s="56"/>
      <c r="K98" s="56"/>
      <c r="L98" s="56"/>
      <c r="M98" s="10"/>
      <c r="N98" s="10">
        <f>(H98-ARITHMETIC_COEFFICIENT!I103*M98)*J98*K98</f>
        <v>0</v>
      </c>
    </row>
    <row r="99" spans="1:14" s="98" customFormat="1" x14ac:dyDescent="0.15">
      <c r="A99" s="11">
        <f t="shared" si="1"/>
        <v>20100005</v>
      </c>
      <c r="B99" s="13">
        <v>2</v>
      </c>
      <c r="C99" s="12">
        <v>0</v>
      </c>
      <c r="D99" s="13">
        <v>10</v>
      </c>
      <c r="E99" s="13">
        <v>0</v>
      </c>
      <c r="F99" s="12">
        <v>5</v>
      </c>
      <c r="G99" s="56">
        <v>110000</v>
      </c>
      <c r="H99" s="56"/>
      <c r="I99" s="56"/>
      <c r="J99" s="56"/>
      <c r="K99" s="56"/>
      <c r="L99" s="56"/>
      <c r="M99" s="10"/>
      <c r="N99" s="10">
        <f>(H99-ARITHMETIC_COEFFICIENT!I104*M99)*J99*K99</f>
        <v>0</v>
      </c>
    </row>
    <row r="100" spans="1:14" s="98" customFormat="1" x14ac:dyDescent="0.15">
      <c r="A100" s="11">
        <f t="shared" si="1"/>
        <v>20100006</v>
      </c>
      <c r="B100" s="13">
        <v>2</v>
      </c>
      <c r="C100" s="12">
        <v>0</v>
      </c>
      <c r="D100" s="13">
        <v>10</v>
      </c>
      <c r="E100" s="13">
        <v>0</v>
      </c>
      <c r="F100" s="12">
        <v>6</v>
      </c>
      <c r="G100" s="56">
        <v>110000</v>
      </c>
      <c r="H100" s="56"/>
      <c r="I100" s="56"/>
      <c r="J100" s="56"/>
      <c r="K100" s="56"/>
      <c r="L100" s="56"/>
      <c r="M100" s="10"/>
      <c r="N100" s="10">
        <f>(H100-ARITHMETIC_COEFFICIENT!I105*M100)*J100*K100</f>
        <v>0</v>
      </c>
    </row>
    <row r="101" spans="1:14" s="98" customFormat="1" x14ac:dyDescent="0.15">
      <c r="A101" s="11">
        <f t="shared" si="1"/>
        <v>20100007</v>
      </c>
      <c r="B101" s="13">
        <v>2</v>
      </c>
      <c r="C101" s="12">
        <v>0</v>
      </c>
      <c r="D101" s="13">
        <v>10</v>
      </c>
      <c r="E101" s="13">
        <v>0</v>
      </c>
      <c r="F101" s="12">
        <v>7</v>
      </c>
      <c r="G101" s="56">
        <v>110000</v>
      </c>
      <c r="H101" s="56"/>
      <c r="I101" s="56"/>
      <c r="J101" s="56"/>
      <c r="K101" s="56"/>
      <c r="L101" s="56"/>
      <c r="M101" s="10"/>
      <c r="N101" s="10">
        <f>(H101-ARITHMETIC_COEFFICIENT!I106*M101)*J101*K101</f>
        <v>0</v>
      </c>
    </row>
    <row r="102" spans="1:14" s="98" customFormat="1" x14ac:dyDescent="0.15">
      <c r="A102" s="11">
        <f t="shared" si="1"/>
        <v>20100008</v>
      </c>
      <c r="B102" s="13">
        <v>2</v>
      </c>
      <c r="C102" s="12">
        <v>0</v>
      </c>
      <c r="D102" s="13">
        <v>10</v>
      </c>
      <c r="E102" s="13">
        <v>0</v>
      </c>
      <c r="F102" s="12">
        <v>8</v>
      </c>
      <c r="G102" s="56">
        <v>110000</v>
      </c>
      <c r="H102" s="56"/>
      <c r="I102" s="56"/>
      <c r="J102" s="56"/>
      <c r="K102" s="56"/>
      <c r="L102" s="56"/>
      <c r="M102" s="10"/>
      <c r="N102" s="10">
        <f>(H102-ARITHMETIC_COEFFICIENT!I107*M102)*J102*K102</f>
        <v>0</v>
      </c>
    </row>
    <row r="103" spans="1:14" s="98" customFormat="1" x14ac:dyDescent="0.15">
      <c r="A103" s="11">
        <f t="shared" si="1"/>
        <v>20100009</v>
      </c>
      <c r="B103" s="13">
        <v>2</v>
      </c>
      <c r="C103" s="12">
        <v>0</v>
      </c>
      <c r="D103" s="13">
        <v>10</v>
      </c>
      <c r="E103" s="13">
        <v>0</v>
      </c>
      <c r="F103" s="12">
        <v>9</v>
      </c>
      <c r="G103" s="56">
        <v>110000</v>
      </c>
      <c r="H103" s="56"/>
      <c r="I103" s="56"/>
      <c r="J103" s="56"/>
      <c r="K103" s="56"/>
      <c r="L103" s="56"/>
      <c r="M103" s="10"/>
      <c r="N103" s="10">
        <f>(H103-ARITHMETIC_COEFFICIENT!I108*M103)*J103*K103</f>
        <v>0</v>
      </c>
    </row>
    <row r="104" spans="1:14" s="98" customFormat="1" ht="17.25" thickBot="1" x14ac:dyDescent="0.2">
      <c r="A104" s="11">
        <f t="shared" si="1"/>
        <v>20100010</v>
      </c>
      <c r="B104" s="13">
        <v>2</v>
      </c>
      <c r="C104" s="12">
        <v>0</v>
      </c>
      <c r="D104" s="113">
        <v>10</v>
      </c>
      <c r="E104" s="113">
        <v>0</v>
      </c>
      <c r="F104" s="12">
        <v>10</v>
      </c>
      <c r="G104" s="56">
        <v>110000</v>
      </c>
      <c r="H104" s="56"/>
      <c r="I104" s="56"/>
      <c r="J104" s="56"/>
      <c r="K104" s="56"/>
      <c r="L104" s="56"/>
      <c r="M104" s="10"/>
      <c r="N104" s="10">
        <f>(H104-ARITHMETIC_COEFFICIENT!I109*M104)*J104*K104</f>
        <v>0</v>
      </c>
    </row>
    <row r="105" spans="1:14" s="115" customFormat="1" x14ac:dyDescent="0.15">
      <c r="A105" s="18">
        <f t="shared" ref="A105:A124" si="2">B105*10000000+C105*1000000+D105*10000+E105*100+F105</f>
        <v>20110001</v>
      </c>
      <c r="B105" s="20">
        <v>2</v>
      </c>
      <c r="C105" s="19">
        <v>0</v>
      </c>
      <c r="D105" s="20">
        <v>11</v>
      </c>
      <c r="E105" s="20">
        <v>0</v>
      </c>
      <c r="F105" s="19">
        <v>1</v>
      </c>
      <c r="G105" s="57">
        <v>120000</v>
      </c>
      <c r="H105" s="57"/>
      <c r="I105" s="57"/>
      <c r="J105" s="57"/>
      <c r="K105" s="57"/>
      <c r="L105" s="57"/>
      <c r="M105" s="17"/>
      <c r="N105" s="17">
        <f>(H105-ARITHMETIC_COEFFICIENT!I110*M105)*J105*K105</f>
        <v>0</v>
      </c>
    </row>
    <row r="106" spans="1:14" s="98" customFormat="1" x14ac:dyDescent="0.15">
      <c r="A106" s="11">
        <f t="shared" si="2"/>
        <v>20110002</v>
      </c>
      <c r="B106" s="13">
        <v>2</v>
      </c>
      <c r="C106" s="12">
        <v>0</v>
      </c>
      <c r="D106" s="13">
        <v>11</v>
      </c>
      <c r="E106" s="13">
        <v>0</v>
      </c>
      <c r="F106" s="12">
        <v>2</v>
      </c>
      <c r="G106" s="56">
        <v>110000</v>
      </c>
      <c r="H106" s="56"/>
      <c r="I106" s="56"/>
      <c r="J106" s="56"/>
      <c r="K106" s="56"/>
      <c r="L106" s="56"/>
      <c r="M106" s="10"/>
      <c r="N106" s="10">
        <f>(H106-ARITHMETIC_COEFFICIENT!I111*M106)*J106*K106</f>
        <v>0</v>
      </c>
    </row>
    <row r="107" spans="1:14" s="98" customFormat="1" x14ac:dyDescent="0.15">
      <c r="A107" s="11">
        <f t="shared" si="2"/>
        <v>20110003</v>
      </c>
      <c r="B107" s="13">
        <v>2</v>
      </c>
      <c r="C107" s="12">
        <v>0</v>
      </c>
      <c r="D107" s="13">
        <v>11</v>
      </c>
      <c r="E107" s="13">
        <v>0</v>
      </c>
      <c r="F107" s="12">
        <v>3</v>
      </c>
      <c r="G107" s="56">
        <v>110000</v>
      </c>
      <c r="H107" s="56"/>
      <c r="I107" s="56"/>
      <c r="J107" s="56"/>
      <c r="K107" s="56"/>
      <c r="L107" s="56"/>
      <c r="M107" s="10"/>
      <c r="N107" s="10">
        <f>(H107-ARITHMETIC_COEFFICIENT!I112*M107)*J107*K107</f>
        <v>0</v>
      </c>
    </row>
    <row r="108" spans="1:14" s="98" customFormat="1" x14ac:dyDescent="0.15">
      <c r="A108" s="11">
        <f t="shared" si="2"/>
        <v>20110004</v>
      </c>
      <c r="B108" s="13">
        <v>2</v>
      </c>
      <c r="C108" s="12">
        <v>0</v>
      </c>
      <c r="D108" s="13">
        <v>11</v>
      </c>
      <c r="E108" s="13">
        <v>0</v>
      </c>
      <c r="F108" s="12">
        <v>4</v>
      </c>
      <c r="G108" s="56">
        <v>110000</v>
      </c>
      <c r="H108" s="56"/>
      <c r="I108" s="56"/>
      <c r="J108" s="56"/>
      <c r="K108" s="56"/>
      <c r="L108" s="56"/>
      <c r="M108" s="10"/>
      <c r="N108" s="10">
        <f>(H108-ARITHMETIC_COEFFICIENT!I113*M108)*J108*K108</f>
        <v>0</v>
      </c>
    </row>
    <row r="109" spans="1:14" s="98" customFormat="1" x14ac:dyDescent="0.15">
      <c r="A109" s="11">
        <f t="shared" si="2"/>
        <v>20110005</v>
      </c>
      <c r="B109" s="13">
        <v>2</v>
      </c>
      <c r="C109" s="12">
        <v>0</v>
      </c>
      <c r="D109" s="13">
        <v>11</v>
      </c>
      <c r="E109" s="13">
        <v>0</v>
      </c>
      <c r="F109" s="12">
        <v>5</v>
      </c>
      <c r="G109" s="56">
        <v>110000</v>
      </c>
      <c r="H109" s="56"/>
      <c r="I109" s="56"/>
      <c r="J109" s="56"/>
      <c r="K109" s="56"/>
      <c r="L109" s="56"/>
      <c r="M109" s="10"/>
      <c r="N109" s="10">
        <f>(H109-ARITHMETIC_COEFFICIENT!I114*M109)*J109*K109</f>
        <v>0</v>
      </c>
    </row>
    <row r="110" spans="1:14" s="98" customFormat="1" x14ac:dyDescent="0.15">
      <c r="A110" s="11">
        <f t="shared" si="2"/>
        <v>20110006</v>
      </c>
      <c r="B110" s="13">
        <v>2</v>
      </c>
      <c r="C110" s="12">
        <v>0</v>
      </c>
      <c r="D110" s="13">
        <v>11</v>
      </c>
      <c r="E110" s="13">
        <v>0</v>
      </c>
      <c r="F110" s="12">
        <v>6</v>
      </c>
      <c r="G110" s="56">
        <v>110000</v>
      </c>
      <c r="H110" s="56"/>
      <c r="I110" s="56"/>
      <c r="J110" s="56"/>
      <c r="K110" s="56"/>
      <c r="L110" s="56"/>
      <c r="M110" s="10"/>
      <c r="N110" s="10">
        <f>(H110-ARITHMETIC_COEFFICIENT!I115*M110)*J110*K110</f>
        <v>0</v>
      </c>
    </row>
    <row r="111" spans="1:14" s="98" customFormat="1" x14ac:dyDescent="0.15">
      <c r="A111" s="11">
        <f t="shared" si="2"/>
        <v>20110007</v>
      </c>
      <c r="B111" s="13">
        <v>2</v>
      </c>
      <c r="C111" s="12">
        <v>0</v>
      </c>
      <c r="D111" s="13">
        <v>11</v>
      </c>
      <c r="E111" s="13">
        <v>0</v>
      </c>
      <c r="F111" s="12">
        <v>7</v>
      </c>
      <c r="G111" s="56">
        <v>110000</v>
      </c>
      <c r="H111" s="56"/>
      <c r="I111" s="56"/>
      <c r="J111" s="56"/>
      <c r="K111" s="56"/>
      <c r="L111" s="56"/>
      <c r="M111" s="10"/>
      <c r="N111" s="10">
        <f>(H111-ARITHMETIC_COEFFICIENT!I116*M111)*J111*K111</f>
        <v>0</v>
      </c>
    </row>
    <row r="112" spans="1:14" s="98" customFormat="1" x14ac:dyDescent="0.15">
      <c r="A112" s="11">
        <f t="shared" si="2"/>
        <v>20110008</v>
      </c>
      <c r="B112" s="13">
        <v>2</v>
      </c>
      <c r="C112" s="12">
        <v>0</v>
      </c>
      <c r="D112" s="13">
        <v>11</v>
      </c>
      <c r="E112" s="13">
        <v>0</v>
      </c>
      <c r="F112" s="12">
        <v>8</v>
      </c>
      <c r="G112" s="56">
        <v>110000</v>
      </c>
      <c r="H112" s="56"/>
      <c r="I112" s="56"/>
      <c r="J112" s="56"/>
      <c r="K112" s="56"/>
      <c r="L112" s="56"/>
      <c r="M112" s="10"/>
      <c r="N112" s="10">
        <f>(H112-ARITHMETIC_COEFFICIENT!I117*M112)*J112*K112</f>
        <v>0</v>
      </c>
    </row>
    <row r="113" spans="1:14" s="98" customFormat="1" x14ac:dyDescent="0.15">
      <c r="A113" s="11">
        <f t="shared" si="2"/>
        <v>20110009</v>
      </c>
      <c r="B113" s="13">
        <v>2</v>
      </c>
      <c r="C113" s="12">
        <v>0</v>
      </c>
      <c r="D113" s="13">
        <v>11</v>
      </c>
      <c r="E113" s="13">
        <v>0</v>
      </c>
      <c r="F113" s="12">
        <v>9</v>
      </c>
      <c r="G113" s="56">
        <v>110000</v>
      </c>
      <c r="H113" s="56"/>
      <c r="I113" s="56"/>
      <c r="J113" s="56"/>
      <c r="K113" s="56"/>
      <c r="L113" s="56"/>
      <c r="M113" s="10"/>
      <c r="N113" s="10">
        <f>(H113-ARITHMETIC_COEFFICIENT!I118*M113)*J113*K113</f>
        <v>0</v>
      </c>
    </row>
    <row r="114" spans="1:14" s="98" customFormat="1" ht="17.25" thickBot="1" x14ac:dyDescent="0.2">
      <c r="A114" s="11">
        <f t="shared" si="2"/>
        <v>20110010</v>
      </c>
      <c r="B114" s="13">
        <v>2</v>
      </c>
      <c r="C114" s="12">
        <v>0</v>
      </c>
      <c r="D114" s="113">
        <v>11</v>
      </c>
      <c r="E114" s="113">
        <v>0</v>
      </c>
      <c r="F114" s="12">
        <v>10</v>
      </c>
      <c r="G114" s="56">
        <v>110000</v>
      </c>
      <c r="H114" s="56"/>
      <c r="I114" s="56"/>
      <c r="J114" s="56"/>
      <c r="K114" s="56"/>
      <c r="L114" s="56"/>
      <c r="M114" s="10"/>
      <c r="N114" s="10">
        <f>(H114-ARITHMETIC_COEFFICIENT!I119*M114)*J114*K114</f>
        <v>0</v>
      </c>
    </row>
    <row r="115" spans="1:14" s="115" customFormat="1" x14ac:dyDescent="0.15">
      <c r="A115" s="18">
        <f t="shared" si="2"/>
        <v>20120001</v>
      </c>
      <c r="B115" s="20">
        <v>2</v>
      </c>
      <c r="C115" s="19">
        <v>0</v>
      </c>
      <c r="D115" s="20">
        <v>12</v>
      </c>
      <c r="E115" s="20">
        <v>0</v>
      </c>
      <c r="F115" s="19">
        <v>1</v>
      </c>
      <c r="G115" s="57">
        <v>110000</v>
      </c>
      <c r="H115" s="57"/>
      <c r="I115" s="57"/>
      <c r="J115" s="57"/>
      <c r="K115" s="57"/>
      <c r="L115" s="57"/>
      <c r="M115" s="17"/>
      <c r="N115" s="17">
        <f>(H115-ARITHMETIC_COEFFICIENT!I120*M115)*J115*K115</f>
        <v>0</v>
      </c>
    </row>
    <row r="116" spans="1:14" s="98" customFormat="1" x14ac:dyDescent="0.15">
      <c r="A116" s="11">
        <f t="shared" si="2"/>
        <v>20120002</v>
      </c>
      <c r="B116" s="13">
        <v>2</v>
      </c>
      <c r="C116" s="12">
        <v>0</v>
      </c>
      <c r="D116" s="13">
        <v>12</v>
      </c>
      <c r="E116" s="13">
        <v>0</v>
      </c>
      <c r="F116" s="12">
        <v>2</v>
      </c>
      <c r="G116" s="56">
        <v>110000</v>
      </c>
      <c r="H116" s="56"/>
      <c r="I116" s="56"/>
      <c r="J116" s="56"/>
      <c r="K116" s="56"/>
      <c r="L116" s="56"/>
      <c r="M116" s="10"/>
      <c r="N116" s="10">
        <f>(H116-ARITHMETIC_COEFFICIENT!I121*M116)*J116*K116</f>
        <v>0</v>
      </c>
    </row>
    <row r="117" spans="1:14" s="98" customFormat="1" x14ac:dyDescent="0.15">
      <c r="A117" s="11">
        <f t="shared" si="2"/>
        <v>20120003</v>
      </c>
      <c r="B117" s="13">
        <v>2</v>
      </c>
      <c r="C117" s="12">
        <v>0</v>
      </c>
      <c r="D117" s="13">
        <v>12</v>
      </c>
      <c r="E117" s="13">
        <v>0</v>
      </c>
      <c r="F117" s="12">
        <v>3</v>
      </c>
      <c r="G117" s="56">
        <v>110000</v>
      </c>
      <c r="H117" s="56"/>
      <c r="I117" s="56"/>
      <c r="J117" s="56"/>
      <c r="K117" s="56"/>
      <c r="L117" s="56"/>
      <c r="M117" s="10"/>
      <c r="N117" s="10">
        <f>(H117-ARITHMETIC_COEFFICIENT!I122*M117)*J117*K117</f>
        <v>0</v>
      </c>
    </row>
    <row r="118" spans="1:14" s="98" customFormat="1" x14ac:dyDescent="0.15">
      <c r="A118" s="11">
        <f t="shared" si="2"/>
        <v>20120004</v>
      </c>
      <c r="B118" s="13">
        <v>2</v>
      </c>
      <c r="C118" s="12">
        <v>0</v>
      </c>
      <c r="D118" s="13">
        <v>12</v>
      </c>
      <c r="E118" s="13">
        <v>0</v>
      </c>
      <c r="F118" s="12">
        <v>4</v>
      </c>
      <c r="G118" s="56">
        <v>110000</v>
      </c>
      <c r="H118" s="56"/>
      <c r="I118" s="56"/>
      <c r="J118" s="56"/>
      <c r="K118" s="56"/>
      <c r="L118" s="56"/>
      <c r="M118" s="10"/>
      <c r="N118" s="10">
        <f>(H118-ARITHMETIC_COEFFICIENT!I123*M118)*J118*K118</f>
        <v>0</v>
      </c>
    </row>
    <row r="119" spans="1:14" s="98" customFormat="1" x14ac:dyDescent="0.15">
      <c r="A119" s="11">
        <f t="shared" si="2"/>
        <v>20120005</v>
      </c>
      <c r="B119" s="13">
        <v>2</v>
      </c>
      <c r="C119" s="12">
        <v>0</v>
      </c>
      <c r="D119" s="13">
        <v>12</v>
      </c>
      <c r="E119" s="13">
        <v>0</v>
      </c>
      <c r="F119" s="12">
        <v>5</v>
      </c>
      <c r="G119" s="56">
        <v>110000</v>
      </c>
      <c r="H119" s="56"/>
      <c r="I119" s="56"/>
      <c r="J119" s="56"/>
      <c r="K119" s="56"/>
      <c r="L119" s="56"/>
      <c r="M119" s="10"/>
      <c r="N119" s="10">
        <f>(H119-ARITHMETIC_COEFFICIENT!I124*M119)*J119*K119</f>
        <v>0</v>
      </c>
    </row>
    <row r="120" spans="1:14" s="98" customFormat="1" x14ac:dyDescent="0.15">
      <c r="A120" s="11">
        <f t="shared" si="2"/>
        <v>20120006</v>
      </c>
      <c r="B120" s="13">
        <v>2</v>
      </c>
      <c r="C120" s="12">
        <v>0</v>
      </c>
      <c r="D120" s="13">
        <v>12</v>
      </c>
      <c r="E120" s="13">
        <v>0</v>
      </c>
      <c r="F120" s="12">
        <v>6</v>
      </c>
      <c r="G120" s="56">
        <v>110000</v>
      </c>
      <c r="H120" s="56"/>
      <c r="I120" s="56"/>
      <c r="J120" s="56"/>
      <c r="K120" s="56"/>
      <c r="L120" s="56"/>
      <c r="M120" s="10"/>
      <c r="N120" s="10">
        <f>(H120-ARITHMETIC_COEFFICIENT!I125*M120)*J120*K120</f>
        <v>0</v>
      </c>
    </row>
    <row r="121" spans="1:14" s="98" customFormat="1" x14ac:dyDescent="0.15">
      <c r="A121" s="11">
        <f t="shared" si="2"/>
        <v>20120007</v>
      </c>
      <c r="B121" s="13">
        <v>2</v>
      </c>
      <c r="C121" s="12">
        <v>0</v>
      </c>
      <c r="D121" s="13">
        <v>12</v>
      </c>
      <c r="E121" s="13">
        <v>0</v>
      </c>
      <c r="F121" s="12">
        <v>7</v>
      </c>
      <c r="G121" s="56">
        <v>110000</v>
      </c>
      <c r="H121" s="56"/>
      <c r="I121" s="56"/>
      <c r="J121" s="56"/>
      <c r="K121" s="56"/>
      <c r="L121" s="56"/>
      <c r="M121" s="10"/>
      <c r="N121" s="10">
        <f>(H121-ARITHMETIC_COEFFICIENT!I126*M121)*J121*K121</f>
        <v>0</v>
      </c>
    </row>
    <row r="122" spans="1:14" s="98" customFormat="1" x14ac:dyDescent="0.15">
      <c r="A122" s="11">
        <f t="shared" si="2"/>
        <v>20120008</v>
      </c>
      <c r="B122" s="13">
        <v>2</v>
      </c>
      <c r="C122" s="12">
        <v>0</v>
      </c>
      <c r="D122" s="13">
        <v>12</v>
      </c>
      <c r="E122" s="13">
        <v>0</v>
      </c>
      <c r="F122" s="12">
        <v>8</v>
      </c>
      <c r="G122" s="56">
        <v>110000</v>
      </c>
      <c r="H122" s="56"/>
      <c r="I122" s="56"/>
      <c r="J122" s="56"/>
      <c r="K122" s="56"/>
      <c r="L122" s="56"/>
      <c r="M122" s="10"/>
      <c r="N122" s="10">
        <f>(H122-ARITHMETIC_COEFFICIENT!I127*M122)*J122*K122</f>
        <v>0</v>
      </c>
    </row>
    <row r="123" spans="1:14" s="98" customFormat="1" x14ac:dyDescent="0.15">
      <c r="A123" s="11">
        <f t="shared" si="2"/>
        <v>20120009</v>
      </c>
      <c r="B123" s="13">
        <v>2</v>
      </c>
      <c r="C123" s="12">
        <v>0</v>
      </c>
      <c r="D123" s="13">
        <v>12</v>
      </c>
      <c r="E123" s="13">
        <v>0</v>
      </c>
      <c r="F123" s="12">
        <v>9</v>
      </c>
      <c r="G123" s="56">
        <v>110000</v>
      </c>
      <c r="H123" s="56"/>
      <c r="I123" s="56"/>
      <c r="J123" s="56"/>
      <c r="K123" s="56"/>
      <c r="L123" s="56"/>
      <c r="M123" s="10"/>
      <c r="N123" s="10">
        <f>(H123-ARITHMETIC_COEFFICIENT!I128*M123)*J123*K123</f>
        <v>0</v>
      </c>
    </row>
    <row r="124" spans="1:14" s="98" customFormat="1" ht="17.25" thickBot="1" x14ac:dyDescent="0.2">
      <c r="A124" s="11">
        <f t="shared" si="2"/>
        <v>20120010</v>
      </c>
      <c r="B124" s="13">
        <v>2</v>
      </c>
      <c r="C124" s="12">
        <v>0</v>
      </c>
      <c r="D124" s="113">
        <v>12</v>
      </c>
      <c r="E124" s="113">
        <v>0</v>
      </c>
      <c r="F124" s="12">
        <v>10</v>
      </c>
      <c r="G124" s="56">
        <v>110000</v>
      </c>
      <c r="H124" s="56"/>
      <c r="I124" s="56"/>
      <c r="J124" s="56"/>
      <c r="K124" s="56"/>
      <c r="L124" s="56"/>
      <c r="M124" s="10"/>
      <c r="N124" s="10">
        <f>(H124-ARITHMETIC_COEFFICIENT!I129*M124)*J124*K124</f>
        <v>0</v>
      </c>
    </row>
    <row r="125" spans="1:14" s="115" customFormat="1" x14ac:dyDescent="0.15">
      <c r="A125" s="18">
        <f t="shared" ref="A125:A164" si="3">B125*10000000+C125*1000000+D125*10000+E125*100+F125</f>
        <v>20130001</v>
      </c>
      <c r="B125" s="20">
        <v>2</v>
      </c>
      <c r="C125" s="19">
        <v>0</v>
      </c>
      <c r="D125" s="20">
        <v>13</v>
      </c>
      <c r="E125" s="20">
        <v>0</v>
      </c>
      <c r="F125" s="19">
        <v>1</v>
      </c>
      <c r="G125" s="57">
        <v>110000</v>
      </c>
      <c r="H125" s="57"/>
      <c r="I125" s="57"/>
      <c r="J125" s="57"/>
      <c r="K125" s="57"/>
      <c r="L125" s="57"/>
      <c r="M125" s="17"/>
      <c r="N125" s="17">
        <f>(H125-ARITHMETIC_COEFFICIENT!I130*M125)*J125*K125</f>
        <v>0</v>
      </c>
    </row>
    <row r="126" spans="1:14" s="98" customFormat="1" x14ac:dyDescent="0.15">
      <c r="A126" s="11">
        <f t="shared" si="3"/>
        <v>20130002</v>
      </c>
      <c r="B126" s="13">
        <v>2</v>
      </c>
      <c r="C126" s="12">
        <v>0</v>
      </c>
      <c r="D126" s="13">
        <v>13</v>
      </c>
      <c r="E126" s="13">
        <v>0</v>
      </c>
      <c r="F126" s="12">
        <v>2</v>
      </c>
      <c r="G126" s="56">
        <v>110000</v>
      </c>
      <c r="H126" s="56"/>
      <c r="I126" s="56"/>
      <c r="J126" s="56"/>
      <c r="K126" s="56"/>
      <c r="L126" s="56"/>
      <c r="M126" s="10"/>
      <c r="N126" s="10">
        <f>(H126-ARITHMETIC_COEFFICIENT!I131*M126)*J126*K126</f>
        <v>0</v>
      </c>
    </row>
    <row r="127" spans="1:14" s="98" customFormat="1" x14ac:dyDescent="0.15">
      <c r="A127" s="11">
        <f t="shared" si="3"/>
        <v>20130003</v>
      </c>
      <c r="B127" s="13">
        <v>2</v>
      </c>
      <c r="C127" s="12">
        <v>0</v>
      </c>
      <c r="D127" s="13">
        <v>13</v>
      </c>
      <c r="E127" s="13">
        <v>0</v>
      </c>
      <c r="F127" s="12">
        <v>3</v>
      </c>
      <c r="G127" s="56">
        <v>110000</v>
      </c>
      <c r="H127" s="56"/>
      <c r="I127" s="56"/>
      <c r="J127" s="56"/>
      <c r="K127" s="56"/>
      <c r="L127" s="56"/>
      <c r="M127" s="10"/>
      <c r="N127" s="10">
        <f>(H127-ARITHMETIC_COEFFICIENT!I132*M127)*J127*K127</f>
        <v>0</v>
      </c>
    </row>
    <row r="128" spans="1:14" s="98" customFormat="1" x14ac:dyDescent="0.15">
      <c r="A128" s="11">
        <f t="shared" si="3"/>
        <v>20130004</v>
      </c>
      <c r="B128" s="13">
        <v>2</v>
      </c>
      <c r="C128" s="12">
        <v>0</v>
      </c>
      <c r="D128" s="13">
        <v>13</v>
      </c>
      <c r="E128" s="13">
        <v>0</v>
      </c>
      <c r="F128" s="12">
        <v>4</v>
      </c>
      <c r="G128" s="56">
        <v>110000</v>
      </c>
      <c r="H128" s="56"/>
      <c r="I128" s="56"/>
      <c r="J128" s="56"/>
      <c r="K128" s="56"/>
      <c r="L128" s="56"/>
      <c r="M128" s="10"/>
      <c r="N128" s="10">
        <f>(H128-ARITHMETIC_COEFFICIENT!I133*M128)*J128*K128</f>
        <v>0</v>
      </c>
    </row>
    <row r="129" spans="1:14" s="98" customFormat="1" x14ac:dyDescent="0.15">
      <c r="A129" s="11">
        <f t="shared" si="3"/>
        <v>20130005</v>
      </c>
      <c r="B129" s="13">
        <v>2</v>
      </c>
      <c r="C129" s="12">
        <v>0</v>
      </c>
      <c r="D129" s="13">
        <v>13</v>
      </c>
      <c r="E129" s="13">
        <v>0</v>
      </c>
      <c r="F129" s="12">
        <v>5</v>
      </c>
      <c r="G129" s="56">
        <v>110000</v>
      </c>
      <c r="H129" s="56"/>
      <c r="I129" s="56"/>
      <c r="J129" s="56"/>
      <c r="K129" s="56"/>
      <c r="L129" s="56"/>
      <c r="M129" s="10"/>
      <c r="N129" s="10">
        <f>(H129-ARITHMETIC_COEFFICIENT!I134*M129)*J129*K129</f>
        <v>0</v>
      </c>
    </row>
    <row r="130" spans="1:14" s="98" customFormat="1" x14ac:dyDescent="0.15">
      <c r="A130" s="11">
        <f t="shared" si="3"/>
        <v>20130006</v>
      </c>
      <c r="B130" s="13">
        <v>2</v>
      </c>
      <c r="C130" s="12">
        <v>0</v>
      </c>
      <c r="D130" s="13">
        <v>13</v>
      </c>
      <c r="E130" s="13">
        <v>0</v>
      </c>
      <c r="F130" s="12">
        <v>6</v>
      </c>
      <c r="G130" s="56">
        <v>110000</v>
      </c>
      <c r="H130" s="56"/>
      <c r="I130" s="56"/>
      <c r="J130" s="56"/>
      <c r="K130" s="56"/>
      <c r="L130" s="56"/>
      <c r="M130" s="10"/>
      <c r="N130" s="10">
        <f>(H130-ARITHMETIC_COEFFICIENT!I135*M130)*J130*K130</f>
        <v>0</v>
      </c>
    </row>
    <row r="131" spans="1:14" s="98" customFormat="1" x14ac:dyDescent="0.15">
      <c r="A131" s="11">
        <f t="shared" si="3"/>
        <v>20130007</v>
      </c>
      <c r="B131" s="13">
        <v>2</v>
      </c>
      <c r="C131" s="12">
        <v>0</v>
      </c>
      <c r="D131" s="13">
        <v>13</v>
      </c>
      <c r="E131" s="13">
        <v>0</v>
      </c>
      <c r="F131" s="12">
        <v>7</v>
      </c>
      <c r="G131" s="56">
        <v>110000</v>
      </c>
      <c r="H131" s="56"/>
      <c r="I131" s="56"/>
      <c r="J131" s="56"/>
      <c r="K131" s="56"/>
      <c r="L131" s="56"/>
      <c r="M131" s="10"/>
      <c r="N131" s="10">
        <f>(H131-ARITHMETIC_COEFFICIENT!I136*M131)*J131*K131</f>
        <v>0</v>
      </c>
    </row>
    <row r="132" spans="1:14" s="98" customFormat="1" x14ac:dyDescent="0.15">
      <c r="A132" s="11">
        <f t="shared" si="3"/>
        <v>20130008</v>
      </c>
      <c r="B132" s="13">
        <v>2</v>
      </c>
      <c r="C132" s="12">
        <v>0</v>
      </c>
      <c r="D132" s="13">
        <v>13</v>
      </c>
      <c r="E132" s="13">
        <v>0</v>
      </c>
      <c r="F132" s="12">
        <v>8</v>
      </c>
      <c r="G132" s="56">
        <v>110000</v>
      </c>
      <c r="H132" s="56"/>
      <c r="I132" s="56"/>
      <c r="J132" s="56"/>
      <c r="K132" s="56"/>
      <c r="L132" s="56"/>
      <c r="M132" s="10"/>
      <c r="N132" s="10">
        <f>(H132-ARITHMETIC_COEFFICIENT!I137*M132)*J132*K132</f>
        <v>0</v>
      </c>
    </row>
    <row r="133" spans="1:14" s="98" customFormat="1" x14ac:dyDescent="0.15">
      <c r="A133" s="11">
        <f t="shared" si="3"/>
        <v>20130009</v>
      </c>
      <c r="B133" s="13">
        <v>2</v>
      </c>
      <c r="C133" s="12">
        <v>0</v>
      </c>
      <c r="D133" s="13">
        <v>13</v>
      </c>
      <c r="E133" s="13">
        <v>0</v>
      </c>
      <c r="F133" s="12">
        <v>9</v>
      </c>
      <c r="G133" s="56">
        <v>110000</v>
      </c>
      <c r="H133" s="56"/>
      <c r="I133" s="56"/>
      <c r="J133" s="56"/>
      <c r="K133" s="56"/>
      <c r="L133" s="56"/>
      <c r="M133" s="10"/>
      <c r="N133" s="10">
        <f>(H133-ARITHMETIC_COEFFICIENT!I138*M133)*J133*K133</f>
        <v>0</v>
      </c>
    </row>
    <row r="134" spans="1:14" s="98" customFormat="1" ht="17.25" thickBot="1" x14ac:dyDescent="0.2">
      <c r="A134" s="11">
        <f t="shared" si="3"/>
        <v>20130010</v>
      </c>
      <c r="B134" s="13">
        <v>2</v>
      </c>
      <c r="C134" s="12">
        <v>0</v>
      </c>
      <c r="D134" s="113">
        <v>13</v>
      </c>
      <c r="E134" s="113">
        <v>0</v>
      </c>
      <c r="F134" s="12">
        <v>10</v>
      </c>
      <c r="G134" s="56">
        <v>110000</v>
      </c>
      <c r="H134" s="56"/>
      <c r="I134" s="56"/>
      <c r="J134" s="56"/>
      <c r="K134" s="56"/>
      <c r="L134" s="56"/>
      <c r="M134" s="10"/>
      <c r="N134" s="10">
        <f>(H134-ARITHMETIC_COEFFICIENT!I139*M134)*J134*K134</f>
        <v>0</v>
      </c>
    </row>
    <row r="135" spans="1:14" s="115" customFormat="1" x14ac:dyDescent="0.15">
      <c r="A135" s="18">
        <f t="shared" si="3"/>
        <v>20140001</v>
      </c>
      <c r="B135" s="20">
        <v>2</v>
      </c>
      <c r="C135" s="19">
        <v>0</v>
      </c>
      <c r="D135" s="20">
        <v>14</v>
      </c>
      <c r="E135" s="20">
        <v>0</v>
      </c>
      <c r="F135" s="19">
        <v>1</v>
      </c>
      <c r="G135" s="57">
        <v>110000</v>
      </c>
      <c r="H135" s="57"/>
      <c r="I135" s="57"/>
      <c r="J135" s="57"/>
      <c r="K135" s="57"/>
      <c r="L135" s="57"/>
      <c r="M135" s="17"/>
      <c r="N135" s="17">
        <f>(H135-ARITHMETIC_COEFFICIENT!I140*M135)*J135*K135</f>
        <v>0</v>
      </c>
    </row>
    <row r="136" spans="1:14" s="98" customFormat="1" x14ac:dyDescent="0.15">
      <c r="A136" s="11">
        <f t="shared" si="3"/>
        <v>20140002</v>
      </c>
      <c r="B136" s="13">
        <v>2</v>
      </c>
      <c r="C136" s="12">
        <v>0</v>
      </c>
      <c r="D136" s="13">
        <v>14</v>
      </c>
      <c r="E136" s="13">
        <v>0</v>
      </c>
      <c r="F136" s="12">
        <v>2</v>
      </c>
      <c r="G136" s="56">
        <v>110000</v>
      </c>
      <c r="H136" s="56"/>
      <c r="I136" s="56"/>
      <c r="J136" s="56"/>
      <c r="K136" s="56"/>
      <c r="L136" s="56"/>
      <c r="M136" s="10"/>
      <c r="N136" s="10">
        <f>(H136-ARITHMETIC_COEFFICIENT!I141*M136)*J136*K136</f>
        <v>0</v>
      </c>
    </row>
    <row r="137" spans="1:14" s="98" customFormat="1" x14ac:dyDescent="0.15">
      <c r="A137" s="11">
        <f t="shared" si="3"/>
        <v>20140003</v>
      </c>
      <c r="B137" s="13">
        <v>2</v>
      </c>
      <c r="C137" s="12">
        <v>0</v>
      </c>
      <c r="D137" s="13">
        <v>14</v>
      </c>
      <c r="E137" s="13">
        <v>0</v>
      </c>
      <c r="F137" s="12">
        <v>3</v>
      </c>
      <c r="G137" s="56">
        <v>110000</v>
      </c>
      <c r="H137" s="56"/>
      <c r="I137" s="56"/>
      <c r="J137" s="56"/>
      <c r="K137" s="56"/>
      <c r="L137" s="56"/>
      <c r="M137" s="10"/>
      <c r="N137" s="10">
        <f>(H137-ARITHMETIC_COEFFICIENT!I142*M137)*J137*K137</f>
        <v>0</v>
      </c>
    </row>
    <row r="138" spans="1:14" s="98" customFormat="1" x14ac:dyDescent="0.15">
      <c r="A138" s="11">
        <f t="shared" si="3"/>
        <v>20140004</v>
      </c>
      <c r="B138" s="13">
        <v>2</v>
      </c>
      <c r="C138" s="12">
        <v>0</v>
      </c>
      <c r="D138" s="13">
        <v>14</v>
      </c>
      <c r="E138" s="13">
        <v>0</v>
      </c>
      <c r="F138" s="12">
        <v>4</v>
      </c>
      <c r="G138" s="56">
        <v>110000</v>
      </c>
      <c r="H138" s="56"/>
      <c r="I138" s="56"/>
      <c r="J138" s="56"/>
      <c r="K138" s="56"/>
      <c r="L138" s="56"/>
      <c r="M138" s="10"/>
      <c r="N138" s="10">
        <f>(H138-ARITHMETIC_COEFFICIENT!I143*M138)*J138*K138</f>
        <v>0</v>
      </c>
    </row>
    <row r="139" spans="1:14" s="98" customFormat="1" x14ac:dyDescent="0.15">
      <c r="A139" s="11">
        <f t="shared" si="3"/>
        <v>20140005</v>
      </c>
      <c r="B139" s="13">
        <v>2</v>
      </c>
      <c r="C139" s="12">
        <v>0</v>
      </c>
      <c r="D139" s="13">
        <v>14</v>
      </c>
      <c r="E139" s="13">
        <v>0</v>
      </c>
      <c r="F139" s="12">
        <v>5</v>
      </c>
      <c r="G139" s="56">
        <v>110000</v>
      </c>
      <c r="H139" s="56"/>
      <c r="I139" s="56"/>
      <c r="J139" s="56"/>
      <c r="K139" s="56"/>
      <c r="L139" s="56"/>
      <c r="M139" s="10"/>
      <c r="N139" s="10">
        <f>(H139-ARITHMETIC_COEFFICIENT!I144*M139)*J139*K139</f>
        <v>0</v>
      </c>
    </row>
    <row r="140" spans="1:14" s="98" customFormat="1" x14ac:dyDescent="0.15">
      <c r="A140" s="11">
        <f t="shared" si="3"/>
        <v>20140006</v>
      </c>
      <c r="B140" s="13">
        <v>2</v>
      </c>
      <c r="C140" s="12">
        <v>0</v>
      </c>
      <c r="D140" s="13">
        <v>14</v>
      </c>
      <c r="E140" s="13">
        <v>0</v>
      </c>
      <c r="F140" s="12">
        <v>6</v>
      </c>
      <c r="G140" s="56">
        <v>110000</v>
      </c>
      <c r="H140" s="56"/>
      <c r="I140" s="56"/>
      <c r="J140" s="56"/>
      <c r="K140" s="56"/>
      <c r="L140" s="56"/>
      <c r="M140" s="10"/>
      <c r="N140" s="10">
        <f>(H140-ARITHMETIC_COEFFICIENT!I145*M140)*J140*K140</f>
        <v>0</v>
      </c>
    </row>
    <row r="141" spans="1:14" s="98" customFormat="1" x14ac:dyDescent="0.15">
      <c r="A141" s="11">
        <f t="shared" si="3"/>
        <v>20140007</v>
      </c>
      <c r="B141" s="13">
        <v>2</v>
      </c>
      <c r="C141" s="12">
        <v>0</v>
      </c>
      <c r="D141" s="13">
        <v>14</v>
      </c>
      <c r="E141" s="13">
        <v>0</v>
      </c>
      <c r="F141" s="12">
        <v>7</v>
      </c>
      <c r="G141" s="56">
        <v>110000</v>
      </c>
      <c r="H141" s="56"/>
      <c r="I141" s="56"/>
      <c r="J141" s="56"/>
      <c r="K141" s="56"/>
      <c r="L141" s="56"/>
      <c r="M141" s="10"/>
      <c r="N141" s="10">
        <f>(H141-ARITHMETIC_COEFFICIENT!I146*M141)*J141*K141</f>
        <v>0</v>
      </c>
    </row>
    <row r="142" spans="1:14" s="98" customFormat="1" x14ac:dyDescent="0.15">
      <c r="A142" s="11">
        <f t="shared" si="3"/>
        <v>20140008</v>
      </c>
      <c r="B142" s="13">
        <v>2</v>
      </c>
      <c r="C142" s="12">
        <v>0</v>
      </c>
      <c r="D142" s="13">
        <v>14</v>
      </c>
      <c r="E142" s="13">
        <v>0</v>
      </c>
      <c r="F142" s="12">
        <v>8</v>
      </c>
      <c r="G142" s="56">
        <v>110000</v>
      </c>
      <c r="H142" s="56"/>
      <c r="I142" s="56"/>
      <c r="J142" s="56"/>
      <c r="K142" s="56"/>
      <c r="L142" s="56"/>
      <c r="M142" s="10"/>
      <c r="N142" s="10">
        <f>(H142-ARITHMETIC_COEFFICIENT!I147*M142)*J142*K142</f>
        <v>0</v>
      </c>
    </row>
    <row r="143" spans="1:14" s="98" customFormat="1" x14ac:dyDescent="0.15">
      <c r="A143" s="11">
        <f t="shared" si="3"/>
        <v>20140009</v>
      </c>
      <c r="B143" s="13">
        <v>2</v>
      </c>
      <c r="C143" s="12">
        <v>0</v>
      </c>
      <c r="D143" s="13">
        <v>14</v>
      </c>
      <c r="E143" s="13">
        <v>0</v>
      </c>
      <c r="F143" s="12">
        <v>9</v>
      </c>
      <c r="G143" s="56">
        <v>110000</v>
      </c>
      <c r="H143" s="56"/>
      <c r="I143" s="56"/>
      <c r="J143" s="56"/>
      <c r="K143" s="56"/>
      <c r="L143" s="56"/>
      <c r="M143" s="10"/>
      <c r="N143" s="10">
        <f>(H143-ARITHMETIC_COEFFICIENT!I148*M143)*J143*K143</f>
        <v>0</v>
      </c>
    </row>
    <row r="144" spans="1:14" s="98" customFormat="1" ht="17.25" thickBot="1" x14ac:dyDescent="0.2">
      <c r="A144" s="11">
        <f t="shared" si="3"/>
        <v>20140010</v>
      </c>
      <c r="B144" s="13">
        <v>2</v>
      </c>
      <c r="C144" s="12">
        <v>0</v>
      </c>
      <c r="D144" s="113">
        <v>14</v>
      </c>
      <c r="E144" s="113">
        <v>0</v>
      </c>
      <c r="F144" s="12">
        <v>10</v>
      </c>
      <c r="G144" s="56">
        <v>110000</v>
      </c>
      <c r="H144" s="56"/>
      <c r="I144" s="56"/>
      <c r="J144" s="56"/>
      <c r="K144" s="56"/>
      <c r="L144" s="56"/>
      <c r="M144" s="10"/>
      <c r="N144" s="10">
        <f>(H144-ARITHMETIC_COEFFICIENT!I149*M144)*J144*K144</f>
        <v>0</v>
      </c>
    </row>
    <row r="145" spans="1:14" s="115" customFormat="1" x14ac:dyDescent="0.15">
      <c r="A145" s="18">
        <f t="shared" si="3"/>
        <v>20150001</v>
      </c>
      <c r="B145" s="20">
        <v>2</v>
      </c>
      <c r="C145" s="19">
        <v>0</v>
      </c>
      <c r="D145" s="20">
        <v>15</v>
      </c>
      <c r="E145" s="20">
        <v>0</v>
      </c>
      <c r="F145" s="19">
        <v>1</v>
      </c>
      <c r="G145" s="57">
        <v>110000</v>
      </c>
      <c r="H145" s="57"/>
      <c r="I145" s="57"/>
      <c r="J145" s="57"/>
      <c r="K145" s="57"/>
      <c r="L145" s="57"/>
      <c r="M145" s="17"/>
      <c r="N145" s="17">
        <f>(H145-ARITHMETIC_COEFFICIENT!I150*M145)*J145*K145</f>
        <v>0</v>
      </c>
    </row>
    <row r="146" spans="1:14" s="98" customFormat="1" x14ac:dyDescent="0.15">
      <c r="A146" s="11">
        <f t="shared" si="3"/>
        <v>20150002</v>
      </c>
      <c r="B146" s="13">
        <v>2</v>
      </c>
      <c r="C146" s="12">
        <v>0</v>
      </c>
      <c r="D146" s="13">
        <v>15</v>
      </c>
      <c r="E146" s="13">
        <v>0</v>
      </c>
      <c r="F146" s="12">
        <v>2</v>
      </c>
      <c r="G146" s="56">
        <v>110000</v>
      </c>
      <c r="H146" s="56"/>
      <c r="I146" s="56"/>
      <c r="J146" s="56"/>
      <c r="K146" s="56"/>
      <c r="L146" s="56"/>
      <c r="M146" s="10"/>
      <c r="N146" s="10">
        <f>(H146-ARITHMETIC_COEFFICIENT!I151*M146)*J146*K146</f>
        <v>0</v>
      </c>
    </row>
    <row r="147" spans="1:14" s="98" customFormat="1" x14ac:dyDescent="0.15">
      <c r="A147" s="11">
        <f t="shared" si="3"/>
        <v>20150003</v>
      </c>
      <c r="B147" s="13">
        <v>2</v>
      </c>
      <c r="C147" s="12">
        <v>0</v>
      </c>
      <c r="D147" s="13">
        <v>15</v>
      </c>
      <c r="E147" s="13">
        <v>0</v>
      </c>
      <c r="F147" s="12">
        <v>3</v>
      </c>
      <c r="G147" s="56">
        <v>110000</v>
      </c>
      <c r="H147" s="56"/>
      <c r="I147" s="56"/>
      <c r="J147" s="56"/>
      <c r="K147" s="56"/>
      <c r="L147" s="56"/>
      <c r="M147" s="10"/>
      <c r="N147" s="10">
        <f>(H147-ARITHMETIC_COEFFICIENT!I152*M147)*J147*K147</f>
        <v>0</v>
      </c>
    </row>
    <row r="148" spans="1:14" s="98" customFormat="1" x14ac:dyDescent="0.15">
      <c r="A148" s="11">
        <f t="shared" si="3"/>
        <v>20150004</v>
      </c>
      <c r="B148" s="13">
        <v>2</v>
      </c>
      <c r="C148" s="12">
        <v>0</v>
      </c>
      <c r="D148" s="13">
        <v>15</v>
      </c>
      <c r="E148" s="13">
        <v>0</v>
      </c>
      <c r="F148" s="12">
        <v>4</v>
      </c>
      <c r="G148" s="56">
        <v>110000</v>
      </c>
      <c r="H148" s="56"/>
      <c r="I148" s="56"/>
      <c r="J148" s="56"/>
      <c r="K148" s="56"/>
      <c r="L148" s="56"/>
      <c r="M148" s="10"/>
      <c r="N148" s="10">
        <f>(H148-ARITHMETIC_COEFFICIENT!I153*M148)*J148*K148</f>
        <v>0</v>
      </c>
    </row>
    <row r="149" spans="1:14" s="98" customFormat="1" x14ac:dyDescent="0.15">
      <c r="A149" s="11">
        <f t="shared" si="3"/>
        <v>20150005</v>
      </c>
      <c r="B149" s="13">
        <v>2</v>
      </c>
      <c r="C149" s="12">
        <v>0</v>
      </c>
      <c r="D149" s="13">
        <v>15</v>
      </c>
      <c r="E149" s="13">
        <v>0</v>
      </c>
      <c r="F149" s="12">
        <v>5</v>
      </c>
      <c r="G149" s="56">
        <v>110000</v>
      </c>
      <c r="H149" s="56"/>
      <c r="I149" s="56"/>
      <c r="J149" s="56"/>
      <c r="K149" s="56"/>
      <c r="L149" s="56"/>
      <c r="M149" s="10"/>
      <c r="N149" s="10">
        <f>(H149-ARITHMETIC_COEFFICIENT!I154*M149)*J149*K149</f>
        <v>0</v>
      </c>
    </row>
    <row r="150" spans="1:14" s="98" customFormat="1" x14ac:dyDescent="0.15">
      <c r="A150" s="11">
        <f t="shared" si="3"/>
        <v>20150006</v>
      </c>
      <c r="B150" s="13">
        <v>2</v>
      </c>
      <c r="C150" s="12">
        <v>0</v>
      </c>
      <c r="D150" s="13">
        <v>15</v>
      </c>
      <c r="E150" s="13">
        <v>0</v>
      </c>
      <c r="F150" s="12">
        <v>6</v>
      </c>
      <c r="G150" s="56">
        <v>110000</v>
      </c>
      <c r="H150" s="56"/>
      <c r="I150" s="56"/>
      <c r="J150" s="56"/>
      <c r="K150" s="56"/>
      <c r="L150" s="56"/>
      <c r="M150" s="10"/>
      <c r="N150" s="10">
        <f>(H150-ARITHMETIC_COEFFICIENT!I155*M150)*J150*K150</f>
        <v>0</v>
      </c>
    </row>
    <row r="151" spans="1:14" s="98" customFormat="1" x14ac:dyDescent="0.15">
      <c r="A151" s="11">
        <f t="shared" si="3"/>
        <v>20150007</v>
      </c>
      <c r="B151" s="13">
        <v>2</v>
      </c>
      <c r="C151" s="12">
        <v>0</v>
      </c>
      <c r="D151" s="13">
        <v>15</v>
      </c>
      <c r="E151" s="13">
        <v>0</v>
      </c>
      <c r="F151" s="12">
        <v>7</v>
      </c>
      <c r="G151" s="56">
        <v>110000</v>
      </c>
      <c r="H151" s="56"/>
      <c r="I151" s="56"/>
      <c r="J151" s="56"/>
      <c r="K151" s="56"/>
      <c r="L151" s="56"/>
      <c r="M151" s="10"/>
      <c r="N151" s="10">
        <f>(H151-ARITHMETIC_COEFFICIENT!I156*M151)*J151*K151</f>
        <v>0</v>
      </c>
    </row>
    <row r="152" spans="1:14" s="98" customFormat="1" x14ac:dyDescent="0.15">
      <c r="A152" s="11">
        <f t="shared" si="3"/>
        <v>20150008</v>
      </c>
      <c r="B152" s="13">
        <v>2</v>
      </c>
      <c r="C152" s="12">
        <v>0</v>
      </c>
      <c r="D152" s="13">
        <v>15</v>
      </c>
      <c r="E152" s="13">
        <v>0</v>
      </c>
      <c r="F152" s="12">
        <v>8</v>
      </c>
      <c r="G152" s="56">
        <v>110000</v>
      </c>
      <c r="H152" s="56"/>
      <c r="I152" s="56"/>
      <c r="J152" s="56"/>
      <c r="K152" s="56"/>
      <c r="L152" s="56"/>
      <c r="M152" s="10"/>
      <c r="N152" s="10">
        <f>(H152-ARITHMETIC_COEFFICIENT!I157*M152)*J152*K152</f>
        <v>0</v>
      </c>
    </row>
    <row r="153" spans="1:14" s="98" customFormat="1" x14ac:dyDescent="0.15">
      <c r="A153" s="11">
        <f t="shared" si="3"/>
        <v>20150009</v>
      </c>
      <c r="B153" s="13">
        <v>2</v>
      </c>
      <c r="C153" s="12">
        <v>0</v>
      </c>
      <c r="D153" s="13">
        <v>15</v>
      </c>
      <c r="E153" s="13">
        <v>0</v>
      </c>
      <c r="F153" s="12">
        <v>9</v>
      </c>
      <c r="G153" s="56">
        <v>110000</v>
      </c>
      <c r="H153" s="56"/>
      <c r="I153" s="56"/>
      <c r="J153" s="56"/>
      <c r="K153" s="56"/>
      <c r="L153" s="56"/>
      <c r="M153" s="10"/>
      <c r="N153" s="10">
        <f>(H153-ARITHMETIC_COEFFICIENT!I158*M153)*J153*K153</f>
        <v>0</v>
      </c>
    </row>
    <row r="154" spans="1:14" s="98" customFormat="1" ht="17.25" thickBot="1" x14ac:dyDescent="0.2">
      <c r="A154" s="11">
        <f t="shared" si="3"/>
        <v>20150010</v>
      </c>
      <c r="B154" s="13">
        <v>2</v>
      </c>
      <c r="C154" s="12">
        <v>0</v>
      </c>
      <c r="D154" s="113">
        <v>15</v>
      </c>
      <c r="E154" s="113">
        <v>0</v>
      </c>
      <c r="F154" s="12">
        <v>10</v>
      </c>
      <c r="G154" s="56">
        <v>110000</v>
      </c>
      <c r="H154" s="56"/>
      <c r="I154" s="56"/>
      <c r="J154" s="56"/>
      <c r="K154" s="56"/>
      <c r="L154" s="56"/>
      <c r="M154" s="10"/>
      <c r="N154" s="10">
        <f>(H154-ARITHMETIC_COEFFICIENT!I159*M154)*J154*K154</f>
        <v>0</v>
      </c>
    </row>
    <row r="155" spans="1:14" s="115" customFormat="1" x14ac:dyDescent="0.15">
      <c r="A155" s="18">
        <f t="shared" si="3"/>
        <v>20160001</v>
      </c>
      <c r="B155" s="20">
        <v>2</v>
      </c>
      <c r="C155" s="19">
        <v>0</v>
      </c>
      <c r="D155" s="20">
        <v>16</v>
      </c>
      <c r="E155" s="20">
        <v>0</v>
      </c>
      <c r="F155" s="19">
        <v>1</v>
      </c>
      <c r="G155" s="57">
        <v>110000</v>
      </c>
      <c r="H155" s="57"/>
      <c r="I155" s="57"/>
      <c r="J155" s="57"/>
      <c r="K155" s="57"/>
      <c r="L155" s="57"/>
      <c r="M155" s="17"/>
      <c r="N155" s="17">
        <f>(H155-ARITHMETIC_COEFFICIENT!I160*M155)*J155*K155</f>
        <v>0</v>
      </c>
    </row>
    <row r="156" spans="1:14" s="98" customFormat="1" x14ac:dyDescent="0.15">
      <c r="A156" s="11">
        <f t="shared" si="3"/>
        <v>20160002</v>
      </c>
      <c r="B156" s="13">
        <v>2</v>
      </c>
      <c r="C156" s="12">
        <v>0</v>
      </c>
      <c r="D156" s="13">
        <v>16</v>
      </c>
      <c r="E156" s="13">
        <v>0</v>
      </c>
      <c r="F156" s="12">
        <v>2</v>
      </c>
      <c r="G156" s="56">
        <v>110000</v>
      </c>
      <c r="H156" s="56"/>
      <c r="I156" s="56"/>
      <c r="J156" s="56"/>
      <c r="K156" s="56"/>
      <c r="L156" s="56"/>
      <c r="M156" s="10"/>
      <c r="N156" s="10">
        <f>(H156-ARITHMETIC_COEFFICIENT!I161*M156)*J156*K156</f>
        <v>0</v>
      </c>
    </row>
    <row r="157" spans="1:14" s="98" customFormat="1" x14ac:dyDescent="0.15">
      <c r="A157" s="11">
        <f t="shared" si="3"/>
        <v>20160003</v>
      </c>
      <c r="B157" s="13">
        <v>2</v>
      </c>
      <c r="C157" s="12">
        <v>0</v>
      </c>
      <c r="D157" s="13">
        <v>16</v>
      </c>
      <c r="E157" s="13">
        <v>0</v>
      </c>
      <c r="F157" s="12">
        <v>3</v>
      </c>
      <c r="G157" s="56">
        <v>110000</v>
      </c>
      <c r="H157" s="56"/>
      <c r="I157" s="56"/>
      <c r="J157" s="56"/>
      <c r="K157" s="56"/>
      <c r="L157" s="56"/>
      <c r="M157" s="10"/>
      <c r="N157" s="10">
        <f>(H157-ARITHMETIC_COEFFICIENT!I162*M157)*J157*K157</f>
        <v>0</v>
      </c>
    </row>
    <row r="158" spans="1:14" s="98" customFormat="1" x14ac:dyDescent="0.15">
      <c r="A158" s="11">
        <f t="shared" si="3"/>
        <v>20160004</v>
      </c>
      <c r="B158" s="13">
        <v>2</v>
      </c>
      <c r="C158" s="12">
        <v>0</v>
      </c>
      <c r="D158" s="13">
        <v>16</v>
      </c>
      <c r="E158" s="13">
        <v>0</v>
      </c>
      <c r="F158" s="12">
        <v>4</v>
      </c>
      <c r="G158" s="56">
        <v>110000</v>
      </c>
      <c r="H158" s="56"/>
      <c r="I158" s="56"/>
      <c r="J158" s="56"/>
      <c r="K158" s="56"/>
      <c r="L158" s="56"/>
      <c r="M158" s="10"/>
      <c r="N158" s="10">
        <f>(H158-ARITHMETIC_COEFFICIENT!I163*M158)*J158*K158</f>
        <v>0</v>
      </c>
    </row>
    <row r="159" spans="1:14" s="98" customFormat="1" x14ac:dyDescent="0.15">
      <c r="A159" s="11">
        <f t="shared" si="3"/>
        <v>20160005</v>
      </c>
      <c r="B159" s="13">
        <v>2</v>
      </c>
      <c r="C159" s="12">
        <v>0</v>
      </c>
      <c r="D159" s="13">
        <v>16</v>
      </c>
      <c r="E159" s="13">
        <v>0</v>
      </c>
      <c r="F159" s="12">
        <v>5</v>
      </c>
      <c r="G159" s="56">
        <v>110000</v>
      </c>
      <c r="H159" s="56"/>
      <c r="I159" s="56"/>
      <c r="J159" s="56"/>
      <c r="K159" s="56"/>
      <c r="L159" s="56"/>
      <c r="M159" s="10"/>
      <c r="N159" s="10">
        <f>(H159-ARITHMETIC_COEFFICIENT!I164*M159)*J159*K159</f>
        <v>0</v>
      </c>
    </row>
    <row r="160" spans="1:14" s="98" customFormat="1" x14ac:dyDescent="0.15">
      <c r="A160" s="11">
        <f t="shared" si="3"/>
        <v>20160006</v>
      </c>
      <c r="B160" s="13">
        <v>2</v>
      </c>
      <c r="C160" s="12">
        <v>0</v>
      </c>
      <c r="D160" s="13">
        <v>16</v>
      </c>
      <c r="E160" s="13">
        <v>0</v>
      </c>
      <c r="F160" s="12">
        <v>6</v>
      </c>
      <c r="G160" s="56">
        <v>110000</v>
      </c>
      <c r="H160" s="56"/>
      <c r="I160" s="56"/>
      <c r="J160" s="56"/>
      <c r="K160" s="56"/>
      <c r="L160" s="56"/>
      <c r="M160" s="10"/>
      <c r="N160" s="10">
        <f>(H160-ARITHMETIC_COEFFICIENT!I165*M160)*J160*K160</f>
        <v>0</v>
      </c>
    </row>
    <row r="161" spans="1:14" s="98" customFormat="1" x14ac:dyDescent="0.15">
      <c r="A161" s="11">
        <f t="shared" si="3"/>
        <v>20160007</v>
      </c>
      <c r="B161" s="13">
        <v>2</v>
      </c>
      <c r="C161" s="12">
        <v>0</v>
      </c>
      <c r="D161" s="13">
        <v>16</v>
      </c>
      <c r="E161" s="13">
        <v>0</v>
      </c>
      <c r="F161" s="12">
        <v>7</v>
      </c>
      <c r="G161" s="56">
        <v>110000</v>
      </c>
      <c r="H161" s="56"/>
      <c r="I161" s="56"/>
      <c r="J161" s="56"/>
      <c r="K161" s="56"/>
      <c r="L161" s="56"/>
      <c r="M161" s="10"/>
      <c r="N161" s="10">
        <f>(H161-ARITHMETIC_COEFFICIENT!I166*M161)*J161*K161</f>
        <v>0</v>
      </c>
    </row>
    <row r="162" spans="1:14" s="98" customFormat="1" x14ac:dyDescent="0.15">
      <c r="A162" s="11">
        <f t="shared" si="3"/>
        <v>20160008</v>
      </c>
      <c r="B162" s="13">
        <v>2</v>
      </c>
      <c r="C162" s="12">
        <v>0</v>
      </c>
      <c r="D162" s="13">
        <v>16</v>
      </c>
      <c r="E162" s="13">
        <v>0</v>
      </c>
      <c r="F162" s="12">
        <v>8</v>
      </c>
      <c r="G162" s="56">
        <v>110000</v>
      </c>
      <c r="H162" s="56"/>
      <c r="I162" s="56"/>
      <c r="J162" s="56"/>
      <c r="K162" s="56"/>
      <c r="L162" s="56"/>
      <c r="M162" s="10"/>
      <c r="N162" s="10">
        <f>(H162-ARITHMETIC_COEFFICIENT!I167*M162)*J162*K162</f>
        <v>0</v>
      </c>
    </row>
    <row r="163" spans="1:14" s="98" customFormat="1" x14ac:dyDescent="0.15">
      <c r="A163" s="11">
        <f t="shared" si="3"/>
        <v>20160009</v>
      </c>
      <c r="B163" s="13">
        <v>2</v>
      </c>
      <c r="C163" s="12">
        <v>0</v>
      </c>
      <c r="D163" s="13">
        <v>16</v>
      </c>
      <c r="E163" s="13">
        <v>0</v>
      </c>
      <c r="F163" s="12">
        <v>9</v>
      </c>
      <c r="G163" s="56">
        <v>110000</v>
      </c>
      <c r="H163" s="56"/>
      <c r="I163" s="56"/>
      <c r="J163" s="56"/>
      <c r="K163" s="56"/>
      <c r="L163" s="56"/>
      <c r="M163" s="10"/>
      <c r="N163" s="10">
        <f>(H163-ARITHMETIC_COEFFICIENT!I168*M163)*J163*K163</f>
        <v>0</v>
      </c>
    </row>
    <row r="164" spans="1:14" s="98" customFormat="1" ht="17.25" thickBot="1" x14ac:dyDescent="0.2">
      <c r="A164" s="11">
        <f t="shared" si="3"/>
        <v>20160010</v>
      </c>
      <c r="B164" s="13">
        <v>2</v>
      </c>
      <c r="C164" s="12">
        <v>0</v>
      </c>
      <c r="D164" s="113">
        <v>16</v>
      </c>
      <c r="E164" s="113">
        <v>0</v>
      </c>
      <c r="F164" s="12">
        <v>10</v>
      </c>
      <c r="G164" s="56">
        <v>110000</v>
      </c>
      <c r="H164" s="56"/>
      <c r="I164" s="56"/>
      <c r="J164" s="56"/>
      <c r="K164" s="56"/>
      <c r="L164" s="56"/>
      <c r="M164" s="10"/>
      <c r="N164" s="10">
        <f>(H164-ARITHMETIC_COEFFICIENT!I169*M164)*J164*K164</f>
        <v>0</v>
      </c>
    </row>
    <row r="165" spans="1:14" s="115" customFormat="1" x14ac:dyDescent="0.15">
      <c r="A165" s="18">
        <f t="shared" ref="A165:A204" si="4">B165*10000000+C165*1000000+D165*10000+E165*100+F165</f>
        <v>20170001</v>
      </c>
      <c r="B165" s="20">
        <v>2</v>
      </c>
      <c r="C165" s="19">
        <v>0</v>
      </c>
      <c r="D165" s="20">
        <v>17</v>
      </c>
      <c r="E165" s="20">
        <v>0</v>
      </c>
      <c r="F165" s="19">
        <v>1</v>
      </c>
      <c r="G165" s="57">
        <v>110000</v>
      </c>
      <c r="H165" s="57"/>
      <c r="I165" s="57"/>
      <c r="J165" s="57"/>
      <c r="K165" s="57"/>
      <c r="L165" s="57"/>
      <c r="M165" s="17"/>
      <c r="N165" s="17">
        <f>(H165-ARITHMETIC_COEFFICIENT!I170*M165)*J165*K165</f>
        <v>0</v>
      </c>
    </row>
    <row r="166" spans="1:14" s="98" customFormat="1" x14ac:dyDescent="0.15">
      <c r="A166" s="11">
        <f t="shared" si="4"/>
        <v>20170002</v>
      </c>
      <c r="B166" s="13">
        <v>2</v>
      </c>
      <c r="C166" s="12">
        <v>0</v>
      </c>
      <c r="D166" s="13">
        <v>17</v>
      </c>
      <c r="E166" s="13">
        <v>0</v>
      </c>
      <c r="F166" s="12">
        <v>2</v>
      </c>
      <c r="G166" s="56">
        <v>110000</v>
      </c>
      <c r="H166" s="56"/>
      <c r="I166" s="56"/>
      <c r="J166" s="56"/>
      <c r="K166" s="56"/>
      <c r="L166" s="56"/>
      <c r="M166" s="10"/>
      <c r="N166" s="10">
        <f>(H166-ARITHMETIC_COEFFICIENT!I171*M166)*J166*K166</f>
        <v>0</v>
      </c>
    </row>
    <row r="167" spans="1:14" s="98" customFormat="1" x14ac:dyDescent="0.15">
      <c r="A167" s="11">
        <f t="shared" si="4"/>
        <v>20170003</v>
      </c>
      <c r="B167" s="13">
        <v>2</v>
      </c>
      <c r="C167" s="12">
        <v>0</v>
      </c>
      <c r="D167" s="13">
        <v>17</v>
      </c>
      <c r="E167" s="13">
        <v>0</v>
      </c>
      <c r="F167" s="12">
        <v>3</v>
      </c>
      <c r="G167" s="56">
        <v>110000</v>
      </c>
      <c r="H167" s="56"/>
      <c r="I167" s="56"/>
      <c r="J167" s="56"/>
      <c r="K167" s="56"/>
      <c r="L167" s="56"/>
      <c r="M167" s="10"/>
      <c r="N167" s="10">
        <f>(H167-ARITHMETIC_COEFFICIENT!I172*M167)*J167*K167</f>
        <v>0</v>
      </c>
    </row>
    <row r="168" spans="1:14" s="98" customFormat="1" x14ac:dyDescent="0.15">
      <c r="A168" s="11">
        <f t="shared" si="4"/>
        <v>20170004</v>
      </c>
      <c r="B168" s="13">
        <v>2</v>
      </c>
      <c r="C168" s="12">
        <v>0</v>
      </c>
      <c r="D168" s="13">
        <v>17</v>
      </c>
      <c r="E168" s="13">
        <v>0</v>
      </c>
      <c r="F168" s="12">
        <v>4</v>
      </c>
      <c r="G168" s="56">
        <v>110000</v>
      </c>
      <c r="H168" s="56"/>
      <c r="I168" s="56"/>
      <c r="J168" s="56"/>
      <c r="K168" s="56"/>
      <c r="L168" s="56"/>
      <c r="M168" s="10"/>
      <c r="N168" s="10">
        <f>(H168-ARITHMETIC_COEFFICIENT!I173*M168)*J168*K168</f>
        <v>0</v>
      </c>
    </row>
    <row r="169" spans="1:14" s="98" customFormat="1" x14ac:dyDescent="0.15">
      <c r="A169" s="11">
        <f t="shared" si="4"/>
        <v>20170005</v>
      </c>
      <c r="B169" s="13">
        <v>2</v>
      </c>
      <c r="C169" s="12">
        <v>0</v>
      </c>
      <c r="D169" s="13">
        <v>17</v>
      </c>
      <c r="E169" s="13">
        <v>0</v>
      </c>
      <c r="F169" s="12">
        <v>5</v>
      </c>
      <c r="G169" s="56">
        <v>110000</v>
      </c>
      <c r="H169" s="56"/>
      <c r="I169" s="56"/>
      <c r="J169" s="56"/>
      <c r="K169" s="56"/>
      <c r="L169" s="56"/>
      <c r="M169" s="10"/>
      <c r="N169" s="10">
        <f>(H169-ARITHMETIC_COEFFICIENT!I174*M169)*J169*K169</f>
        <v>0</v>
      </c>
    </row>
    <row r="170" spans="1:14" s="98" customFormat="1" x14ac:dyDescent="0.15">
      <c r="A170" s="11">
        <f t="shared" si="4"/>
        <v>20170006</v>
      </c>
      <c r="B170" s="13">
        <v>2</v>
      </c>
      <c r="C170" s="12">
        <v>0</v>
      </c>
      <c r="D170" s="13">
        <v>17</v>
      </c>
      <c r="E170" s="13">
        <v>0</v>
      </c>
      <c r="F170" s="12">
        <v>6</v>
      </c>
      <c r="G170" s="56">
        <v>110000</v>
      </c>
      <c r="H170" s="56"/>
      <c r="I170" s="56"/>
      <c r="J170" s="56"/>
      <c r="K170" s="56"/>
      <c r="L170" s="56"/>
      <c r="M170" s="10"/>
      <c r="N170" s="10">
        <f>(H170-ARITHMETIC_COEFFICIENT!I175*M170)*J170*K170</f>
        <v>0</v>
      </c>
    </row>
    <row r="171" spans="1:14" s="98" customFormat="1" x14ac:dyDescent="0.15">
      <c r="A171" s="11">
        <f t="shared" si="4"/>
        <v>20170007</v>
      </c>
      <c r="B171" s="13">
        <v>2</v>
      </c>
      <c r="C171" s="12">
        <v>0</v>
      </c>
      <c r="D171" s="13">
        <v>17</v>
      </c>
      <c r="E171" s="13">
        <v>0</v>
      </c>
      <c r="F171" s="12">
        <v>7</v>
      </c>
      <c r="G171" s="56">
        <v>110000</v>
      </c>
      <c r="H171" s="56"/>
      <c r="I171" s="56"/>
      <c r="J171" s="56"/>
      <c r="K171" s="56"/>
      <c r="L171" s="56"/>
      <c r="M171" s="10"/>
      <c r="N171" s="10">
        <f>(H171-ARITHMETIC_COEFFICIENT!I176*M171)*J171*K171</f>
        <v>0</v>
      </c>
    </row>
    <row r="172" spans="1:14" s="98" customFormat="1" x14ac:dyDescent="0.15">
      <c r="A172" s="11">
        <f t="shared" si="4"/>
        <v>20170008</v>
      </c>
      <c r="B172" s="13">
        <v>2</v>
      </c>
      <c r="C172" s="12">
        <v>0</v>
      </c>
      <c r="D172" s="13">
        <v>17</v>
      </c>
      <c r="E172" s="13">
        <v>0</v>
      </c>
      <c r="F172" s="12">
        <v>8</v>
      </c>
      <c r="G172" s="56">
        <v>110000</v>
      </c>
      <c r="H172" s="56"/>
      <c r="I172" s="56"/>
      <c r="J172" s="56"/>
      <c r="K172" s="56"/>
      <c r="L172" s="56"/>
      <c r="M172" s="10"/>
      <c r="N172" s="10">
        <f>(H172-ARITHMETIC_COEFFICIENT!I177*M172)*J172*K172</f>
        <v>0</v>
      </c>
    </row>
    <row r="173" spans="1:14" s="98" customFormat="1" x14ac:dyDescent="0.15">
      <c r="A173" s="11">
        <f t="shared" si="4"/>
        <v>20170009</v>
      </c>
      <c r="B173" s="13">
        <v>2</v>
      </c>
      <c r="C173" s="12">
        <v>0</v>
      </c>
      <c r="D173" s="13">
        <v>17</v>
      </c>
      <c r="E173" s="13">
        <v>0</v>
      </c>
      <c r="F173" s="12">
        <v>9</v>
      </c>
      <c r="G173" s="56">
        <v>110000</v>
      </c>
      <c r="H173" s="56"/>
      <c r="I173" s="56"/>
      <c r="J173" s="56"/>
      <c r="K173" s="56"/>
      <c r="L173" s="56"/>
      <c r="M173" s="10"/>
      <c r="N173" s="10">
        <f>(H173-ARITHMETIC_COEFFICIENT!I178*M173)*J173*K173</f>
        <v>0</v>
      </c>
    </row>
    <row r="174" spans="1:14" s="98" customFormat="1" ht="17.25" thickBot="1" x14ac:dyDescent="0.2">
      <c r="A174" s="11">
        <f t="shared" si="4"/>
        <v>20170010</v>
      </c>
      <c r="B174" s="13">
        <v>2</v>
      </c>
      <c r="C174" s="12">
        <v>0</v>
      </c>
      <c r="D174" s="113">
        <v>17</v>
      </c>
      <c r="E174" s="113">
        <v>0</v>
      </c>
      <c r="F174" s="12">
        <v>10</v>
      </c>
      <c r="G174" s="56">
        <v>110000</v>
      </c>
      <c r="H174" s="56"/>
      <c r="I174" s="56"/>
      <c r="J174" s="56"/>
      <c r="K174" s="56"/>
      <c r="L174" s="56"/>
      <c r="M174" s="10"/>
      <c r="N174" s="10">
        <f>(H174-ARITHMETIC_COEFFICIENT!I179*M174)*J174*K174</f>
        <v>0</v>
      </c>
    </row>
    <row r="175" spans="1:14" s="115" customFormat="1" x14ac:dyDescent="0.15">
      <c r="A175" s="18">
        <f t="shared" si="4"/>
        <v>20180001</v>
      </c>
      <c r="B175" s="20">
        <v>2</v>
      </c>
      <c r="C175" s="19">
        <v>0</v>
      </c>
      <c r="D175" s="20">
        <v>18</v>
      </c>
      <c r="E175" s="20">
        <v>0</v>
      </c>
      <c r="F175" s="19">
        <v>1</v>
      </c>
      <c r="G175" s="57">
        <v>110000</v>
      </c>
      <c r="H175" s="57"/>
      <c r="I175" s="57"/>
      <c r="J175" s="57"/>
      <c r="K175" s="57"/>
      <c r="L175" s="57"/>
      <c r="M175" s="17"/>
      <c r="N175" s="17">
        <f>(H175-ARITHMETIC_COEFFICIENT!I180*M175)*J175*K175</f>
        <v>0</v>
      </c>
    </row>
    <row r="176" spans="1:14" s="98" customFormat="1" x14ac:dyDescent="0.15">
      <c r="A176" s="11">
        <f t="shared" si="4"/>
        <v>20180002</v>
      </c>
      <c r="B176" s="13">
        <v>2</v>
      </c>
      <c r="C176" s="12">
        <v>0</v>
      </c>
      <c r="D176" s="13">
        <v>18</v>
      </c>
      <c r="E176" s="13">
        <v>0</v>
      </c>
      <c r="F176" s="12">
        <v>2</v>
      </c>
      <c r="G176" s="56">
        <v>110000</v>
      </c>
      <c r="H176" s="56"/>
      <c r="I176" s="56"/>
      <c r="J176" s="56"/>
      <c r="K176" s="56"/>
      <c r="L176" s="56"/>
      <c r="M176" s="10"/>
      <c r="N176" s="10">
        <f>(H176-ARITHMETIC_COEFFICIENT!I181*M176)*J176*K176</f>
        <v>0</v>
      </c>
    </row>
    <row r="177" spans="1:14" s="98" customFormat="1" x14ac:dyDescent="0.15">
      <c r="A177" s="11">
        <f t="shared" si="4"/>
        <v>20180003</v>
      </c>
      <c r="B177" s="13">
        <v>2</v>
      </c>
      <c r="C177" s="12">
        <v>0</v>
      </c>
      <c r="D177" s="13">
        <v>18</v>
      </c>
      <c r="E177" s="13">
        <v>0</v>
      </c>
      <c r="F177" s="12">
        <v>3</v>
      </c>
      <c r="G177" s="56">
        <v>110000</v>
      </c>
      <c r="H177" s="56"/>
      <c r="I177" s="56"/>
      <c r="J177" s="56"/>
      <c r="K177" s="56"/>
      <c r="L177" s="56"/>
      <c r="M177" s="10"/>
      <c r="N177" s="10">
        <f>(H177-ARITHMETIC_COEFFICIENT!I182*M177)*J177*K177</f>
        <v>0</v>
      </c>
    </row>
    <row r="178" spans="1:14" s="98" customFormat="1" x14ac:dyDescent="0.15">
      <c r="A178" s="11">
        <f t="shared" si="4"/>
        <v>20180004</v>
      </c>
      <c r="B178" s="13">
        <v>2</v>
      </c>
      <c r="C178" s="12">
        <v>0</v>
      </c>
      <c r="D178" s="13">
        <v>18</v>
      </c>
      <c r="E178" s="13">
        <v>0</v>
      </c>
      <c r="F178" s="12">
        <v>4</v>
      </c>
      <c r="G178" s="56">
        <v>110000</v>
      </c>
      <c r="H178" s="56"/>
      <c r="I178" s="56"/>
      <c r="J178" s="56"/>
      <c r="K178" s="56"/>
      <c r="L178" s="56"/>
      <c r="M178" s="10"/>
      <c r="N178" s="10">
        <f>(H178-ARITHMETIC_COEFFICIENT!I183*M178)*J178*K178</f>
        <v>0</v>
      </c>
    </row>
    <row r="179" spans="1:14" s="98" customFormat="1" x14ac:dyDescent="0.15">
      <c r="A179" s="11">
        <f t="shared" si="4"/>
        <v>20180005</v>
      </c>
      <c r="B179" s="13">
        <v>2</v>
      </c>
      <c r="C179" s="12">
        <v>0</v>
      </c>
      <c r="D179" s="13">
        <v>18</v>
      </c>
      <c r="E179" s="13">
        <v>0</v>
      </c>
      <c r="F179" s="12">
        <v>5</v>
      </c>
      <c r="G179" s="56">
        <v>110000</v>
      </c>
      <c r="H179" s="56"/>
      <c r="I179" s="56"/>
      <c r="J179" s="56"/>
      <c r="K179" s="56"/>
      <c r="L179" s="56"/>
      <c r="M179" s="10"/>
      <c r="N179" s="10">
        <f>(H179-ARITHMETIC_COEFFICIENT!I184*M179)*J179*K179</f>
        <v>0</v>
      </c>
    </row>
    <row r="180" spans="1:14" s="98" customFormat="1" x14ac:dyDescent="0.15">
      <c r="A180" s="11">
        <f t="shared" si="4"/>
        <v>20180006</v>
      </c>
      <c r="B180" s="13">
        <v>2</v>
      </c>
      <c r="C180" s="12">
        <v>0</v>
      </c>
      <c r="D180" s="13">
        <v>18</v>
      </c>
      <c r="E180" s="13">
        <v>0</v>
      </c>
      <c r="F180" s="12">
        <v>6</v>
      </c>
      <c r="G180" s="56">
        <v>110000</v>
      </c>
      <c r="H180" s="56"/>
      <c r="I180" s="56"/>
      <c r="J180" s="56"/>
      <c r="K180" s="56"/>
      <c r="L180" s="56"/>
      <c r="M180" s="10"/>
      <c r="N180" s="10">
        <f>(H180-ARITHMETIC_COEFFICIENT!I185*M180)*J180*K180</f>
        <v>0</v>
      </c>
    </row>
    <row r="181" spans="1:14" s="98" customFormat="1" x14ac:dyDescent="0.15">
      <c r="A181" s="11">
        <f t="shared" si="4"/>
        <v>20180007</v>
      </c>
      <c r="B181" s="13">
        <v>2</v>
      </c>
      <c r="C181" s="12">
        <v>0</v>
      </c>
      <c r="D181" s="13">
        <v>18</v>
      </c>
      <c r="E181" s="13">
        <v>0</v>
      </c>
      <c r="F181" s="12">
        <v>7</v>
      </c>
      <c r="G181" s="56">
        <v>110000</v>
      </c>
      <c r="H181" s="56"/>
      <c r="I181" s="56"/>
      <c r="J181" s="56"/>
      <c r="K181" s="56"/>
      <c r="L181" s="56"/>
      <c r="M181" s="10"/>
      <c r="N181" s="10">
        <f>(H181-ARITHMETIC_COEFFICIENT!I186*M181)*J181*K181</f>
        <v>0</v>
      </c>
    </row>
    <row r="182" spans="1:14" s="98" customFormat="1" x14ac:dyDescent="0.15">
      <c r="A182" s="11">
        <f t="shared" si="4"/>
        <v>20180008</v>
      </c>
      <c r="B182" s="13">
        <v>2</v>
      </c>
      <c r="C182" s="12">
        <v>0</v>
      </c>
      <c r="D182" s="13">
        <v>18</v>
      </c>
      <c r="E182" s="13">
        <v>0</v>
      </c>
      <c r="F182" s="12">
        <v>8</v>
      </c>
      <c r="G182" s="56">
        <v>110000</v>
      </c>
      <c r="H182" s="56"/>
      <c r="I182" s="56"/>
      <c r="J182" s="56"/>
      <c r="K182" s="56"/>
      <c r="L182" s="56"/>
      <c r="M182" s="10"/>
      <c r="N182" s="10">
        <f>(H182-ARITHMETIC_COEFFICIENT!I187*M182)*J182*K182</f>
        <v>0</v>
      </c>
    </row>
    <row r="183" spans="1:14" s="98" customFormat="1" x14ac:dyDescent="0.15">
      <c r="A183" s="11">
        <f t="shared" si="4"/>
        <v>20180009</v>
      </c>
      <c r="B183" s="13">
        <v>2</v>
      </c>
      <c r="C183" s="12">
        <v>0</v>
      </c>
      <c r="D183" s="13">
        <v>18</v>
      </c>
      <c r="E183" s="13">
        <v>0</v>
      </c>
      <c r="F183" s="12">
        <v>9</v>
      </c>
      <c r="G183" s="56">
        <v>110000</v>
      </c>
      <c r="H183" s="56"/>
      <c r="I183" s="56"/>
      <c r="J183" s="56"/>
      <c r="K183" s="56"/>
      <c r="L183" s="56"/>
      <c r="M183" s="10"/>
      <c r="N183" s="10">
        <f>(H183-ARITHMETIC_COEFFICIENT!I188*M183)*J183*K183</f>
        <v>0</v>
      </c>
    </row>
    <row r="184" spans="1:14" s="98" customFormat="1" ht="17.25" thickBot="1" x14ac:dyDescent="0.2">
      <c r="A184" s="11">
        <f t="shared" si="4"/>
        <v>20180010</v>
      </c>
      <c r="B184" s="13">
        <v>2</v>
      </c>
      <c r="C184" s="12">
        <v>0</v>
      </c>
      <c r="D184" s="113">
        <v>18</v>
      </c>
      <c r="E184" s="113">
        <v>0</v>
      </c>
      <c r="F184" s="12">
        <v>10</v>
      </c>
      <c r="G184" s="56">
        <v>110000</v>
      </c>
      <c r="H184" s="56"/>
      <c r="I184" s="56"/>
      <c r="J184" s="56"/>
      <c r="K184" s="56"/>
      <c r="L184" s="56"/>
      <c r="M184" s="10"/>
      <c r="N184" s="10">
        <f>(H184-ARITHMETIC_COEFFICIENT!I189*M184)*J184*K184</f>
        <v>0</v>
      </c>
    </row>
    <row r="185" spans="1:14" s="115" customFormat="1" x14ac:dyDescent="0.15">
      <c r="A185" s="18">
        <f t="shared" si="4"/>
        <v>20190001</v>
      </c>
      <c r="B185" s="20">
        <v>2</v>
      </c>
      <c r="C185" s="19">
        <v>0</v>
      </c>
      <c r="D185" s="20">
        <v>19</v>
      </c>
      <c r="E185" s="20">
        <v>0</v>
      </c>
      <c r="F185" s="19">
        <v>1</v>
      </c>
      <c r="G185" s="57">
        <v>110000</v>
      </c>
      <c r="H185" s="57"/>
      <c r="I185" s="57"/>
      <c r="J185" s="57"/>
      <c r="K185" s="57"/>
      <c r="L185" s="57"/>
      <c r="M185" s="17"/>
      <c r="N185" s="17">
        <f>(H185-ARITHMETIC_COEFFICIENT!I190*M185)*J185*K185</f>
        <v>0</v>
      </c>
    </row>
    <row r="186" spans="1:14" s="98" customFormat="1" x14ac:dyDescent="0.15">
      <c r="A186" s="11">
        <f t="shared" si="4"/>
        <v>20190002</v>
      </c>
      <c r="B186" s="13">
        <v>2</v>
      </c>
      <c r="C186" s="12">
        <v>0</v>
      </c>
      <c r="D186" s="13">
        <v>19</v>
      </c>
      <c r="E186" s="13">
        <v>0</v>
      </c>
      <c r="F186" s="12">
        <v>2</v>
      </c>
      <c r="G186" s="56">
        <v>110000</v>
      </c>
      <c r="H186" s="56"/>
      <c r="I186" s="56"/>
      <c r="J186" s="56"/>
      <c r="K186" s="56"/>
      <c r="L186" s="56"/>
      <c r="M186" s="10"/>
      <c r="N186" s="10">
        <f>(H186-ARITHMETIC_COEFFICIENT!I191*M186)*J186*K186</f>
        <v>0</v>
      </c>
    </row>
    <row r="187" spans="1:14" s="98" customFormat="1" x14ac:dyDescent="0.15">
      <c r="A187" s="11">
        <f t="shared" si="4"/>
        <v>20190003</v>
      </c>
      <c r="B187" s="13">
        <v>2</v>
      </c>
      <c r="C187" s="12">
        <v>0</v>
      </c>
      <c r="D187" s="13">
        <v>19</v>
      </c>
      <c r="E187" s="13">
        <v>0</v>
      </c>
      <c r="F187" s="12">
        <v>3</v>
      </c>
      <c r="G187" s="56">
        <v>110000</v>
      </c>
      <c r="H187" s="56"/>
      <c r="I187" s="56"/>
      <c r="J187" s="56"/>
      <c r="K187" s="56"/>
      <c r="L187" s="56"/>
      <c r="M187" s="10"/>
      <c r="N187" s="10">
        <f>(H187-ARITHMETIC_COEFFICIENT!I192*M187)*J187*K187</f>
        <v>0</v>
      </c>
    </row>
    <row r="188" spans="1:14" s="98" customFormat="1" x14ac:dyDescent="0.15">
      <c r="A188" s="11">
        <f t="shared" si="4"/>
        <v>20190004</v>
      </c>
      <c r="B188" s="13">
        <v>2</v>
      </c>
      <c r="C188" s="12">
        <v>0</v>
      </c>
      <c r="D188" s="13">
        <v>19</v>
      </c>
      <c r="E188" s="13">
        <v>0</v>
      </c>
      <c r="F188" s="12">
        <v>4</v>
      </c>
      <c r="G188" s="56">
        <v>110000</v>
      </c>
      <c r="H188" s="56"/>
      <c r="I188" s="56"/>
      <c r="J188" s="56"/>
      <c r="K188" s="56"/>
      <c r="L188" s="56"/>
      <c r="M188" s="10"/>
      <c r="N188" s="10">
        <f>(H188-ARITHMETIC_COEFFICIENT!I193*M188)*J188*K188</f>
        <v>0</v>
      </c>
    </row>
    <row r="189" spans="1:14" s="98" customFormat="1" x14ac:dyDescent="0.15">
      <c r="A189" s="11">
        <f t="shared" si="4"/>
        <v>20190005</v>
      </c>
      <c r="B189" s="13">
        <v>2</v>
      </c>
      <c r="C189" s="12">
        <v>0</v>
      </c>
      <c r="D189" s="13">
        <v>19</v>
      </c>
      <c r="E189" s="13">
        <v>0</v>
      </c>
      <c r="F189" s="12">
        <v>5</v>
      </c>
      <c r="G189" s="56">
        <v>110000</v>
      </c>
      <c r="H189" s="56"/>
      <c r="I189" s="56"/>
      <c r="J189" s="56"/>
      <c r="K189" s="56"/>
      <c r="L189" s="56"/>
      <c r="M189" s="10"/>
      <c r="N189" s="10">
        <f>(H189-ARITHMETIC_COEFFICIENT!I194*M189)*J189*K189</f>
        <v>0</v>
      </c>
    </row>
    <row r="190" spans="1:14" s="98" customFormat="1" x14ac:dyDescent="0.15">
      <c r="A190" s="11">
        <f t="shared" si="4"/>
        <v>20190006</v>
      </c>
      <c r="B190" s="13">
        <v>2</v>
      </c>
      <c r="C190" s="12">
        <v>0</v>
      </c>
      <c r="D190" s="13">
        <v>19</v>
      </c>
      <c r="E190" s="13">
        <v>0</v>
      </c>
      <c r="F190" s="12">
        <v>6</v>
      </c>
      <c r="G190" s="56">
        <v>110000</v>
      </c>
      <c r="H190" s="56"/>
      <c r="I190" s="56"/>
      <c r="J190" s="56"/>
      <c r="K190" s="56"/>
      <c r="L190" s="56"/>
      <c r="M190" s="10"/>
      <c r="N190" s="10">
        <f>(H190-ARITHMETIC_COEFFICIENT!I195*M190)*J190*K190</f>
        <v>0</v>
      </c>
    </row>
    <row r="191" spans="1:14" s="98" customFormat="1" x14ac:dyDescent="0.15">
      <c r="A191" s="11">
        <f t="shared" si="4"/>
        <v>20190007</v>
      </c>
      <c r="B191" s="13">
        <v>2</v>
      </c>
      <c r="C191" s="12">
        <v>0</v>
      </c>
      <c r="D191" s="13">
        <v>19</v>
      </c>
      <c r="E191" s="13">
        <v>0</v>
      </c>
      <c r="F191" s="12">
        <v>7</v>
      </c>
      <c r="G191" s="56">
        <v>110000</v>
      </c>
      <c r="H191" s="56"/>
      <c r="I191" s="56"/>
      <c r="J191" s="56"/>
      <c r="K191" s="56"/>
      <c r="L191" s="56"/>
      <c r="M191" s="10"/>
      <c r="N191" s="10">
        <f>(H191-ARITHMETIC_COEFFICIENT!I196*M191)*J191*K191</f>
        <v>0</v>
      </c>
    </row>
    <row r="192" spans="1:14" s="98" customFormat="1" x14ac:dyDescent="0.15">
      <c r="A192" s="11">
        <f t="shared" si="4"/>
        <v>20190008</v>
      </c>
      <c r="B192" s="13">
        <v>2</v>
      </c>
      <c r="C192" s="12">
        <v>0</v>
      </c>
      <c r="D192" s="13">
        <v>19</v>
      </c>
      <c r="E192" s="13">
        <v>0</v>
      </c>
      <c r="F192" s="12">
        <v>8</v>
      </c>
      <c r="G192" s="56">
        <v>110000</v>
      </c>
      <c r="H192" s="56"/>
      <c r="I192" s="56"/>
      <c r="J192" s="56"/>
      <c r="K192" s="56"/>
      <c r="L192" s="56"/>
      <c r="M192" s="10"/>
      <c r="N192" s="10">
        <f>(H192-ARITHMETIC_COEFFICIENT!I197*M192)*J192*K192</f>
        <v>0</v>
      </c>
    </row>
    <row r="193" spans="1:14" s="98" customFormat="1" x14ac:dyDescent="0.15">
      <c r="A193" s="11">
        <f t="shared" si="4"/>
        <v>20190009</v>
      </c>
      <c r="B193" s="13">
        <v>2</v>
      </c>
      <c r="C193" s="12">
        <v>0</v>
      </c>
      <c r="D193" s="13">
        <v>19</v>
      </c>
      <c r="E193" s="13">
        <v>0</v>
      </c>
      <c r="F193" s="12">
        <v>9</v>
      </c>
      <c r="G193" s="56">
        <v>110000</v>
      </c>
      <c r="H193" s="56"/>
      <c r="I193" s="56"/>
      <c r="J193" s="56"/>
      <c r="K193" s="56"/>
      <c r="L193" s="56"/>
      <c r="M193" s="10"/>
      <c r="N193" s="10">
        <f>(H193-ARITHMETIC_COEFFICIENT!I198*M193)*J193*K193</f>
        <v>0</v>
      </c>
    </row>
    <row r="194" spans="1:14" s="98" customFormat="1" ht="17.25" thickBot="1" x14ac:dyDescent="0.2">
      <c r="A194" s="11">
        <f t="shared" si="4"/>
        <v>20190010</v>
      </c>
      <c r="B194" s="13">
        <v>2</v>
      </c>
      <c r="C194" s="12">
        <v>0</v>
      </c>
      <c r="D194" s="113">
        <v>19</v>
      </c>
      <c r="E194" s="113">
        <v>0</v>
      </c>
      <c r="F194" s="12">
        <v>10</v>
      </c>
      <c r="G194" s="56">
        <v>110000</v>
      </c>
      <c r="H194" s="56"/>
      <c r="I194" s="56"/>
      <c r="J194" s="56"/>
      <c r="K194" s="56"/>
      <c r="L194" s="56"/>
      <c r="M194" s="10"/>
      <c r="N194" s="10">
        <f>(H194-ARITHMETIC_COEFFICIENT!I199*M194)*J194*K194</f>
        <v>0</v>
      </c>
    </row>
    <row r="195" spans="1:14" s="115" customFormat="1" x14ac:dyDescent="0.15">
      <c r="A195" s="18">
        <f t="shared" si="4"/>
        <v>20200001</v>
      </c>
      <c r="B195" s="20">
        <v>2</v>
      </c>
      <c r="C195" s="19">
        <v>0</v>
      </c>
      <c r="D195" s="20">
        <v>20</v>
      </c>
      <c r="E195" s="20">
        <v>0</v>
      </c>
      <c r="F195" s="19">
        <v>1</v>
      </c>
      <c r="G195" s="57">
        <v>110000</v>
      </c>
      <c r="H195" s="57"/>
      <c r="I195" s="57"/>
      <c r="J195" s="57"/>
      <c r="K195" s="57"/>
      <c r="L195" s="57"/>
      <c r="M195" s="17"/>
      <c r="N195" s="17">
        <f>(H195-ARITHMETIC_COEFFICIENT!I200*M195)*J195*K195</f>
        <v>0</v>
      </c>
    </row>
    <row r="196" spans="1:14" s="98" customFormat="1" x14ac:dyDescent="0.15">
      <c r="A196" s="11">
        <f t="shared" si="4"/>
        <v>20200002</v>
      </c>
      <c r="B196" s="13">
        <v>2</v>
      </c>
      <c r="C196" s="12">
        <v>0</v>
      </c>
      <c r="D196" s="13">
        <v>20</v>
      </c>
      <c r="E196" s="13">
        <v>0</v>
      </c>
      <c r="F196" s="12">
        <v>2</v>
      </c>
      <c r="G196" s="56">
        <v>110000</v>
      </c>
      <c r="H196" s="56"/>
      <c r="I196" s="56"/>
      <c r="J196" s="56"/>
      <c r="K196" s="56"/>
      <c r="L196" s="56"/>
      <c r="M196" s="10"/>
      <c r="N196" s="10">
        <f>(H196-ARITHMETIC_COEFFICIENT!I201*M196)*J196*K196</f>
        <v>0</v>
      </c>
    </row>
    <row r="197" spans="1:14" s="98" customFormat="1" x14ac:dyDescent="0.15">
      <c r="A197" s="11">
        <f t="shared" si="4"/>
        <v>20200003</v>
      </c>
      <c r="B197" s="13">
        <v>2</v>
      </c>
      <c r="C197" s="12">
        <v>0</v>
      </c>
      <c r="D197" s="13">
        <v>20</v>
      </c>
      <c r="E197" s="13">
        <v>0</v>
      </c>
      <c r="F197" s="12">
        <v>3</v>
      </c>
      <c r="G197" s="56">
        <v>110000</v>
      </c>
      <c r="H197" s="56"/>
      <c r="I197" s="56"/>
      <c r="J197" s="56"/>
      <c r="K197" s="56"/>
      <c r="L197" s="56"/>
      <c r="M197" s="10"/>
      <c r="N197" s="10">
        <f>(H197-ARITHMETIC_COEFFICIENT!I202*M197)*J197*K197</f>
        <v>0</v>
      </c>
    </row>
    <row r="198" spans="1:14" s="98" customFormat="1" x14ac:dyDescent="0.15">
      <c r="A198" s="11">
        <f t="shared" si="4"/>
        <v>20200004</v>
      </c>
      <c r="B198" s="13">
        <v>2</v>
      </c>
      <c r="C198" s="12">
        <v>0</v>
      </c>
      <c r="D198" s="13">
        <v>20</v>
      </c>
      <c r="E198" s="13">
        <v>0</v>
      </c>
      <c r="F198" s="12">
        <v>4</v>
      </c>
      <c r="G198" s="56">
        <v>110000</v>
      </c>
      <c r="H198" s="56"/>
      <c r="I198" s="56"/>
      <c r="J198" s="56"/>
      <c r="K198" s="56"/>
      <c r="L198" s="56"/>
      <c r="M198" s="10"/>
      <c r="N198" s="10">
        <f>(H198-ARITHMETIC_COEFFICIENT!I203*M198)*J198*K198</f>
        <v>0</v>
      </c>
    </row>
    <row r="199" spans="1:14" s="98" customFormat="1" x14ac:dyDescent="0.15">
      <c r="A199" s="11">
        <f t="shared" si="4"/>
        <v>20200005</v>
      </c>
      <c r="B199" s="13">
        <v>2</v>
      </c>
      <c r="C199" s="12">
        <v>0</v>
      </c>
      <c r="D199" s="13">
        <v>20</v>
      </c>
      <c r="E199" s="13">
        <v>0</v>
      </c>
      <c r="F199" s="12">
        <v>5</v>
      </c>
      <c r="G199" s="56">
        <v>110000</v>
      </c>
      <c r="H199" s="56"/>
      <c r="I199" s="56"/>
      <c r="J199" s="56"/>
      <c r="K199" s="56"/>
      <c r="L199" s="56"/>
      <c r="M199" s="10"/>
      <c r="N199" s="10">
        <f>(H199-ARITHMETIC_COEFFICIENT!I204*M199)*J199*K199</f>
        <v>0</v>
      </c>
    </row>
    <row r="200" spans="1:14" s="98" customFormat="1" x14ac:dyDescent="0.15">
      <c r="A200" s="11">
        <f t="shared" si="4"/>
        <v>20200006</v>
      </c>
      <c r="B200" s="13">
        <v>2</v>
      </c>
      <c r="C200" s="12">
        <v>0</v>
      </c>
      <c r="D200" s="13">
        <v>20</v>
      </c>
      <c r="E200" s="13">
        <v>0</v>
      </c>
      <c r="F200" s="12">
        <v>6</v>
      </c>
      <c r="G200" s="56">
        <v>110000</v>
      </c>
      <c r="H200" s="56"/>
      <c r="I200" s="56"/>
      <c r="J200" s="56"/>
      <c r="K200" s="56"/>
      <c r="L200" s="56"/>
      <c r="M200" s="10"/>
      <c r="N200" s="10">
        <f>(H200-ARITHMETIC_COEFFICIENT!I205*M200)*J200*K200</f>
        <v>0</v>
      </c>
    </row>
    <row r="201" spans="1:14" s="98" customFormat="1" x14ac:dyDescent="0.15">
      <c r="A201" s="11">
        <f t="shared" si="4"/>
        <v>20200007</v>
      </c>
      <c r="B201" s="13">
        <v>2</v>
      </c>
      <c r="C201" s="12">
        <v>0</v>
      </c>
      <c r="D201" s="13">
        <v>20</v>
      </c>
      <c r="E201" s="13">
        <v>0</v>
      </c>
      <c r="F201" s="12">
        <v>7</v>
      </c>
      <c r="G201" s="56">
        <v>110000</v>
      </c>
      <c r="H201" s="56"/>
      <c r="I201" s="56"/>
      <c r="J201" s="56"/>
      <c r="K201" s="56"/>
      <c r="L201" s="56"/>
      <c r="M201" s="10"/>
      <c r="N201" s="10">
        <f>(H201-ARITHMETIC_COEFFICIENT!I206*M201)*J201*K201</f>
        <v>0</v>
      </c>
    </row>
    <row r="202" spans="1:14" s="98" customFormat="1" x14ac:dyDescent="0.15">
      <c r="A202" s="11">
        <f t="shared" si="4"/>
        <v>20200008</v>
      </c>
      <c r="B202" s="13">
        <v>2</v>
      </c>
      <c r="C202" s="12">
        <v>0</v>
      </c>
      <c r="D202" s="13">
        <v>20</v>
      </c>
      <c r="E202" s="13">
        <v>0</v>
      </c>
      <c r="F202" s="12">
        <v>8</v>
      </c>
      <c r="G202" s="56">
        <v>110000</v>
      </c>
      <c r="H202" s="56"/>
      <c r="I202" s="56"/>
      <c r="J202" s="56"/>
      <c r="K202" s="56"/>
      <c r="L202" s="56"/>
      <c r="M202" s="10"/>
      <c r="N202" s="10">
        <f>(H202-ARITHMETIC_COEFFICIENT!I207*M202)*J202*K202</f>
        <v>0</v>
      </c>
    </row>
    <row r="203" spans="1:14" s="98" customFormat="1" x14ac:dyDescent="0.15">
      <c r="A203" s="11">
        <f t="shared" si="4"/>
        <v>20200009</v>
      </c>
      <c r="B203" s="13">
        <v>2</v>
      </c>
      <c r="C203" s="12">
        <v>0</v>
      </c>
      <c r="D203" s="13">
        <v>20</v>
      </c>
      <c r="E203" s="13">
        <v>0</v>
      </c>
      <c r="F203" s="12">
        <v>9</v>
      </c>
      <c r="G203" s="56">
        <v>110000</v>
      </c>
      <c r="H203" s="56"/>
      <c r="I203" s="56"/>
      <c r="J203" s="56"/>
      <c r="K203" s="56"/>
      <c r="L203" s="56"/>
      <c r="M203" s="10"/>
      <c r="N203" s="10">
        <f>(H203-ARITHMETIC_COEFFICIENT!I208*M203)*J203*K203</f>
        <v>0</v>
      </c>
    </row>
    <row r="204" spans="1:14" s="98" customFormat="1" ht="17.25" thickBot="1" x14ac:dyDescent="0.2">
      <c r="A204" s="11">
        <f t="shared" si="4"/>
        <v>20200010</v>
      </c>
      <c r="B204" s="13">
        <v>2</v>
      </c>
      <c r="C204" s="12">
        <v>0</v>
      </c>
      <c r="D204" s="113">
        <v>20</v>
      </c>
      <c r="E204" s="113">
        <v>0</v>
      </c>
      <c r="F204" s="12">
        <v>10</v>
      </c>
      <c r="G204" s="56">
        <v>110000</v>
      </c>
      <c r="H204" s="56"/>
      <c r="I204" s="56"/>
      <c r="J204" s="56"/>
      <c r="K204" s="56"/>
      <c r="L204" s="56"/>
      <c r="M204" s="10"/>
      <c r="N204" s="10">
        <f>(H204-ARITHMETIC_COEFFICIENT!I209*M204)*J204*K204</f>
        <v>0</v>
      </c>
    </row>
    <row r="205" spans="1:14" s="115" customFormat="1" x14ac:dyDescent="0.15">
      <c r="A205" s="18"/>
      <c r="B205" s="20"/>
      <c r="C205" s="19"/>
      <c r="D205" s="20"/>
      <c r="E205" s="20"/>
      <c r="F205" s="19"/>
      <c r="G205" s="57"/>
      <c r="H205" s="57"/>
      <c r="I205" s="57"/>
      <c r="J205" s="57"/>
      <c r="K205" s="57"/>
      <c r="L205" s="57"/>
      <c r="M205" s="17"/>
      <c r="N205" s="17"/>
    </row>
    <row r="206" spans="1:14" s="98" customFormat="1" x14ac:dyDescent="0.15">
      <c r="A206" s="11"/>
      <c r="B206" s="13"/>
      <c r="C206" s="12"/>
      <c r="D206" s="13"/>
      <c r="E206" s="13"/>
      <c r="F206" s="12"/>
      <c r="G206" s="56"/>
      <c r="H206" s="56"/>
      <c r="I206" s="56"/>
      <c r="J206" s="56"/>
      <c r="K206" s="56"/>
      <c r="L206" s="56"/>
      <c r="M206" s="10"/>
      <c r="N206" s="10"/>
    </row>
    <row r="207" spans="1:14" s="98" customFormat="1" x14ac:dyDescent="0.15">
      <c r="A207" s="11"/>
      <c r="B207" s="13"/>
      <c r="C207" s="12"/>
      <c r="D207" s="13"/>
      <c r="E207" s="13"/>
      <c r="F207" s="12"/>
      <c r="G207" s="56"/>
      <c r="H207" s="56"/>
      <c r="I207" s="56"/>
      <c r="J207" s="56"/>
      <c r="K207" s="56"/>
      <c r="L207" s="56"/>
      <c r="M207" s="10"/>
      <c r="N207" s="10"/>
    </row>
    <row r="208" spans="1:14" s="98" customFormat="1" x14ac:dyDescent="0.15">
      <c r="A208" s="11"/>
      <c r="B208" s="13"/>
      <c r="C208" s="12"/>
      <c r="D208" s="13"/>
      <c r="E208" s="13"/>
      <c r="F208" s="12"/>
      <c r="G208" s="56"/>
      <c r="H208" s="56"/>
      <c r="I208" s="56"/>
      <c r="J208" s="56"/>
      <c r="K208" s="56"/>
      <c r="L208" s="56"/>
      <c r="M208" s="10"/>
      <c r="N208" s="10"/>
    </row>
    <row r="209" spans="1:14" s="98" customFormat="1" x14ac:dyDescent="0.15">
      <c r="A209" s="11"/>
      <c r="B209" s="13"/>
      <c r="C209" s="12"/>
      <c r="D209" s="13"/>
      <c r="E209" s="13"/>
      <c r="F209" s="12"/>
      <c r="G209" s="56"/>
      <c r="H209" s="56"/>
      <c r="I209" s="56"/>
      <c r="J209" s="56"/>
      <c r="K209" s="56"/>
      <c r="L209" s="56"/>
      <c r="M209" s="10"/>
      <c r="N209" s="10"/>
    </row>
    <row r="210" spans="1:14" s="98" customFormat="1" x14ac:dyDescent="0.15">
      <c r="A210" s="11"/>
      <c r="B210" s="13"/>
      <c r="C210" s="12"/>
      <c r="D210" s="13"/>
      <c r="E210" s="13"/>
      <c r="F210" s="12"/>
      <c r="G210" s="56"/>
      <c r="H210" s="56"/>
      <c r="I210" s="56"/>
      <c r="J210" s="56"/>
      <c r="K210" s="56"/>
      <c r="L210" s="56"/>
      <c r="M210" s="10"/>
      <c r="N210" s="10"/>
    </row>
    <row r="211" spans="1:14" s="98" customFormat="1" x14ac:dyDescent="0.15">
      <c r="A211" s="11"/>
      <c r="B211" s="13"/>
      <c r="C211" s="12"/>
      <c r="D211" s="13"/>
      <c r="E211" s="13"/>
      <c r="F211" s="12"/>
      <c r="G211" s="56"/>
      <c r="H211" s="56"/>
      <c r="I211" s="56"/>
      <c r="J211" s="56"/>
      <c r="K211" s="56"/>
      <c r="L211" s="56"/>
      <c r="M211" s="10"/>
      <c r="N211" s="10"/>
    </row>
    <row r="212" spans="1:14" s="98" customFormat="1" x14ac:dyDescent="0.15">
      <c r="A212" s="11"/>
      <c r="B212" s="13"/>
      <c r="C212" s="12"/>
      <c r="D212" s="13"/>
      <c r="E212" s="13"/>
      <c r="F212" s="12"/>
      <c r="G212" s="56"/>
      <c r="H212" s="56"/>
      <c r="I212" s="56"/>
      <c r="J212" s="56"/>
      <c r="K212" s="56"/>
      <c r="L212" s="56"/>
      <c r="M212" s="10"/>
      <c r="N212" s="10"/>
    </row>
    <row r="213" spans="1:14" s="98" customFormat="1" x14ac:dyDescent="0.15">
      <c r="A213" s="11"/>
      <c r="B213" s="13"/>
      <c r="C213" s="12"/>
      <c r="D213" s="13"/>
      <c r="E213" s="13"/>
      <c r="F213" s="12"/>
      <c r="G213" s="56"/>
      <c r="H213" s="56"/>
      <c r="I213" s="56"/>
      <c r="J213" s="56"/>
      <c r="K213" s="56"/>
      <c r="L213" s="56"/>
      <c r="M213" s="10"/>
      <c r="N213" s="10"/>
    </row>
    <row r="214" spans="1:14" s="98" customFormat="1" x14ac:dyDescent="0.15">
      <c r="A214" s="11"/>
      <c r="B214" s="13"/>
      <c r="C214" s="12"/>
      <c r="D214" s="13"/>
      <c r="E214" s="13"/>
      <c r="F214" s="12"/>
      <c r="G214" s="56"/>
      <c r="H214" s="56"/>
      <c r="I214" s="56"/>
      <c r="J214" s="56"/>
      <c r="K214" s="56"/>
      <c r="L214" s="56"/>
      <c r="M214" s="10"/>
      <c r="N214" s="10"/>
    </row>
    <row r="215" spans="1:14" s="98" customFormat="1" x14ac:dyDescent="0.15">
      <c r="A215" s="11"/>
      <c r="B215" s="13"/>
      <c r="C215" s="12"/>
      <c r="D215" s="13"/>
      <c r="E215" s="13"/>
      <c r="F215" s="12"/>
      <c r="G215" s="56"/>
      <c r="H215" s="56"/>
      <c r="I215" s="56"/>
      <c r="J215" s="56"/>
      <c r="K215" s="56"/>
      <c r="L215" s="56"/>
      <c r="M215" s="10"/>
      <c r="N215" s="10"/>
    </row>
    <row r="216" spans="1:14" s="98" customFormat="1" x14ac:dyDescent="0.15">
      <c r="A216" s="11"/>
      <c r="B216" s="13"/>
      <c r="C216" s="12"/>
      <c r="D216" s="13"/>
      <c r="E216" s="13"/>
      <c r="F216" s="12"/>
      <c r="G216" s="56"/>
      <c r="H216" s="56"/>
      <c r="I216" s="56"/>
      <c r="J216" s="56"/>
      <c r="K216" s="56"/>
      <c r="L216" s="56"/>
      <c r="M216" s="10"/>
      <c r="N216" s="10"/>
    </row>
    <row r="217" spans="1:14" s="98" customFormat="1" x14ac:dyDescent="0.15">
      <c r="A217" s="11"/>
      <c r="B217" s="13"/>
      <c r="C217" s="12"/>
      <c r="D217" s="13"/>
      <c r="E217" s="13"/>
      <c r="F217" s="12"/>
      <c r="G217" s="56"/>
      <c r="H217" s="56"/>
      <c r="I217" s="56"/>
      <c r="J217" s="56"/>
      <c r="K217" s="56"/>
      <c r="L217" s="56"/>
      <c r="M217" s="10"/>
      <c r="N217" s="10"/>
    </row>
    <row r="218" spans="1:14" s="98" customFormat="1" x14ac:dyDescent="0.15">
      <c r="A218" s="11"/>
      <c r="B218" s="13"/>
      <c r="C218" s="12"/>
      <c r="D218" s="13"/>
      <c r="E218" s="13"/>
      <c r="F218" s="12"/>
      <c r="G218" s="56"/>
      <c r="H218" s="56"/>
      <c r="I218" s="56"/>
      <c r="J218" s="56"/>
      <c r="K218" s="56"/>
      <c r="L218" s="56"/>
      <c r="M218" s="10"/>
      <c r="N218" s="10"/>
    </row>
    <row r="219" spans="1:14" s="98" customFormat="1" x14ac:dyDescent="0.15">
      <c r="A219" s="11"/>
      <c r="B219" s="13"/>
      <c r="C219" s="12"/>
      <c r="D219" s="13"/>
      <c r="E219" s="13"/>
      <c r="F219" s="12"/>
      <c r="G219" s="56"/>
      <c r="H219" s="56"/>
      <c r="I219" s="56"/>
      <c r="J219" s="56"/>
      <c r="K219" s="56"/>
      <c r="L219" s="56"/>
      <c r="M219" s="10"/>
      <c r="N219" s="10"/>
    </row>
    <row r="220" spans="1:14" s="98" customFormat="1" x14ac:dyDescent="0.15">
      <c r="A220" s="11"/>
      <c r="B220" s="13"/>
      <c r="C220" s="12"/>
      <c r="D220" s="13"/>
      <c r="E220" s="13"/>
      <c r="F220" s="12"/>
      <c r="G220" s="56"/>
      <c r="H220" s="56"/>
      <c r="I220" s="56"/>
      <c r="J220" s="56"/>
      <c r="K220" s="56"/>
      <c r="L220" s="56"/>
      <c r="M220" s="10"/>
      <c r="N220" s="10"/>
    </row>
    <row r="221" spans="1:14" s="98" customFormat="1" x14ac:dyDescent="0.15">
      <c r="A221" s="11"/>
      <c r="B221" s="13"/>
      <c r="C221" s="12"/>
      <c r="D221" s="13"/>
      <c r="E221" s="13"/>
      <c r="F221" s="12"/>
      <c r="G221" s="56"/>
      <c r="H221" s="56"/>
      <c r="I221" s="56"/>
      <c r="J221" s="56"/>
      <c r="K221" s="56"/>
      <c r="L221" s="56"/>
      <c r="M221" s="10"/>
      <c r="N221" s="10"/>
    </row>
    <row r="222" spans="1:14" s="98" customFormat="1" x14ac:dyDescent="0.15">
      <c r="A222" s="11"/>
      <c r="B222" s="13"/>
      <c r="C222" s="12"/>
      <c r="D222" s="13"/>
      <c r="E222" s="13"/>
      <c r="F222" s="12"/>
      <c r="G222" s="56"/>
      <c r="H222" s="56"/>
      <c r="I222" s="56"/>
      <c r="J222" s="56"/>
      <c r="K222" s="56"/>
      <c r="L222" s="56"/>
      <c r="M222" s="10"/>
      <c r="N222" s="10"/>
    </row>
    <row r="223" spans="1:14" s="98" customFormat="1" x14ac:dyDescent="0.15">
      <c r="A223" s="11"/>
      <c r="B223" s="13"/>
      <c r="C223" s="12"/>
      <c r="D223" s="13"/>
      <c r="E223" s="13"/>
      <c r="F223" s="12"/>
      <c r="G223" s="56"/>
      <c r="H223" s="56"/>
      <c r="I223" s="56"/>
      <c r="J223" s="56"/>
      <c r="K223" s="56"/>
      <c r="L223" s="56"/>
      <c r="M223" s="10"/>
      <c r="N223" s="10"/>
    </row>
    <row r="224" spans="1:14" s="98" customFormat="1" x14ac:dyDescent="0.15">
      <c r="A224" s="11"/>
      <c r="B224" s="13"/>
      <c r="C224" s="12"/>
      <c r="D224" s="13"/>
      <c r="E224" s="13"/>
      <c r="F224" s="12"/>
      <c r="G224" s="56"/>
      <c r="H224" s="56"/>
      <c r="I224" s="56"/>
      <c r="J224" s="56"/>
      <c r="K224" s="56"/>
      <c r="L224" s="56"/>
      <c r="M224" s="10"/>
      <c r="N224" s="10"/>
    </row>
    <row r="225" spans="1:14" s="98" customFormat="1" x14ac:dyDescent="0.15">
      <c r="A225" s="11"/>
      <c r="B225" s="13"/>
      <c r="C225" s="12"/>
      <c r="D225" s="13"/>
      <c r="E225" s="13"/>
      <c r="F225" s="12"/>
      <c r="G225" s="56"/>
      <c r="H225" s="56"/>
      <c r="I225" s="56"/>
      <c r="J225" s="56"/>
      <c r="K225" s="56"/>
      <c r="L225" s="56"/>
      <c r="M225" s="10"/>
      <c r="N225" s="10"/>
    </row>
    <row r="226" spans="1:14" s="98" customFormat="1" x14ac:dyDescent="0.15">
      <c r="A226" s="11"/>
      <c r="B226" s="13"/>
      <c r="C226" s="12"/>
      <c r="D226" s="13"/>
      <c r="E226" s="13"/>
      <c r="F226" s="12"/>
      <c r="G226" s="56"/>
      <c r="H226" s="56"/>
      <c r="I226" s="56"/>
      <c r="J226" s="56"/>
      <c r="K226" s="56"/>
      <c r="L226" s="56"/>
      <c r="M226" s="10"/>
      <c r="N226" s="10"/>
    </row>
    <row r="227" spans="1:14" s="98" customFormat="1" x14ac:dyDescent="0.15">
      <c r="A227" s="11"/>
      <c r="B227" s="13"/>
      <c r="C227" s="12"/>
      <c r="D227" s="13"/>
      <c r="E227" s="13"/>
      <c r="F227" s="12"/>
      <c r="G227" s="56"/>
      <c r="H227" s="56"/>
      <c r="I227" s="56"/>
      <c r="J227" s="56"/>
      <c r="K227" s="56"/>
      <c r="L227" s="56"/>
      <c r="M227" s="10"/>
      <c r="N227" s="10"/>
    </row>
    <row r="228" spans="1:14" s="98" customFormat="1" x14ac:dyDescent="0.15">
      <c r="A228" s="11"/>
      <c r="B228" s="13"/>
      <c r="C228" s="12"/>
      <c r="D228" s="13"/>
      <c r="E228" s="13"/>
      <c r="F228" s="12"/>
      <c r="G228" s="56"/>
      <c r="H228" s="56"/>
      <c r="I228" s="56"/>
      <c r="J228" s="56"/>
      <c r="K228" s="56"/>
      <c r="L228" s="56"/>
      <c r="M228" s="10"/>
      <c r="N228" s="10"/>
    </row>
    <row r="229" spans="1:14" s="98" customFormat="1" x14ac:dyDescent="0.15">
      <c r="A229" s="11"/>
      <c r="B229" s="13"/>
      <c r="C229" s="12"/>
      <c r="D229" s="13"/>
      <c r="E229" s="13"/>
      <c r="F229" s="12"/>
      <c r="G229" s="56"/>
      <c r="H229" s="56"/>
      <c r="I229" s="56"/>
      <c r="J229" s="56"/>
      <c r="K229" s="56"/>
      <c r="L229" s="56"/>
      <c r="M229" s="10"/>
      <c r="N229" s="10"/>
    </row>
    <row r="230" spans="1:14" s="98" customFormat="1" x14ac:dyDescent="0.15">
      <c r="A230" s="11"/>
      <c r="B230" s="13"/>
      <c r="C230" s="12"/>
      <c r="D230" s="13"/>
      <c r="E230" s="13"/>
      <c r="F230" s="12"/>
      <c r="G230" s="56"/>
      <c r="H230" s="56"/>
      <c r="I230" s="56"/>
      <c r="J230" s="56"/>
      <c r="K230" s="56"/>
      <c r="L230" s="56"/>
      <c r="M230" s="10"/>
      <c r="N230" s="10"/>
    </row>
    <row r="231" spans="1:14" s="98" customFormat="1" x14ac:dyDescent="0.15">
      <c r="A231" s="11"/>
      <c r="B231" s="13"/>
      <c r="C231" s="12"/>
      <c r="D231" s="13"/>
      <c r="E231" s="13"/>
      <c r="F231" s="12"/>
      <c r="G231" s="56"/>
      <c r="H231" s="56"/>
      <c r="I231" s="56"/>
      <c r="J231" s="56"/>
      <c r="K231" s="56"/>
      <c r="L231" s="56"/>
      <c r="M231" s="10"/>
      <c r="N231" s="10"/>
    </row>
    <row r="232" spans="1:14" s="98" customFormat="1" x14ac:dyDescent="0.15">
      <c r="A232" s="11"/>
      <c r="B232" s="13"/>
      <c r="C232" s="12"/>
      <c r="D232" s="13"/>
      <c r="E232" s="13"/>
      <c r="F232" s="12"/>
      <c r="G232" s="56"/>
      <c r="H232" s="56"/>
      <c r="I232" s="56"/>
      <c r="J232" s="56"/>
      <c r="K232" s="56"/>
      <c r="L232" s="56"/>
      <c r="M232" s="10"/>
      <c r="N232" s="10"/>
    </row>
    <row r="233" spans="1:14" s="98" customFormat="1" x14ac:dyDescent="0.15">
      <c r="A233" s="11"/>
      <c r="B233" s="13"/>
      <c r="C233" s="12"/>
      <c r="D233" s="13"/>
      <c r="E233" s="13"/>
      <c r="F233" s="12"/>
      <c r="G233" s="56"/>
      <c r="H233" s="56"/>
      <c r="I233" s="56"/>
      <c r="J233" s="56"/>
      <c r="K233" s="56"/>
      <c r="L233" s="56"/>
      <c r="M233" s="10"/>
      <c r="N233" s="10"/>
    </row>
    <row r="234" spans="1:14" s="98" customFormat="1" x14ac:dyDescent="0.15">
      <c r="A234" s="11"/>
      <c r="B234" s="13"/>
      <c r="C234" s="12"/>
      <c r="D234" s="13"/>
      <c r="E234" s="13"/>
      <c r="F234" s="12"/>
      <c r="G234" s="56"/>
      <c r="H234" s="56"/>
      <c r="I234" s="56"/>
      <c r="J234" s="56"/>
      <c r="K234" s="56"/>
      <c r="L234" s="56"/>
      <c r="M234" s="10"/>
      <c r="N234" s="10"/>
    </row>
    <row r="235" spans="1:14" s="98" customFormat="1" x14ac:dyDescent="0.15">
      <c r="A235" s="11"/>
      <c r="B235" s="13"/>
      <c r="C235" s="12"/>
      <c r="D235" s="13"/>
      <c r="E235" s="13"/>
      <c r="F235" s="12"/>
      <c r="G235" s="56"/>
      <c r="H235" s="56"/>
      <c r="I235" s="56"/>
      <c r="J235" s="56"/>
      <c r="K235" s="56"/>
      <c r="L235" s="56"/>
      <c r="M235" s="10"/>
      <c r="N235" s="10"/>
    </row>
    <row r="236" spans="1:14" s="98" customFormat="1" x14ac:dyDescent="0.15">
      <c r="A236" s="11"/>
      <c r="B236" s="13"/>
      <c r="C236" s="12"/>
      <c r="D236" s="13"/>
      <c r="E236" s="13"/>
      <c r="F236" s="12"/>
      <c r="G236" s="56"/>
      <c r="H236" s="56"/>
      <c r="I236" s="56"/>
      <c r="J236" s="56"/>
      <c r="K236" s="56"/>
      <c r="L236" s="56"/>
      <c r="M236" s="10"/>
      <c r="N236" s="10"/>
    </row>
    <row r="237" spans="1:14" s="98" customFormat="1" x14ac:dyDescent="0.15">
      <c r="A237" s="11"/>
      <c r="B237" s="13"/>
      <c r="C237" s="12"/>
      <c r="D237" s="13"/>
      <c r="E237" s="13"/>
      <c r="F237" s="12"/>
      <c r="G237" s="56"/>
      <c r="H237" s="56"/>
      <c r="I237" s="56"/>
      <c r="J237" s="56"/>
      <c r="K237" s="56"/>
      <c r="L237" s="56"/>
      <c r="M237" s="10"/>
      <c r="N237" s="10"/>
    </row>
    <row r="238" spans="1:14" s="98" customFormat="1" x14ac:dyDescent="0.15">
      <c r="A238" s="11"/>
      <c r="B238" s="13"/>
      <c r="C238" s="12"/>
      <c r="D238" s="13"/>
      <c r="E238" s="13"/>
      <c r="F238" s="12"/>
      <c r="G238" s="56"/>
      <c r="H238" s="56"/>
      <c r="I238" s="56"/>
      <c r="J238" s="56"/>
      <c r="K238" s="56"/>
      <c r="L238" s="56"/>
      <c r="M238" s="10"/>
      <c r="N238" s="10"/>
    </row>
    <row r="239" spans="1:14" s="98" customFormat="1" x14ac:dyDescent="0.15">
      <c r="A239" s="11"/>
      <c r="B239" s="13"/>
      <c r="C239" s="12"/>
      <c r="D239" s="13"/>
      <c r="E239" s="13"/>
      <c r="F239" s="12"/>
      <c r="G239" s="56"/>
      <c r="H239" s="56"/>
      <c r="I239" s="56"/>
      <c r="J239" s="56"/>
      <c r="K239" s="56"/>
      <c r="L239" s="56"/>
      <c r="M239" s="10"/>
      <c r="N239" s="10"/>
    </row>
    <row r="240" spans="1:14" s="98" customFormat="1" x14ac:dyDescent="0.15">
      <c r="A240" s="11"/>
      <c r="B240" s="13"/>
      <c r="C240" s="12"/>
      <c r="D240" s="13"/>
      <c r="E240" s="13"/>
      <c r="F240" s="12"/>
      <c r="G240" s="56"/>
      <c r="H240" s="56"/>
      <c r="I240" s="56"/>
      <c r="J240" s="56"/>
      <c r="K240" s="56"/>
      <c r="L240" s="56"/>
      <c r="M240" s="10"/>
      <c r="N240" s="10"/>
    </row>
    <row r="241" spans="1:14" s="98" customFormat="1" x14ac:dyDescent="0.15">
      <c r="A241" s="11"/>
      <c r="B241" s="13"/>
      <c r="C241" s="12"/>
      <c r="D241" s="13"/>
      <c r="E241" s="13"/>
      <c r="F241" s="12"/>
      <c r="G241" s="56"/>
      <c r="H241" s="56"/>
      <c r="I241" s="56"/>
      <c r="J241" s="56"/>
      <c r="K241" s="56"/>
      <c r="L241" s="56"/>
      <c r="M241" s="10"/>
      <c r="N241" s="10"/>
    </row>
    <row r="242" spans="1:14" s="98" customFormat="1" x14ac:dyDescent="0.15">
      <c r="A242" s="11"/>
      <c r="B242" s="13"/>
      <c r="C242" s="12"/>
      <c r="D242" s="13"/>
      <c r="E242" s="13"/>
      <c r="F242" s="12"/>
      <c r="G242" s="56"/>
      <c r="H242" s="56"/>
      <c r="I242" s="56"/>
      <c r="J242" s="56"/>
      <c r="K242" s="56"/>
      <c r="L242" s="56"/>
      <c r="M242" s="10"/>
      <c r="N242" s="10"/>
    </row>
    <row r="243" spans="1:14" s="98" customFormat="1" x14ac:dyDescent="0.15">
      <c r="A243" s="11"/>
      <c r="B243" s="13"/>
      <c r="C243" s="12"/>
      <c r="D243" s="13"/>
      <c r="E243" s="13"/>
      <c r="F243" s="12"/>
      <c r="G243" s="56"/>
      <c r="H243" s="56"/>
      <c r="I243" s="56"/>
      <c r="J243" s="56"/>
      <c r="K243" s="56"/>
      <c r="L243" s="56"/>
      <c r="M243" s="10"/>
      <c r="N243" s="10"/>
    </row>
    <row r="244" spans="1:14" s="98" customFormat="1" x14ac:dyDescent="0.15">
      <c r="A244" s="11"/>
      <c r="B244" s="13"/>
      <c r="C244" s="12"/>
      <c r="D244" s="13"/>
      <c r="E244" s="13"/>
      <c r="F244" s="12"/>
      <c r="G244" s="56"/>
      <c r="H244" s="56"/>
      <c r="I244" s="56"/>
      <c r="J244" s="56"/>
      <c r="K244" s="56"/>
      <c r="L244" s="56"/>
      <c r="M244" s="10"/>
      <c r="N244" s="10"/>
    </row>
    <row r="245" spans="1:14" s="98" customFormat="1" x14ac:dyDescent="0.15">
      <c r="A245" s="11"/>
      <c r="B245" s="13"/>
      <c r="C245" s="12"/>
      <c r="D245" s="13"/>
      <c r="E245" s="13"/>
      <c r="F245" s="12"/>
      <c r="G245" s="56"/>
      <c r="H245" s="56"/>
      <c r="I245" s="56"/>
      <c r="J245" s="56"/>
      <c r="K245" s="56"/>
      <c r="L245" s="56"/>
      <c r="M245" s="10"/>
      <c r="N245" s="10"/>
    </row>
    <row r="246" spans="1:14" s="98" customFormat="1" x14ac:dyDescent="0.15">
      <c r="A246" s="11"/>
      <c r="B246" s="13"/>
      <c r="C246" s="12"/>
      <c r="D246" s="13"/>
      <c r="E246" s="13"/>
      <c r="F246" s="12"/>
      <c r="G246" s="56"/>
      <c r="H246" s="56"/>
      <c r="I246" s="56"/>
      <c r="J246" s="56"/>
      <c r="K246" s="56"/>
      <c r="L246" s="56"/>
      <c r="M246" s="10"/>
      <c r="N246" s="10"/>
    </row>
    <row r="247" spans="1:14" s="98" customFormat="1" x14ac:dyDescent="0.15">
      <c r="A247" s="11"/>
      <c r="B247" s="13"/>
      <c r="C247" s="12"/>
      <c r="D247" s="13"/>
      <c r="E247" s="13"/>
      <c r="F247" s="12"/>
      <c r="G247" s="56"/>
      <c r="H247" s="56"/>
      <c r="I247" s="56"/>
      <c r="J247" s="56"/>
      <c r="K247" s="56"/>
      <c r="L247" s="56"/>
      <c r="M247" s="10"/>
      <c r="N247" s="10"/>
    </row>
    <row r="248" spans="1:14" s="98" customFormat="1" x14ac:dyDescent="0.15">
      <c r="A248" s="11"/>
      <c r="B248" s="13"/>
      <c r="C248" s="12"/>
      <c r="D248" s="13"/>
      <c r="E248" s="13"/>
      <c r="F248" s="12"/>
      <c r="G248" s="56"/>
      <c r="H248" s="56"/>
      <c r="I248" s="56"/>
      <c r="J248" s="56"/>
      <c r="K248" s="56"/>
      <c r="L248" s="56"/>
      <c r="M248" s="10"/>
      <c r="N248" s="10"/>
    </row>
    <row r="249" spans="1:14" s="98" customFormat="1" x14ac:dyDescent="0.15">
      <c r="A249" s="11"/>
      <c r="B249" s="13"/>
      <c r="C249" s="12"/>
      <c r="D249" s="13"/>
      <c r="E249" s="13"/>
      <c r="F249" s="12"/>
      <c r="G249" s="56"/>
      <c r="H249" s="56"/>
      <c r="I249" s="56"/>
      <c r="J249" s="56"/>
      <c r="K249" s="56"/>
      <c r="L249" s="56"/>
      <c r="M249" s="10"/>
      <c r="N249" s="10"/>
    </row>
    <row r="250" spans="1:14" s="98" customFormat="1" x14ac:dyDescent="0.15">
      <c r="A250" s="11"/>
      <c r="B250" s="13"/>
      <c r="C250" s="12"/>
      <c r="D250" s="13"/>
      <c r="E250" s="13"/>
      <c r="F250" s="12"/>
      <c r="G250" s="56"/>
      <c r="H250" s="56"/>
      <c r="I250" s="56"/>
      <c r="J250" s="56"/>
      <c r="K250" s="56"/>
      <c r="L250" s="56"/>
      <c r="M250" s="10"/>
      <c r="N250" s="10"/>
    </row>
    <row r="251" spans="1:14" s="98" customFormat="1" x14ac:dyDescent="0.15">
      <c r="A251" s="11"/>
      <c r="B251" s="13"/>
      <c r="C251" s="12"/>
      <c r="D251" s="13"/>
      <c r="E251" s="13"/>
      <c r="F251" s="12"/>
      <c r="G251" s="56"/>
      <c r="H251" s="56"/>
      <c r="I251" s="56"/>
      <c r="J251" s="56"/>
      <c r="K251" s="56"/>
      <c r="L251" s="56"/>
      <c r="M251" s="10"/>
      <c r="N251" s="10"/>
    </row>
    <row r="252" spans="1:14" s="98" customFormat="1" x14ac:dyDescent="0.15">
      <c r="A252" s="11"/>
      <c r="B252" s="13"/>
      <c r="C252" s="12"/>
      <c r="D252" s="13"/>
      <c r="E252" s="13"/>
      <c r="F252" s="12"/>
      <c r="G252" s="56"/>
      <c r="H252" s="56"/>
      <c r="I252" s="56"/>
      <c r="J252" s="56"/>
      <c r="K252" s="56"/>
      <c r="L252" s="56"/>
      <c r="M252" s="10"/>
      <c r="N252" s="10"/>
    </row>
    <row r="253" spans="1:14" s="98" customFormat="1" x14ac:dyDescent="0.15">
      <c r="A253" s="11"/>
      <c r="B253" s="13"/>
      <c r="C253" s="12"/>
      <c r="D253" s="13"/>
      <c r="E253" s="13"/>
      <c r="F253" s="12"/>
      <c r="G253" s="56"/>
      <c r="H253" s="56"/>
      <c r="I253" s="56"/>
      <c r="J253" s="56"/>
      <c r="K253" s="56"/>
      <c r="L253" s="56"/>
      <c r="M253" s="10"/>
      <c r="N253" s="10"/>
    </row>
    <row r="254" spans="1:14" s="98" customFormat="1" x14ac:dyDescent="0.15">
      <c r="A254" s="11"/>
      <c r="B254" s="13"/>
      <c r="C254" s="12"/>
      <c r="D254" s="13"/>
      <c r="E254" s="13"/>
      <c r="F254" s="12"/>
      <c r="G254" s="56"/>
      <c r="H254" s="56"/>
      <c r="I254" s="56"/>
      <c r="J254" s="56"/>
      <c r="K254" s="56"/>
      <c r="L254" s="56"/>
      <c r="M254" s="10"/>
      <c r="N254" s="10"/>
    </row>
    <row r="255" spans="1:14" s="98" customFormat="1" x14ac:dyDescent="0.15">
      <c r="A255" s="11"/>
      <c r="B255" s="13"/>
      <c r="C255" s="12"/>
      <c r="D255" s="13"/>
      <c r="E255" s="13"/>
      <c r="F255" s="12"/>
      <c r="G255" s="56"/>
      <c r="H255" s="56"/>
      <c r="I255" s="56"/>
      <c r="J255" s="56"/>
      <c r="K255" s="56"/>
      <c r="L255" s="56"/>
      <c r="M255" s="10"/>
      <c r="N255" s="10"/>
    </row>
    <row r="256" spans="1:14" s="98" customFormat="1" x14ac:dyDescent="0.15">
      <c r="A256" s="11"/>
      <c r="B256" s="13"/>
      <c r="C256" s="12"/>
      <c r="D256" s="13"/>
      <c r="E256" s="13"/>
      <c r="F256" s="12"/>
      <c r="G256" s="56"/>
      <c r="H256" s="56"/>
      <c r="I256" s="56"/>
      <c r="J256" s="56"/>
      <c r="K256" s="56"/>
      <c r="L256" s="56"/>
      <c r="M256" s="10"/>
      <c r="N256" s="10"/>
    </row>
    <row r="257" spans="1:14" s="98" customFormat="1" x14ac:dyDescent="0.15">
      <c r="A257" s="11"/>
      <c r="B257" s="13"/>
      <c r="C257" s="12"/>
      <c r="D257" s="13"/>
      <c r="E257" s="13"/>
      <c r="F257" s="12"/>
      <c r="G257" s="56"/>
      <c r="H257" s="56"/>
      <c r="I257" s="56"/>
      <c r="J257" s="56"/>
      <c r="K257" s="56"/>
      <c r="L257" s="56"/>
      <c r="M257" s="10"/>
      <c r="N257" s="10"/>
    </row>
    <row r="258" spans="1:14" s="98" customFormat="1" x14ac:dyDescent="0.15">
      <c r="A258" s="11"/>
      <c r="B258" s="13"/>
      <c r="C258" s="12"/>
      <c r="D258" s="13"/>
      <c r="E258" s="13"/>
      <c r="F258" s="12"/>
      <c r="G258" s="56"/>
      <c r="H258" s="56"/>
      <c r="I258" s="56"/>
      <c r="J258" s="56"/>
      <c r="K258" s="56"/>
      <c r="L258" s="56"/>
      <c r="M258" s="10"/>
      <c r="N258" s="10"/>
    </row>
    <row r="259" spans="1:14" s="98" customFormat="1" x14ac:dyDescent="0.15">
      <c r="A259" s="11"/>
      <c r="B259" s="13"/>
      <c r="C259" s="12"/>
      <c r="D259" s="13"/>
      <c r="E259" s="13"/>
      <c r="F259" s="12"/>
      <c r="G259" s="56"/>
      <c r="H259" s="56"/>
      <c r="I259" s="56"/>
      <c r="J259" s="56"/>
      <c r="K259" s="56"/>
      <c r="L259" s="56"/>
      <c r="M259" s="10"/>
      <c r="N259" s="10"/>
    </row>
    <row r="260" spans="1:14" s="98" customFormat="1" x14ac:dyDescent="0.15">
      <c r="A260" s="11"/>
      <c r="B260" s="13"/>
      <c r="C260" s="12"/>
      <c r="D260" s="13"/>
      <c r="E260" s="13"/>
      <c r="F260" s="12"/>
      <c r="G260" s="56"/>
      <c r="H260" s="56"/>
      <c r="I260" s="56"/>
      <c r="J260" s="56"/>
      <c r="K260" s="56"/>
      <c r="L260" s="56"/>
      <c r="M260" s="10"/>
      <c r="N260" s="10"/>
    </row>
    <row r="261" spans="1:14" s="98" customFormat="1" x14ac:dyDescent="0.15">
      <c r="A261" s="11"/>
      <c r="B261" s="13"/>
      <c r="C261" s="12"/>
      <c r="D261" s="13"/>
      <c r="E261" s="13"/>
      <c r="F261" s="12"/>
      <c r="G261" s="56"/>
      <c r="H261" s="56"/>
      <c r="I261" s="56"/>
      <c r="J261" s="56"/>
      <c r="K261" s="56"/>
      <c r="L261" s="56"/>
      <c r="M261" s="10"/>
      <c r="N261" s="10"/>
    </row>
    <row r="262" spans="1:14" s="98" customFormat="1" x14ac:dyDescent="0.15">
      <c r="A262" s="11"/>
      <c r="B262" s="13"/>
      <c r="C262" s="12"/>
      <c r="D262" s="13"/>
      <c r="E262" s="13"/>
      <c r="F262" s="12"/>
      <c r="G262" s="56"/>
      <c r="H262" s="56"/>
      <c r="I262" s="56"/>
      <c r="J262" s="56"/>
      <c r="K262" s="56"/>
      <c r="L262" s="56"/>
      <c r="M262" s="10"/>
      <c r="N262" s="10"/>
    </row>
    <row r="263" spans="1:14" s="98" customFormat="1" x14ac:dyDescent="0.15">
      <c r="A263" s="11"/>
      <c r="B263" s="13"/>
      <c r="C263" s="12"/>
      <c r="D263" s="13"/>
      <c r="E263" s="13"/>
      <c r="F263" s="12"/>
      <c r="G263" s="56"/>
      <c r="H263" s="56"/>
      <c r="I263" s="56"/>
      <c r="J263" s="56"/>
      <c r="K263" s="56"/>
      <c r="L263" s="56"/>
      <c r="M263" s="10"/>
      <c r="N263" s="10"/>
    </row>
    <row r="264" spans="1:14" s="98" customFormat="1" x14ac:dyDescent="0.15">
      <c r="A264" s="11"/>
      <c r="B264" s="13"/>
      <c r="C264" s="12"/>
      <c r="D264" s="13"/>
      <c r="E264" s="13"/>
      <c r="F264" s="12"/>
      <c r="G264" s="56"/>
      <c r="H264" s="56"/>
      <c r="I264" s="56"/>
      <c r="J264" s="56"/>
      <c r="K264" s="56"/>
      <c r="L264" s="56"/>
      <c r="M264" s="10"/>
      <c r="N264" s="10"/>
    </row>
    <row r="265" spans="1:14" s="98" customFormat="1" x14ac:dyDescent="0.15">
      <c r="A265" s="11"/>
      <c r="B265" s="13"/>
      <c r="C265" s="12"/>
      <c r="D265" s="13"/>
      <c r="E265" s="13"/>
      <c r="F265" s="12"/>
      <c r="G265" s="56"/>
      <c r="H265" s="56"/>
      <c r="I265" s="56"/>
      <c r="J265" s="56"/>
      <c r="K265" s="56"/>
      <c r="L265" s="56"/>
      <c r="M265" s="10"/>
      <c r="N265" s="10"/>
    </row>
    <row r="266" spans="1:14" s="98" customFormat="1" x14ac:dyDescent="0.15">
      <c r="A266" s="11"/>
      <c r="B266" s="13"/>
      <c r="C266" s="12"/>
      <c r="D266" s="13"/>
      <c r="E266" s="13"/>
      <c r="F266" s="12"/>
      <c r="G266" s="56"/>
      <c r="H266" s="56"/>
      <c r="I266" s="56"/>
      <c r="J266" s="56"/>
      <c r="K266" s="56"/>
      <c r="L266" s="56"/>
      <c r="M266" s="10"/>
      <c r="N266" s="10"/>
    </row>
    <row r="267" spans="1:14" s="98" customFormat="1" x14ac:dyDescent="0.15">
      <c r="A267" s="11"/>
      <c r="B267" s="13"/>
      <c r="C267" s="12"/>
      <c r="D267" s="13"/>
      <c r="E267" s="13"/>
      <c r="F267" s="12"/>
      <c r="G267" s="56"/>
      <c r="H267" s="56"/>
      <c r="I267" s="56"/>
      <c r="J267" s="56"/>
      <c r="K267" s="56"/>
      <c r="L267" s="56"/>
      <c r="M267" s="10"/>
      <c r="N267" s="10"/>
    </row>
    <row r="268" spans="1:14" s="98" customFormat="1" x14ac:dyDescent="0.15">
      <c r="A268" s="11"/>
      <c r="B268" s="13"/>
      <c r="C268" s="12"/>
      <c r="D268" s="13"/>
      <c r="E268" s="13"/>
      <c r="F268" s="12"/>
      <c r="G268" s="56"/>
      <c r="H268" s="56"/>
      <c r="I268" s="56"/>
      <c r="J268" s="56"/>
      <c r="K268" s="56"/>
      <c r="L268" s="56"/>
      <c r="M268" s="10"/>
      <c r="N268" s="10"/>
    </row>
    <row r="269" spans="1:14" s="98" customFormat="1" x14ac:dyDescent="0.15">
      <c r="A269" s="11"/>
      <c r="B269" s="13"/>
      <c r="C269" s="12"/>
      <c r="D269" s="13"/>
      <c r="E269" s="13"/>
      <c r="F269" s="12"/>
      <c r="G269" s="56"/>
      <c r="H269" s="56"/>
      <c r="I269" s="56"/>
      <c r="J269" s="56"/>
      <c r="K269" s="56"/>
      <c r="L269" s="56"/>
      <c r="M269" s="10"/>
      <c r="N269" s="10"/>
    </row>
    <row r="270" spans="1:14" s="98" customFormat="1" x14ac:dyDescent="0.15">
      <c r="A270" s="11"/>
      <c r="B270" s="13"/>
      <c r="C270" s="12"/>
      <c r="D270" s="13"/>
      <c r="E270" s="13"/>
      <c r="F270" s="12"/>
      <c r="G270" s="56"/>
      <c r="H270" s="56"/>
      <c r="I270" s="56"/>
      <c r="J270" s="56"/>
      <c r="K270" s="56"/>
      <c r="L270" s="56"/>
      <c r="M270" s="10"/>
      <c r="N270" s="10"/>
    </row>
    <row r="271" spans="1:14" s="98" customFormat="1" x14ac:dyDescent="0.15">
      <c r="A271" s="11"/>
      <c r="B271" s="13"/>
      <c r="C271" s="12"/>
      <c r="D271" s="13"/>
      <c r="E271" s="13"/>
      <c r="F271" s="12"/>
      <c r="G271" s="56"/>
      <c r="H271" s="56"/>
      <c r="I271" s="56"/>
      <c r="J271" s="56"/>
      <c r="K271" s="56"/>
      <c r="L271" s="56"/>
      <c r="M271" s="10"/>
      <c r="N271" s="10"/>
    </row>
    <row r="272" spans="1:14" s="98" customFormat="1" x14ac:dyDescent="0.15">
      <c r="A272" s="11"/>
      <c r="B272" s="13"/>
      <c r="C272" s="12"/>
      <c r="D272" s="13"/>
      <c r="E272" s="13"/>
      <c r="F272" s="12"/>
      <c r="G272" s="56"/>
      <c r="H272" s="56"/>
      <c r="I272" s="56"/>
      <c r="J272" s="56"/>
      <c r="K272" s="56"/>
      <c r="L272" s="56"/>
      <c r="M272" s="10"/>
      <c r="N272" s="10"/>
    </row>
    <row r="273" spans="1:14" s="98" customFormat="1" x14ac:dyDescent="0.15">
      <c r="A273" s="11"/>
      <c r="B273" s="13"/>
      <c r="C273" s="12"/>
      <c r="D273" s="13"/>
      <c r="E273" s="13"/>
      <c r="F273" s="12"/>
      <c r="G273" s="56"/>
      <c r="H273" s="56"/>
      <c r="I273" s="56"/>
      <c r="J273" s="56"/>
      <c r="K273" s="56"/>
      <c r="L273" s="56"/>
      <c r="M273" s="10"/>
      <c r="N273" s="10"/>
    </row>
    <row r="274" spans="1:14" s="98" customFormat="1" x14ac:dyDescent="0.15">
      <c r="A274" s="11"/>
      <c r="B274" s="13"/>
      <c r="C274" s="12"/>
      <c r="D274" s="13"/>
      <c r="E274" s="13"/>
      <c r="F274" s="12"/>
      <c r="G274" s="56"/>
      <c r="H274" s="56"/>
      <c r="I274" s="56"/>
      <c r="J274" s="56"/>
      <c r="K274" s="56"/>
      <c r="L274" s="56"/>
      <c r="M274" s="10"/>
      <c r="N274" s="10"/>
    </row>
    <row r="275" spans="1:14" s="98" customFormat="1" x14ac:dyDescent="0.15">
      <c r="A275" s="11"/>
      <c r="B275" s="13"/>
      <c r="C275" s="12"/>
      <c r="D275" s="13"/>
      <c r="E275" s="13"/>
      <c r="F275" s="12"/>
      <c r="G275" s="56"/>
      <c r="H275" s="56"/>
      <c r="I275" s="56"/>
      <c r="J275" s="56"/>
      <c r="K275" s="56"/>
      <c r="L275" s="56"/>
      <c r="M275" s="10"/>
      <c r="N275" s="10"/>
    </row>
    <row r="276" spans="1:14" s="98" customFormat="1" x14ac:dyDescent="0.15">
      <c r="A276" s="11"/>
      <c r="B276" s="13"/>
      <c r="C276" s="12"/>
      <c r="D276" s="13"/>
      <c r="E276" s="13"/>
      <c r="F276" s="12"/>
      <c r="G276" s="56"/>
      <c r="H276" s="56"/>
      <c r="I276" s="56"/>
      <c r="J276" s="56"/>
      <c r="K276" s="56"/>
      <c r="L276" s="56"/>
      <c r="M276" s="10"/>
      <c r="N276" s="10"/>
    </row>
    <row r="277" spans="1:14" s="98" customFormat="1" x14ac:dyDescent="0.15">
      <c r="A277" s="11"/>
      <c r="B277" s="13"/>
      <c r="C277" s="12"/>
      <c r="D277" s="13"/>
      <c r="E277" s="13"/>
      <c r="F277" s="12"/>
      <c r="G277" s="56"/>
      <c r="H277" s="56"/>
      <c r="I277" s="56"/>
      <c r="J277" s="56"/>
      <c r="K277" s="56"/>
      <c r="L277" s="56"/>
      <c r="M277" s="10"/>
      <c r="N277" s="10"/>
    </row>
    <row r="278" spans="1:14" s="98" customFormat="1" x14ac:dyDescent="0.15">
      <c r="A278" s="11"/>
      <c r="B278" s="13"/>
      <c r="C278" s="12"/>
      <c r="D278" s="13"/>
      <c r="E278" s="13"/>
      <c r="F278" s="12"/>
      <c r="G278" s="56"/>
      <c r="H278" s="56"/>
      <c r="I278" s="56"/>
      <c r="J278" s="56"/>
      <c r="K278" s="56"/>
      <c r="L278" s="56"/>
      <c r="M278" s="10"/>
      <c r="N278" s="10"/>
    </row>
    <row r="279" spans="1:14" s="98" customFormat="1" x14ac:dyDescent="0.15">
      <c r="A279" s="11"/>
      <c r="B279" s="13"/>
      <c r="C279" s="12"/>
      <c r="D279" s="13"/>
      <c r="E279" s="13"/>
      <c r="F279" s="12"/>
      <c r="G279" s="56"/>
      <c r="H279" s="56"/>
      <c r="I279" s="56"/>
      <c r="J279" s="56"/>
      <c r="K279" s="56"/>
      <c r="L279" s="56"/>
      <c r="M279" s="10"/>
      <c r="N279" s="10"/>
    </row>
    <row r="280" spans="1:14" s="98" customFormat="1" x14ac:dyDescent="0.15">
      <c r="A280" s="11"/>
      <c r="B280" s="13"/>
      <c r="C280" s="12"/>
      <c r="D280" s="13"/>
      <c r="E280" s="13"/>
      <c r="F280" s="12"/>
      <c r="G280" s="56"/>
      <c r="H280" s="56"/>
      <c r="I280" s="56"/>
      <c r="J280" s="56"/>
      <c r="K280" s="56"/>
      <c r="L280" s="56"/>
      <c r="M280" s="10"/>
      <c r="N280" s="10"/>
    </row>
    <row r="281" spans="1:14" s="98" customFormat="1" x14ac:dyDescent="0.15">
      <c r="A281" s="11"/>
      <c r="B281" s="13"/>
      <c r="C281" s="12"/>
      <c r="D281" s="13"/>
      <c r="E281" s="13"/>
      <c r="F281" s="12"/>
      <c r="G281" s="56"/>
      <c r="H281" s="56"/>
      <c r="I281" s="56"/>
      <c r="J281" s="56"/>
      <c r="K281" s="56"/>
      <c r="L281" s="56"/>
      <c r="M281" s="10"/>
      <c r="N281" s="10"/>
    </row>
    <row r="282" spans="1:14" s="98" customFormat="1" x14ac:dyDescent="0.15">
      <c r="A282" s="11"/>
      <c r="B282" s="13"/>
      <c r="C282" s="12"/>
      <c r="D282" s="13"/>
      <c r="E282" s="13"/>
      <c r="F282" s="12"/>
      <c r="G282" s="56"/>
      <c r="H282" s="56"/>
      <c r="I282" s="56"/>
      <c r="J282" s="56"/>
      <c r="K282" s="56"/>
      <c r="L282" s="56"/>
      <c r="M282" s="10"/>
      <c r="N282" s="10"/>
    </row>
    <row r="283" spans="1:14" s="98" customFormat="1" x14ac:dyDescent="0.15">
      <c r="A283" s="11"/>
      <c r="B283" s="13"/>
      <c r="C283" s="12"/>
      <c r="D283" s="13"/>
      <c r="E283" s="13"/>
      <c r="F283" s="12"/>
      <c r="G283" s="56"/>
      <c r="H283" s="56"/>
      <c r="I283" s="56"/>
      <c r="J283" s="56"/>
      <c r="K283" s="56"/>
      <c r="L283" s="56"/>
      <c r="M283" s="10"/>
      <c r="N283" s="10"/>
    </row>
    <row r="284" spans="1:14" s="98" customFormat="1" x14ac:dyDescent="0.15">
      <c r="A284" s="11"/>
      <c r="B284" s="13"/>
      <c r="C284" s="12"/>
      <c r="D284" s="13"/>
      <c r="E284" s="13"/>
      <c r="F284" s="12"/>
      <c r="G284" s="56"/>
      <c r="H284" s="56"/>
      <c r="I284" s="56"/>
      <c r="J284" s="56"/>
      <c r="K284" s="56"/>
      <c r="L284" s="56"/>
      <c r="M284" s="10"/>
      <c r="N284" s="10"/>
    </row>
    <row r="285" spans="1:14" s="98" customFormat="1" x14ac:dyDescent="0.15">
      <c r="A285" s="11"/>
      <c r="B285" s="13"/>
      <c r="C285" s="12"/>
      <c r="D285" s="13"/>
      <c r="E285" s="13"/>
      <c r="F285" s="12"/>
      <c r="G285" s="56"/>
      <c r="H285" s="56"/>
      <c r="I285" s="56"/>
      <c r="J285" s="56"/>
      <c r="K285" s="56"/>
      <c r="L285" s="56"/>
      <c r="M285" s="10"/>
      <c r="N285" s="10"/>
    </row>
    <row r="286" spans="1:14" s="98" customFormat="1" x14ac:dyDescent="0.15">
      <c r="A286" s="11"/>
      <c r="B286" s="13"/>
      <c r="C286" s="12"/>
      <c r="D286" s="13"/>
      <c r="E286" s="13"/>
      <c r="F286" s="12"/>
      <c r="G286" s="56"/>
      <c r="H286" s="56"/>
      <c r="I286" s="56"/>
      <c r="J286" s="56"/>
      <c r="K286" s="56"/>
      <c r="L286" s="56"/>
      <c r="M286" s="10"/>
      <c r="N286" s="10"/>
    </row>
    <row r="287" spans="1:14" s="98" customFormat="1" x14ac:dyDescent="0.15">
      <c r="A287" s="11"/>
      <c r="B287" s="13"/>
      <c r="C287" s="12"/>
      <c r="D287" s="13"/>
      <c r="E287" s="13"/>
      <c r="F287" s="12"/>
      <c r="G287" s="56"/>
      <c r="H287" s="56"/>
      <c r="I287" s="56"/>
      <c r="J287" s="56"/>
      <c r="K287" s="56"/>
      <c r="L287" s="56"/>
      <c r="M287" s="10"/>
      <c r="N287" s="10"/>
    </row>
    <row r="288" spans="1:14" s="98" customFormat="1" x14ac:dyDescent="0.15">
      <c r="A288" s="11"/>
      <c r="B288" s="13"/>
      <c r="C288" s="12"/>
      <c r="D288" s="13"/>
      <c r="E288" s="13"/>
      <c r="F288" s="12"/>
      <c r="G288" s="56"/>
      <c r="H288" s="56"/>
      <c r="I288" s="56"/>
      <c r="J288" s="56"/>
      <c r="K288" s="56"/>
      <c r="L288" s="56"/>
      <c r="M288" s="10"/>
      <c r="N288" s="10"/>
    </row>
    <row r="289" spans="1:14" s="98" customFormat="1" x14ac:dyDescent="0.15">
      <c r="A289" s="11"/>
      <c r="B289" s="13"/>
      <c r="C289" s="12"/>
      <c r="D289" s="13"/>
      <c r="E289" s="13"/>
      <c r="F289" s="12"/>
      <c r="G289" s="56"/>
      <c r="H289" s="56"/>
      <c r="I289" s="56"/>
      <c r="J289" s="56"/>
      <c r="K289" s="56"/>
      <c r="L289" s="56"/>
      <c r="M289" s="10"/>
      <c r="N289" s="10"/>
    </row>
    <row r="290" spans="1:14" s="98" customFormat="1" x14ac:dyDescent="0.15">
      <c r="A290" s="11"/>
      <c r="B290" s="13"/>
      <c r="C290" s="12"/>
      <c r="D290" s="13"/>
      <c r="E290" s="13"/>
      <c r="F290" s="12"/>
      <c r="G290" s="56"/>
      <c r="H290" s="56"/>
      <c r="I290" s="56"/>
      <c r="J290" s="56"/>
      <c r="K290" s="56"/>
      <c r="L290" s="56"/>
      <c r="M290" s="10"/>
      <c r="N290" s="10"/>
    </row>
    <row r="291" spans="1:14" s="98" customFormat="1" x14ac:dyDescent="0.15">
      <c r="A291" s="11"/>
      <c r="B291" s="13"/>
      <c r="C291" s="12"/>
      <c r="D291" s="13"/>
      <c r="E291" s="13"/>
      <c r="F291" s="12"/>
      <c r="G291" s="56"/>
      <c r="H291" s="56"/>
      <c r="I291" s="56"/>
      <c r="J291" s="56"/>
      <c r="K291" s="56"/>
      <c r="L291" s="56"/>
      <c r="M291" s="10"/>
      <c r="N291" s="10"/>
    </row>
    <row r="292" spans="1:14" s="98" customFormat="1" x14ac:dyDescent="0.15">
      <c r="A292" s="11"/>
      <c r="B292" s="13"/>
      <c r="C292" s="12"/>
      <c r="D292" s="13"/>
      <c r="E292" s="13"/>
      <c r="F292" s="12"/>
      <c r="G292" s="56"/>
      <c r="H292" s="56"/>
      <c r="I292" s="56"/>
      <c r="J292" s="56"/>
      <c r="K292" s="56"/>
      <c r="L292" s="56"/>
      <c r="M292" s="10"/>
      <c r="N292" s="10"/>
    </row>
    <row r="293" spans="1:14" s="98" customFormat="1" x14ac:dyDescent="0.15">
      <c r="A293" s="11"/>
      <c r="B293" s="13"/>
      <c r="C293" s="12"/>
      <c r="D293" s="13"/>
      <c r="E293" s="13"/>
      <c r="F293" s="12"/>
      <c r="G293" s="56"/>
      <c r="H293" s="56"/>
      <c r="I293" s="56"/>
      <c r="J293" s="56"/>
      <c r="K293" s="56"/>
      <c r="L293" s="56"/>
      <c r="M293" s="10"/>
      <c r="N293" s="10"/>
    </row>
    <row r="294" spans="1:14" s="98" customFormat="1" x14ac:dyDescent="0.15">
      <c r="A294" s="11"/>
      <c r="B294" s="13"/>
      <c r="C294" s="12"/>
      <c r="D294" s="13"/>
      <c r="E294" s="13"/>
      <c r="F294" s="12"/>
      <c r="G294" s="56"/>
      <c r="H294" s="56"/>
      <c r="I294" s="56"/>
      <c r="J294" s="56"/>
      <c r="K294" s="56"/>
      <c r="L294" s="56"/>
      <c r="M294" s="10"/>
      <c r="N294" s="10"/>
    </row>
    <row r="295" spans="1:14" s="98" customFormat="1" x14ac:dyDescent="0.15">
      <c r="A295" s="11"/>
      <c r="B295" s="13"/>
      <c r="C295" s="12"/>
      <c r="D295" s="13"/>
      <c r="E295" s="13"/>
      <c r="F295" s="12"/>
      <c r="G295" s="56"/>
      <c r="H295" s="56"/>
      <c r="I295" s="56"/>
      <c r="J295" s="56"/>
      <c r="K295" s="56"/>
      <c r="L295" s="56"/>
      <c r="M295" s="10"/>
      <c r="N295" s="10"/>
    </row>
    <row r="296" spans="1:14" s="98" customFormat="1" x14ac:dyDescent="0.15">
      <c r="A296" s="11"/>
      <c r="B296" s="13"/>
      <c r="C296" s="12"/>
      <c r="D296" s="13"/>
      <c r="E296" s="13"/>
      <c r="F296" s="12"/>
      <c r="G296" s="56"/>
      <c r="H296" s="56"/>
      <c r="I296" s="56"/>
      <c r="J296" s="56"/>
      <c r="K296" s="56"/>
      <c r="L296" s="56"/>
      <c r="M296" s="10"/>
      <c r="N296" s="10"/>
    </row>
    <row r="297" spans="1:14" s="98" customFormat="1" x14ac:dyDescent="0.15">
      <c r="A297" s="11"/>
      <c r="B297" s="13"/>
      <c r="C297" s="12"/>
      <c r="D297" s="13"/>
      <c r="E297" s="13"/>
      <c r="F297" s="12"/>
      <c r="G297" s="56"/>
      <c r="H297" s="56"/>
      <c r="I297" s="56"/>
      <c r="J297" s="56"/>
      <c r="K297" s="56"/>
      <c r="L297" s="56"/>
      <c r="M297" s="10"/>
      <c r="N297" s="10"/>
    </row>
    <row r="298" spans="1:14" s="98" customFormat="1" x14ac:dyDescent="0.15">
      <c r="A298" s="11"/>
      <c r="B298" s="13"/>
      <c r="C298" s="12"/>
      <c r="D298" s="13"/>
      <c r="E298" s="13"/>
      <c r="F298" s="12"/>
      <c r="G298" s="56"/>
      <c r="H298" s="56"/>
      <c r="I298" s="56"/>
      <c r="J298" s="56"/>
      <c r="K298" s="56"/>
      <c r="L298" s="56"/>
      <c r="M298" s="10"/>
      <c r="N298" s="10"/>
    </row>
    <row r="299" spans="1:14" s="98" customFormat="1" x14ac:dyDescent="0.15">
      <c r="A299" s="11"/>
      <c r="B299" s="13"/>
      <c r="C299" s="12"/>
      <c r="D299" s="13"/>
      <c r="E299" s="13"/>
      <c r="F299" s="12"/>
      <c r="G299" s="56"/>
      <c r="H299" s="56"/>
      <c r="I299" s="56"/>
      <c r="J299" s="56"/>
      <c r="K299" s="56"/>
      <c r="L299" s="56"/>
      <c r="M299" s="10"/>
      <c r="N299" s="10"/>
    </row>
    <row r="300" spans="1:14" s="98" customFormat="1" x14ac:dyDescent="0.15">
      <c r="A300" s="11"/>
      <c r="B300" s="13"/>
      <c r="C300" s="12"/>
      <c r="D300" s="13"/>
      <c r="E300" s="13"/>
      <c r="F300" s="12"/>
      <c r="G300" s="56"/>
      <c r="H300" s="56"/>
      <c r="I300" s="56"/>
      <c r="J300" s="56"/>
      <c r="K300" s="56"/>
      <c r="L300" s="56"/>
      <c r="M300" s="10"/>
      <c r="N300" s="10"/>
    </row>
    <row r="301" spans="1:14" s="98" customFormat="1" x14ac:dyDescent="0.15">
      <c r="A301" s="11"/>
      <c r="B301" s="13"/>
      <c r="C301" s="12"/>
      <c r="D301" s="13"/>
      <c r="E301" s="13"/>
      <c r="F301" s="12"/>
      <c r="G301" s="56"/>
      <c r="H301" s="56"/>
      <c r="I301" s="56"/>
      <c r="J301" s="56"/>
      <c r="K301" s="56"/>
      <c r="L301" s="56"/>
      <c r="M301" s="10"/>
      <c r="N301" s="10"/>
    </row>
    <row r="302" spans="1:14" s="98" customFormat="1" x14ac:dyDescent="0.15">
      <c r="A302" s="11"/>
      <c r="B302" s="13"/>
      <c r="C302" s="12"/>
      <c r="D302" s="13"/>
      <c r="E302" s="13"/>
      <c r="F302" s="12"/>
      <c r="G302" s="56"/>
      <c r="H302" s="56"/>
      <c r="I302" s="56"/>
      <c r="J302" s="56"/>
      <c r="K302" s="56"/>
      <c r="L302" s="56"/>
      <c r="M302" s="10"/>
      <c r="N302" s="10"/>
    </row>
    <row r="303" spans="1:14" s="98" customFormat="1" x14ac:dyDescent="0.15">
      <c r="A303" s="11"/>
      <c r="B303" s="13"/>
      <c r="C303" s="12"/>
      <c r="D303" s="13"/>
      <c r="E303" s="13"/>
      <c r="F303" s="12"/>
      <c r="G303" s="56"/>
      <c r="H303" s="56"/>
      <c r="I303" s="56"/>
      <c r="J303" s="56"/>
      <c r="K303" s="56"/>
      <c r="L303" s="56"/>
      <c r="M303" s="10"/>
      <c r="N303" s="10"/>
    </row>
    <row r="304" spans="1:14" s="98" customFormat="1" x14ac:dyDescent="0.15">
      <c r="A304" s="11"/>
      <c r="B304" s="13"/>
      <c r="C304" s="12"/>
      <c r="D304" s="13"/>
      <c r="E304" s="13"/>
      <c r="F304" s="12"/>
      <c r="G304" s="56"/>
      <c r="H304" s="56"/>
      <c r="I304" s="56"/>
      <c r="J304" s="56"/>
      <c r="K304" s="56"/>
      <c r="L304" s="56"/>
      <c r="M304" s="10"/>
      <c r="N304" s="10"/>
    </row>
    <row r="305" spans="1:14" s="98" customFormat="1" x14ac:dyDescent="0.15">
      <c r="A305" s="11"/>
      <c r="B305" s="13"/>
      <c r="C305" s="12"/>
      <c r="D305" s="13"/>
      <c r="E305" s="13"/>
      <c r="F305" s="12"/>
      <c r="G305" s="56"/>
      <c r="H305" s="56"/>
      <c r="I305" s="56"/>
      <c r="J305" s="56"/>
      <c r="K305" s="56"/>
      <c r="L305" s="56"/>
      <c r="M305" s="10"/>
      <c r="N305" s="10"/>
    </row>
    <row r="306" spans="1:14" s="98" customFormat="1" x14ac:dyDescent="0.15">
      <c r="A306" s="11"/>
      <c r="B306" s="13"/>
      <c r="C306" s="12"/>
      <c r="D306" s="13"/>
      <c r="E306" s="13"/>
      <c r="F306" s="12"/>
      <c r="G306" s="56"/>
      <c r="H306" s="56"/>
      <c r="I306" s="56"/>
      <c r="J306" s="56"/>
      <c r="K306" s="56"/>
      <c r="L306" s="56"/>
      <c r="M306" s="10"/>
      <c r="N306" s="10"/>
    </row>
    <row r="307" spans="1:14" s="98" customFormat="1" x14ac:dyDescent="0.15">
      <c r="A307" s="11"/>
      <c r="B307" s="13"/>
      <c r="C307" s="12"/>
      <c r="D307" s="13"/>
      <c r="E307" s="13"/>
      <c r="F307" s="12"/>
      <c r="G307" s="56"/>
      <c r="H307" s="56"/>
      <c r="I307" s="56"/>
      <c r="J307" s="56"/>
      <c r="K307" s="56"/>
      <c r="L307" s="56"/>
      <c r="M307" s="10"/>
      <c r="N307" s="10"/>
    </row>
    <row r="308" spans="1:14" s="98" customFormat="1" x14ac:dyDescent="0.15">
      <c r="A308" s="11"/>
      <c r="B308" s="13"/>
      <c r="C308" s="12"/>
      <c r="D308" s="13"/>
      <c r="E308" s="13"/>
      <c r="F308" s="12"/>
      <c r="G308" s="56"/>
      <c r="H308" s="56"/>
      <c r="I308" s="56"/>
      <c r="J308" s="56"/>
      <c r="K308" s="56"/>
      <c r="L308" s="56"/>
      <c r="M308" s="10"/>
      <c r="N308" s="10"/>
    </row>
    <row r="309" spans="1:14" s="98" customFormat="1" x14ac:dyDescent="0.15">
      <c r="A309" s="11"/>
      <c r="B309" s="13"/>
      <c r="C309" s="12"/>
      <c r="D309" s="13"/>
      <c r="E309" s="13"/>
      <c r="F309" s="12"/>
      <c r="G309" s="56"/>
      <c r="H309" s="56"/>
      <c r="I309" s="56"/>
      <c r="J309" s="56"/>
      <c r="K309" s="56"/>
      <c r="L309" s="56"/>
      <c r="M309" s="10"/>
      <c r="N309" s="10"/>
    </row>
    <row r="310" spans="1:14" s="98" customFormat="1" x14ac:dyDescent="0.15">
      <c r="A310" s="11"/>
      <c r="B310" s="13"/>
      <c r="C310" s="12"/>
      <c r="D310" s="13"/>
      <c r="E310" s="13"/>
      <c r="F310" s="12"/>
      <c r="G310" s="56"/>
      <c r="H310" s="56"/>
      <c r="I310" s="56"/>
      <c r="J310" s="56"/>
      <c r="K310" s="56"/>
      <c r="L310" s="56"/>
      <c r="M310" s="10"/>
      <c r="N310" s="10"/>
    </row>
    <row r="311" spans="1:14" s="98" customFormat="1" x14ac:dyDescent="0.15">
      <c r="A311" s="11"/>
      <c r="B311" s="13"/>
      <c r="C311" s="12"/>
      <c r="D311" s="13"/>
      <c r="E311" s="13"/>
      <c r="F311" s="12"/>
      <c r="G311" s="56"/>
      <c r="H311" s="56"/>
      <c r="I311" s="56"/>
      <c r="J311" s="56"/>
      <c r="K311" s="56"/>
      <c r="L311" s="56"/>
      <c r="M311" s="10"/>
      <c r="N311" s="10"/>
    </row>
    <row r="312" spans="1:14" s="98" customFormat="1" x14ac:dyDescent="0.15">
      <c r="A312" s="11"/>
      <c r="B312" s="13"/>
      <c r="C312" s="12"/>
      <c r="D312" s="13"/>
      <c r="E312" s="13"/>
      <c r="F312" s="12"/>
      <c r="G312" s="56"/>
      <c r="H312" s="56"/>
      <c r="I312" s="56"/>
      <c r="J312" s="56"/>
      <c r="K312" s="56"/>
      <c r="L312" s="56"/>
      <c r="M312" s="10"/>
      <c r="N312" s="10"/>
    </row>
    <row r="313" spans="1:14" s="98" customFormat="1" x14ac:dyDescent="0.15">
      <c r="A313" s="11"/>
      <c r="B313" s="13"/>
      <c r="C313" s="12"/>
      <c r="D313" s="13"/>
      <c r="E313" s="13"/>
      <c r="F313" s="12"/>
      <c r="G313" s="56"/>
      <c r="H313" s="56"/>
      <c r="I313" s="56"/>
      <c r="J313" s="56"/>
      <c r="K313" s="56"/>
      <c r="L313" s="56"/>
      <c r="M313" s="10"/>
      <c r="N313" s="10"/>
    </row>
    <row r="314" spans="1:14" s="98" customFormat="1" x14ac:dyDescent="0.15">
      <c r="A314" s="11"/>
      <c r="B314" s="13"/>
      <c r="C314" s="12"/>
      <c r="D314" s="13"/>
      <c r="E314" s="13"/>
      <c r="F314" s="12"/>
      <c r="G314" s="56"/>
      <c r="H314" s="56"/>
      <c r="I314" s="56"/>
      <c r="J314" s="56"/>
      <c r="K314" s="56"/>
      <c r="L314" s="56"/>
      <c r="M314" s="10"/>
      <c r="N314" s="10"/>
    </row>
    <row r="315" spans="1:14" s="98" customFormat="1" x14ac:dyDescent="0.15">
      <c r="A315" s="11"/>
      <c r="B315" s="13"/>
      <c r="C315" s="12"/>
      <c r="D315" s="13"/>
      <c r="E315" s="13"/>
      <c r="F315" s="12"/>
      <c r="G315" s="56"/>
      <c r="H315" s="56"/>
      <c r="I315" s="56"/>
      <c r="J315" s="56"/>
      <c r="K315" s="56"/>
      <c r="L315" s="56"/>
      <c r="M315" s="10"/>
      <c r="N315" s="10"/>
    </row>
    <row r="316" spans="1:14" s="98" customFormat="1" x14ac:dyDescent="0.15">
      <c r="A316" s="11"/>
      <c r="B316" s="13"/>
      <c r="C316" s="12"/>
      <c r="D316" s="13"/>
      <c r="E316" s="13"/>
      <c r="F316" s="12"/>
      <c r="G316" s="56"/>
      <c r="H316" s="56"/>
      <c r="I316" s="56"/>
      <c r="J316" s="56"/>
      <c r="K316" s="56"/>
      <c r="L316" s="56"/>
      <c r="M316" s="10"/>
      <c r="N316" s="10"/>
    </row>
    <row r="317" spans="1:14" s="98" customFormat="1" x14ac:dyDescent="0.15">
      <c r="A317" s="11"/>
      <c r="B317" s="13"/>
      <c r="C317" s="12"/>
      <c r="D317" s="13"/>
      <c r="E317" s="13"/>
      <c r="F317" s="12"/>
      <c r="G317" s="56"/>
      <c r="H317" s="56"/>
      <c r="I317" s="56"/>
      <c r="J317" s="56"/>
      <c r="K317" s="56"/>
      <c r="L317" s="56"/>
      <c r="M317" s="10"/>
      <c r="N317" s="10"/>
    </row>
    <row r="318" spans="1:14" s="98" customFormat="1" x14ac:dyDescent="0.15">
      <c r="A318" s="11"/>
      <c r="B318" s="13"/>
      <c r="C318" s="12"/>
      <c r="D318" s="13"/>
      <c r="E318" s="13"/>
      <c r="F318" s="12"/>
      <c r="G318" s="56"/>
      <c r="H318" s="56"/>
      <c r="I318" s="56"/>
      <c r="J318" s="56"/>
      <c r="K318" s="56"/>
      <c r="L318" s="56"/>
      <c r="M318" s="10"/>
      <c r="N318" s="10"/>
    </row>
    <row r="319" spans="1:14" s="98" customFormat="1" x14ac:dyDescent="0.15">
      <c r="A319" s="11"/>
      <c r="B319" s="13"/>
      <c r="C319" s="12"/>
      <c r="D319" s="13"/>
      <c r="E319" s="13"/>
      <c r="F319" s="12"/>
      <c r="G319" s="56"/>
      <c r="H319" s="56"/>
      <c r="I319" s="56"/>
      <c r="J319" s="56"/>
      <c r="K319" s="56"/>
      <c r="L319" s="56"/>
      <c r="M319" s="10"/>
      <c r="N319" s="10"/>
    </row>
    <row r="320" spans="1:14" s="98" customFormat="1" x14ac:dyDescent="0.15">
      <c r="A320" s="11"/>
      <c r="B320" s="13"/>
      <c r="C320" s="12"/>
      <c r="D320" s="13"/>
      <c r="E320" s="13"/>
      <c r="F320" s="12"/>
      <c r="G320" s="56"/>
      <c r="H320" s="56"/>
      <c r="I320" s="56"/>
      <c r="J320" s="56"/>
      <c r="K320" s="56"/>
      <c r="L320" s="56"/>
      <c r="M320" s="10"/>
      <c r="N320" s="10"/>
    </row>
    <row r="321" spans="1:14" s="98" customFormat="1" x14ac:dyDescent="0.15">
      <c r="A321" s="11"/>
      <c r="B321" s="13"/>
      <c r="C321" s="12"/>
      <c r="D321" s="13"/>
      <c r="E321" s="13"/>
      <c r="F321" s="12"/>
      <c r="G321" s="56"/>
      <c r="H321" s="56"/>
      <c r="I321" s="56"/>
      <c r="J321" s="56"/>
      <c r="K321" s="56"/>
      <c r="L321" s="56"/>
      <c r="M321" s="10"/>
      <c r="N321" s="10"/>
    </row>
    <row r="322" spans="1:14" s="98" customFormat="1" x14ac:dyDescent="0.15">
      <c r="A322" s="11"/>
      <c r="B322" s="13"/>
      <c r="C322" s="12"/>
      <c r="D322" s="13"/>
      <c r="E322" s="13"/>
      <c r="F322" s="12"/>
      <c r="G322" s="56"/>
      <c r="H322" s="56"/>
      <c r="I322" s="56"/>
      <c r="J322" s="56"/>
      <c r="K322" s="56"/>
      <c r="L322" s="56"/>
      <c r="M322" s="10"/>
      <c r="N322" s="10"/>
    </row>
    <row r="323" spans="1:14" s="98" customFormat="1" x14ac:dyDescent="0.15">
      <c r="A323" s="11"/>
      <c r="B323" s="13"/>
      <c r="C323" s="12"/>
      <c r="D323" s="13"/>
      <c r="E323" s="13"/>
      <c r="F323" s="12"/>
      <c r="G323" s="56"/>
      <c r="H323" s="56"/>
      <c r="I323" s="56"/>
      <c r="J323" s="56"/>
      <c r="K323" s="56"/>
      <c r="L323" s="56"/>
      <c r="M323" s="10"/>
      <c r="N323" s="10"/>
    </row>
    <row r="324" spans="1:14" s="98" customFormat="1" x14ac:dyDescent="0.15">
      <c r="A324" s="11"/>
      <c r="B324" s="13"/>
      <c r="C324" s="12"/>
      <c r="D324" s="13"/>
      <c r="E324" s="13"/>
      <c r="F324" s="12"/>
      <c r="G324" s="56"/>
      <c r="H324" s="56"/>
      <c r="I324" s="56"/>
      <c r="J324" s="56"/>
      <c r="K324" s="56"/>
      <c r="L324" s="56"/>
      <c r="M324" s="10"/>
      <c r="N324" s="10"/>
    </row>
    <row r="325" spans="1:14" s="98" customFormat="1" x14ac:dyDescent="0.15">
      <c r="A325" s="11"/>
      <c r="B325" s="13"/>
      <c r="C325" s="12"/>
      <c r="D325" s="13"/>
      <c r="E325" s="13"/>
      <c r="F325" s="12"/>
      <c r="G325" s="56"/>
      <c r="H325" s="56"/>
      <c r="I325" s="56"/>
      <c r="J325" s="56"/>
      <c r="K325" s="56"/>
      <c r="L325" s="56"/>
      <c r="M325" s="10"/>
      <c r="N325" s="10"/>
    </row>
    <row r="326" spans="1:14" s="98" customFormat="1" x14ac:dyDescent="0.15">
      <c r="A326" s="11"/>
      <c r="B326" s="13"/>
      <c r="C326" s="12"/>
      <c r="D326" s="13"/>
      <c r="E326" s="13"/>
      <c r="F326" s="12"/>
      <c r="G326" s="56"/>
      <c r="H326" s="56"/>
      <c r="I326" s="56"/>
      <c r="J326" s="56"/>
      <c r="K326" s="56"/>
      <c r="L326" s="56"/>
      <c r="M326" s="10"/>
      <c r="N326" s="10"/>
    </row>
    <row r="327" spans="1:14" s="98" customFormat="1" x14ac:dyDescent="0.15">
      <c r="A327" s="11"/>
      <c r="B327" s="13"/>
      <c r="C327" s="12"/>
      <c r="D327" s="13"/>
      <c r="E327" s="13"/>
      <c r="F327" s="12"/>
      <c r="G327" s="56"/>
      <c r="H327" s="56"/>
      <c r="I327" s="56"/>
      <c r="J327" s="56"/>
      <c r="K327" s="56"/>
      <c r="L327" s="56"/>
      <c r="M327" s="10"/>
      <c r="N327" s="10"/>
    </row>
    <row r="328" spans="1:14" s="98" customFormat="1" x14ac:dyDescent="0.15">
      <c r="A328" s="11"/>
      <c r="B328" s="13"/>
      <c r="C328" s="12"/>
      <c r="D328" s="13"/>
      <c r="E328" s="13"/>
      <c r="F328" s="12"/>
      <c r="G328" s="56"/>
      <c r="H328" s="56"/>
      <c r="I328" s="56"/>
      <c r="J328" s="56"/>
      <c r="K328" s="56"/>
      <c r="L328" s="56"/>
      <c r="M328" s="10"/>
      <c r="N328" s="10"/>
    </row>
    <row r="329" spans="1:14" s="98" customFormat="1" x14ac:dyDescent="0.15">
      <c r="A329" s="11"/>
      <c r="B329" s="13"/>
      <c r="C329" s="12"/>
      <c r="D329" s="13"/>
      <c r="E329" s="13"/>
      <c r="F329" s="12"/>
      <c r="G329" s="56"/>
      <c r="H329" s="56"/>
      <c r="I329" s="56"/>
      <c r="J329" s="56"/>
      <c r="K329" s="56"/>
      <c r="L329" s="56"/>
      <c r="M329" s="10"/>
      <c r="N329" s="10"/>
    </row>
    <row r="330" spans="1:14" s="98" customFormat="1" x14ac:dyDescent="0.15">
      <c r="A330" s="11"/>
      <c r="B330" s="13"/>
      <c r="C330" s="12"/>
      <c r="D330" s="13"/>
      <c r="E330" s="13"/>
      <c r="F330" s="12"/>
      <c r="G330" s="56"/>
      <c r="H330" s="56"/>
      <c r="I330" s="56"/>
      <c r="J330" s="56"/>
      <c r="K330" s="56"/>
      <c r="L330" s="56"/>
      <c r="M330" s="10"/>
      <c r="N330" s="10"/>
    </row>
    <row r="331" spans="1:14" s="98" customFormat="1" x14ac:dyDescent="0.15">
      <c r="A331" s="11"/>
      <c r="B331" s="13"/>
      <c r="C331" s="12"/>
      <c r="D331" s="13"/>
      <c r="E331" s="13"/>
      <c r="F331" s="12"/>
      <c r="G331" s="56"/>
      <c r="H331" s="56"/>
      <c r="I331" s="56"/>
      <c r="J331" s="56"/>
      <c r="K331" s="56"/>
      <c r="L331" s="56"/>
      <c r="M331" s="10"/>
      <c r="N331" s="10"/>
    </row>
    <row r="332" spans="1:14" s="98" customFormat="1" x14ac:dyDescent="0.15">
      <c r="A332" s="11"/>
      <c r="B332" s="13"/>
      <c r="C332" s="12"/>
      <c r="D332" s="13"/>
      <c r="E332" s="13"/>
      <c r="F332" s="12"/>
      <c r="G332" s="56"/>
      <c r="H332" s="56"/>
      <c r="I332" s="56"/>
      <c r="J332" s="56"/>
      <c r="K332" s="56"/>
      <c r="L332" s="56"/>
      <c r="M332" s="10"/>
      <c r="N332" s="10"/>
    </row>
    <row r="333" spans="1:14" s="98" customFormat="1" x14ac:dyDescent="0.15">
      <c r="A333" s="11"/>
      <c r="B333" s="13"/>
      <c r="C333" s="12"/>
      <c r="D333" s="13"/>
      <c r="E333" s="13"/>
      <c r="F333" s="12"/>
      <c r="G333" s="56"/>
      <c r="H333" s="56"/>
      <c r="I333" s="56"/>
      <c r="J333" s="56"/>
      <c r="K333" s="56"/>
      <c r="L333" s="56"/>
      <c r="M333" s="10"/>
      <c r="N333" s="10"/>
    </row>
    <row r="334" spans="1:14" s="98" customFormat="1" x14ac:dyDescent="0.15">
      <c r="A334" s="11"/>
      <c r="B334" s="13"/>
      <c r="C334" s="12"/>
      <c r="D334" s="13"/>
      <c r="E334" s="13"/>
      <c r="F334" s="12"/>
      <c r="G334" s="56"/>
      <c r="H334" s="56"/>
      <c r="I334" s="56"/>
      <c r="J334" s="56"/>
      <c r="K334" s="56"/>
      <c r="L334" s="56"/>
      <c r="M334" s="10"/>
      <c r="N334" s="10"/>
    </row>
    <row r="335" spans="1:14" s="98" customFormat="1" x14ac:dyDescent="0.15">
      <c r="A335" s="11"/>
      <c r="B335" s="13"/>
      <c r="C335" s="12"/>
      <c r="D335" s="13"/>
      <c r="E335" s="13"/>
      <c r="F335" s="12"/>
      <c r="G335" s="56"/>
      <c r="H335" s="56"/>
      <c r="I335" s="56"/>
      <c r="J335" s="56"/>
      <c r="K335" s="56"/>
      <c r="L335" s="56"/>
      <c r="M335" s="10"/>
      <c r="N335" s="10"/>
    </row>
    <row r="336" spans="1:14" s="98" customFormat="1" x14ac:dyDescent="0.15">
      <c r="A336" s="11"/>
      <c r="B336" s="13"/>
      <c r="C336" s="12"/>
      <c r="D336" s="13"/>
      <c r="E336" s="13"/>
      <c r="F336" s="12"/>
      <c r="G336" s="56"/>
      <c r="H336" s="56"/>
      <c r="I336" s="56"/>
      <c r="J336" s="56"/>
      <c r="K336" s="56"/>
      <c r="L336" s="56"/>
      <c r="M336" s="10"/>
      <c r="N336" s="10"/>
    </row>
    <row r="337" spans="1:14" s="98" customFormat="1" x14ac:dyDescent="0.15">
      <c r="A337" s="11"/>
      <c r="B337" s="13"/>
      <c r="C337" s="12"/>
      <c r="D337" s="13"/>
      <c r="E337" s="13"/>
      <c r="F337" s="12"/>
      <c r="G337" s="56"/>
      <c r="H337" s="56"/>
      <c r="I337" s="56"/>
      <c r="J337" s="56"/>
      <c r="K337" s="56"/>
      <c r="L337" s="56"/>
      <c r="M337" s="10"/>
      <c r="N337" s="10"/>
    </row>
    <row r="338" spans="1:14" s="98" customFormat="1" x14ac:dyDescent="0.15">
      <c r="A338" s="11"/>
      <c r="B338" s="13"/>
      <c r="C338" s="12"/>
      <c r="D338" s="13"/>
      <c r="E338" s="13"/>
      <c r="F338" s="12"/>
      <c r="G338" s="56"/>
      <c r="H338" s="56"/>
      <c r="I338" s="56"/>
      <c r="J338" s="56"/>
      <c r="K338" s="56"/>
      <c r="L338" s="56"/>
      <c r="M338" s="10"/>
      <c r="N338" s="10"/>
    </row>
    <row r="339" spans="1:14" s="98" customFormat="1" x14ac:dyDescent="0.15">
      <c r="A339" s="11"/>
      <c r="B339" s="13"/>
      <c r="C339" s="12"/>
      <c r="D339" s="13"/>
      <c r="E339" s="13"/>
      <c r="F339" s="12"/>
      <c r="G339" s="56"/>
      <c r="H339" s="56"/>
      <c r="I339" s="56"/>
      <c r="J339" s="56"/>
      <c r="K339" s="56"/>
      <c r="L339" s="56"/>
      <c r="M339" s="10"/>
      <c r="N339" s="10"/>
    </row>
    <row r="340" spans="1:14" s="98" customFormat="1" x14ac:dyDescent="0.15">
      <c r="A340" s="11"/>
      <c r="B340" s="13"/>
      <c r="C340" s="12"/>
      <c r="D340" s="13"/>
      <c r="E340" s="13"/>
      <c r="F340" s="12"/>
      <c r="G340" s="56"/>
      <c r="H340" s="56"/>
      <c r="I340" s="56"/>
      <c r="J340" s="56"/>
      <c r="K340" s="56"/>
      <c r="L340" s="56"/>
      <c r="M340" s="10"/>
      <c r="N340" s="10"/>
    </row>
    <row r="341" spans="1:14" s="98" customFormat="1" x14ac:dyDescent="0.15">
      <c r="A341" s="11"/>
      <c r="B341" s="13"/>
      <c r="C341" s="12"/>
      <c r="D341" s="13"/>
      <c r="E341" s="13"/>
      <c r="F341" s="12"/>
      <c r="G341" s="56"/>
      <c r="H341" s="56"/>
      <c r="I341" s="56"/>
      <c r="J341" s="56"/>
      <c r="K341" s="56"/>
      <c r="L341" s="56"/>
      <c r="M341" s="10"/>
      <c r="N341" s="10"/>
    </row>
    <row r="342" spans="1:14" s="98" customFormat="1" x14ac:dyDescent="0.15">
      <c r="A342" s="11"/>
      <c r="B342" s="13"/>
      <c r="C342" s="12"/>
      <c r="D342" s="13"/>
      <c r="E342" s="13"/>
      <c r="F342" s="12"/>
      <c r="G342" s="56"/>
      <c r="H342" s="56"/>
      <c r="I342" s="56"/>
      <c r="J342" s="56"/>
      <c r="K342" s="56"/>
      <c r="L342" s="56"/>
      <c r="M342" s="10"/>
      <c r="N342" s="10"/>
    </row>
    <row r="343" spans="1:14" s="98" customFormat="1" x14ac:dyDescent="0.15">
      <c r="A343" s="11"/>
      <c r="B343" s="13"/>
      <c r="C343" s="12"/>
      <c r="D343" s="13"/>
      <c r="E343" s="13"/>
      <c r="F343" s="12"/>
      <c r="G343" s="56"/>
      <c r="H343" s="56"/>
      <c r="I343" s="56"/>
      <c r="J343" s="56"/>
      <c r="K343" s="56"/>
      <c r="L343" s="56"/>
      <c r="M343" s="10"/>
      <c r="N343" s="10"/>
    </row>
    <row r="344" spans="1:14" s="98" customFormat="1" x14ac:dyDescent="0.15">
      <c r="A344" s="11"/>
      <c r="B344" s="13"/>
      <c r="C344" s="12"/>
      <c r="D344" s="13"/>
      <c r="E344" s="13"/>
      <c r="F344" s="12"/>
      <c r="G344" s="56"/>
      <c r="H344" s="56"/>
      <c r="I344" s="56"/>
      <c r="J344" s="56"/>
      <c r="K344" s="56"/>
      <c r="L344" s="56"/>
      <c r="M344" s="10"/>
      <c r="N344" s="10"/>
    </row>
    <row r="345" spans="1:14" s="98" customFormat="1" x14ac:dyDescent="0.15">
      <c r="A345" s="11"/>
      <c r="B345" s="13"/>
      <c r="C345" s="12"/>
      <c r="D345" s="13"/>
      <c r="E345" s="13"/>
      <c r="F345" s="12"/>
      <c r="G345" s="56"/>
      <c r="H345" s="56"/>
      <c r="I345" s="56"/>
      <c r="J345" s="56"/>
      <c r="K345" s="56"/>
      <c r="L345" s="56"/>
      <c r="M345" s="10"/>
      <c r="N345" s="10"/>
    </row>
    <row r="346" spans="1:14" s="98" customFormat="1" x14ac:dyDescent="0.15">
      <c r="A346" s="11"/>
      <c r="B346" s="13"/>
      <c r="C346" s="12"/>
      <c r="D346" s="13"/>
      <c r="E346" s="13"/>
      <c r="F346" s="12"/>
      <c r="G346" s="56"/>
      <c r="H346" s="56"/>
      <c r="I346" s="56"/>
      <c r="J346" s="56"/>
      <c r="K346" s="56"/>
      <c r="L346" s="56"/>
      <c r="M346" s="10"/>
      <c r="N346" s="10"/>
    </row>
    <row r="347" spans="1:14" s="98" customFormat="1" x14ac:dyDescent="0.15">
      <c r="A347" s="11"/>
      <c r="B347" s="13"/>
      <c r="C347" s="12"/>
      <c r="D347" s="13"/>
      <c r="E347" s="13"/>
      <c r="F347" s="12"/>
      <c r="G347" s="56"/>
      <c r="H347" s="56"/>
      <c r="I347" s="56"/>
      <c r="J347" s="56"/>
      <c r="K347" s="56"/>
      <c r="L347" s="56"/>
      <c r="M347" s="10"/>
      <c r="N347" s="10"/>
    </row>
    <row r="348" spans="1:14" s="98" customFormat="1" x14ac:dyDescent="0.15">
      <c r="A348" s="11"/>
      <c r="B348" s="13"/>
      <c r="C348" s="12"/>
      <c r="D348" s="13"/>
      <c r="E348" s="13"/>
      <c r="F348" s="12"/>
      <c r="G348" s="56"/>
      <c r="H348" s="56"/>
      <c r="I348" s="56"/>
      <c r="J348" s="56"/>
      <c r="K348" s="56"/>
      <c r="L348" s="56"/>
      <c r="M348" s="10"/>
      <c r="N348" s="10"/>
    </row>
    <row r="349" spans="1:14" s="98" customFormat="1" x14ac:dyDescent="0.15">
      <c r="A349" s="11"/>
      <c r="B349" s="13"/>
      <c r="C349" s="12"/>
      <c r="D349" s="13"/>
      <c r="E349" s="13"/>
      <c r="F349" s="12"/>
      <c r="G349" s="56"/>
      <c r="H349" s="56"/>
      <c r="I349" s="56"/>
      <c r="J349" s="56"/>
      <c r="K349" s="56"/>
      <c r="L349" s="56"/>
      <c r="M349" s="10"/>
      <c r="N349" s="10"/>
    </row>
    <row r="350" spans="1:14" s="98" customFormat="1" x14ac:dyDescent="0.15">
      <c r="A350" s="11"/>
      <c r="B350" s="13"/>
      <c r="C350" s="12"/>
      <c r="D350" s="13"/>
      <c r="E350" s="13"/>
      <c r="F350" s="12"/>
      <c r="G350" s="56"/>
      <c r="H350" s="56"/>
      <c r="I350" s="56"/>
      <c r="J350" s="56"/>
      <c r="K350" s="56"/>
      <c r="L350" s="56"/>
      <c r="M350" s="10"/>
      <c r="N350" s="10"/>
    </row>
    <row r="351" spans="1:14" s="98" customFormat="1" x14ac:dyDescent="0.15">
      <c r="A351" s="11"/>
      <c r="B351" s="13"/>
      <c r="C351" s="12"/>
      <c r="D351" s="13"/>
      <c r="E351" s="13"/>
      <c r="F351" s="12"/>
      <c r="G351" s="56"/>
      <c r="H351" s="56"/>
      <c r="I351" s="56"/>
      <c r="J351" s="56"/>
      <c r="K351" s="56"/>
      <c r="L351" s="56"/>
      <c r="M351" s="10"/>
      <c r="N351" s="10"/>
    </row>
    <row r="352" spans="1:14" s="98" customFormat="1" x14ac:dyDescent="0.15">
      <c r="A352" s="11"/>
      <c r="B352" s="13"/>
      <c r="C352" s="12"/>
      <c r="D352" s="13"/>
      <c r="E352" s="13"/>
      <c r="F352" s="12"/>
      <c r="G352" s="56"/>
      <c r="H352" s="56"/>
      <c r="I352" s="56"/>
      <c r="J352" s="56"/>
      <c r="K352" s="56"/>
      <c r="L352" s="56"/>
      <c r="M352" s="10"/>
      <c r="N352" s="10"/>
    </row>
    <row r="353" spans="1:14" s="98" customFormat="1" x14ac:dyDescent="0.15">
      <c r="A353" s="11"/>
      <c r="B353" s="13"/>
      <c r="C353" s="12"/>
      <c r="D353" s="13"/>
      <c r="E353" s="13"/>
      <c r="F353" s="12"/>
      <c r="G353" s="56"/>
      <c r="H353" s="56"/>
      <c r="I353" s="56"/>
      <c r="J353" s="56"/>
      <c r="K353" s="56"/>
      <c r="L353" s="56"/>
      <c r="M353" s="10"/>
      <c r="N353" s="10"/>
    </row>
    <row r="354" spans="1:14" s="98" customFormat="1" x14ac:dyDescent="0.15">
      <c r="A354" s="11"/>
      <c r="B354" s="13"/>
      <c r="C354" s="12"/>
      <c r="D354" s="13"/>
      <c r="E354" s="13"/>
      <c r="F354" s="12"/>
      <c r="G354" s="56"/>
      <c r="H354" s="56"/>
      <c r="I354" s="56"/>
      <c r="J354" s="56"/>
      <c r="K354" s="56"/>
      <c r="L354" s="56"/>
      <c r="M354" s="10"/>
      <c r="N354" s="10"/>
    </row>
    <row r="355" spans="1:14" s="98" customFormat="1" x14ac:dyDescent="0.15">
      <c r="A355" s="11"/>
      <c r="B355" s="13"/>
      <c r="C355" s="12"/>
      <c r="D355" s="13"/>
      <c r="E355" s="13"/>
      <c r="F355" s="12"/>
      <c r="G355" s="56"/>
      <c r="H355" s="56"/>
      <c r="I355" s="56"/>
      <c r="J355" s="56"/>
      <c r="K355" s="56"/>
      <c r="L355" s="56"/>
      <c r="M355" s="10"/>
      <c r="N355" s="10"/>
    </row>
    <row r="356" spans="1:14" s="98" customFormat="1" x14ac:dyDescent="0.15">
      <c r="A356" s="11"/>
      <c r="B356" s="13"/>
      <c r="C356" s="12"/>
      <c r="D356" s="13"/>
      <c r="E356" s="13"/>
      <c r="F356" s="12"/>
      <c r="G356" s="56"/>
      <c r="H356" s="56"/>
      <c r="I356" s="56"/>
      <c r="J356" s="56"/>
      <c r="K356" s="56"/>
      <c r="L356" s="56"/>
      <c r="M356" s="10"/>
      <c r="N356" s="10"/>
    </row>
    <row r="357" spans="1:14" s="98" customFormat="1" x14ac:dyDescent="0.15">
      <c r="A357" s="11"/>
      <c r="B357" s="13"/>
      <c r="C357" s="12"/>
      <c r="D357" s="13"/>
      <c r="E357" s="13"/>
      <c r="F357" s="12"/>
      <c r="G357" s="56"/>
      <c r="H357" s="56"/>
      <c r="I357" s="56"/>
      <c r="J357" s="56"/>
      <c r="K357" s="56"/>
      <c r="L357" s="56"/>
      <c r="M357" s="10"/>
      <c r="N357" s="10"/>
    </row>
    <row r="358" spans="1:14" s="98" customFormat="1" x14ac:dyDescent="0.15">
      <c r="A358" s="11"/>
      <c r="B358" s="13"/>
      <c r="C358" s="12"/>
      <c r="D358" s="13"/>
      <c r="E358" s="13"/>
      <c r="F358" s="12"/>
      <c r="G358" s="56"/>
      <c r="H358" s="56"/>
      <c r="I358" s="56"/>
      <c r="J358" s="56"/>
      <c r="K358" s="56"/>
      <c r="L358" s="56"/>
      <c r="M358" s="10"/>
      <c r="N358" s="10"/>
    </row>
    <row r="359" spans="1:14" s="98" customFormat="1" x14ac:dyDescent="0.15">
      <c r="A359" s="11"/>
      <c r="B359" s="13"/>
      <c r="C359" s="12"/>
      <c r="D359" s="13"/>
      <c r="E359" s="13"/>
      <c r="F359" s="12"/>
      <c r="G359" s="56"/>
      <c r="H359" s="56"/>
      <c r="I359" s="56"/>
      <c r="J359" s="56"/>
      <c r="K359" s="56"/>
      <c r="L359" s="56"/>
      <c r="M359" s="10"/>
      <c r="N359" s="10"/>
    </row>
    <row r="360" spans="1:14" s="98" customFormat="1" x14ac:dyDescent="0.15">
      <c r="A360" s="11"/>
      <c r="B360" s="13"/>
      <c r="C360" s="12"/>
      <c r="D360" s="13"/>
      <c r="E360" s="13"/>
      <c r="F360" s="12"/>
      <c r="G360" s="56"/>
      <c r="H360" s="56"/>
      <c r="I360" s="56"/>
      <c r="J360" s="56"/>
      <c r="K360" s="56"/>
      <c r="L360" s="56"/>
      <c r="M360" s="10"/>
      <c r="N360" s="10"/>
    </row>
    <row r="361" spans="1:14" s="98" customFormat="1" x14ac:dyDescent="0.15">
      <c r="A361" s="11"/>
      <c r="B361" s="13"/>
      <c r="C361" s="12"/>
      <c r="D361" s="13"/>
      <c r="E361" s="13"/>
      <c r="F361" s="12"/>
      <c r="G361" s="56"/>
      <c r="H361" s="56"/>
      <c r="I361" s="56"/>
      <c r="J361" s="56"/>
      <c r="K361" s="56"/>
      <c r="L361" s="56"/>
      <c r="M361" s="10"/>
      <c r="N361" s="10"/>
    </row>
    <row r="362" spans="1:14" s="98" customFormat="1" x14ac:dyDescent="0.15">
      <c r="A362" s="11"/>
      <c r="B362" s="13"/>
      <c r="C362" s="12"/>
      <c r="D362" s="13"/>
      <c r="E362" s="13"/>
      <c r="F362" s="12"/>
      <c r="G362" s="56"/>
      <c r="H362" s="56"/>
      <c r="I362" s="56"/>
      <c r="J362" s="56"/>
      <c r="K362" s="56"/>
      <c r="L362" s="56"/>
      <c r="M362" s="10"/>
      <c r="N362" s="10"/>
    </row>
    <row r="363" spans="1:14" s="98" customFormat="1" x14ac:dyDescent="0.15">
      <c r="A363" s="11"/>
      <c r="B363" s="13"/>
      <c r="C363" s="12"/>
      <c r="D363" s="13"/>
      <c r="E363" s="13"/>
      <c r="F363" s="12"/>
      <c r="G363" s="56"/>
      <c r="H363" s="56"/>
      <c r="I363" s="56"/>
      <c r="J363" s="56"/>
      <c r="K363" s="56"/>
      <c r="L363" s="56"/>
      <c r="M363" s="10"/>
      <c r="N363" s="10"/>
    </row>
    <row r="364" spans="1:14" s="98" customFormat="1" x14ac:dyDescent="0.15">
      <c r="A364" s="11"/>
      <c r="B364" s="13"/>
      <c r="C364" s="12"/>
      <c r="D364" s="13"/>
      <c r="E364" s="13"/>
      <c r="F364" s="12"/>
      <c r="G364" s="56"/>
      <c r="H364" s="56"/>
      <c r="I364" s="56"/>
      <c r="J364" s="56"/>
      <c r="K364" s="56"/>
      <c r="L364" s="56"/>
      <c r="M364" s="10"/>
      <c r="N364" s="10"/>
    </row>
    <row r="365" spans="1:14" s="98" customFormat="1" x14ac:dyDescent="0.15">
      <c r="A365" s="11"/>
      <c r="B365" s="13"/>
      <c r="C365" s="12"/>
      <c r="D365" s="13"/>
      <c r="E365" s="13"/>
      <c r="F365" s="12"/>
      <c r="G365" s="56"/>
      <c r="H365" s="56"/>
      <c r="I365" s="56"/>
      <c r="J365" s="56"/>
      <c r="K365" s="56"/>
      <c r="L365" s="56"/>
      <c r="M365" s="10"/>
      <c r="N365" s="10"/>
    </row>
    <row r="366" spans="1:14" s="98" customFormat="1" x14ac:dyDescent="0.15">
      <c r="A366" s="11"/>
      <c r="B366" s="13"/>
      <c r="C366" s="12"/>
      <c r="D366" s="13"/>
      <c r="E366" s="13"/>
      <c r="F366" s="12"/>
      <c r="G366" s="56"/>
      <c r="H366" s="56"/>
      <c r="I366" s="56"/>
      <c r="J366" s="56"/>
      <c r="K366" s="56"/>
      <c r="L366" s="56"/>
      <c r="M366" s="10"/>
      <c r="N366" s="10"/>
    </row>
    <row r="367" spans="1:14" s="98" customFormat="1" x14ac:dyDescent="0.15">
      <c r="A367" s="11"/>
      <c r="B367" s="13"/>
      <c r="C367" s="12"/>
      <c r="D367" s="13"/>
      <c r="E367" s="13"/>
      <c r="F367" s="12"/>
      <c r="G367" s="56"/>
      <c r="H367" s="56"/>
      <c r="I367" s="56"/>
      <c r="J367" s="56"/>
      <c r="K367" s="56"/>
      <c r="L367" s="56"/>
      <c r="M367" s="10"/>
      <c r="N367" s="10"/>
    </row>
    <row r="368" spans="1:14" s="98" customFormat="1" x14ac:dyDescent="0.15">
      <c r="A368" s="11"/>
      <c r="B368" s="13"/>
      <c r="C368" s="12"/>
      <c r="D368" s="13"/>
      <c r="E368" s="13"/>
      <c r="F368" s="12"/>
      <c r="G368" s="56"/>
      <c r="H368" s="56"/>
      <c r="I368" s="56"/>
      <c r="J368" s="56"/>
      <c r="K368" s="56"/>
      <c r="L368" s="56"/>
      <c r="M368" s="10"/>
      <c r="N368" s="10"/>
    </row>
    <row r="369" spans="1:14" s="98" customFormat="1" x14ac:dyDescent="0.15">
      <c r="A369" s="11"/>
      <c r="B369" s="13"/>
      <c r="C369" s="12"/>
      <c r="D369" s="13"/>
      <c r="E369" s="13"/>
      <c r="F369" s="12"/>
      <c r="G369" s="56"/>
      <c r="H369" s="56"/>
      <c r="I369" s="56"/>
      <c r="J369" s="56"/>
      <c r="K369" s="56"/>
      <c r="L369" s="56"/>
      <c r="M369" s="10"/>
      <c r="N369" s="10"/>
    </row>
    <row r="370" spans="1:14" s="98" customFormat="1" x14ac:dyDescent="0.15">
      <c r="A370" s="11"/>
      <c r="B370" s="13"/>
      <c r="C370" s="12"/>
      <c r="D370" s="13"/>
      <c r="E370" s="13"/>
      <c r="F370" s="12"/>
      <c r="G370" s="56"/>
      <c r="H370" s="56"/>
      <c r="I370" s="56"/>
      <c r="J370" s="56"/>
      <c r="K370" s="56"/>
      <c r="L370" s="56"/>
      <c r="M370" s="10"/>
      <c r="N370" s="10"/>
    </row>
    <row r="371" spans="1:14" s="98" customFormat="1" x14ac:dyDescent="0.15">
      <c r="A371" s="11"/>
      <c r="B371" s="13"/>
      <c r="C371" s="12"/>
      <c r="D371" s="13"/>
      <c r="E371" s="13"/>
      <c r="F371" s="12"/>
      <c r="G371" s="56"/>
      <c r="H371" s="56"/>
      <c r="I371" s="56"/>
      <c r="J371" s="56"/>
      <c r="K371" s="56"/>
      <c r="L371" s="56"/>
      <c r="M371" s="10"/>
      <c r="N371" s="10"/>
    </row>
    <row r="372" spans="1:14" s="98" customFormat="1" x14ac:dyDescent="0.15">
      <c r="A372" s="11"/>
      <c r="B372" s="13"/>
      <c r="C372" s="12"/>
      <c r="D372" s="13"/>
      <c r="E372" s="13"/>
      <c r="F372" s="12"/>
      <c r="G372" s="56"/>
      <c r="H372" s="56"/>
      <c r="I372" s="56"/>
      <c r="J372" s="56"/>
      <c r="K372" s="56"/>
      <c r="L372" s="56"/>
      <c r="M372" s="10"/>
      <c r="N372" s="10"/>
    </row>
    <row r="373" spans="1:14" s="98" customFormat="1" x14ac:dyDescent="0.15">
      <c r="A373" s="11"/>
      <c r="B373" s="13"/>
      <c r="C373" s="12"/>
      <c r="D373" s="13"/>
      <c r="E373" s="13"/>
      <c r="F373" s="12"/>
      <c r="G373" s="56"/>
      <c r="H373" s="56"/>
      <c r="I373" s="56"/>
      <c r="J373" s="56"/>
      <c r="K373" s="56"/>
      <c r="L373" s="56"/>
      <c r="M373" s="10"/>
      <c r="N373" s="10"/>
    </row>
    <row r="374" spans="1:14" s="98" customFormat="1" x14ac:dyDescent="0.15">
      <c r="A374" s="11"/>
      <c r="B374" s="13"/>
      <c r="C374" s="12"/>
      <c r="D374" s="13"/>
      <c r="E374" s="13"/>
      <c r="F374" s="12"/>
      <c r="G374" s="56"/>
      <c r="H374" s="56"/>
      <c r="I374" s="56"/>
      <c r="J374" s="56"/>
      <c r="K374" s="56"/>
      <c r="L374" s="56"/>
      <c r="M374" s="10"/>
      <c r="N374" s="10"/>
    </row>
    <row r="375" spans="1:14" s="98" customFormat="1" x14ac:dyDescent="0.15">
      <c r="A375" s="11"/>
      <c r="B375" s="13"/>
      <c r="C375" s="12"/>
      <c r="D375" s="13"/>
      <c r="E375" s="13"/>
      <c r="F375" s="12"/>
      <c r="G375" s="56"/>
      <c r="H375" s="56"/>
      <c r="I375" s="56"/>
      <c r="J375" s="56"/>
      <c r="K375" s="56"/>
      <c r="L375" s="56"/>
      <c r="M375" s="10"/>
      <c r="N375" s="10"/>
    </row>
    <row r="376" spans="1:14" s="98" customFormat="1" x14ac:dyDescent="0.15">
      <c r="A376" s="11"/>
      <c r="B376" s="13"/>
      <c r="C376" s="12"/>
      <c r="D376" s="13"/>
      <c r="E376" s="13"/>
      <c r="F376" s="12"/>
      <c r="G376" s="56"/>
      <c r="H376" s="56"/>
      <c r="I376" s="56"/>
      <c r="J376" s="56"/>
      <c r="K376" s="56"/>
      <c r="L376" s="56"/>
      <c r="M376" s="10"/>
      <c r="N376" s="10"/>
    </row>
    <row r="377" spans="1:14" s="98" customFormat="1" x14ac:dyDescent="0.15">
      <c r="A377" s="11"/>
      <c r="B377" s="13"/>
      <c r="C377" s="12"/>
      <c r="D377" s="13"/>
      <c r="E377" s="13"/>
      <c r="F377" s="12"/>
      <c r="G377" s="56"/>
      <c r="H377" s="56"/>
      <c r="I377" s="56"/>
      <c r="J377" s="56"/>
      <c r="K377" s="56"/>
      <c r="L377" s="56"/>
      <c r="M377" s="10"/>
      <c r="N377" s="10"/>
    </row>
    <row r="378" spans="1:14" s="98" customFormat="1" x14ac:dyDescent="0.15">
      <c r="A378" s="11"/>
      <c r="B378" s="13"/>
      <c r="C378" s="12"/>
      <c r="D378" s="13"/>
      <c r="E378" s="13"/>
      <c r="F378" s="12"/>
      <c r="G378" s="56"/>
      <c r="H378" s="56"/>
      <c r="I378" s="56"/>
      <c r="J378" s="56"/>
      <c r="K378" s="56"/>
      <c r="L378" s="56"/>
      <c r="M378" s="10"/>
      <c r="N378" s="10"/>
    </row>
    <row r="379" spans="1:14" s="98" customFormat="1" x14ac:dyDescent="0.15">
      <c r="A379" s="11"/>
      <c r="B379" s="13"/>
      <c r="C379" s="12"/>
      <c r="D379" s="13"/>
      <c r="E379" s="13"/>
      <c r="F379" s="12"/>
      <c r="G379" s="56"/>
      <c r="H379" s="56"/>
      <c r="I379" s="56"/>
      <c r="J379" s="56"/>
      <c r="K379" s="56"/>
      <c r="L379" s="56"/>
      <c r="M379" s="10"/>
      <c r="N379" s="10"/>
    </row>
    <row r="380" spans="1:14" s="98" customFormat="1" x14ac:dyDescent="0.15">
      <c r="A380" s="11"/>
      <c r="B380" s="13"/>
      <c r="C380" s="12"/>
      <c r="D380" s="13"/>
      <c r="E380" s="13"/>
      <c r="F380" s="12"/>
      <c r="G380" s="56"/>
      <c r="H380" s="56"/>
      <c r="I380" s="56"/>
      <c r="J380" s="56"/>
      <c r="K380" s="56"/>
      <c r="L380" s="56"/>
      <c r="M380" s="10"/>
      <c r="N380" s="10"/>
    </row>
    <row r="381" spans="1:14" s="98" customFormat="1" x14ac:dyDescent="0.15">
      <c r="A381" s="11"/>
      <c r="B381" s="13"/>
      <c r="C381" s="12"/>
      <c r="D381" s="13"/>
      <c r="E381" s="13"/>
      <c r="F381" s="12"/>
      <c r="G381" s="56"/>
      <c r="H381" s="56"/>
      <c r="I381" s="56"/>
      <c r="J381" s="56"/>
      <c r="K381" s="56"/>
      <c r="L381" s="56"/>
      <c r="M381" s="10"/>
      <c r="N381" s="10"/>
    </row>
    <row r="382" spans="1:14" s="98" customFormat="1" x14ac:dyDescent="0.15">
      <c r="A382" s="11"/>
      <c r="B382" s="13"/>
      <c r="C382" s="12"/>
      <c r="D382" s="13"/>
      <c r="E382" s="13"/>
      <c r="F382" s="12"/>
      <c r="G382" s="56"/>
      <c r="H382" s="56"/>
      <c r="I382" s="56"/>
      <c r="J382" s="56"/>
      <c r="K382" s="56"/>
      <c r="L382" s="56"/>
      <c r="M382" s="10"/>
      <c r="N382" s="10"/>
    </row>
    <row r="383" spans="1:14" s="98" customFormat="1" x14ac:dyDescent="0.15">
      <c r="A383" s="11"/>
      <c r="B383" s="13"/>
      <c r="C383" s="12"/>
      <c r="D383" s="13"/>
      <c r="E383" s="13"/>
      <c r="F383" s="12"/>
      <c r="G383" s="56"/>
      <c r="H383" s="56"/>
      <c r="I383" s="56"/>
      <c r="J383" s="56"/>
      <c r="K383" s="56"/>
      <c r="L383" s="56"/>
      <c r="M383" s="10"/>
      <c r="N383" s="10"/>
    </row>
    <row r="384" spans="1:14" s="98" customFormat="1" x14ac:dyDescent="0.15">
      <c r="A384" s="11"/>
      <c r="B384" s="13"/>
      <c r="C384" s="12"/>
      <c r="D384" s="13"/>
      <c r="E384" s="13"/>
      <c r="F384" s="12"/>
      <c r="G384" s="56"/>
      <c r="H384" s="56"/>
      <c r="I384" s="56"/>
      <c r="J384" s="56"/>
      <c r="K384" s="56"/>
      <c r="L384" s="56"/>
      <c r="M384" s="10"/>
      <c r="N384" s="10"/>
    </row>
    <row r="385" spans="1:14" s="98" customFormat="1" x14ac:dyDescent="0.15">
      <c r="A385" s="11"/>
      <c r="B385" s="13"/>
      <c r="C385" s="12"/>
      <c r="D385" s="13"/>
      <c r="E385" s="13"/>
      <c r="F385" s="12"/>
      <c r="G385" s="56"/>
      <c r="H385" s="56"/>
      <c r="I385" s="56"/>
      <c r="J385" s="56"/>
      <c r="K385" s="56"/>
      <c r="L385" s="56"/>
      <c r="M385" s="10"/>
      <c r="N385" s="10"/>
    </row>
    <row r="386" spans="1:14" s="98" customFormat="1" x14ac:dyDescent="0.15">
      <c r="A386" s="11"/>
      <c r="B386" s="13"/>
      <c r="C386" s="12"/>
      <c r="D386" s="13"/>
      <c r="E386" s="13"/>
      <c r="F386" s="12"/>
      <c r="G386" s="56"/>
      <c r="H386" s="56"/>
      <c r="I386" s="56"/>
      <c r="J386" s="56"/>
      <c r="K386" s="56"/>
      <c r="L386" s="56"/>
      <c r="M386" s="10"/>
      <c r="N386" s="10"/>
    </row>
    <row r="387" spans="1:14" s="98" customFormat="1" x14ac:dyDescent="0.15">
      <c r="A387" s="11"/>
      <c r="B387" s="13"/>
      <c r="C387" s="12"/>
      <c r="D387" s="13"/>
      <c r="E387" s="13"/>
      <c r="F387" s="12"/>
      <c r="G387" s="56"/>
      <c r="H387" s="56"/>
      <c r="I387" s="56"/>
      <c r="J387" s="56"/>
      <c r="K387" s="56"/>
      <c r="L387" s="56"/>
      <c r="M387" s="10"/>
      <c r="N387" s="10"/>
    </row>
    <row r="388" spans="1:14" s="98" customFormat="1" x14ac:dyDescent="0.15">
      <c r="A388" s="11"/>
      <c r="B388" s="13"/>
      <c r="C388" s="12"/>
      <c r="D388" s="13"/>
      <c r="E388" s="13"/>
      <c r="F388" s="12"/>
      <c r="G388" s="56"/>
      <c r="H388" s="56"/>
      <c r="I388" s="56"/>
      <c r="J388" s="56"/>
      <c r="K388" s="56"/>
      <c r="L388" s="56"/>
      <c r="M388" s="10"/>
      <c r="N388" s="10"/>
    </row>
    <row r="389" spans="1:14" s="98" customFormat="1" x14ac:dyDescent="0.15">
      <c r="A389" s="11"/>
      <c r="B389" s="13"/>
      <c r="C389" s="12"/>
      <c r="D389" s="13"/>
      <c r="E389" s="13"/>
      <c r="F389" s="12"/>
      <c r="G389" s="56"/>
      <c r="H389" s="56"/>
      <c r="I389" s="56"/>
      <c r="J389" s="56"/>
      <c r="K389" s="56"/>
      <c r="L389" s="56"/>
      <c r="M389" s="10"/>
      <c r="N389" s="10"/>
    </row>
    <row r="390" spans="1:14" s="98" customFormat="1" x14ac:dyDescent="0.15">
      <c r="A390" s="11"/>
      <c r="B390" s="13"/>
      <c r="C390" s="12"/>
      <c r="D390" s="13"/>
      <c r="E390" s="13"/>
      <c r="F390" s="12"/>
      <c r="G390" s="56"/>
      <c r="H390" s="56"/>
      <c r="I390" s="56"/>
      <c r="J390" s="56"/>
      <c r="K390" s="56"/>
      <c r="L390" s="56"/>
      <c r="M390" s="10"/>
      <c r="N390" s="10"/>
    </row>
    <row r="391" spans="1:14" s="98" customFormat="1" x14ac:dyDescent="0.15">
      <c r="A391" s="11"/>
      <c r="B391" s="13"/>
      <c r="C391" s="12"/>
      <c r="D391" s="13"/>
      <c r="E391" s="13"/>
      <c r="F391" s="12"/>
      <c r="G391" s="56"/>
      <c r="H391" s="56"/>
      <c r="I391" s="56"/>
      <c r="J391" s="56"/>
      <c r="K391" s="56"/>
      <c r="L391" s="56"/>
      <c r="M391" s="10"/>
      <c r="N391" s="10"/>
    </row>
    <row r="392" spans="1:14" s="98" customFormat="1" x14ac:dyDescent="0.15">
      <c r="A392" s="11"/>
      <c r="B392" s="13"/>
      <c r="C392" s="12"/>
      <c r="D392" s="13"/>
      <c r="E392" s="13"/>
      <c r="F392" s="12"/>
      <c r="G392" s="56"/>
      <c r="H392" s="56"/>
      <c r="I392" s="56"/>
      <c r="J392" s="56"/>
      <c r="K392" s="56"/>
      <c r="L392" s="56"/>
      <c r="M392" s="10"/>
      <c r="N392" s="10"/>
    </row>
    <row r="393" spans="1:14" s="98" customFormat="1" x14ac:dyDescent="0.15">
      <c r="A393" s="11"/>
      <c r="B393" s="13"/>
      <c r="C393" s="12"/>
      <c r="D393" s="13"/>
      <c r="E393" s="13"/>
      <c r="F393" s="12"/>
      <c r="G393" s="56"/>
      <c r="H393" s="56"/>
      <c r="I393" s="56"/>
      <c r="J393" s="56"/>
      <c r="K393" s="56"/>
      <c r="L393" s="56"/>
      <c r="M393" s="10"/>
      <c r="N393" s="10"/>
    </row>
    <row r="394" spans="1:14" s="98" customFormat="1" x14ac:dyDescent="0.15">
      <c r="A394" s="11"/>
      <c r="B394" s="13"/>
      <c r="C394" s="12"/>
      <c r="D394" s="13"/>
      <c r="E394" s="13"/>
      <c r="F394" s="12"/>
      <c r="G394" s="56"/>
      <c r="H394" s="56"/>
      <c r="I394" s="56"/>
      <c r="J394" s="56"/>
      <c r="K394" s="56"/>
      <c r="L394" s="56"/>
      <c r="M394" s="10"/>
      <c r="N394" s="10"/>
    </row>
    <row r="395" spans="1:14" s="98" customFormat="1" x14ac:dyDescent="0.15">
      <c r="A395" s="11"/>
      <c r="B395" s="13"/>
      <c r="C395" s="12"/>
      <c r="D395" s="13"/>
      <c r="E395" s="13"/>
      <c r="F395" s="12"/>
      <c r="G395" s="56"/>
      <c r="H395" s="56"/>
      <c r="I395" s="56"/>
      <c r="J395" s="56"/>
      <c r="K395" s="56"/>
      <c r="L395" s="56"/>
      <c r="M395" s="10"/>
      <c r="N395" s="10"/>
    </row>
    <row r="396" spans="1:14" s="98" customFormat="1" x14ac:dyDescent="0.15">
      <c r="A396" s="11"/>
      <c r="B396" s="13"/>
      <c r="C396" s="12"/>
      <c r="D396" s="13"/>
      <c r="E396" s="13"/>
      <c r="F396" s="12"/>
      <c r="G396" s="56"/>
      <c r="H396" s="56"/>
      <c r="I396" s="56"/>
      <c r="J396" s="56"/>
      <c r="K396" s="56"/>
      <c r="L396" s="56"/>
      <c r="M396" s="10"/>
      <c r="N396" s="10"/>
    </row>
    <row r="397" spans="1:14" s="98" customFormat="1" x14ac:dyDescent="0.15">
      <c r="A397" s="11"/>
      <c r="B397" s="13"/>
      <c r="C397" s="12"/>
      <c r="D397" s="13"/>
      <c r="E397" s="13"/>
      <c r="F397" s="12"/>
      <c r="G397" s="56"/>
      <c r="H397" s="56"/>
      <c r="I397" s="56"/>
      <c r="J397" s="56"/>
      <c r="K397" s="56"/>
      <c r="L397" s="56"/>
      <c r="M397" s="10"/>
      <c r="N397" s="10"/>
    </row>
    <row r="398" spans="1:14" s="98" customFormat="1" x14ac:dyDescent="0.15">
      <c r="A398" s="11"/>
      <c r="B398" s="13"/>
      <c r="C398" s="12"/>
      <c r="D398" s="13"/>
      <c r="E398" s="13"/>
      <c r="F398" s="12"/>
      <c r="G398" s="56"/>
      <c r="H398" s="56"/>
      <c r="I398" s="56"/>
      <c r="J398" s="56"/>
      <c r="K398" s="56"/>
      <c r="L398" s="56"/>
      <c r="M398" s="10"/>
      <c r="N398" s="10"/>
    </row>
    <row r="399" spans="1:14" s="98" customFormat="1" x14ac:dyDescent="0.15">
      <c r="A399" s="11"/>
      <c r="B399" s="13"/>
      <c r="C399" s="12"/>
      <c r="D399" s="13"/>
      <c r="E399" s="13"/>
      <c r="F399" s="12"/>
      <c r="G399" s="56"/>
      <c r="H399" s="56"/>
      <c r="I399" s="56"/>
      <c r="J399" s="56"/>
      <c r="K399" s="56"/>
      <c r="L399" s="56"/>
      <c r="M399" s="10"/>
      <c r="N399" s="10"/>
    </row>
    <row r="400" spans="1:14" s="98" customFormat="1" x14ac:dyDescent="0.15">
      <c r="A400" s="11"/>
      <c r="B400" s="13"/>
      <c r="C400" s="12"/>
      <c r="D400" s="13"/>
      <c r="E400" s="13"/>
      <c r="F400" s="12"/>
      <c r="G400" s="56"/>
      <c r="H400" s="56"/>
      <c r="I400" s="56"/>
      <c r="J400" s="56"/>
      <c r="K400" s="56"/>
      <c r="L400" s="56"/>
      <c r="M400" s="10"/>
      <c r="N400" s="10"/>
    </row>
    <row r="401" spans="1:14" s="98" customFormat="1" x14ac:dyDescent="0.15">
      <c r="A401" s="11"/>
      <c r="B401" s="13"/>
      <c r="C401" s="12"/>
      <c r="D401" s="13"/>
      <c r="E401" s="13"/>
      <c r="F401" s="12"/>
      <c r="G401" s="56"/>
      <c r="H401" s="56"/>
      <c r="I401" s="56"/>
      <c r="J401" s="56"/>
      <c r="K401" s="56"/>
      <c r="L401" s="56"/>
      <c r="M401" s="10"/>
      <c r="N401" s="10"/>
    </row>
    <row r="402" spans="1:14" s="98" customFormat="1" x14ac:dyDescent="0.15">
      <c r="A402" s="11"/>
      <c r="B402" s="13"/>
      <c r="C402" s="12"/>
      <c r="D402" s="13"/>
      <c r="E402" s="13"/>
      <c r="F402" s="12"/>
      <c r="G402" s="56"/>
      <c r="H402" s="56"/>
      <c r="I402" s="56"/>
      <c r="J402" s="56"/>
      <c r="K402" s="56"/>
      <c r="L402" s="56"/>
      <c r="M402" s="10"/>
      <c r="N402" s="10"/>
    </row>
    <row r="403" spans="1:14" s="98" customFormat="1" x14ac:dyDescent="0.15">
      <c r="A403" s="11"/>
      <c r="B403" s="13"/>
      <c r="C403" s="12"/>
      <c r="D403" s="13"/>
      <c r="E403" s="13"/>
      <c r="F403" s="12"/>
      <c r="G403" s="56"/>
      <c r="H403" s="56"/>
      <c r="I403" s="56"/>
      <c r="J403" s="56"/>
      <c r="K403" s="56"/>
      <c r="L403" s="56"/>
      <c r="M403" s="10"/>
      <c r="N403" s="10"/>
    </row>
    <row r="404" spans="1:14" s="98" customFormat="1" x14ac:dyDescent="0.15">
      <c r="A404" s="11"/>
      <c r="B404" s="13"/>
      <c r="C404" s="12"/>
      <c r="D404" s="13"/>
      <c r="E404" s="13"/>
      <c r="F404" s="12"/>
      <c r="G404" s="56"/>
      <c r="H404" s="56"/>
      <c r="I404" s="56"/>
      <c r="J404" s="56"/>
      <c r="K404" s="56"/>
      <c r="L404" s="56"/>
      <c r="M404" s="10"/>
      <c r="N404" s="10"/>
    </row>
    <row r="405" spans="1:14" s="98" customFormat="1" x14ac:dyDescent="0.15">
      <c r="A405" s="11"/>
      <c r="B405" s="13"/>
      <c r="C405" s="12"/>
      <c r="D405" s="13"/>
      <c r="E405" s="13"/>
      <c r="F405" s="12"/>
      <c r="G405" s="56"/>
      <c r="H405" s="56"/>
      <c r="I405" s="56"/>
      <c r="J405" s="56"/>
      <c r="K405" s="56"/>
      <c r="L405" s="56"/>
      <c r="M405" s="10"/>
      <c r="N405" s="10"/>
    </row>
    <row r="406" spans="1:14" s="98" customFormat="1" x14ac:dyDescent="0.15">
      <c r="A406" s="11"/>
      <c r="B406" s="13"/>
      <c r="C406" s="12"/>
      <c r="D406" s="13"/>
      <c r="E406" s="13"/>
      <c r="F406" s="12"/>
      <c r="G406" s="56"/>
      <c r="H406" s="56"/>
      <c r="I406" s="56"/>
      <c r="J406" s="56"/>
      <c r="K406" s="56"/>
      <c r="L406" s="56"/>
      <c r="M406" s="10"/>
      <c r="N406" s="10"/>
    </row>
    <row r="407" spans="1:14" s="98" customFormat="1" x14ac:dyDescent="0.15">
      <c r="A407" s="11"/>
      <c r="B407" s="13"/>
      <c r="C407" s="12"/>
      <c r="D407" s="13"/>
      <c r="E407" s="13"/>
      <c r="F407" s="12"/>
      <c r="G407" s="56"/>
      <c r="H407" s="56"/>
      <c r="I407" s="56"/>
      <c r="J407" s="56"/>
      <c r="K407" s="56"/>
      <c r="L407" s="56"/>
      <c r="M407" s="10"/>
      <c r="N407" s="10"/>
    </row>
    <row r="408" spans="1:14" s="98" customFormat="1" x14ac:dyDescent="0.15">
      <c r="A408" s="11"/>
      <c r="B408" s="13"/>
      <c r="C408" s="12"/>
      <c r="D408" s="13"/>
      <c r="E408" s="13"/>
      <c r="F408" s="12"/>
      <c r="G408" s="56"/>
      <c r="H408" s="56"/>
      <c r="I408" s="56"/>
      <c r="J408" s="56"/>
      <c r="K408" s="56"/>
      <c r="L408" s="56"/>
      <c r="M408" s="10"/>
      <c r="N408" s="10"/>
    </row>
    <row r="409" spans="1:14" s="98" customFormat="1" x14ac:dyDescent="0.15">
      <c r="A409" s="11"/>
      <c r="B409" s="13"/>
      <c r="C409" s="12"/>
      <c r="D409" s="13"/>
      <c r="E409" s="13"/>
      <c r="F409" s="12"/>
      <c r="G409" s="56"/>
      <c r="H409" s="56"/>
      <c r="I409" s="56"/>
      <c r="J409" s="56"/>
      <c r="K409" s="56"/>
      <c r="L409" s="56"/>
      <c r="M409" s="10"/>
      <c r="N409" s="10"/>
    </row>
    <row r="410" spans="1:14" s="98" customFormat="1" x14ac:dyDescent="0.15">
      <c r="A410" s="11"/>
      <c r="B410" s="13"/>
      <c r="C410" s="12"/>
      <c r="D410" s="13"/>
      <c r="E410" s="13"/>
      <c r="F410" s="12"/>
      <c r="G410" s="56"/>
      <c r="H410" s="56"/>
      <c r="I410" s="56"/>
      <c r="J410" s="56"/>
      <c r="K410" s="56"/>
      <c r="L410" s="56"/>
      <c r="M410" s="10"/>
      <c r="N410" s="10"/>
    </row>
    <row r="411" spans="1:14" s="98" customFormat="1" x14ac:dyDescent="0.15">
      <c r="A411" s="11"/>
      <c r="B411" s="13"/>
      <c r="C411" s="12"/>
      <c r="D411" s="13"/>
      <c r="E411" s="13"/>
      <c r="F411" s="12"/>
      <c r="G411" s="56"/>
      <c r="H411" s="56"/>
      <c r="I411" s="56"/>
      <c r="J411" s="56"/>
      <c r="K411" s="56"/>
      <c r="L411" s="56"/>
      <c r="M411" s="10"/>
      <c r="N411" s="10"/>
    </row>
    <row r="412" spans="1:14" s="98" customFormat="1" x14ac:dyDescent="0.15">
      <c r="A412" s="11"/>
      <c r="B412" s="13"/>
      <c r="C412" s="12"/>
      <c r="D412" s="13"/>
      <c r="E412" s="13"/>
      <c r="F412" s="12"/>
      <c r="G412" s="56"/>
      <c r="H412" s="56"/>
      <c r="I412" s="56"/>
      <c r="J412" s="56"/>
      <c r="K412" s="56"/>
      <c r="L412" s="56"/>
      <c r="M412" s="10"/>
      <c r="N412" s="10"/>
    </row>
    <row r="413" spans="1:14" s="98" customFormat="1" x14ac:dyDescent="0.15">
      <c r="A413" s="11"/>
      <c r="B413" s="13"/>
      <c r="C413" s="12"/>
      <c r="D413" s="13"/>
      <c r="E413" s="13"/>
      <c r="F413" s="12"/>
      <c r="G413" s="56"/>
      <c r="H413" s="56"/>
      <c r="I413" s="56"/>
      <c r="J413" s="56"/>
      <c r="K413" s="56"/>
      <c r="L413" s="56"/>
      <c r="M413" s="10"/>
      <c r="N413" s="10"/>
    </row>
    <row r="414" spans="1:14" s="98" customFormat="1" x14ac:dyDescent="0.15">
      <c r="A414" s="11"/>
      <c r="B414" s="13"/>
      <c r="C414" s="12"/>
      <c r="D414" s="13"/>
      <c r="E414" s="13"/>
      <c r="F414" s="12"/>
      <c r="G414" s="56"/>
      <c r="H414" s="56"/>
      <c r="I414" s="56"/>
      <c r="J414" s="56"/>
      <c r="K414" s="56"/>
      <c r="L414" s="56"/>
      <c r="M414" s="10"/>
      <c r="N414" s="10"/>
    </row>
    <row r="415" spans="1:14" s="98" customFormat="1" x14ac:dyDescent="0.15">
      <c r="A415" s="11"/>
      <c r="B415" s="13"/>
      <c r="C415" s="12"/>
      <c r="D415" s="13"/>
      <c r="E415" s="13"/>
      <c r="F415" s="12"/>
      <c r="G415" s="56"/>
      <c r="H415" s="56"/>
      <c r="I415" s="56"/>
      <c r="J415" s="56"/>
      <c r="K415" s="56"/>
      <c r="L415" s="56"/>
      <c r="M415" s="10"/>
      <c r="N415" s="10"/>
    </row>
    <row r="416" spans="1:14" s="98" customFormat="1" x14ac:dyDescent="0.15">
      <c r="A416" s="11"/>
      <c r="B416" s="13"/>
      <c r="C416" s="12"/>
      <c r="D416" s="13"/>
      <c r="E416" s="13"/>
      <c r="F416" s="12"/>
      <c r="G416" s="56"/>
      <c r="H416" s="56"/>
      <c r="I416" s="56"/>
      <c r="J416" s="56"/>
      <c r="K416" s="56"/>
      <c r="L416" s="56"/>
      <c r="M416" s="10"/>
      <c r="N416" s="10"/>
    </row>
    <row r="417" spans="1:14" s="98" customFormat="1" x14ac:dyDescent="0.15">
      <c r="A417" s="11"/>
      <c r="B417" s="13"/>
      <c r="C417" s="12"/>
      <c r="D417" s="13"/>
      <c r="E417" s="13"/>
      <c r="F417" s="12"/>
      <c r="G417" s="56"/>
      <c r="H417" s="56"/>
      <c r="I417" s="56"/>
      <c r="J417" s="56"/>
      <c r="K417" s="56"/>
      <c r="L417" s="56"/>
      <c r="M417" s="10"/>
      <c r="N417" s="10"/>
    </row>
    <row r="418" spans="1:14" s="98" customFormat="1" x14ac:dyDescent="0.15">
      <c r="A418" s="11"/>
      <c r="B418" s="13"/>
      <c r="C418" s="12"/>
      <c r="D418" s="13"/>
      <c r="E418" s="13"/>
      <c r="F418" s="12"/>
      <c r="G418" s="56"/>
      <c r="H418" s="56"/>
      <c r="I418" s="56"/>
      <c r="J418" s="56"/>
      <c r="K418" s="56"/>
      <c r="L418" s="56"/>
      <c r="M418" s="10"/>
      <c r="N418" s="10"/>
    </row>
    <row r="419" spans="1:14" s="98" customFormat="1" x14ac:dyDescent="0.15">
      <c r="A419" s="11"/>
      <c r="B419" s="13"/>
      <c r="C419" s="12"/>
      <c r="D419" s="13"/>
      <c r="E419" s="13"/>
      <c r="F419" s="12"/>
      <c r="G419" s="56"/>
      <c r="H419" s="56"/>
      <c r="I419" s="56"/>
      <c r="J419" s="56"/>
      <c r="K419" s="56"/>
      <c r="L419" s="56"/>
      <c r="M419" s="10"/>
      <c r="N419" s="10"/>
    </row>
    <row r="420" spans="1:14" s="98" customFormat="1" x14ac:dyDescent="0.15">
      <c r="A420" s="11"/>
      <c r="B420" s="13"/>
      <c r="C420" s="12"/>
      <c r="D420" s="13"/>
      <c r="E420" s="13"/>
      <c r="F420" s="12"/>
      <c r="G420" s="56"/>
      <c r="H420" s="56"/>
      <c r="I420" s="56"/>
      <c r="J420" s="56"/>
      <c r="K420" s="56"/>
      <c r="L420" s="56"/>
      <c r="M420" s="10"/>
      <c r="N420" s="10"/>
    </row>
    <row r="421" spans="1:14" s="98" customFormat="1" x14ac:dyDescent="0.15">
      <c r="A421" s="11"/>
      <c r="B421" s="13"/>
      <c r="C421" s="12"/>
      <c r="D421" s="13"/>
      <c r="E421" s="13"/>
      <c r="F421" s="12"/>
      <c r="G421" s="56"/>
      <c r="H421" s="56"/>
      <c r="I421" s="56"/>
      <c r="J421" s="56"/>
      <c r="K421" s="56"/>
      <c r="L421" s="56"/>
      <c r="M421" s="10"/>
      <c r="N421" s="10"/>
    </row>
    <row r="422" spans="1:14" s="98" customFormat="1" x14ac:dyDescent="0.15">
      <c r="A422" s="11"/>
      <c r="B422" s="13"/>
      <c r="C422" s="12"/>
      <c r="D422" s="13"/>
      <c r="E422" s="13"/>
      <c r="F422" s="12"/>
      <c r="G422" s="56"/>
      <c r="H422" s="56"/>
      <c r="I422" s="56"/>
      <c r="J422" s="56"/>
      <c r="K422" s="56"/>
      <c r="L422" s="56"/>
      <c r="M422" s="10"/>
      <c r="N422" s="10"/>
    </row>
    <row r="423" spans="1:14" s="98" customFormat="1" x14ac:dyDescent="0.15">
      <c r="A423" s="11"/>
      <c r="B423" s="13"/>
      <c r="C423" s="12"/>
      <c r="D423" s="13"/>
      <c r="E423" s="13"/>
      <c r="F423" s="12"/>
      <c r="G423" s="56"/>
      <c r="H423" s="56"/>
      <c r="I423" s="56"/>
      <c r="J423" s="56"/>
      <c r="K423" s="56"/>
      <c r="L423" s="56"/>
      <c r="M423" s="10"/>
      <c r="N423" s="10"/>
    </row>
    <row r="424" spans="1:14" s="98" customFormat="1" x14ac:dyDescent="0.15">
      <c r="A424" s="11"/>
      <c r="B424" s="13"/>
      <c r="C424" s="12"/>
      <c r="D424" s="13"/>
      <c r="E424" s="13"/>
      <c r="F424" s="12"/>
      <c r="G424" s="56"/>
      <c r="H424" s="56"/>
      <c r="I424" s="56"/>
      <c r="J424" s="56"/>
      <c r="K424" s="56"/>
      <c r="L424" s="56"/>
      <c r="M424" s="10"/>
      <c r="N424" s="10"/>
    </row>
    <row r="425" spans="1:14" s="98" customFormat="1" x14ac:dyDescent="0.15">
      <c r="A425" s="11"/>
      <c r="B425" s="13"/>
      <c r="C425" s="12"/>
      <c r="D425" s="13"/>
      <c r="E425" s="13"/>
      <c r="F425" s="12"/>
      <c r="G425" s="56"/>
      <c r="H425" s="56"/>
      <c r="I425" s="56"/>
      <c r="J425" s="56"/>
      <c r="K425" s="56"/>
      <c r="L425" s="56"/>
      <c r="M425" s="10"/>
      <c r="N425" s="10"/>
    </row>
    <row r="426" spans="1:14" s="98" customFormat="1" x14ac:dyDescent="0.15">
      <c r="A426" s="11"/>
      <c r="B426" s="13"/>
      <c r="C426" s="12"/>
      <c r="D426" s="13"/>
      <c r="E426" s="13"/>
      <c r="F426" s="12"/>
      <c r="G426" s="56"/>
      <c r="H426" s="56"/>
      <c r="I426" s="56"/>
      <c r="J426" s="56"/>
      <c r="K426" s="56"/>
      <c r="L426" s="56"/>
      <c r="M426" s="10"/>
      <c r="N426" s="10"/>
    </row>
    <row r="427" spans="1:14" s="98" customFormat="1" x14ac:dyDescent="0.15">
      <c r="A427" s="11"/>
      <c r="B427" s="13"/>
      <c r="C427" s="12"/>
      <c r="D427" s="13"/>
      <c r="E427" s="13"/>
      <c r="F427" s="12"/>
      <c r="G427" s="56"/>
      <c r="H427" s="56"/>
      <c r="I427" s="56"/>
      <c r="J427" s="56"/>
      <c r="K427" s="56"/>
      <c r="L427" s="56"/>
      <c r="M427" s="10"/>
      <c r="N427" s="10"/>
    </row>
    <row r="428" spans="1:14" s="98" customFormat="1" x14ac:dyDescent="0.15">
      <c r="A428" s="11"/>
      <c r="B428" s="13"/>
      <c r="C428" s="12"/>
      <c r="D428" s="13"/>
      <c r="E428" s="13"/>
      <c r="F428" s="12"/>
      <c r="G428" s="56"/>
      <c r="H428" s="56"/>
      <c r="I428" s="56"/>
      <c r="J428" s="56"/>
      <c r="K428" s="56"/>
      <c r="L428" s="56"/>
      <c r="M428" s="10"/>
      <c r="N428" s="10"/>
    </row>
    <row r="429" spans="1:14" s="98" customFormat="1" x14ac:dyDescent="0.15">
      <c r="A429" s="11"/>
      <c r="B429" s="13"/>
      <c r="C429" s="12"/>
      <c r="D429" s="13"/>
      <c r="E429" s="13"/>
      <c r="F429" s="12"/>
      <c r="G429" s="56"/>
      <c r="H429" s="56"/>
      <c r="I429" s="56"/>
      <c r="J429" s="56"/>
      <c r="K429" s="56"/>
      <c r="L429" s="56"/>
      <c r="M429" s="10"/>
      <c r="N429" s="10"/>
    </row>
    <row r="430" spans="1:14" s="98" customFormat="1" x14ac:dyDescent="0.15">
      <c r="A430" s="11"/>
      <c r="B430" s="13"/>
      <c r="C430" s="12"/>
      <c r="D430" s="13"/>
      <c r="E430" s="13"/>
      <c r="F430" s="12"/>
      <c r="G430" s="56"/>
      <c r="H430" s="56"/>
      <c r="I430" s="56"/>
      <c r="J430" s="56"/>
      <c r="K430" s="56"/>
      <c r="L430" s="56"/>
      <c r="M430" s="10"/>
      <c r="N430" s="10"/>
    </row>
    <row r="431" spans="1:14" s="98" customFormat="1" x14ac:dyDescent="0.15">
      <c r="A431" s="11"/>
      <c r="B431" s="13"/>
      <c r="C431" s="12"/>
      <c r="D431" s="13"/>
      <c r="E431" s="13"/>
      <c r="F431" s="12"/>
      <c r="G431" s="56"/>
      <c r="H431" s="56"/>
      <c r="I431" s="56"/>
      <c r="J431" s="56"/>
      <c r="K431" s="56"/>
      <c r="L431" s="56"/>
      <c r="M431" s="10"/>
      <c r="N431" s="10"/>
    </row>
    <row r="432" spans="1:14" s="98" customFormat="1" x14ac:dyDescent="0.15">
      <c r="A432" s="11"/>
      <c r="B432" s="13"/>
      <c r="C432" s="12"/>
      <c r="D432" s="13"/>
      <c r="E432" s="13"/>
      <c r="F432" s="12"/>
      <c r="G432" s="56"/>
      <c r="H432" s="56"/>
      <c r="I432" s="56"/>
      <c r="J432" s="56"/>
      <c r="K432" s="56"/>
      <c r="L432" s="56"/>
      <c r="M432" s="10"/>
      <c r="N432" s="10"/>
    </row>
    <row r="433" spans="1:14" s="98" customFormat="1" x14ac:dyDescent="0.15">
      <c r="A433" s="11"/>
      <c r="B433" s="13"/>
      <c r="C433" s="12"/>
      <c r="D433" s="13"/>
      <c r="E433" s="13"/>
      <c r="F433" s="12"/>
      <c r="G433" s="56"/>
      <c r="H433" s="56"/>
      <c r="I433" s="56"/>
      <c r="J433" s="56"/>
      <c r="K433" s="56"/>
      <c r="L433" s="56"/>
      <c r="M433" s="10"/>
      <c r="N433" s="10"/>
    </row>
    <row r="434" spans="1:14" s="98" customFormat="1" x14ac:dyDescent="0.15">
      <c r="A434" s="11"/>
      <c r="B434" s="13"/>
      <c r="C434" s="12"/>
      <c r="D434" s="13"/>
      <c r="E434" s="13"/>
      <c r="F434" s="12"/>
      <c r="G434" s="56"/>
      <c r="H434" s="56"/>
      <c r="I434" s="56"/>
      <c r="J434" s="56"/>
      <c r="K434" s="56"/>
      <c r="L434" s="56"/>
      <c r="M434" s="10"/>
      <c r="N434" s="10"/>
    </row>
    <row r="435" spans="1:14" s="98" customFormat="1" x14ac:dyDescent="0.15">
      <c r="A435" s="11"/>
      <c r="B435" s="13"/>
      <c r="C435" s="12"/>
      <c r="D435" s="13"/>
      <c r="E435" s="13"/>
      <c r="F435" s="12"/>
      <c r="G435" s="56"/>
      <c r="H435" s="56"/>
      <c r="I435" s="56"/>
      <c r="J435" s="56"/>
      <c r="K435" s="56"/>
      <c r="L435" s="56"/>
      <c r="M435" s="10"/>
      <c r="N435" s="10"/>
    </row>
    <row r="436" spans="1:14" s="98" customFormat="1" x14ac:dyDescent="0.15">
      <c r="A436" s="11"/>
      <c r="B436" s="13"/>
      <c r="C436" s="12"/>
      <c r="D436" s="13"/>
      <c r="E436" s="13"/>
      <c r="F436" s="12"/>
      <c r="G436" s="56"/>
      <c r="H436" s="56"/>
      <c r="I436" s="56"/>
      <c r="J436" s="56"/>
      <c r="K436" s="56"/>
      <c r="L436" s="56"/>
      <c r="M436" s="10"/>
      <c r="N436" s="10"/>
    </row>
    <row r="437" spans="1:14" s="98" customFormat="1" x14ac:dyDescent="0.15">
      <c r="A437" s="11"/>
      <c r="B437" s="13"/>
      <c r="C437" s="12"/>
      <c r="D437" s="13"/>
      <c r="E437" s="13"/>
      <c r="F437" s="12"/>
      <c r="G437" s="56"/>
      <c r="H437" s="56"/>
      <c r="I437" s="56"/>
      <c r="J437" s="56"/>
      <c r="K437" s="56"/>
      <c r="L437" s="56"/>
      <c r="M437" s="10"/>
      <c r="N437" s="10"/>
    </row>
    <row r="438" spans="1:14" s="98" customFormat="1" x14ac:dyDescent="0.15">
      <c r="A438" s="11"/>
      <c r="B438" s="13"/>
      <c r="C438" s="12"/>
      <c r="D438" s="13"/>
      <c r="E438" s="13"/>
      <c r="F438" s="12"/>
      <c r="G438" s="56"/>
      <c r="H438" s="56"/>
      <c r="I438" s="56"/>
      <c r="J438" s="56"/>
      <c r="K438" s="56"/>
      <c r="L438" s="56"/>
      <c r="M438" s="10"/>
      <c r="N438" s="10"/>
    </row>
    <row r="439" spans="1:14" s="98" customFormat="1" x14ac:dyDescent="0.15">
      <c r="A439" s="11"/>
      <c r="B439" s="13"/>
      <c r="C439" s="12"/>
      <c r="D439" s="13"/>
      <c r="E439" s="13"/>
      <c r="F439" s="12"/>
      <c r="G439" s="56"/>
      <c r="H439" s="56"/>
      <c r="I439" s="56"/>
      <c r="J439" s="56"/>
      <c r="K439" s="56"/>
      <c r="L439" s="56"/>
      <c r="M439" s="10"/>
      <c r="N439" s="10"/>
    </row>
    <row r="440" spans="1:14" s="98" customFormat="1" x14ac:dyDescent="0.15">
      <c r="A440" s="11"/>
      <c r="B440" s="13"/>
      <c r="C440" s="12"/>
      <c r="D440" s="13"/>
      <c r="E440" s="13"/>
      <c r="F440" s="12"/>
      <c r="G440" s="56"/>
      <c r="H440" s="56"/>
      <c r="I440" s="56"/>
      <c r="J440" s="56"/>
      <c r="K440" s="56"/>
      <c r="L440" s="56"/>
      <c r="M440" s="10"/>
      <c r="N440" s="10"/>
    </row>
    <row r="441" spans="1:14" s="98" customFormat="1" x14ac:dyDescent="0.15">
      <c r="A441" s="11"/>
      <c r="B441" s="13"/>
      <c r="C441" s="12"/>
      <c r="D441" s="13"/>
      <c r="E441" s="13"/>
      <c r="F441" s="12"/>
      <c r="G441" s="56"/>
      <c r="H441" s="56"/>
      <c r="I441" s="56"/>
      <c r="J441" s="56"/>
      <c r="K441" s="56"/>
      <c r="L441" s="56"/>
      <c r="M441" s="10"/>
      <c r="N441" s="10"/>
    </row>
    <row r="442" spans="1:14" s="98" customFormat="1" x14ac:dyDescent="0.15">
      <c r="A442" s="11"/>
      <c r="B442" s="13"/>
      <c r="C442" s="12"/>
      <c r="D442" s="13"/>
      <c r="E442" s="13"/>
      <c r="F442" s="12"/>
      <c r="G442" s="56"/>
      <c r="H442" s="56"/>
      <c r="I442" s="56"/>
      <c r="J442" s="56"/>
      <c r="K442" s="56"/>
      <c r="L442" s="56"/>
      <c r="M442" s="10"/>
      <c r="N442" s="10"/>
    </row>
    <row r="443" spans="1:14" s="98" customFormat="1" x14ac:dyDescent="0.15">
      <c r="A443" s="11"/>
      <c r="B443" s="13"/>
      <c r="C443" s="12"/>
      <c r="D443" s="13"/>
      <c r="E443" s="13"/>
      <c r="F443" s="12"/>
      <c r="G443" s="56"/>
      <c r="H443" s="56"/>
      <c r="I443" s="56"/>
      <c r="J443" s="56"/>
      <c r="K443" s="56"/>
      <c r="L443" s="56"/>
      <c r="M443" s="10"/>
      <c r="N443" s="10"/>
    </row>
    <row r="444" spans="1:14" s="98" customFormat="1" x14ac:dyDescent="0.15">
      <c r="A444" s="11"/>
      <c r="B444" s="13"/>
      <c r="C444" s="12"/>
      <c r="D444" s="13"/>
      <c r="E444" s="13"/>
      <c r="F444" s="12"/>
      <c r="G444" s="56"/>
      <c r="H444" s="56"/>
      <c r="I444" s="56"/>
      <c r="J444" s="56"/>
      <c r="K444" s="56"/>
      <c r="L444" s="56"/>
      <c r="M444" s="10"/>
      <c r="N444" s="10"/>
    </row>
    <row r="445" spans="1:14" s="98" customFormat="1" x14ac:dyDescent="0.15">
      <c r="A445" s="11"/>
      <c r="B445" s="13"/>
      <c r="C445" s="12"/>
      <c r="D445" s="13"/>
      <c r="E445" s="13"/>
      <c r="F445" s="12"/>
      <c r="G445" s="56"/>
      <c r="H445" s="56"/>
      <c r="I445" s="56"/>
      <c r="J445" s="56"/>
      <c r="K445" s="56"/>
      <c r="L445" s="56"/>
      <c r="M445" s="10"/>
      <c r="N445" s="10"/>
    </row>
    <row r="446" spans="1:14" s="98" customFormat="1" x14ac:dyDescent="0.15">
      <c r="A446" s="11"/>
      <c r="B446" s="13"/>
      <c r="C446" s="12"/>
      <c r="D446" s="13"/>
      <c r="E446" s="13"/>
      <c r="F446" s="12"/>
      <c r="G446" s="56"/>
      <c r="H446" s="56"/>
      <c r="I446" s="56"/>
      <c r="J446" s="56"/>
      <c r="K446" s="56"/>
      <c r="L446" s="56"/>
      <c r="M446" s="10"/>
      <c r="N446" s="10"/>
    </row>
    <row r="447" spans="1:14" s="98" customFormat="1" x14ac:dyDescent="0.15">
      <c r="A447" s="11"/>
      <c r="B447" s="13"/>
      <c r="C447" s="12"/>
      <c r="D447" s="13"/>
      <c r="E447" s="13"/>
      <c r="F447" s="12"/>
      <c r="G447" s="56"/>
      <c r="H447" s="56"/>
      <c r="I447" s="56"/>
      <c r="J447" s="56"/>
      <c r="K447" s="56"/>
      <c r="L447" s="56"/>
      <c r="M447" s="10"/>
      <c r="N447" s="10"/>
    </row>
    <row r="448" spans="1:14" s="98" customFormat="1" x14ac:dyDescent="0.15">
      <c r="A448" s="11"/>
      <c r="B448" s="13"/>
      <c r="C448" s="12"/>
      <c r="D448" s="13"/>
      <c r="E448" s="13"/>
      <c r="F448" s="12"/>
      <c r="G448" s="56"/>
      <c r="H448" s="56"/>
      <c r="I448" s="56"/>
      <c r="J448" s="56"/>
      <c r="K448" s="56"/>
      <c r="L448" s="56"/>
      <c r="M448" s="10"/>
      <c r="N448" s="10"/>
    </row>
    <row r="449" spans="1:14" s="98" customFormat="1" x14ac:dyDescent="0.15">
      <c r="A449" s="11"/>
      <c r="B449" s="13"/>
      <c r="C449" s="12"/>
      <c r="D449" s="13"/>
      <c r="E449" s="13"/>
      <c r="F449" s="12"/>
      <c r="G449" s="56"/>
      <c r="H449" s="56"/>
      <c r="I449" s="56"/>
      <c r="J449" s="56"/>
      <c r="K449" s="56"/>
      <c r="L449" s="56"/>
      <c r="M449" s="10"/>
      <c r="N449" s="10"/>
    </row>
    <row r="450" spans="1:14" s="98" customFormat="1" x14ac:dyDescent="0.15">
      <c r="A450" s="11"/>
      <c r="B450" s="13"/>
      <c r="C450" s="12"/>
      <c r="D450" s="13"/>
      <c r="E450" s="13"/>
      <c r="F450" s="12"/>
      <c r="G450" s="56"/>
      <c r="H450" s="56"/>
      <c r="I450" s="56"/>
      <c r="J450" s="56"/>
      <c r="K450" s="56"/>
      <c r="L450" s="56"/>
      <c r="M450" s="10"/>
      <c r="N450" s="10"/>
    </row>
    <row r="451" spans="1:14" s="98" customFormat="1" x14ac:dyDescent="0.15">
      <c r="A451" s="11"/>
      <c r="B451" s="13"/>
      <c r="C451" s="12"/>
      <c r="D451" s="13"/>
      <c r="E451" s="13"/>
      <c r="F451" s="12"/>
      <c r="G451" s="56"/>
      <c r="H451" s="56"/>
      <c r="I451" s="56"/>
      <c r="J451" s="56"/>
      <c r="K451" s="56"/>
      <c r="L451" s="56"/>
      <c r="M451" s="10"/>
      <c r="N451" s="10"/>
    </row>
    <row r="452" spans="1:14" s="98" customFormat="1" x14ac:dyDescent="0.15">
      <c r="A452" s="11"/>
      <c r="B452" s="13"/>
      <c r="C452" s="12"/>
      <c r="D452" s="13"/>
      <c r="E452" s="13"/>
      <c r="F452" s="12"/>
      <c r="G452" s="56"/>
      <c r="H452" s="56"/>
      <c r="I452" s="56"/>
      <c r="J452" s="56"/>
      <c r="K452" s="56"/>
      <c r="L452" s="56"/>
      <c r="M452" s="10"/>
      <c r="N452" s="10"/>
    </row>
    <row r="453" spans="1:14" s="98" customFormat="1" x14ac:dyDescent="0.15">
      <c r="A453" s="11"/>
      <c r="B453" s="13"/>
      <c r="C453" s="12"/>
      <c r="D453" s="13"/>
      <c r="E453" s="13"/>
      <c r="F453" s="12"/>
      <c r="G453" s="56"/>
      <c r="H453" s="56"/>
      <c r="I453" s="56"/>
      <c r="J453" s="56"/>
      <c r="K453" s="56"/>
      <c r="L453" s="56"/>
      <c r="M453" s="10"/>
      <c r="N453" s="10"/>
    </row>
    <row r="454" spans="1:14" s="98" customFormat="1" x14ac:dyDescent="0.15">
      <c r="A454" s="11"/>
      <c r="B454" s="13"/>
      <c r="C454" s="12"/>
      <c r="D454" s="13"/>
      <c r="E454" s="13"/>
      <c r="F454" s="12"/>
      <c r="G454" s="56"/>
      <c r="H454" s="56"/>
      <c r="I454" s="56"/>
      <c r="J454" s="56"/>
      <c r="K454" s="56"/>
      <c r="L454" s="56"/>
      <c r="M454" s="10"/>
      <c r="N454" s="10"/>
    </row>
    <row r="455" spans="1:14" s="98" customFormat="1" x14ac:dyDescent="0.15">
      <c r="A455" s="11"/>
      <c r="B455" s="13"/>
      <c r="C455" s="12"/>
      <c r="D455" s="13"/>
      <c r="E455" s="13"/>
      <c r="F455" s="12"/>
      <c r="G455" s="56"/>
      <c r="H455" s="56"/>
      <c r="I455" s="56"/>
      <c r="J455" s="56"/>
      <c r="K455" s="56"/>
      <c r="L455" s="56"/>
      <c r="M455" s="10"/>
      <c r="N455" s="10"/>
    </row>
    <row r="456" spans="1:14" s="98" customFormat="1" x14ac:dyDescent="0.15">
      <c r="A456" s="11"/>
      <c r="B456" s="13"/>
      <c r="C456" s="12"/>
      <c r="D456" s="13"/>
      <c r="E456" s="13"/>
      <c r="F456" s="12"/>
      <c r="G456" s="56"/>
      <c r="H456" s="56"/>
      <c r="I456" s="56"/>
      <c r="J456" s="56"/>
      <c r="K456" s="56"/>
      <c r="L456" s="56"/>
      <c r="M456" s="10"/>
      <c r="N456" s="10"/>
    </row>
    <row r="457" spans="1:14" s="98" customFormat="1" x14ac:dyDescent="0.15">
      <c r="A457" s="11"/>
      <c r="B457" s="13"/>
      <c r="C457" s="12"/>
      <c r="D457" s="13"/>
      <c r="E457" s="13"/>
      <c r="F457" s="12"/>
      <c r="G457" s="56"/>
      <c r="H457" s="56"/>
      <c r="I457" s="56"/>
      <c r="J457" s="56"/>
      <c r="K457" s="56"/>
      <c r="L457" s="56"/>
      <c r="M457" s="10"/>
      <c r="N457" s="10"/>
    </row>
    <row r="458" spans="1:14" s="98" customFormat="1" x14ac:dyDescent="0.15">
      <c r="A458" s="11"/>
      <c r="B458" s="13"/>
      <c r="C458" s="12"/>
      <c r="D458" s="13"/>
      <c r="E458" s="13"/>
      <c r="F458" s="12"/>
      <c r="G458" s="56"/>
      <c r="H458" s="56"/>
      <c r="I458" s="56"/>
      <c r="J458" s="56"/>
      <c r="K458" s="56"/>
      <c r="L458" s="56"/>
      <c r="M458" s="10"/>
      <c r="N458" s="10"/>
    </row>
    <row r="459" spans="1:14" s="98" customFormat="1" x14ac:dyDescent="0.15">
      <c r="A459" s="11"/>
      <c r="B459" s="13"/>
      <c r="C459" s="12"/>
      <c r="D459" s="13"/>
      <c r="E459" s="13"/>
      <c r="F459" s="12"/>
      <c r="G459" s="56"/>
      <c r="H459" s="56"/>
      <c r="I459" s="56"/>
      <c r="J459" s="56"/>
      <c r="K459" s="56"/>
      <c r="L459" s="56"/>
      <c r="M459" s="10"/>
      <c r="N459" s="10"/>
    </row>
    <row r="460" spans="1:14" s="98" customFormat="1" x14ac:dyDescent="0.15">
      <c r="A460" s="11"/>
      <c r="B460" s="13"/>
      <c r="C460" s="12"/>
      <c r="D460" s="13"/>
      <c r="E460" s="13"/>
      <c r="F460" s="12"/>
      <c r="G460" s="56"/>
      <c r="H460" s="56"/>
      <c r="I460" s="56"/>
      <c r="J460" s="56"/>
      <c r="K460" s="56"/>
      <c r="L460" s="56"/>
      <c r="M460" s="10"/>
      <c r="N460" s="10"/>
    </row>
    <row r="461" spans="1:14" s="98" customFormat="1" x14ac:dyDescent="0.15">
      <c r="A461" s="11"/>
      <c r="B461" s="13"/>
      <c r="C461" s="12"/>
      <c r="D461" s="13"/>
      <c r="E461" s="13"/>
      <c r="F461" s="12"/>
      <c r="G461" s="56"/>
      <c r="H461" s="56"/>
      <c r="I461" s="56"/>
      <c r="J461" s="56"/>
      <c r="K461" s="56"/>
      <c r="L461" s="56"/>
      <c r="M461" s="10"/>
      <c r="N461" s="10"/>
    </row>
    <row r="462" spans="1:14" s="98" customFormat="1" x14ac:dyDescent="0.15">
      <c r="A462" s="11"/>
      <c r="B462" s="13"/>
      <c r="C462" s="12"/>
      <c r="D462" s="13"/>
      <c r="E462" s="13"/>
      <c r="F462" s="12"/>
      <c r="G462" s="56"/>
      <c r="H462" s="56"/>
      <c r="I462" s="56"/>
      <c r="J462" s="56"/>
      <c r="K462" s="56"/>
      <c r="L462" s="56"/>
      <c r="M462" s="10"/>
      <c r="N462" s="10"/>
    </row>
    <row r="463" spans="1:14" s="98" customFormat="1" x14ac:dyDescent="0.15">
      <c r="A463" s="11"/>
      <c r="B463" s="13"/>
      <c r="C463" s="12"/>
      <c r="D463" s="13"/>
      <c r="E463" s="13"/>
      <c r="F463" s="12"/>
      <c r="G463" s="56"/>
      <c r="H463" s="56"/>
      <c r="I463" s="56"/>
      <c r="J463" s="56"/>
      <c r="K463" s="56"/>
      <c r="L463" s="56"/>
      <c r="M463" s="10"/>
      <c r="N463" s="10"/>
    </row>
    <row r="464" spans="1:14" s="98" customFormat="1" x14ac:dyDescent="0.15">
      <c r="A464" s="11"/>
      <c r="B464" s="13"/>
      <c r="C464" s="12"/>
      <c r="D464" s="13"/>
      <c r="E464" s="13"/>
      <c r="F464" s="12"/>
      <c r="G464" s="56"/>
      <c r="H464" s="56"/>
      <c r="I464" s="56"/>
      <c r="J464" s="56"/>
      <c r="K464" s="56"/>
      <c r="L464" s="56"/>
      <c r="M464" s="10"/>
      <c r="N464" s="10"/>
    </row>
    <row r="465" spans="1:14" s="98" customFormat="1" x14ac:dyDescent="0.15">
      <c r="A465" s="11"/>
      <c r="B465" s="13"/>
      <c r="C465" s="12"/>
      <c r="D465" s="13"/>
      <c r="E465" s="13"/>
      <c r="F465" s="12"/>
      <c r="G465" s="56"/>
      <c r="H465" s="56"/>
      <c r="I465" s="56"/>
      <c r="J465" s="56"/>
      <c r="K465" s="56"/>
      <c r="L465" s="56"/>
      <c r="M465" s="10"/>
      <c r="N465" s="10"/>
    </row>
    <row r="466" spans="1:14" s="98" customFormat="1" x14ac:dyDescent="0.15">
      <c r="A466" s="11"/>
      <c r="B466" s="13"/>
      <c r="C466" s="12"/>
      <c r="D466" s="13"/>
      <c r="E466" s="13"/>
      <c r="F466" s="12"/>
      <c r="G466" s="56"/>
      <c r="H466" s="56"/>
      <c r="I466" s="56"/>
      <c r="J466" s="56"/>
      <c r="K466" s="56"/>
      <c r="L466" s="56"/>
      <c r="M466" s="10"/>
      <c r="N466" s="10"/>
    </row>
    <row r="467" spans="1:14" s="98" customFormat="1" x14ac:dyDescent="0.15">
      <c r="A467" s="11"/>
      <c r="B467" s="13"/>
      <c r="C467" s="12"/>
      <c r="D467" s="13"/>
      <c r="E467" s="13"/>
      <c r="F467" s="12"/>
      <c r="G467" s="56"/>
      <c r="H467" s="56"/>
      <c r="I467" s="56"/>
      <c r="J467" s="56"/>
      <c r="K467" s="56"/>
      <c r="L467" s="56"/>
      <c r="M467" s="10"/>
      <c r="N467" s="10"/>
    </row>
    <row r="468" spans="1:14" s="98" customFormat="1" x14ac:dyDescent="0.15">
      <c r="A468" s="11"/>
      <c r="B468" s="13"/>
      <c r="C468" s="12"/>
      <c r="D468" s="13"/>
      <c r="E468" s="13"/>
      <c r="F468" s="12"/>
      <c r="G468" s="56"/>
      <c r="H468" s="56"/>
      <c r="I468" s="56"/>
      <c r="J468" s="56"/>
      <c r="K468" s="56"/>
      <c r="L468" s="56"/>
      <c r="M468" s="10"/>
      <c r="N468" s="10"/>
    </row>
    <row r="469" spans="1:14" s="98" customFormat="1" x14ac:dyDescent="0.15">
      <c r="A469" s="11"/>
      <c r="B469" s="13"/>
      <c r="C469" s="12"/>
      <c r="D469" s="13"/>
      <c r="E469" s="13"/>
      <c r="F469" s="12"/>
      <c r="G469" s="56"/>
      <c r="H469" s="56"/>
      <c r="I469" s="56"/>
      <c r="J469" s="56"/>
      <c r="K469" s="56"/>
      <c r="L469" s="56"/>
      <c r="M469" s="10"/>
      <c r="N469" s="10"/>
    </row>
    <row r="470" spans="1:14" s="98" customFormat="1" x14ac:dyDescent="0.15">
      <c r="A470" s="11"/>
      <c r="B470" s="13"/>
      <c r="C470" s="12"/>
      <c r="D470" s="13"/>
      <c r="E470" s="13"/>
      <c r="F470" s="12"/>
      <c r="G470" s="56"/>
      <c r="H470" s="56"/>
      <c r="I470" s="56"/>
      <c r="J470" s="56"/>
      <c r="K470" s="56"/>
      <c r="L470" s="56"/>
      <c r="M470" s="10"/>
      <c r="N470" s="10"/>
    </row>
    <row r="471" spans="1:14" s="98" customFormat="1" x14ac:dyDescent="0.15">
      <c r="A471" s="11"/>
      <c r="B471" s="13"/>
      <c r="C471" s="12"/>
      <c r="D471" s="13"/>
      <c r="E471" s="13"/>
      <c r="F471" s="12"/>
      <c r="G471" s="56"/>
      <c r="H471" s="56"/>
      <c r="I471" s="56"/>
      <c r="J471" s="56"/>
      <c r="K471" s="56"/>
      <c r="L471" s="56"/>
      <c r="M471" s="10"/>
      <c r="N471" s="10"/>
    </row>
    <row r="472" spans="1:14" s="98" customFormat="1" x14ac:dyDescent="0.15">
      <c r="A472" s="11"/>
      <c r="B472" s="13"/>
      <c r="C472" s="12"/>
      <c r="D472" s="13"/>
      <c r="E472" s="13"/>
      <c r="F472" s="12"/>
      <c r="G472" s="56"/>
      <c r="H472" s="56"/>
      <c r="I472" s="56"/>
      <c r="J472" s="56"/>
      <c r="K472" s="56"/>
      <c r="L472" s="56"/>
      <c r="M472" s="10"/>
      <c r="N472" s="10"/>
    </row>
    <row r="473" spans="1:14" s="98" customFormat="1" x14ac:dyDescent="0.15">
      <c r="A473" s="11"/>
      <c r="B473" s="13"/>
      <c r="C473" s="12"/>
      <c r="D473" s="13"/>
      <c r="E473" s="13"/>
      <c r="F473" s="12"/>
      <c r="G473" s="56"/>
      <c r="H473" s="56"/>
      <c r="I473" s="56"/>
      <c r="J473" s="56"/>
      <c r="K473" s="56"/>
      <c r="L473" s="56"/>
      <c r="M473" s="10"/>
      <c r="N473" s="10"/>
    </row>
    <row r="474" spans="1:14" s="98" customFormat="1" x14ac:dyDescent="0.15">
      <c r="A474" s="11"/>
      <c r="B474" s="13"/>
      <c r="C474" s="12"/>
      <c r="D474" s="13"/>
      <c r="E474" s="13"/>
      <c r="F474" s="12"/>
      <c r="G474" s="56"/>
      <c r="H474" s="56"/>
      <c r="I474" s="56"/>
      <c r="J474" s="56"/>
      <c r="K474" s="56"/>
      <c r="L474" s="56"/>
      <c r="M474" s="10"/>
      <c r="N474" s="10"/>
    </row>
    <row r="475" spans="1:14" s="98" customFormat="1" x14ac:dyDescent="0.15">
      <c r="A475" s="11"/>
      <c r="B475" s="13"/>
      <c r="C475" s="12"/>
      <c r="D475" s="13"/>
      <c r="E475" s="13"/>
      <c r="F475" s="12"/>
      <c r="G475" s="56"/>
      <c r="H475" s="56"/>
      <c r="I475" s="56"/>
      <c r="J475" s="56"/>
      <c r="K475" s="56"/>
      <c r="L475" s="56"/>
      <c r="M475" s="10"/>
      <c r="N475" s="10"/>
    </row>
    <row r="476" spans="1:14" s="98" customFormat="1" x14ac:dyDescent="0.15">
      <c r="A476" s="11"/>
      <c r="B476" s="13"/>
      <c r="C476" s="12"/>
      <c r="D476" s="13"/>
      <c r="E476" s="13"/>
      <c r="F476" s="12"/>
      <c r="G476" s="56"/>
      <c r="H476" s="56"/>
      <c r="I476" s="56"/>
      <c r="J476" s="56"/>
      <c r="K476" s="56"/>
      <c r="L476" s="56"/>
      <c r="M476" s="10"/>
      <c r="N476" s="10"/>
    </row>
    <row r="477" spans="1:14" s="98" customFormat="1" x14ac:dyDescent="0.15">
      <c r="A477" s="11"/>
      <c r="B477" s="13"/>
      <c r="C477" s="12"/>
      <c r="D477" s="13"/>
      <c r="E477" s="13"/>
      <c r="F477" s="12"/>
      <c r="G477" s="56"/>
      <c r="H477" s="56"/>
      <c r="I477" s="56"/>
      <c r="J477" s="56"/>
      <c r="K477" s="56"/>
      <c r="L477" s="56"/>
      <c r="M477" s="10"/>
      <c r="N477" s="10"/>
    </row>
    <row r="478" spans="1:14" s="98" customFormat="1" x14ac:dyDescent="0.15">
      <c r="A478" s="11"/>
      <c r="B478" s="13"/>
      <c r="C478" s="12"/>
      <c r="D478" s="13"/>
      <c r="E478" s="13"/>
      <c r="F478" s="12"/>
      <c r="G478" s="56"/>
      <c r="H478" s="56"/>
      <c r="I478" s="56"/>
      <c r="J478" s="56"/>
      <c r="K478" s="56"/>
      <c r="L478" s="56"/>
      <c r="M478" s="10"/>
      <c r="N478" s="10"/>
    </row>
    <row r="479" spans="1:14" s="98" customFormat="1" x14ac:dyDescent="0.15">
      <c r="A479" s="11"/>
      <c r="B479" s="13"/>
      <c r="C479" s="12"/>
      <c r="D479" s="13"/>
      <c r="E479" s="13"/>
      <c r="F479" s="12"/>
      <c r="G479" s="56"/>
      <c r="H479" s="56"/>
      <c r="I479" s="56"/>
      <c r="J479" s="56"/>
      <c r="K479" s="56"/>
      <c r="L479" s="56"/>
      <c r="M479" s="10"/>
      <c r="N479" s="10"/>
    </row>
    <row r="480" spans="1:14" s="98" customFormat="1" x14ac:dyDescent="0.15">
      <c r="A480" s="11"/>
      <c r="B480" s="13"/>
      <c r="C480" s="12"/>
      <c r="D480" s="13"/>
      <c r="E480" s="13"/>
      <c r="F480" s="12"/>
      <c r="G480" s="56"/>
      <c r="H480" s="56"/>
      <c r="I480" s="56"/>
      <c r="J480" s="56"/>
      <c r="K480" s="56"/>
      <c r="L480" s="56"/>
      <c r="M480" s="10"/>
      <c r="N480" s="10"/>
    </row>
    <row r="481" spans="1:14" s="98" customFormat="1" x14ac:dyDescent="0.15">
      <c r="A481" s="11"/>
      <c r="B481" s="13"/>
      <c r="C481" s="12"/>
      <c r="D481" s="13"/>
      <c r="E481" s="13"/>
      <c r="F481" s="12"/>
      <c r="G481" s="56"/>
      <c r="H481" s="56"/>
      <c r="I481" s="56"/>
      <c r="J481" s="56"/>
      <c r="K481" s="56"/>
      <c r="L481" s="56"/>
      <c r="M481" s="10"/>
      <c r="N481" s="10"/>
    </row>
    <row r="482" spans="1:14" s="98" customFormat="1" x14ac:dyDescent="0.15">
      <c r="A482" s="11"/>
      <c r="B482" s="13"/>
      <c r="C482" s="12"/>
      <c r="D482" s="13"/>
      <c r="E482" s="13"/>
      <c r="F482" s="12"/>
      <c r="G482" s="56"/>
      <c r="H482" s="56"/>
      <c r="I482" s="56"/>
      <c r="J482" s="56"/>
      <c r="K482" s="56"/>
      <c r="L482" s="56"/>
      <c r="M482" s="10"/>
      <c r="N482" s="10"/>
    </row>
    <row r="483" spans="1:14" s="98" customFormat="1" x14ac:dyDescent="0.15">
      <c r="A483" s="11"/>
      <c r="B483" s="13"/>
      <c r="C483" s="12"/>
      <c r="D483" s="13"/>
      <c r="E483" s="13"/>
      <c r="F483" s="12"/>
      <c r="G483" s="56"/>
      <c r="H483" s="56"/>
      <c r="I483" s="56"/>
      <c r="J483" s="56"/>
      <c r="K483" s="56"/>
      <c r="L483" s="56"/>
      <c r="M483" s="10"/>
      <c r="N483" s="10"/>
    </row>
    <row r="484" spans="1:14" s="98" customFormat="1" x14ac:dyDescent="0.15">
      <c r="A484" s="11"/>
      <c r="B484" s="13"/>
      <c r="C484" s="12"/>
      <c r="D484" s="13"/>
      <c r="E484" s="13"/>
      <c r="F484" s="12"/>
      <c r="G484" s="56"/>
      <c r="H484" s="56"/>
      <c r="I484" s="56"/>
      <c r="J484" s="56"/>
      <c r="K484" s="56"/>
      <c r="L484" s="56"/>
      <c r="M484" s="10"/>
      <c r="N484" s="10"/>
    </row>
    <row r="485" spans="1:14" s="98" customFormat="1" x14ac:dyDescent="0.15">
      <c r="A485" s="11"/>
      <c r="B485" s="13"/>
      <c r="C485" s="12"/>
      <c r="D485" s="13"/>
      <c r="E485" s="13"/>
      <c r="F485" s="12"/>
      <c r="G485" s="56"/>
      <c r="H485" s="56"/>
      <c r="I485" s="56"/>
      <c r="J485" s="56"/>
      <c r="K485" s="56"/>
      <c r="L485" s="56"/>
      <c r="M485" s="10"/>
      <c r="N485" s="10"/>
    </row>
    <row r="486" spans="1:14" s="98" customFormat="1" x14ac:dyDescent="0.15">
      <c r="A486" s="11"/>
      <c r="B486" s="13"/>
      <c r="C486" s="12"/>
      <c r="D486" s="13"/>
      <c r="E486" s="13"/>
      <c r="F486" s="12"/>
      <c r="G486" s="56"/>
      <c r="H486" s="56"/>
      <c r="I486" s="56"/>
      <c r="J486" s="56"/>
      <c r="K486" s="56"/>
      <c r="L486" s="56"/>
      <c r="M486" s="10"/>
      <c r="N486" s="10"/>
    </row>
    <row r="487" spans="1:14" s="98" customFormat="1" x14ac:dyDescent="0.15">
      <c r="A487" s="11"/>
      <c r="B487" s="13"/>
      <c r="C487" s="12"/>
      <c r="D487" s="13"/>
      <c r="E487" s="13"/>
      <c r="F487" s="12"/>
      <c r="G487" s="56"/>
      <c r="H487" s="56"/>
      <c r="I487" s="56"/>
      <c r="J487" s="56"/>
      <c r="K487" s="56"/>
      <c r="L487" s="56"/>
      <c r="M487" s="10"/>
      <c r="N487" s="10"/>
    </row>
    <row r="488" spans="1:14" s="98" customFormat="1" x14ac:dyDescent="0.15">
      <c r="A488" s="11"/>
      <c r="B488" s="13"/>
      <c r="C488" s="12"/>
      <c r="D488" s="13"/>
      <c r="E488" s="13"/>
      <c r="F488" s="12"/>
      <c r="G488" s="56"/>
      <c r="H488" s="56"/>
      <c r="I488" s="56"/>
      <c r="J488" s="56"/>
      <c r="K488" s="56"/>
      <c r="L488" s="56"/>
      <c r="M488" s="10"/>
      <c r="N488" s="10"/>
    </row>
    <row r="489" spans="1:14" s="98" customFormat="1" x14ac:dyDescent="0.15">
      <c r="A489" s="11"/>
      <c r="B489" s="13"/>
      <c r="C489" s="12"/>
      <c r="D489" s="13"/>
      <c r="E489" s="13"/>
      <c r="F489" s="12"/>
      <c r="G489" s="56"/>
      <c r="H489" s="56"/>
      <c r="I489" s="56"/>
      <c r="J489" s="56"/>
      <c r="K489" s="56"/>
      <c r="L489" s="56"/>
      <c r="M489" s="10"/>
      <c r="N489" s="10"/>
    </row>
    <row r="490" spans="1:14" s="98" customFormat="1" x14ac:dyDescent="0.15">
      <c r="A490" s="11"/>
      <c r="B490" s="13"/>
      <c r="C490" s="12"/>
      <c r="D490" s="13"/>
      <c r="E490" s="13"/>
      <c r="F490" s="12"/>
      <c r="G490" s="56"/>
      <c r="H490" s="56"/>
      <c r="I490" s="56"/>
      <c r="J490" s="56"/>
      <c r="K490" s="56"/>
      <c r="L490" s="56"/>
      <c r="M490" s="10"/>
      <c r="N490" s="10"/>
    </row>
    <row r="491" spans="1:14" s="98" customFormat="1" x14ac:dyDescent="0.15">
      <c r="A491" s="11"/>
      <c r="B491" s="13"/>
      <c r="C491" s="12"/>
      <c r="D491" s="13"/>
      <c r="E491" s="13"/>
      <c r="F491" s="12"/>
      <c r="G491" s="56"/>
      <c r="H491" s="56"/>
      <c r="I491" s="56"/>
      <c r="J491" s="56"/>
      <c r="K491" s="56"/>
      <c r="L491" s="56"/>
      <c r="M491" s="10"/>
      <c r="N491" s="10"/>
    </row>
    <row r="492" spans="1:14" s="98" customFormat="1" x14ac:dyDescent="0.15">
      <c r="A492" s="11"/>
      <c r="B492" s="13"/>
      <c r="C492" s="12"/>
      <c r="D492" s="13"/>
      <c r="E492" s="13"/>
      <c r="F492" s="12"/>
      <c r="G492" s="56"/>
      <c r="H492" s="56"/>
      <c r="I492" s="56"/>
      <c r="J492" s="56"/>
      <c r="K492" s="56"/>
      <c r="L492" s="56"/>
      <c r="M492" s="10"/>
      <c r="N492" s="10"/>
    </row>
    <row r="493" spans="1:14" s="98" customFormat="1" x14ac:dyDescent="0.15">
      <c r="A493" s="11"/>
      <c r="B493" s="13"/>
      <c r="C493" s="12"/>
      <c r="D493" s="13"/>
      <c r="E493" s="13"/>
      <c r="F493" s="12"/>
      <c r="G493" s="56"/>
      <c r="H493" s="56"/>
      <c r="I493" s="56"/>
      <c r="J493" s="56"/>
      <c r="K493" s="56"/>
      <c r="L493" s="56"/>
      <c r="M493" s="10"/>
      <c r="N493" s="10"/>
    </row>
    <row r="494" spans="1:14" s="98" customFormat="1" x14ac:dyDescent="0.15">
      <c r="A494" s="11"/>
      <c r="B494" s="13"/>
      <c r="C494" s="12"/>
      <c r="D494" s="13"/>
      <c r="E494" s="13"/>
      <c r="F494" s="12"/>
      <c r="G494" s="56"/>
      <c r="H494" s="56"/>
      <c r="I494" s="56"/>
      <c r="J494" s="56"/>
      <c r="K494" s="56"/>
      <c r="L494" s="56"/>
      <c r="M494" s="10"/>
      <c r="N494" s="10"/>
    </row>
    <row r="495" spans="1:14" s="98" customFormat="1" x14ac:dyDescent="0.15">
      <c r="A495" s="11"/>
      <c r="B495" s="13"/>
      <c r="C495" s="12"/>
      <c r="D495" s="13"/>
      <c r="E495" s="13"/>
      <c r="F495" s="12"/>
      <c r="G495" s="56"/>
      <c r="H495" s="56"/>
      <c r="I495" s="56"/>
      <c r="J495" s="56"/>
      <c r="K495" s="56"/>
      <c r="L495" s="56"/>
      <c r="M495" s="10"/>
      <c r="N495" s="10"/>
    </row>
    <row r="496" spans="1:14" s="98" customFormat="1" x14ac:dyDescent="0.15">
      <c r="A496" s="11"/>
      <c r="B496" s="13"/>
      <c r="C496" s="12"/>
      <c r="D496" s="13"/>
      <c r="E496" s="13"/>
      <c r="F496" s="12"/>
      <c r="G496" s="56"/>
      <c r="H496" s="56"/>
      <c r="I496" s="56"/>
      <c r="J496" s="56"/>
      <c r="K496" s="56"/>
      <c r="L496" s="56"/>
      <c r="M496" s="10"/>
      <c r="N496" s="10"/>
    </row>
    <row r="497" spans="1:14" s="98" customFormat="1" x14ac:dyDescent="0.15">
      <c r="A497" s="11"/>
      <c r="B497" s="13"/>
      <c r="C497" s="12"/>
      <c r="D497" s="13"/>
      <c r="E497" s="13"/>
      <c r="F497" s="12"/>
      <c r="G497" s="56"/>
      <c r="H497" s="56"/>
      <c r="I497" s="56"/>
      <c r="J497" s="56"/>
      <c r="K497" s="56"/>
      <c r="L497" s="56"/>
      <c r="M497" s="10"/>
      <c r="N497" s="10"/>
    </row>
    <row r="498" spans="1:14" s="98" customFormat="1" x14ac:dyDescent="0.15">
      <c r="A498" s="11"/>
      <c r="B498" s="13"/>
      <c r="C498" s="12"/>
      <c r="D498" s="13"/>
      <c r="E498" s="13"/>
      <c r="F498" s="12"/>
      <c r="G498" s="56"/>
      <c r="H498" s="56"/>
      <c r="I498" s="56"/>
      <c r="J498" s="56"/>
      <c r="K498" s="56"/>
      <c r="L498" s="56"/>
      <c r="M498" s="10"/>
      <c r="N498" s="10"/>
    </row>
    <row r="499" spans="1:14" s="98" customFormat="1" x14ac:dyDescent="0.15">
      <c r="A499" s="11"/>
      <c r="B499" s="13"/>
      <c r="C499" s="12"/>
      <c r="D499" s="13"/>
      <c r="E499" s="13"/>
      <c r="F499" s="12"/>
      <c r="G499" s="56"/>
      <c r="H499" s="56"/>
      <c r="I499" s="56"/>
      <c r="J499" s="56"/>
      <c r="K499" s="56"/>
      <c r="L499" s="56"/>
      <c r="M499" s="10"/>
      <c r="N499" s="10"/>
    </row>
    <row r="500" spans="1:14" s="98" customFormat="1" x14ac:dyDescent="0.15">
      <c r="A500" s="11"/>
      <c r="B500" s="13"/>
      <c r="C500" s="12"/>
      <c r="D500" s="13"/>
      <c r="E500" s="13"/>
      <c r="F500" s="12"/>
      <c r="G500" s="56"/>
      <c r="H500" s="56"/>
      <c r="I500" s="56"/>
      <c r="J500" s="56"/>
      <c r="K500" s="56"/>
      <c r="L500" s="56"/>
      <c r="M500" s="10"/>
      <c r="N500" s="10"/>
    </row>
    <row r="501" spans="1:14" s="98" customFormat="1" x14ac:dyDescent="0.15">
      <c r="A501" s="11"/>
      <c r="B501" s="13"/>
      <c r="C501" s="12"/>
      <c r="D501" s="13"/>
      <c r="E501" s="13"/>
      <c r="F501" s="12"/>
      <c r="G501" s="56"/>
      <c r="H501" s="56"/>
      <c r="I501" s="56"/>
      <c r="J501" s="56"/>
      <c r="K501" s="56"/>
      <c r="L501" s="56"/>
      <c r="M501" s="10"/>
      <c r="N501" s="10"/>
    </row>
    <row r="502" spans="1:14" s="98" customFormat="1" x14ac:dyDescent="0.15">
      <c r="A502" s="11"/>
      <c r="B502" s="13"/>
      <c r="C502" s="12"/>
      <c r="D502" s="13"/>
      <c r="E502" s="13"/>
      <c r="F502" s="12"/>
      <c r="G502" s="56"/>
      <c r="H502" s="56"/>
      <c r="I502" s="56"/>
      <c r="J502" s="56"/>
      <c r="K502" s="56"/>
      <c r="L502" s="56"/>
      <c r="M502" s="10"/>
      <c r="N502" s="10"/>
    </row>
    <row r="503" spans="1:14" s="98" customFormat="1" x14ac:dyDescent="0.15">
      <c r="A503" s="11"/>
      <c r="B503" s="13"/>
      <c r="C503" s="12"/>
      <c r="D503" s="13"/>
      <c r="E503" s="13"/>
      <c r="F503" s="12"/>
      <c r="G503" s="56"/>
      <c r="H503" s="56"/>
      <c r="I503" s="56"/>
      <c r="J503" s="56"/>
      <c r="K503" s="56"/>
      <c r="L503" s="56"/>
      <c r="M503" s="10"/>
      <c r="N503" s="10"/>
    </row>
    <row r="504" spans="1:14" s="98" customFormat="1" x14ac:dyDescent="0.15">
      <c r="A504" s="11"/>
      <c r="B504" s="13"/>
      <c r="C504" s="12"/>
      <c r="D504" s="13"/>
      <c r="E504" s="13"/>
      <c r="F504" s="12"/>
      <c r="G504" s="56"/>
      <c r="H504" s="56"/>
      <c r="I504" s="56"/>
      <c r="J504" s="56"/>
      <c r="K504" s="56"/>
      <c r="L504" s="56"/>
      <c r="M504" s="10"/>
      <c r="N504" s="10"/>
    </row>
    <row r="505" spans="1:14" s="98" customFormat="1" x14ac:dyDescent="0.15">
      <c r="A505" s="11"/>
      <c r="B505" s="13"/>
      <c r="C505" s="12"/>
      <c r="D505" s="13"/>
      <c r="E505" s="13"/>
      <c r="F505" s="12"/>
      <c r="G505" s="56"/>
      <c r="H505" s="56"/>
      <c r="I505" s="56"/>
      <c r="J505" s="56"/>
      <c r="K505" s="56"/>
      <c r="L505" s="56"/>
      <c r="M505" s="10"/>
      <c r="N505" s="10"/>
    </row>
    <row r="506" spans="1:14" s="98" customFormat="1" x14ac:dyDescent="0.15">
      <c r="A506" s="11"/>
      <c r="B506" s="13"/>
      <c r="C506" s="12"/>
      <c r="D506" s="13"/>
      <c r="E506" s="13"/>
      <c r="F506" s="12"/>
      <c r="G506" s="56"/>
      <c r="H506" s="56"/>
      <c r="I506" s="56"/>
      <c r="J506" s="56"/>
      <c r="K506" s="56"/>
      <c r="L506" s="56"/>
      <c r="M506" s="10"/>
      <c r="N506" s="10"/>
    </row>
    <row r="507" spans="1:14" s="98" customFormat="1" x14ac:dyDescent="0.15">
      <c r="A507" s="11"/>
      <c r="B507" s="13"/>
      <c r="C507" s="12"/>
      <c r="D507" s="13"/>
      <c r="E507" s="13"/>
      <c r="F507" s="12"/>
      <c r="G507" s="56"/>
      <c r="H507" s="56"/>
      <c r="I507" s="56"/>
      <c r="J507" s="56"/>
      <c r="K507" s="56"/>
      <c r="L507" s="56"/>
      <c r="M507" s="10"/>
      <c r="N507" s="10"/>
    </row>
    <row r="508" spans="1:14" s="98" customFormat="1" x14ac:dyDescent="0.15">
      <c r="A508" s="11"/>
      <c r="B508" s="13"/>
      <c r="C508" s="12"/>
      <c r="D508" s="13"/>
      <c r="E508" s="13"/>
      <c r="F508" s="12"/>
      <c r="G508" s="56"/>
      <c r="H508" s="56"/>
      <c r="I508" s="56"/>
      <c r="J508" s="56"/>
      <c r="K508" s="56"/>
      <c r="L508" s="56"/>
      <c r="M508" s="10"/>
      <c r="N508" s="10"/>
    </row>
    <row r="509" spans="1:14" s="98" customFormat="1" x14ac:dyDescent="0.15">
      <c r="A509" s="11"/>
      <c r="B509" s="13"/>
      <c r="C509" s="12"/>
      <c r="D509" s="13"/>
      <c r="E509" s="13"/>
      <c r="F509" s="12"/>
      <c r="G509" s="56"/>
      <c r="H509" s="56"/>
      <c r="I509" s="56"/>
      <c r="J509" s="56"/>
      <c r="K509" s="56"/>
      <c r="L509" s="56"/>
      <c r="M509" s="10"/>
      <c r="N509" s="10"/>
    </row>
    <row r="510" spans="1:14" s="98" customFormat="1" x14ac:dyDescent="0.15">
      <c r="A510" s="11"/>
      <c r="B510" s="13"/>
      <c r="C510" s="12"/>
      <c r="D510" s="13"/>
      <c r="E510" s="13"/>
      <c r="F510" s="12"/>
      <c r="G510" s="56"/>
      <c r="H510" s="56"/>
      <c r="I510" s="56"/>
      <c r="J510" s="56"/>
      <c r="K510" s="56"/>
      <c r="L510" s="56"/>
      <c r="M510" s="10"/>
      <c r="N510" s="10"/>
    </row>
    <row r="511" spans="1:14" s="98" customFormat="1" x14ac:dyDescent="0.15">
      <c r="A511" s="11"/>
      <c r="B511" s="13"/>
      <c r="C511" s="12"/>
      <c r="D511" s="13"/>
      <c r="E511" s="13"/>
      <c r="F511" s="12"/>
      <c r="G511" s="56"/>
      <c r="H511" s="56"/>
      <c r="I511" s="56"/>
      <c r="J511" s="56"/>
      <c r="K511" s="56"/>
      <c r="L511" s="56"/>
      <c r="M511" s="10"/>
      <c r="N511" s="10"/>
    </row>
    <row r="512" spans="1:14" s="98" customFormat="1" x14ac:dyDescent="0.15">
      <c r="A512" s="11"/>
      <c r="B512" s="13"/>
      <c r="C512" s="12"/>
      <c r="D512" s="13"/>
      <c r="E512" s="13"/>
      <c r="F512" s="12"/>
      <c r="G512" s="56"/>
      <c r="H512" s="56"/>
      <c r="I512" s="56"/>
      <c r="J512" s="56"/>
      <c r="K512" s="56"/>
      <c r="L512" s="56"/>
      <c r="M512" s="10"/>
      <c r="N512" s="10"/>
    </row>
    <row r="513" spans="1:14" s="98" customFormat="1" x14ac:dyDescent="0.15">
      <c r="A513" s="11"/>
      <c r="B513" s="13"/>
      <c r="C513" s="12"/>
      <c r="D513" s="13"/>
      <c r="E513" s="13"/>
      <c r="F513" s="12"/>
      <c r="G513" s="56"/>
      <c r="H513" s="56"/>
      <c r="I513" s="56"/>
      <c r="J513" s="56"/>
      <c r="K513" s="56"/>
      <c r="L513" s="56"/>
      <c r="M513" s="10"/>
      <c r="N513" s="10"/>
    </row>
    <row r="514" spans="1:14" s="98" customFormat="1" x14ac:dyDescent="0.15">
      <c r="A514" s="11"/>
      <c r="B514" s="13"/>
      <c r="C514" s="12"/>
      <c r="D514" s="13"/>
      <c r="E514" s="13"/>
      <c r="F514" s="12"/>
      <c r="G514" s="56"/>
      <c r="H514" s="56"/>
      <c r="I514" s="56"/>
      <c r="J514" s="56"/>
      <c r="K514" s="56"/>
      <c r="L514" s="56"/>
      <c r="M514" s="10"/>
      <c r="N514" s="10"/>
    </row>
    <row r="515" spans="1:14" s="98" customFormat="1" x14ac:dyDescent="0.15">
      <c r="A515" s="11"/>
      <c r="B515" s="13"/>
      <c r="C515" s="12"/>
      <c r="D515" s="13"/>
      <c r="E515" s="13"/>
      <c r="F515" s="12"/>
      <c r="G515" s="56"/>
      <c r="H515" s="56"/>
      <c r="I515" s="56"/>
      <c r="J515" s="56"/>
      <c r="K515" s="56"/>
      <c r="L515" s="56"/>
      <c r="M515" s="10"/>
      <c r="N515" s="10"/>
    </row>
    <row r="516" spans="1:14" s="98" customFormat="1" x14ac:dyDescent="0.15">
      <c r="A516" s="11"/>
      <c r="B516" s="13"/>
      <c r="C516" s="12"/>
      <c r="D516" s="13"/>
      <c r="E516" s="13"/>
      <c r="F516" s="12"/>
      <c r="G516" s="56"/>
      <c r="H516" s="56"/>
      <c r="I516" s="56"/>
      <c r="J516" s="56"/>
      <c r="K516" s="56"/>
      <c r="L516" s="56"/>
      <c r="M516" s="10"/>
      <c r="N516" s="10"/>
    </row>
    <row r="517" spans="1:14" s="98" customFormat="1" x14ac:dyDescent="0.15">
      <c r="A517" s="11"/>
      <c r="B517" s="13"/>
      <c r="C517" s="12"/>
      <c r="D517" s="13"/>
      <c r="E517" s="13"/>
      <c r="F517" s="12"/>
      <c r="G517" s="56"/>
      <c r="H517" s="56"/>
      <c r="I517" s="56"/>
      <c r="J517" s="56"/>
      <c r="K517" s="56"/>
      <c r="L517" s="56"/>
      <c r="M517" s="10"/>
      <c r="N517" s="10"/>
    </row>
    <row r="518" spans="1:14" s="98" customFormat="1" x14ac:dyDescent="0.15">
      <c r="A518" s="11"/>
      <c r="B518" s="13"/>
      <c r="C518" s="12"/>
      <c r="D518" s="13"/>
      <c r="E518" s="13"/>
      <c r="F518" s="12"/>
      <c r="G518" s="56"/>
      <c r="H518" s="56"/>
      <c r="I518" s="56"/>
      <c r="J518" s="56"/>
      <c r="K518" s="56"/>
      <c r="L518" s="56"/>
      <c r="M518" s="10"/>
      <c r="N518" s="10"/>
    </row>
    <row r="519" spans="1:14" s="98" customFormat="1" x14ac:dyDescent="0.15">
      <c r="A519" s="11"/>
      <c r="B519" s="13"/>
      <c r="C519" s="12"/>
      <c r="D519" s="13"/>
      <c r="E519" s="13"/>
      <c r="F519" s="12"/>
      <c r="G519" s="56"/>
      <c r="H519" s="56"/>
      <c r="I519" s="56"/>
      <c r="J519" s="56"/>
      <c r="K519" s="56"/>
      <c r="L519" s="56"/>
      <c r="M519" s="10"/>
      <c r="N519" s="10"/>
    </row>
    <row r="520" spans="1:14" s="98" customFormat="1" x14ac:dyDescent="0.15">
      <c r="A520" s="11"/>
      <c r="B520" s="13"/>
      <c r="C520" s="12"/>
      <c r="D520" s="13"/>
      <c r="E520" s="13"/>
      <c r="F520" s="12"/>
      <c r="G520" s="56"/>
      <c r="H520" s="56"/>
      <c r="I520" s="56"/>
      <c r="J520" s="56"/>
      <c r="K520" s="56"/>
      <c r="L520" s="56"/>
      <c r="M520" s="10"/>
      <c r="N520" s="10"/>
    </row>
    <row r="521" spans="1:14" s="98" customFormat="1" x14ac:dyDescent="0.15">
      <c r="A521" s="11"/>
      <c r="B521" s="13"/>
      <c r="C521" s="12"/>
      <c r="D521" s="13"/>
      <c r="E521" s="13"/>
      <c r="F521" s="12"/>
      <c r="G521" s="56"/>
      <c r="H521" s="56"/>
      <c r="I521" s="56"/>
      <c r="J521" s="56"/>
      <c r="K521" s="56"/>
      <c r="L521" s="56"/>
      <c r="M521" s="10"/>
      <c r="N521" s="10"/>
    </row>
    <row r="522" spans="1:14" s="98" customFormat="1" x14ac:dyDescent="0.15">
      <c r="A522" s="11"/>
      <c r="B522" s="13"/>
      <c r="C522" s="12"/>
      <c r="D522" s="13"/>
      <c r="E522" s="13"/>
      <c r="F522" s="12"/>
      <c r="G522" s="56"/>
      <c r="H522" s="56"/>
      <c r="I522" s="56"/>
      <c r="J522" s="56"/>
      <c r="K522" s="56"/>
      <c r="L522" s="56"/>
      <c r="M522" s="10"/>
      <c r="N522" s="10"/>
    </row>
    <row r="523" spans="1:14" s="98" customFormat="1" x14ac:dyDescent="0.15">
      <c r="A523" s="11"/>
      <c r="B523" s="13"/>
      <c r="C523" s="12"/>
      <c r="D523" s="13"/>
      <c r="E523" s="13"/>
      <c r="F523" s="12"/>
      <c r="G523" s="56"/>
      <c r="H523" s="56"/>
      <c r="I523" s="56"/>
      <c r="J523" s="56"/>
      <c r="K523" s="56"/>
      <c r="L523" s="56"/>
      <c r="M523" s="10"/>
      <c r="N523" s="10"/>
    </row>
    <row r="524" spans="1:14" s="98" customFormat="1" x14ac:dyDescent="0.15">
      <c r="A524" s="11"/>
      <c r="B524" s="13"/>
      <c r="C524" s="12"/>
      <c r="D524" s="13"/>
      <c r="E524" s="13"/>
      <c r="F524" s="12"/>
      <c r="G524" s="56"/>
      <c r="H524" s="56"/>
      <c r="I524" s="56"/>
      <c r="J524" s="56"/>
      <c r="K524" s="56"/>
      <c r="L524" s="56"/>
      <c r="M524" s="10"/>
      <c r="N524" s="10"/>
    </row>
    <row r="525" spans="1:14" s="98" customFormat="1" x14ac:dyDescent="0.15">
      <c r="A525" s="11"/>
      <c r="B525" s="13"/>
      <c r="C525" s="12"/>
      <c r="D525" s="13"/>
      <c r="E525" s="13"/>
      <c r="F525" s="12"/>
      <c r="G525" s="56"/>
      <c r="H525" s="56"/>
      <c r="I525" s="56"/>
      <c r="J525" s="56"/>
      <c r="K525" s="56"/>
      <c r="L525" s="56"/>
      <c r="M525" s="10"/>
      <c r="N525" s="10"/>
    </row>
    <row r="526" spans="1:14" s="98" customFormat="1" x14ac:dyDescent="0.15">
      <c r="A526" s="11"/>
      <c r="B526" s="13"/>
      <c r="C526" s="12"/>
      <c r="D526" s="13"/>
      <c r="E526" s="13"/>
      <c r="F526" s="12"/>
      <c r="G526" s="56"/>
      <c r="H526" s="56"/>
      <c r="I526" s="56"/>
      <c r="J526" s="56"/>
      <c r="K526" s="56"/>
      <c r="L526" s="56"/>
      <c r="M526" s="10"/>
      <c r="N526" s="10"/>
    </row>
    <row r="527" spans="1:14" s="98" customFormat="1" x14ac:dyDescent="0.15">
      <c r="A527" s="11"/>
      <c r="B527" s="13"/>
      <c r="C527" s="12"/>
      <c r="D527" s="13"/>
      <c r="E527" s="13"/>
      <c r="F527" s="12"/>
      <c r="G527" s="56"/>
      <c r="H527" s="56"/>
      <c r="I527" s="56"/>
      <c r="J527" s="56"/>
      <c r="K527" s="56"/>
      <c r="L527" s="56"/>
      <c r="M527" s="10"/>
      <c r="N527" s="10"/>
    </row>
    <row r="528" spans="1:14" s="98" customFormat="1" x14ac:dyDescent="0.15">
      <c r="A528" s="11"/>
      <c r="B528" s="13"/>
      <c r="C528" s="12"/>
      <c r="D528" s="13"/>
      <c r="E528" s="13"/>
      <c r="F528" s="12"/>
      <c r="G528" s="56"/>
      <c r="H528" s="56"/>
      <c r="I528" s="56"/>
      <c r="J528" s="56"/>
      <c r="K528" s="56"/>
      <c r="L528" s="56"/>
      <c r="M528" s="10"/>
      <c r="N528" s="10"/>
    </row>
    <row r="529" spans="1:14" s="98" customFormat="1" x14ac:dyDescent="0.15">
      <c r="A529" s="11"/>
      <c r="B529" s="13"/>
      <c r="C529" s="12"/>
      <c r="D529" s="13"/>
      <c r="E529" s="13"/>
      <c r="F529" s="12"/>
      <c r="G529" s="56"/>
      <c r="H529" s="56"/>
      <c r="I529" s="56"/>
      <c r="J529" s="56"/>
      <c r="K529" s="56"/>
      <c r="L529" s="56"/>
      <c r="M529" s="10"/>
      <c r="N529" s="10"/>
    </row>
    <row r="530" spans="1:14" s="98" customFormat="1" x14ac:dyDescent="0.15">
      <c r="A530" s="11"/>
      <c r="B530" s="13"/>
      <c r="C530" s="12"/>
      <c r="D530" s="13"/>
      <c r="E530" s="13"/>
      <c r="F530" s="12"/>
      <c r="G530" s="56"/>
      <c r="H530" s="56"/>
      <c r="I530" s="56"/>
      <c r="J530" s="56"/>
      <c r="K530" s="56"/>
      <c r="L530" s="56"/>
      <c r="M530" s="10"/>
      <c r="N530" s="10"/>
    </row>
    <row r="531" spans="1:14" s="98" customFormat="1" x14ac:dyDescent="0.15">
      <c r="A531" s="11"/>
      <c r="B531" s="13"/>
      <c r="C531" s="12"/>
      <c r="D531" s="13"/>
      <c r="E531" s="13"/>
      <c r="F531" s="12"/>
      <c r="G531" s="56"/>
      <c r="H531" s="56"/>
      <c r="I531" s="56"/>
      <c r="J531" s="56"/>
      <c r="K531" s="56"/>
      <c r="L531" s="56"/>
      <c r="M531" s="10"/>
      <c r="N531" s="10"/>
    </row>
    <row r="532" spans="1:14" s="98" customFormat="1" x14ac:dyDescent="0.15">
      <c r="A532" s="11"/>
      <c r="B532" s="13"/>
      <c r="C532" s="12"/>
      <c r="D532" s="13"/>
      <c r="E532" s="13"/>
      <c r="F532" s="12"/>
      <c r="G532" s="56"/>
      <c r="H532" s="56"/>
      <c r="I532" s="56"/>
      <c r="J532" s="56"/>
      <c r="K532" s="56"/>
      <c r="L532" s="56"/>
      <c r="M532" s="10"/>
      <c r="N532" s="10"/>
    </row>
    <row r="533" spans="1:14" s="98" customFormat="1" x14ac:dyDescent="0.15">
      <c r="A533" s="11"/>
      <c r="B533" s="13"/>
      <c r="C533" s="12"/>
      <c r="D533" s="13"/>
      <c r="E533" s="13"/>
      <c r="F533" s="12"/>
      <c r="G533" s="56"/>
      <c r="H533" s="56"/>
      <c r="I533" s="56"/>
      <c r="J533" s="56"/>
      <c r="K533" s="56"/>
      <c r="L533" s="56"/>
      <c r="M533" s="10"/>
      <c r="N533" s="10"/>
    </row>
    <row r="534" spans="1:14" s="98" customFormat="1" x14ac:dyDescent="0.15">
      <c r="A534" s="11"/>
      <c r="B534" s="13"/>
      <c r="C534" s="12"/>
      <c r="D534" s="13"/>
      <c r="E534" s="13"/>
      <c r="F534" s="12"/>
      <c r="G534" s="56"/>
      <c r="H534" s="56"/>
      <c r="I534" s="56"/>
      <c r="J534" s="56"/>
      <c r="K534" s="56"/>
      <c r="L534" s="56"/>
      <c r="M534" s="10"/>
      <c r="N534" s="10"/>
    </row>
    <row r="535" spans="1:14" s="98" customFormat="1" x14ac:dyDescent="0.15">
      <c r="A535" s="11"/>
      <c r="B535" s="13"/>
      <c r="C535" s="12"/>
      <c r="D535" s="13"/>
      <c r="E535" s="13"/>
      <c r="F535" s="12"/>
      <c r="G535" s="56"/>
      <c r="H535" s="56"/>
      <c r="I535" s="56"/>
      <c r="J535" s="56"/>
      <c r="K535" s="56"/>
      <c r="L535" s="56"/>
      <c r="M535" s="10"/>
      <c r="N535" s="10"/>
    </row>
    <row r="536" spans="1:14" s="98" customFormat="1" x14ac:dyDescent="0.15">
      <c r="A536" s="11"/>
      <c r="B536" s="13"/>
      <c r="C536" s="12"/>
      <c r="D536" s="13"/>
      <c r="E536" s="13"/>
      <c r="F536" s="12"/>
      <c r="G536" s="56"/>
      <c r="H536" s="56"/>
      <c r="I536" s="56"/>
      <c r="J536" s="56"/>
      <c r="K536" s="56"/>
      <c r="L536" s="56"/>
      <c r="M536" s="10"/>
      <c r="N536" s="10"/>
    </row>
    <row r="537" spans="1:14" s="98" customFormat="1" x14ac:dyDescent="0.15">
      <c r="A537" s="11"/>
      <c r="B537" s="13"/>
      <c r="C537" s="12"/>
      <c r="D537" s="13"/>
      <c r="E537" s="13"/>
      <c r="F537" s="12"/>
      <c r="G537" s="56"/>
      <c r="H537" s="56"/>
      <c r="I537" s="56"/>
      <c r="J537" s="56"/>
      <c r="K537" s="56"/>
      <c r="L537" s="56"/>
      <c r="M537" s="10"/>
      <c r="N537" s="10"/>
    </row>
    <row r="538" spans="1:14" s="98" customFormat="1" x14ac:dyDescent="0.15">
      <c r="A538" s="11"/>
      <c r="B538" s="13"/>
      <c r="C538" s="12"/>
      <c r="D538" s="13"/>
      <c r="E538" s="13"/>
      <c r="F538" s="12"/>
      <c r="G538" s="56"/>
      <c r="H538" s="56"/>
      <c r="I538" s="56"/>
      <c r="J538" s="56"/>
      <c r="K538" s="56"/>
      <c r="L538" s="56"/>
      <c r="M538" s="10"/>
      <c r="N538" s="10"/>
    </row>
    <row r="539" spans="1:14" s="98" customFormat="1" x14ac:dyDescent="0.15">
      <c r="A539" s="11"/>
      <c r="B539" s="13"/>
      <c r="C539" s="12"/>
      <c r="D539" s="13"/>
      <c r="E539" s="13"/>
      <c r="F539" s="12"/>
      <c r="G539" s="56"/>
      <c r="H539" s="56"/>
      <c r="I539" s="56"/>
      <c r="J539" s="56"/>
      <c r="K539" s="56"/>
      <c r="L539" s="56"/>
      <c r="M539" s="10"/>
      <c r="N539" s="10"/>
    </row>
    <row r="540" spans="1:14" s="98" customFormat="1" x14ac:dyDescent="0.15">
      <c r="A540" s="11"/>
      <c r="B540" s="13"/>
      <c r="C540" s="12"/>
      <c r="D540" s="13"/>
      <c r="E540" s="13"/>
      <c r="F540" s="12"/>
      <c r="G540" s="56"/>
      <c r="H540" s="56"/>
      <c r="I540" s="56"/>
      <c r="J540" s="56"/>
      <c r="K540" s="56"/>
      <c r="L540" s="56"/>
      <c r="M540" s="10"/>
      <c r="N540" s="10"/>
    </row>
    <row r="541" spans="1:14" s="98" customFormat="1" x14ac:dyDescent="0.15">
      <c r="A541" s="11"/>
      <c r="B541" s="13"/>
      <c r="C541" s="12"/>
      <c r="D541" s="13"/>
      <c r="E541" s="13"/>
      <c r="F541" s="12"/>
      <c r="G541" s="56"/>
      <c r="H541" s="56"/>
      <c r="I541" s="56"/>
      <c r="J541" s="56"/>
      <c r="K541" s="56"/>
      <c r="L541" s="56"/>
      <c r="M541" s="10"/>
      <c r="N541" s="10"/>
    </row>
    <row r="542" spans="1:14" s="98" customFormat="1" x14ac:dyDescent="0.15">
      <c r="A542" s="11"/>
      <c r="B542" s="13"/>
      <c r="C542" s="12"/>
      <c r="D542" s="13"/>
      <c r="E542" s="13"/>
      <c r="F542" s="12"/>
      <c r="G542" s="56"/>
      <c r="H542" s="56"/>
      <c r="I542" s="56"/>
      <c r="J542" s="56"/>
      <c r="K542" s="56"/>
      <c r="L542" s="56"/>
      <c r="M542" s="10"/>
      <c r="N542" s="10"/>
    </row>
    <row r="543" spans="1:14" s="98" customFormat="1" x14ac:dyDescent="0.15">
      <c r="A543" s="11"/>
      <c r="B543" s="13"/>
      <c r="C543" s="12"/>
      <c r="D543" s="13"/>
      <c r="E543" s="13"/>
      <c r="F543" s="12"/>
      <c r="G543" s="56"/>
      <c r="H543" s="56"/>
      <c r="I543" s="56"/>
      <c r="J543" s="56"/>
      <c r="K543" s="56"/>
      <c r="L543" s="56"/>
      <c r="M543" s="10"/>
      <c r="N543" s="10"/>
    </row>
    <row r="544" spans="1:14" s="98" customFormat="1" x14ac:dyDescent="0.15">
      <c r="A544" s="11"/>
      <c r="B544" s="13"/>
      <c r="C544" s="12"/>
      <c r="D544" s="13"/>
      <c r="E544" s="13"/>
      <c r="F544" s="12"/>
      <c r="G544" s="56"/>
      <c r="H544" s="56"/>
      <c r="I544" s="56"/>
      <c r="J544" s="56"/>
      <c r="K544" s="56"/>
      <c r="L544" s="56"/>
      <c r="M544" s="10"/>
      <c r="N544" s="10"/>
    </row>
    <row r="545" spans="1:14" s="98" customFormat="1" x14ac:dyDescent="0.15">
      <c r="A545" s="11"/>
      <c r="B545" s="13"/>
      <c r="C545" s="12"/>
      <c r="D545" s="13"/>
      <c r="E545" s="13"/>
      <c r="F545" s="12"/>
      <c r="G545" s="56"/>
      <c r="H545" s="56"/>
      <c r="I545" s="56"/>
      <c r="J545" s="56"/>
      <c r="K545" s="56"/>
      <c r="L545" s="56"/>
      <c r="M545" s="10"/>
      <c r="N545" s="10"/>
    </row>
    <row r="546" spans="1:14" s="98" customFormat="1" x14ac:dyDescent="0.15">
      <c r="A546" s="11"/>
      <c r="B546" s="13"/>
      <c r="C546" s="12"/>
      <c r="D546" s="13"/>
      <c r="E546" s="13"/>
      <c r="F546" s="12"/>
      <c r="G546" s="56"/>
      <c r="H546" s="56"/>
      <c r="I546" s="56"/>
      <c r="J546" s="56"/>
      <c r="K546" s="56"/>
      <c r="L546" s="56"/>
      <c r="M546" s="10"/>
      <c r="N546" s="10"/>
    </row>
    <row r="547" spans="1:14" s="98" customFormat="1" x14ac:dyDescent="0.15">
      <c r="A547" s="11"/>
      <c r="B547" s="13"/>
      <c r="C547" s="12"/>
      <c r="D547" s="13"/>
      <c r="E547" s="13"/>
      <c r="F547" s="12"/>
      <c r="G547" s="56"/>
      <c r="H547" s="56"/>
      <c r="I547" s="56"/>
      <c r="J547" s="56"/>
      <c r="K547" s="56"/>
      <c r="L547" s="56"/>
      <c r="M547" s="10"/>
      <c r="N547" s="10"/>
    </row>
    <row r="548" spans="1:14" s="98" customFormat="1" x14ac:dyDescent="0.15">
      <c r="A548" s="11"/>
      <c r="B548" s="13"/>
      <c r="C548" s="12"/>
      <c r="D548" s="13"/>
      <c r="E548" s="13"/>
      <c r="F548" s="12"/>
      <c r="G548" s="56"/>
      <c r="H548" s="56"/>
      <c r="I548" s="56"/>
      <c r="J548" s="56"/>
      <c r="K548" s="56"/>
      <c r="L548" s="56"/>
      <c r="M548" s="10"/>
      <c r="N548" s="10"/>
    </row>
    <row r="549" spans="1:14" s="98" customFormat="1" x14ac:dyDescent="0.15">
      <c r="A549" s="11"/>
      <c r="B549" s="13"/>
      <c r="C549" s="12"/>
      <c r="D549" s="13"/>
      <c r="E549" s="13"/>
      <c r="F549" s="12"/>
      <c r="G549" s="56"/>
      <c r="H549" s="56"/>
      <c r="I549" s="56"/>
      <c r="J549" s="56"/>
      <c r="K549" s="56"/>
      <c r="L549" s="56"/>
      <c r="M549" s="10"/>
      <c r="N549" s="10"/>
    </row>
    <row r="550" spans="1:14" s="98" customFormat="1" x14ac:dyDescent="0.15">
      <c r="A550" s="11"/>
      <c r="B550" s="13"/>
      <c r="C550" s="12"/>
      <c r="D550" s="13"/>
      <c r="E550" s="13"/>
      <c r="F550" s="12"/>
      <c r="G550" s="56"/>
      <c r="H550" s="56"/>
      <c r="I550" s="56"/>
      <c r="J550" s="56"/>
      <c r="K550" s="56"/>
      <c r="L550" s="56"/>
      <c r="M550" s="10"/>
      <c r="N550" s="10"/>
    </row>
    <row r="551" spans="1:14" s="98" customFormat="1" x14ac:dyDescent="0.15">
      <c r="A551" s="11"/>
      <c r="B551" s="13"/>
      <c r="C551" s="12"/>
      <c r="D551" s="13"/>
      <c r="E551" s="13"/>
      <c r="F551" s="12"/>
      <c r="G551" s="56"/>
      <c r="H551" s="56"/>
      <c r="I551" s="56"/>
      <c r="J551" s="56"/>
      <c r="K551" s="56"/>
      <c r="L551" s="56"/>
      <c r="M551" s="10"/>
      <c r="N551" s="10"/>
    </row>
    <row r="552" spans="1:14" s="98" customFormat="1" x14ac:dyDescent="0.15">
      <c r="A552" s="11"/>
      <c r="B552" s="13"/>
      <c r="C552" s="12"/>
      <c r="D552" s="13"/>
      <c r="E552" s="13"/>
      <c r="F552" s="12"/>
      <c r="G552" s="56"/>
      <c r="H552" s="56"/>
      <c r="I552" s="56"/>
      <c r="J552" s="56"/>
      <c r="K552" s="56"/>
      <c r="L552" s="56"/>
      <c r="M552" s="10"/>
      <c r="N552" s="10"/>
    </row>
    <row r="553" spans="1:14" s="98" customFormat="1" x14ac:dyDescent="0.15">
      <c r="A553" s="11"/>
      <c r="B553" s="13"/>
      <c r="C553" s="12"/>
      <c r="D553" s="13"/>
      <c r="E553" s="13"/>
      <c r="F553" s="12"/>
      <c r="G553" s="56"/>
      <c r="H553" s="56"/>
      <c r="I553" s="56"/>
      <c r="J553" s="56"/>
      <c r="K553" s="56"/>
      <c r="L553" s="56"/>
      <c r="M553" s="10"/>
      <c r="N553" s="10"/>
    </row>
    <row r="554" spans="1:14" s="98" customFormat="1" x14ac:dyDescent="0.15">
      <c r="A554" s="11"/>
      <c r="B554" s="13"/>
      <c r="C554" s="12"/>
      <c r="D554" s="13"/>
      <c r="E554" s="13"/>
      <c r="F554" s="12"/>
      <c r="G554" s="56"/>
      <c r="H554" s="56"/>
      <c r="I554" s="56"/>
      <c r="J554" s="56"/>
      <c r="K554" s="56"/>
      <c r="L554" s="56"/>
      <c r="M554" s="10"/>
      <c r="N554" s="10"/>
    </row>
    <row r="555" spans="1:14" s="98" customFormat="1" x14ac:dyDescent="0.15">
      <c r="A555" s="11"/>
      <c r="B555" s="13"/>
      <c r="C555" s="12"/>
      <c r="D555" s="13"/>
      <c r="E555" s="13"/>
      <c r="F555" s="12"/>
      <c r="G555" s="56"/>
      <c r="H555" s="56"/>
      <c r="I555" s="56"/>
      <c r="J555" s="56"/>
      <c r="K555" s="56"/>
      <c r="L555" s="56"/>
      <c r="M555" s="10"/>
      <c r="N555" s="10"/>
    </row>
    <row r="556" spans="1:14" s="98" customFormat="1" x14ac:dyDescent="0.15">
      <c r="A556" s="11"/>
      <c r="B556" s="13"/>
      <c r="C556" s="12"/>
      <c r="D556" s="13"/>
      <c r="E556" s="13"/>
      <c r="F556" s="12"/>
      <c r="G556" s="56"/>
      <c r="H556" s="56"/>
      <c r="I556" s="56"/>
      <c r="J556" s="56"/>
      <c r="K556" s="56"/>
      <c r="L556" s="56"/>
      <c r="M556" s="10"/>
      <c r="N556" s="10"/>
    </row>
    <row r="557" spans="1:14" s="98" customFormat="1" x14ac:dyDescent="0.15">
      <c r="A557" s="11"/>
      <c r="B557" s="13"/>
      <c r="C557" s="12"/>
      <c r="D557" s="13"/>
      <c r="E557" s="13"/>
      <c r="F557" s="12"/>
      <c r="G557" s="56"/>
      <c r="H557" s="56"/>
      <c r="I557" s="56"/>
      <c r="J557" s="56"/>
      <c r="K557" s="56"/>
      <c r="L557" s="56"/>
      <c r="M557" s="10"/>
      <c r="N557" s="10"/>
    </row>
    <row r="558" spans="1:14" s="98" customFormat="1" x14ac:dyDescent="0.15">
      <c r="A558" s="11"/>
      <c r="B558" s="13"/>
      <c r="C558" s="12"/>
      <c r="D558" s="13"/>
      <c r="E558" s="13"/>
      <c r="F558" s="12"/>
      <c r="G558" s="56"/>
      <c r="H558" s="56"/>
      <c r="I558" s="56"/>
      <c r="J558" s="56"/>
      <c r="K558" s="56"/>
      <c r="L558" s="56"/>
      <c r="M558" s="10"/>
      <c r="N558" s="10"/>
    </row>
    <row r="559" spans="1:14" s="98" customFormat="1" x14ac:dyDescent="0.15">
      <c r="A559" s="11"/>
      <c r="B559" s="13"/>
      <c r="C559" s="12"/>
      <c r="D559" s="13"/>
      <c r="E559" s="13"/>
      <c r="F559" s="12"/>
      <c r="G559" s="56"/>
      <c r="H559" s="56"/>
      <c r="I559" s="56"/>
      <c r="J559" s="56"/>
      <c r="K559" s="56"/>
      <c r="L559" s="56"/>
      <c r="M559" s="10"/>
      <c r="N559" s="10"/>
    </row>
    <row r="560" spans="1:14" s="98" customFormat="1" x14ac:dyDescent="0.15">
      <c r="A560" s="11"/>
      <c r="B560" s="13"/>
      <c r="C560" s="12"/>
      <c r="D560" s="13"/>
      <c r="E560" s="13"/>
      <c r="F560" s="12"/>
      <c r="G560" s="56"/>
      <c r="H560" s="56"/>
      <c r="I560" s="56"/>
      <c r="J560" s="56"/>
      <c r="K560" s="56"/>
      <c r="L560" s="56"/>
      <c r="M560" s="10"/>
      <c r="N560" s="10"/>
    </row>
    <row r="561" spans="1:14" s="98" customFormat="1" x14ac:dyDescent="0.15">
      <c r="A561" s="11"/>
      <c r="B561" s="13"/>
      <c r="C561" s="12"/>
      <c r="D561" s="13"/>
      <c r="E561" s="13"/>
      <c r="F561" s="12"/>
      <c r="G561" s="56"/>
      <c r="H561" s="56"/>
      <c r="I561" s="56"/>
      <c r="J561" s="56"/>
      <c r="K561" s="56"/>
      <c r="L561" s="56"/>
      <c r="M561" s="10"/>
      <c r="N561" s="10"/>
    </row>
    <row r="562" spans="1:14" s="98" customFormat="1" x14ac:dyDescent="0.15">
      <c r="A562" s="11"/>
      <c r="B562" s="13"/>
      <c r="C562" s="12"/>
      <c r="D562" s="13"/>
      <c r="E562" s="13"/>
      <c r="F562" s="12"/>
      <c r="G562" s="56"/>
      <c r="H562" s="56"/>
      <c r="I562" s="56"/>
      <c r="J562" s="56"/>
      <c r="K562" s="56"/>
      <c r="L562" s="56"/>
      <c r="M562" s="10"/>
      <c r="N562" s="10"/>
    </row>
    <row r="563" spans="1:14" s="98" customFormat="1" x14ac:dyDescent="0.15">
      <c r="A563" s="11"/>
      <c r="B563" s="13"/>
      <c r="C563" s="12"/>
      <c r="D563" s="13"/>
      <c r="E563" s="13"/>
      <c r="F563" s="12"/>
      <c r="G563" s="56"/>
      <c r="H563" s="56"/>
      <c r="I563" s="56"/>
      <c r="J563" s="56"/>
      <c r="K563" s="56"/>
      <c r="L563" s="56"/>
      <c r="M563" s="10"/>
      <c r="N563" s="10"/>
    </row>
    <row r="564" spans="1:14" s="98" customFormat="1" x14ac:dyDescent="0.15">
      <c r="A564" s="11"/>
      <c r="B564" s="13"/>
      <c r="C564" s="12"/>
      <c r="D564" s="13"/>
      <c r="E564" s="13"/>
      <c r="F564" s="12"/>
      <c r="G564" s="56"/>
      <c r="H564" s="56"/>
      <c r="I564" s="56"/>
      <c r="J564" s="56"/>
      <c r="K564" s="56"/>
      <c r="L564" s="56"/>
      <c r="M564" s="10"/>
      <c r="N564" s="10"/>
    </row>
    <row r="565" spans="1:14" s="98" customFormat="1" x14ac:dyDescent="0.15">
      <c r="A565" s="11"/>
      <c r="B565" s="13"/>
      <c r="C565" s="12"/>
      <c r="D565" s="13"/>
      <c r="E565" s="13"/>
      <c r="F565" s="12"/>
      <c r="G565" s="56"/>
      <c r="H565" s="56"/>
      <c r="I565" s="56"/>
      <c r="J565" s="56"/>
      <c r="K565" s="56"/>
      <c r="L565" s="56"/>
      <c r="M565" s="10"/>
      <c r="N565" s="10"/>
    </row>
    <row r="566" spans="1:14" s="98" customFormat="1" x14ac:dyDescent="0.15">
      <c r="A566" s="11"/>
      <c r="B566" s="13"/>
      <c r="C566" s="12"/>
      <c r="D566" s="13"/>
      <c r="E566" s="13"/>
      <c r="F566" s="12"/>
      <c r="G566" s="56"/>
      <c r="H566" s="56"/>
      <c r="I566" s="56"/>
      <c r="J566" s="56"/>
      <c r="K566" s="56"/>
      <c r="L566" s="56"/>
      <c r="M566" s="10"/>
      <c r="N566" s="10"/>
    </row>
    <row r="567" spans="1:14" s="98" customFormat="1" x14ac:dyDescent="0.15">
      <c r="A567" s="11"/>
      <c r="B567" s="13"/>
      <c r="C567" s="12"/>
      <c r="D567" s="13"/>
      <c r="E567" s="13"/>
      <c r="F567" s="12"/>
      <c r="G567" s="56"/>
      <c r="H567" s="56"/>
      <c r="I567" s="56"/>
      <c r="J567" s="56"/>
      <c r="K567" s="56"/>
      <c r="L567" s="56"/>
      <c r="M567" s="10"/>
      <c r="N567" s="10"/>
    </row>
    <row r="568" spans="1:14" s="98" customFormat="1" x14ac:dyDescent="0.15">
      <c r="A568" s="11"/>
      <c r="B568" s="13"/>
      <c r="C568" s="12"/>
      <c r="D568" s="13"/>
      <c r="E568" s="13"/>
      <c r="F568" s="12"/>
      <c r="G568" s="56"/>
      <c r="H568" s="56"/>
      <c r="I568" s="56"/>
      <c r="J568" s="56"/>
      <c r="K568" s="56"/>
      <c r="L568" s="56"/>
      <c r="M568" s="10"/>
      <c r="N568" s="10"/>
    </row>
    <row r="569" spans="1:14" s="98" customFormat="1" x14ac:dyDescent="0.15">
      <c r="A569" s="11"/>
      <c r="B569" s="13"/>
      <c r="C569" s="12"/>
      <c r="D569" s="13"/>
      <c r="E569" s="13"/>
      <c r="F569" s="12"/>
      <c r="G569" s="56"/>
      <c r="H569" s="56"/>
      <c r="I569" s="56"/>
      <c r="J569" s="56"/>
      <c r="K569" s="56"/>
      <c r="L569" s="56"/>
      <c r="M569" s="10"/>
      <c r="N569" s="10"/>
    </row>
    <row r="570" spans="1:14" s="98" customFormat="1" x14ac:dyDescent="0.15">
      <c r="A570" s="11"/>
      <c r="B570" s="13"/>
      <c r="C570" s="12"/>
      <c r="D570" s="13"/>
      <c r="E570" s="13"/>
      <c r="F570" s="12"/>
      <c r="G570" s="56"/>
      <c r="H570" s="56"/>
      <c r="I570" s="56"/>
      <c r="J570" s="56"/>
      <c r="K570" s="56"/>
      <c r="L570" s="56"/>
      <c r="M570" s="10"/>
      <c r="N570" s="10"/>
    </row>
    <row r="571" spans="1:14" s="98" customFormat="1" x14ac:dyDescent="0.15">
      <c r="A571" s="11"/>
      <c r="B571" s="13"/>
      <c r="C571" s="12"/>
      <c r="D571" s="13"/>
      <c r="E571" s="13"/>
      <c r="F571" s="12"/>
      <c r="G571" s="56"/>
      <c r="H571" s="56"/>
      <c r="I571" s="56"/>
      <c r="J571" s="56"/>
      <c r="K571" s="56"/>
      <c r="L571" s="56"/>
      <c r="M571" s="10"/>
      <c r="N571" s="10"/>
    </row>
    <row r="572" spans="1:14" s="98" customFormat="1" x14ac:dyDescent="0.15">
      <c r="A572" s="11"/>
      <c r="B572" s="13"/>
      <c r="C572" s="12"/>
      <c r="D572" s="13"/>
      <c r="E572" s="13"/>
      <c r="F572" s="12"/>
      <c r="G572" s="56"/>
      <c r="H572" s="56"/>
      <c r="I572" s="56"/>
      <c r="J572" s="56"/>
      <c r="K572" s="56"/>
      <c r="L572" s="56"/>
      <c r="M572" s="10"/>
      <c r="N572" s="10"/>
    </row>
    <row r="573" spans="1:14" s="98" customFormat="1" x14ac:dyDescent="0.15">
      <c r="A573" s="11"/>
      <c r="B573" s="13"/>
      <c r="C573" s="12"/>
      <c r="D573" s="13"/>
      <c r="E573" s="13"/>
      <c r="F573" s="12"/>
      <c r="G573" s="56"/>
      <c r="H573" s="56"/>
      <c r="I573" s="56"/>
      <c r="J573" s="56"/>
      <c r="K573" s="56"/>
      <c r="L573" s="56"/>
      <c r="M573" s="10"/>
      <c r="N573" s="10"/>
    </row>
    <row r="574" spans="1:14" s="98" customFormat="1" x14ac:dyDescent="0.15">
      <c r="A574" s="11"/>
      <c r="B574" s="13"/>
      <c r="C574" s="12"/>
      <c r="D574" s="13"/>
      <c r="E574" s="13"/>
      <c r="F574" s="12"/>
      <c r="G574" s="56"/>
      <c r="H574" s="56"/>
      <c r="I574" s="56"/>
      <c r="J574" s="56"/>
      <c r="K574" s="56"/>
      <c r="L574" s="56"/>
      <c r="M574" s="10"/>
      <c r="N574" s="10"/>
    </row>
    <row r="575" spans="1:14" s="98" customFormat="1" x14ac:dyDescent="0.15">
      <c r="A575" s="11"/>
      <c r="B575" s="13"/>
      <c r="C575" s="12"/>
      <c r="D575" s="13"/>
      <c r="E575" s="13"/>
      <c r="F575" s="12"/>
      <c r="G575" s="56"/>
      <c r="H575" s="56"/>
      <c r="I575" s="56"/>
      <c r="J575" s="56"/>
      <c r="K575" s="56"/>
      <c r="L575" s="56"/>
      <c r="M575" s="10"/>
      <c r="N575" s="10"/>
    </row>
    <row r="576" spans="1:14" s="98" customFormat="1" x14ac:dyDescent="0.15">
      <c r="A576" s="11"/>
      <c r="B576" s="13"/>
      <c r="C576" s="12"/>
      <c r="D576" s="13"/>
      <c r="E576" s="13"/>
      <c r="F576" s="12"/>
      <c r="G576" s="56"/>
      <c r="H576" s="56"/>
      <c r="I576" s="56"/>
      <c r="J576" s="56"/>
      <c r="K576" s="56"/>
      <c r="L576" s="56"/>
      <c r="M576" s="10"/>
      <c r="N576" s="10"/>
    </row>
    <row r="577" spans="1:14" s="98" customFormat="1" x14ac:dyDescent="0.15">
      <c r="A577" s="11"/>
      <c r="B577" s="13"/>
      <c r="C577" s="12"/>
      <c r="D577" s="13"/>
      <c r="E577" s="13"/>
      <c r="F577" s="12"/>
      <c r="G577" s="56"/>
      <c r="H577" s="56"/>
      <c r="I577" s="56"/>
      <c r="J577" s="56"/>
      <c r="K577" s="56"/>
      <c r="L577" s="56"/>
      <c r="M577" s="10"/>
      <c r="N577" s="10"/>
    </row>
    <row r="578" spans="1:14" s="98" customFormat="1" x14ac:dyDescent="0.15">
      <c r="A578" s="11"/>
      <c r="B578" s="13"/>
      <c r="C578" s="12"/>
      <c r="D578" s="13"/>
      <c r="E578" s="13"/>
      <c r="F578" s="12"/>
      <c r="G578" s="56"/>
      <c r="H578" s="56"/>
      <c r="I578" s="56"/>
      <c r="J578" s="56"/>
      <c r="K578" s="56"/>
      <c r="L578" s="56"/>
      <c r="M578" s="10"/>
      <c r="N578" s="10"/>
    </row>
    <row r="579" spans="1:14" s="98" customFormat="1" x14ac:dyDescent="0.15">
      <c r="A579" s="11"/>
      <c r="B579" s="13"/>
      <c r="C579" s="12"/>
      <c r="D579" s="13"/>
      <c r="E579" s="13"/>
      <c r="F579" s="12"/>
      <c r="G579" s="56"/>
      <c r="H579" s="56"/>
      <c r="I579" s="56"/>
      <c r="J579" s="56"/>
      <c r="K579" s="56"/>
      <c r="L579" s="56"/>
      <c r="M579" s="10"/>
      <c r="N579" s="10"/>
    </row>
    <row r="580" spans="1:14" s="98" customFormat="1" x14ac:dyDescent="0.15">
      <c r="A580" s="11"/>
      <c r="B580" s="13"/>
      <c r="C580" s="12"/>
      <c r="D580" s="13"/>
      <c r="E580" s="13"/>
      <c r="F580" s="12"/>
      <c r="G580" s="56"/>
      <c r="H580" s="56"/>
      <c r="I580" s="56"/>
      <c r="J580" s="56"/>
      <c r="K580" s="56"/>
      <c r="L580" s="56"/>
      <c r="M580" s="10"/>
      <c r="N580" s="10"/>
    </row>
    <row r="581" spans="1:14" s="98" customFormat="1" x14ac:dyDescent="0.15">
      <c r="A581" s="11"/>
      <c r="B581" s="13"/>
      <c r="C581" s="12"/>
      <c r="D581" s="13"/>
      <c r="E581" s="13"/>
      <c r="F581" s="12"/>
      <c r="G581" s="56"/>
      <c r="H581" s="56"/>
      <c r="I581" s="56"/>
      <c r="J581" s="56"/>
      <c r="K581" s="56"/>
      <c r="L581" s="56"/>
      <c r="M581" s="10"/>
      <c r="N581" s="10"/>
    </row>
    <row r="582" spans="1:14" s="98" customFormat="1" x14ac:dyDescent="0.15">
      <c r="A582" s="11"/>
      <c r="B582" s="13"/>
      <c r="C582" s="12"/>
      <c r="D582" s="13"/>
      <c r="E582" s="13"/>
      <c r="F582" s="12"/>
      <c r="G582" s="56"/>
      <c r="H582" s="56"/>
      <c r="I582" s="56"/>
      <c r="J582" s="56"/>
      <c r="K582" s="56"/>
      <c r="L582" s="56"/>
      <c r="M582" s="10"/>
      <c r="N582" s="10"/>
    </row>
    <row r="583" spans="1:14" s="98" customFormat="1" x14ac:dyDescent="0.15">
      <c r="A583" s="11"/>
      <c r="B583" s="13"/>
      <c r="C583" s="12"/>
      <c r="D583" s="13"/>
      <c r="E583" s="13"/>
      <c r="F583" s="12"/>
      <c r="G583" s="56"/>
      <c r="H583" s="56"/>
      <c r="I583" s="56"/>
      <c r="J583" s="56"/>
      <c r="K583" s="56"/>
      <c r="L583" s="56"/>
      <c r="M583" s="10"/>
      <c r="N583" s="10"/>
    </row>
    <row r="584" spans="1:14" s="98" customFormat="1" x14ac:dyDescent="0.15">
      <c r="A584" s="11"/>
      <c r="B584" s="13"/>
      <c r="C584" s="12"/>
      <c r="D584" s="13"/>
      <c r="E584" s="13"/>
      <c r="F584" s="12"/>
      <c r="G584" s="56"/>
      <c r="H584" s="56"/>
      <c r="I584" s="56"/>
      <c r="J584" s="56"/>
      <c r="K584" s="56"/>
      <c r="L584" s="56"/>
      <c r="M584" s="10"/>
      <c r="N584" s="10"/>
    </row>
    <row r="585" spans="1:14" s="98" customFormat="1" x14ac:dyDescent="0.15">
      <c r="A585" s="11"/>
      <c r="B585" s="13"/>
      <c r="C585" s="12"/>
      <c r="D585" s="13"/>
      <c r="E585" s="13"/>
      <c r="F585" s="12"/>
      <c r="G585" s="56"/>
      <c r="H585" s="56"/>
      <c r="I585" s="56"/>
      <c r="J585" s="56"/>
      <c r="K585" s="56"/>
      <c r="L585" s="56"/>
      <c r="M585" s="10"/>
      <c r="N585" s="10"/>
    </row>
    <row r="586" spans="1:14" s="98" customFormat="1" x14ac:dyDescent="0.15">
      <c r="A586" s="11"/>
      <c r="B586" s="13"/>
      <c r="C586" s="12"/>
      <c r="D586" s="13"/>
      <c r="E586" s="13"/>
      <c r="F586" s="12"/>
      <c r="G586" s="56"/>
      <c r="H586" s="56"/>
      <c r="I586" s="56"/>
      <c r="J586" s="56"/>
      <c r="K586" s="56"/>
      <c r="L586" s="56"/>
      <c r="M586" s="10"/>
      <c r="N586" s="10"/>
    </row>
    <row r="587" spans="1:14" s="98" customFormat="1" x14ac:dyDescent="0.15">
      <c r="A587" s="11"/>
      <c r="B587" s="13"/>
      <c r="C587" s="12"/>
      <c r="D587" s="13"/>
      <c r="E587" s="13"/>
      <c r="F587" s="12"/>
      <c r="G587" s="56"/>
      <c r="H587" s="56"/>
      <c r="I587" s="56"/>
      <c r="J587" s="56"/>
      <c r="K587" s="56"/>
      <c r="L587" s="56"/>
      <c r="M587" s="10"/>
      <c r="N587" s="10"/>
    </row>
    <row r="588" spans="1:14" s="98" customFormat="1" x14ac:dyDescent="0.15">
      <c r="A588" s="11"/>
      <c r="B588" s="13"/>
      <c r="C588" s="12"/>
      <c r="D588" s="13"/>
      <c r="E588" s="13"/>
      <c r="F588" s="12"/>
      <c r="G588" s="56"/>
      <c r="H588" s="56"/>
      <c r="I588" s="56"/>
      <c r="J588" s="56"/>
      <c r="K588" s="56"/>
      <c r="L588" s="56"/>
      <c r="M588" s="10"/>
      <c r="N588" s="10"/>
    </row>
    <row r="589" spans="1:14" s="98" customFormat="1" x14ac:dyDescent="0.15">
      <c r="A589" s="11"/>
      <c r="B589" s="13"/>
      <c r="C589" s="12"/>
      <c r="D589" s="13"/>
      <c r="E589" s="13"/>
      <c r="F589" s="12"/>
      <c r="G589" s="56"/>
      <c r="H589" s="56"/>
      <c r="I589" s="56"/>
      <c r="J589" s="56"/>
      <c r="K589" s="56"/>
      <c r="L589" s="56"/>
      <c r="M589" s="10"/>
      <c r="N589" s="10"/>
    </row>
    <row r="590" spans="1:14" s="98" customFormat="1" x14ac:dyDescent="0.15">
      <c r="A590" s="11"/>
      <c r="B590" s="13"/>
      <c r="C590" s="12"/>
      <c r="D590" s="13"/>
      <c r="E590" s="13"/>
      <c r="F590" s="12"/>
      <c r="G590" s="56"/>
      <c r="H590" s="56"/>
      <c r="I590" s="56"/>
      <c r="J590" s="56"/>
      <c r="K590" s="56"/>
      <c r="L590" s="56"/>
      <c r="M590" s="10"/>
      <c r="N590" s="10"/>
    </row>
    <row r="591" spans="1:14" s="98" customFormat="1" x14ac:dyDescent="0.15">
      <c r="A591" s="11"/>
      <c r="B591" s="13"/>
      <c r="C591" s="12"/>
      <c r="D591" s="13"/>
      <c r="E591" s="13"/>
      <c r="F591" s="12"/>
      <c r="G591" s="56"/>
      <c r="H591" s="56"/>
      <c r="I591" s="56"/>
      <c r="J591" s="56"/>
      <c r="K591" s="56"/>
      <c r="L591" s="56"/>
      <c r="M591" s="10"/>
      <c r="N591" s="10"/>
    </row>
    <row r="592" spans="1:14" s="98" customFormat="1" x14ac:dyDescent="0.15">
      <c r="A592" s="11"/>
      <c r="B592" s="13"/>
      <c r="C592" s="12"/>
      <c r="D592" s="13"/>
      <c r="E592" s="13"/>
      <c r="F592" s="12"/>
      <c r="G592" s="56"/>
      <c r="H592" s="56"/>
      <c r="I592" s="56"/>
      <c r="J592" s="56"/>
      <c r="K592" s="56"/>
      <c r="L592" s="56"/>
      <c r="M592" s="10"/>
      <c r="N592" s="10"/>
    </row>
    <row r="593" spans="1:14" s="98" customFormat="1" x14ac:dyDescent="0.15">
      <c r="A593" s="11"/>
      <c r="B593" s="13"/>
      <c r="C593" s="12"/>
      <c r="D593" s="13"/>
      <c r="E593" s="13"/>
      <c r="F593" s="12"/>
      <c r="G593" s="56"/>
      <c r="H593" s="56"/>
      <c r="I593" s="56"/>
      <c r="J593" s="56"/>
      <c r="K593" s="56"/>
      <c r="L593" s="56"/>
      <c r="M593" s="10"/>
      <c r="N593" s="10"/>
    </row>
    <row r="594" spans="1:14" s="98" customFormat="1" ht="19.5" customHeight="1" x14ac:dyDescent="0.15">
      <c r="A594" s="11"/>
      <c r="B594" s="13"/>
      <c r="C594" s="12"/>
      <c r="D594" s="13"/>
      <c r="E594" s="13"/>
      <c r="F594" s="12"/>
      <c r="G594" s="56"/>
      <c r="H594" s="56"/>
      <c r="I594" s="56"/>
      <c r="J594" s="56"/>
      <c r="K594" s="56"/>
      <c r="L594" s="56"/>
      <c r="M594" s="10"/>
      <c r="N594" s="10"/>
    </row>
  </sheetData>
  <phoneticPr fontId="1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V594"/>
  <sheetViews>
    <sheetView zoomScale="85" zoomScaleNormal="85" workbookViewId="0">
      <selection activeCell="N4" sqref="N4"/>
    </sheetView>
  </sheetViews>
  <sheetFormatPr defaultRowHeight="16.5" x14ac:dyDescent="0.15"/>
  <cols>
    <col min="1" max="1" width="11.25" style="11" bestFit="1" customWidth="1"/>
    <col min="2" max="2" width="11.25" style="11" customWidth="1"/>
    <col min="3" max="3" width="5.75" style="13" customWidth="1"/>
    <col min="4" max="4" width="11.125" style="12" customWidth="1"/>
    <col min="5" max="5" width="3.875" style="13" customWidth="1"/>
    <col min="6" max="6" width="2.875" style="13" bestFit="1" customWidth="1"/>
    <col min="7" max="7" width="3.875" style="12" bestFit="1" customWidth="1"/>
    <col min="8" max="8" width="18.875" style="56" customWidth="1"/>
    <col min="9" max="9" width="18" style="56" customWidth="1"/>
    <col min="10" max="11" width="20.125" style="56" customWidth="1"/>
    <col min="12" max="12" width="18" style="56" customWidth="1"/>
    <col min="13" max="13" width="17.5" style="98" customWidth="1"/>
    <col min="14" max="14" width="16" style="98" customWidth="1"/>
    <col min="15" max="15" width="19.625" style="98" customWidth="1"/>
    <col min="16" max="16" width="21.5" style="98" customWidth="1"/>
    <col min="17" max="17" width="20.25" style="98" customWidth="1"/>
    <col min="18" max="18" width="19.625" style="98" customWidth="1"/>
    <col min="19" max="19" width="22.125" style="98" customWidth="1"/>
    <col min="20" max="20" width="20.5" style="96" customWidth="1"/>
    <col min="21" max="21" width="10.75" style="96" customWidth="1"/>
    <col min="22" max="22" width="12.625" style="96" customWidth="1"/>
    <col min="23" max="16384" width="9" style="96"/>
  </cols>
  <sheetData>
    <row r="1" spans="1:22" s="98" customFormat="1" x14ac:dyDescent="0.15">
      <c r="A1" s="11" t="s">
        <v>605</v>
      </c>
      <c r="B1" s="11"/>
      <c r="C1" s="13"/>
      <c r="D1" s="12"/>
      <c r="E1" s="13"/>
      <c r="F1" s="13"/>
      <c r="G1" s="12"/>
      <c r="H1" s="56" t="s">
        <v>615</v>
      </c>
      <c r="I1" s="56" t="s">
        <v>640</v>
      </c>
      <c r="J1" s="56" t="s">
        <v>640</v>
      </c>
      <c r="K1" s="56" t="s">
        <v>640</v>
      </c>
      <c r="L1" s="56" t="s">
        <v>640</v>
      </c>
      <c r="M1" s="56" t="s">
        <v>640</v>
      </c>
      <c r="N1" s="56" t="s">
        <v>640</v>
      </c>
      <c r="P1" s="56"/>
      <c r="Q1" s="56"/>
      <c r="R1" s="56"/>
      <c r="S1" s="56"/>
      <c r="T1" s="56"/>
      <c r="U1" s="56"/>
      <c r="V1" s="56"/>
    </row>
    <row r="2" spans="1:22" s="98" customFormat="1" x14ac:dyDescent="0.15">
      <c r="A2" s="11" t="s">
        <v>61</v>
      </c>
      <c r="B2" s="11"/>
      <c r="C2" s="13"/>
      <c r="D2" s="12"/>
      <c r="E2" s="13"/>
      <c r="F2" s="13"/>
      <c r="G2" s="12"/>
      <c r="H2" s="56" t="s">
        <v>61</v>
      </c>
      <c r="I2" s="56" t="s">
        <v>61</v>
      </c>
      <c r="J2" s="56" t="s">
        <v>61</v>
      </c>
      <c r="K2" s="56" t="s">
        <v>61</v>
      </c>
      <c r="L2" s="56" t="s">
        <v>61</v>
      </c>
      <c r="M2" s="56" t="s">
        <v>61</v>
      </c>
      <c r="N2" s="56" t="s">
        <v>61</v>
      </c>
      <c r="P2" s="56"/>
      <c r="Q2" s="56"/>
    </row>
    <row r="3" spans="1:22" s="98" customFormat="1" x14ac:dyDescent="0.15">
      <c r="A3" s="11" t="s">
        <v>613</v>
      </c>
      <c r="B3" s="11"/>
      <c r="C3" s="13"/>
      <c r="D3" s="12"/>
      <c r="E3" s="13"/>
      <c r="F3" s="13"/>
      <c r="G3" s="12"/>
      <c r="H3" s="56" t="s">
        <v>645</v>
      </c>
      <c r="I3" s="56" t="s">
        <v>652</v>
      </c>
      <c r="J3" s="56" t="s">
        <v>653</v>
      </c>
      <c r="K3" s="56" t="s">
        <v>654</v>
      </c>
      <c r="L3" s="56" t="s">
        <v>658</v>
      </c>
      <c r="M3" s="56" t="s">
        <v>666</v>
      </c>
      <c r="N3" s="56" t="s">
        <v>667</v>
      </c>
    </row>
    <row r="4" spans="1:22" s="97" customFormat="1" ht="70.5" customHeight="1" thickBot="1" x14ac:dyDescent="0.2">
      <c r="A4" s="99" t="s">
        <v>613</v>
      </c>
      <c r="B4" s="99"/>
      <c r="C4" s="111" t="s">
        <v>644</v>
      </c>
      <c r="D4" s="112" t="s">
        <v>647</v>
      </c>
      <c r="E4" s="111"/>
      <c r="F4" s="111"/>
      <c r="G4" s="112"/>
      <c r="H4" s="94" t="s">
        <v>646</v>
      </c>
      <c r="I4" s="56" t="s">
        <v>648</v>
      </c>
      <c r="J4" s="56" t="s">
        <v>649</v>
      </c>
      <c r="K4" s="56" t="s">
        <v>650</v>
      </c>
      <c r="L4" s="56" t="s">
        <v>655</v>
      </c>
      <c r="M4" s="56" t="s">
        <v>656</v>
      </c>
      <c r="N4" s="56" t="s">
        <v>657</v>
      </c>
      <c r="O4" s="56" t="s">
        <v>651</v>
      </c>
      <c r="P4" s="56" t="s">
        <v>662</v>
      </c>
      <c r="Q4" s="56" t="s">
        <v>662</v>
      </c>
      <c r="R4" s="97" t="s">
        <v>659</v>
      </c>
      <c r="S4" s="97" t="s">
        <v>660</v>
      </c>
      <c r="T4" s="97" t="s">
        <v>661</v>
      </c>
    </row>
    <row r="5" spans="1:22" s="115" customFormat="1" x14ac:dyDescent="0.15">
      <c r="A5" s="18">
        <f>C5*10000000+D5*1000000+E5*10000+F5*100+G5</f>
        <v>60010000</v>
      </c>
      <c r="B5" s="18"/>
      <c r="C5" s="20">
        <v>6</v>
      </c>
      <c r="D5" s="19">
        <v>0</v>
      </c>
      <c r="E5" s="20">
        <v>1</v>
      </c>
      <c r="F5" s="20">
        <v>0</v>
      </c>
      <c r="G5" s="19">
        <v>0</v>
      </c>
      <c r="H5" s="57">
        <v>1</v>
      </c>
      <c r="I5" s="57">
        <v>1.5</v>
      </c>
      <c r="J5" s="57">
        <v>1.8</v>
      </c>
      <c r="K5" s="57">
        <v>2</v>
      </c>
      <c r="L5" s="57">
        <v>0.8</v>
      </c>
      <c r="M5" s="115">
        <v>0.7</v>
      </c>
      <c r="N5" s="115">
        <v>0.5</v>
      </c>
    </row>
    <row r="6" spans="1:22" x14ac:dyDescent="0.15">
      <c r="A6" s="11">
        <f t="shared" ref="A6:A69" si="0">C6*10000000+D6*1000000+E6*10000+F6*100+G6</f>
        <v>60010000</v>
      </c>
      <c r="C6" s="13">
        <v>6</v>
      </c>
      <c r="D6" s="12">
        <v>0</v>
      </c>
      <c r="E6" s="13">
        <v>1</v>
      </c>
      <c r="F6" s="13">
        <v>0</v>
      </c>
      <c r="G6" s="12">
        <v>0</v>
      </c>
      <c r="H6" s="56">
        <v>1</v>
      </c>
      <c r="I6" s="56">
        <v>1.1000000000000001</v>
      </c>
      <c r="M6" s="110"/>
    </row>
    <row r="7" spans="1:22" x14ac:dyDescent="0.15">
      <c r="A7" s="11">
        <f t="shared" si="0"/>
        <v>60010000</v>
      </c>
      <c r="C7" s="13">
        <v>6</v>
      </c>
      <c r="D7" s="12">
        <v>0</v>
      </c>
      <c r="E7" s="13">
        <v>1</v>
      </c>
      <c r="F7" s="13">
        <v>0</v>
      </c>
      <c r="G7" s="12">
        <v>0</v>
      </c>
      <c r="H7" s="56">
        <v>1</v>
      </c>
      <c r="M7" s="110"/>
    </row>
    <row r="8" spans="1:22" x14ac:dyDescent="0.15">
      <c r="A8" s="11">
        <f t="shared" si="0"/>
        <v>60010000</v>
      </c>
      <c r="C8" s="13">
        <v>6</v>
      </c>
      <c r="D8" s="12">
        <v>0</v>
      </c>
      <c r="E8" s="13">
        <v>1</v>
      </c>
      <c r="F8" s="13">
        <v>0</v>
      </c>
      <c r="G8" s="12">
        <v>0</v>
      </c>
      <c r="H8" s="56">
        <v>1</v>
      </c>
    </row>
    <row r="9" spans="1:22" x14ac:dyDescent="0.15">
      <c r="A9" s="11">
        <f t="shared" si="0"/>
        <v>60010000</v>
      </c>
      <c r="C9" s="13">
        <v>6</v>
      </c>
      <c r="D9" s="12">
        <v>0</v>
      </c>
      <c r="E9" s="13">
        <v>1</v>
      </c>
      <c r="F9" s="13">
        <v>0</v>
      </c>
      <c r="G9" s="12">
        <v>0</v>
      </c>
      <c r="H9" s="56">
        <v>1</v>
      </c>
    </row>
    <row r="10" spans="1:22" x14ac:dyDescent="0.15">
      <c r="A10" s="11">
        <f t="shared" si="0"/>
        <v>60010000</v>
      </c>
      <c r="C10" s="13">
        <v>6</v>
      </c>
      <c r="D10" s="12">
        <v>0</v>
      </c>
      <c r="E10" s="13">
        <v>1</v>
      </c>
      <c r="F10" s="13">
        <v>0</v>
      </c>
      <c r="G10" s="12">
        <v>0</v>
      </c>
      <c r="H10" s="56">
        <v>1</v>
      </c>
    </row>
    <row r="11" spans="1:22" x14ac:dyDescent="0.15">
      <c r="A11" s="11">
        <f t="shared" si="0"/>
        <v>60010000</v>
      </c>
      <c r="C11" s="13">
        <v>6</v>
      </c>
      <c r="D11" s="12">
        <v>0</v>
      </c>
      <c r="E11" s="13">
        <v>1</v>
      </c>
      <c r="F11" s="13">
        <v>0</v>
      </c>
      <c r="G11" s="12">
        <v>0</v>
      </c>
      <c r="H11" s="56">
        <v>1</v>
      </c>
    </row>
    <row r="12" spans="1:22" x14ac:dyDescent="0.15">
      <c r="A12" s="11">
        <f t="shared" si="0"/>
        <v>60010000</v>
      </c>
      <c r="C12" s="13">
        <v>6</v>
      </c>
      <c r="D12" s="12">
        <v>0</v>
      </c>
      <c r="E12" s="13">
        <v>1</v>
      </c>
      <c r="F12" s="13">
        <v>0</v>
      </c>
      <c r="G12" s="12">
        <v>0</v>
      </c>
      <c r="H12" s="56">
        <v>1</v>
      </c>
    </row>
    <row r="13" spans="1:22" x14ac:dyDescent="0.15">
      <c r="A13" s="11">
        <f t="shared" si="0"/>
        <v>60010000</v>
      </c>
      <c r="C13" s="13">
        <v>6</v>
      </c>
      <c r="D13" s="12">
        <v>0</v>
      </c>
      <c r="E13" s="13">
        <v>1</v>
      </c>
      <c r="F13" s="13">
        <v>0</v>
      </c>
      <c r="G13" s="12">
        <v>0</v>
      </c>
      <c r="H13" s="56">
        <v>1</v>
      </c>
    </row>
    <row r="14" spans="1:22" ht="17.25" thickBot="1" x14ac:dyDescent="0.2">
      <c r="A14" s="11">
        <f t="shared" si="0"/>
        <v>60010000</v>
      </c>
      <c r="C14" s="13">
        <v>6</v>
      </c>
      <c r="D14" s="12">
        <v>0</v>
      </c>
      <c r="E14" s="13">
        <v>1</v>
      </c>
      <c r="F14" s="13">
        <v>0</v>
      </c>
      <c r="G14" s="12">
        <v>0</v>
      </c>
      <c r="H14" s="56">
        <v>1</v>
      </c>
    </row>
    <row r="15" spans="1:22" s="115" customFormat="1" x14ac:dyDescent="0.15">
      <c r="A15" s="18">
        <f t="shared" si="0"/>
        <v>60020000</v>
      </c>
      <c r="B15" s="18"/>
      <c r="C15" s="20">
        <v>6</v>
      </c>
      <c r="D15" s="19">
        <v>0</v>
      </c>
      <c r="E15" s="20">
        <v>2</v>
      </c>
      <c r="F15" s="20">
        <v>0</v>
      </c>
      <c r="G15" s="19">
        <v>0</v>
      </c>
      <c r="H15" s="57">
        <v>1</v>
      </c>
      <c r="I15" s="57"/>
      <c r="J15" s="57"/>
      <c r="K15" s="57"/>
      <c r="L15" s="57"/>
    </row>
    <row r="16" spans="1:22" s="98" customFormat="1" x14ac:dyDescent="0.15">
      <c r="A16" s="11">
        <f t="shared" si="0"/>
        <v>60020000</v>
      </c>
      <c r="B16" s="11"/>
      <c r="C16" s="13">
        <v>6</v>
      </c>
      <c r="D16" s="12">
        <v>0</v>
      </c>
      <c r="E16" s="13">
        <v>2</v>
      </c>
      <c r="F16" s="13">
        <v>0</v>
      </c>
      <c r="G16" s="12">
        <v>0</v>
      </c>
      <c r="H16" s="56">
        <v>1</v>
      </c>
      <c r="I16" s="56"/>
      <c r="J16" s="56"/>
      <c r="K16" s="56"/>
      <c r="L16" s="56"/>
    </row>
    <row r="17" spans="1:12" s="98" customFormat="1" x14ac:dyDescent="0.15">
      <c r="A17" s="11">
        <f t="shared" si="0"/>
        <v>60020000</v>
      </c>
      <c r="B17" s="11"/>
      <c r="C17" s="13">
        <v>6</v>
      </c>
      <c r="D17" s="12">
        <v>0</v>
      </c>
      <c r="E17" s="13">
        <v>2</v>
      </c>
      <c r="F17" s="13">
        <v>0</v>
      </c>
      <c r="G17" s="12">
        <v>0</v>
      </c>
      <c r="H17" s="56">
        <v>1</v>
      </c>
      <c r="I17" s="56"/>
      <c r="J17" s="56"/>
      <c r="K17" s="56"/>
      <c r="L17" s="56"/>
    </row>
    <row r="18" spans="1:12" s="98" customFormat="1" x14ac:dyDescent="0.15">
      <c r="A18" s="11">
        <f t="shared" si="0"/>
        <v>60020000</v>
      </c>
      <c r="B18" s="11"/>
      <c r="C18" s="13">
        <v>6</v>
      </c>
      <c r="D18" s="12">
        <v>0</v>
      </c>
      <c r="E18" s="13">
        <v>2</v>
      </c>
      <c r="F18" s="13">
        <v>0</v>
      </c>
      <c r="G18" s="12">
        <v>0</v>
      </c>
      <c r="H18" s="56">
        <v>1</v>
      </c>
      <c r="I18" s="56"/>
      <c r="J18" s="56"/>
      <c r="K18" s="56"/>
      <c r="L18" s="56"/>
    </row>
    <row r="19" spans="1:12" s="98" customFormat="1" x14ac:dyDescent="0.15">
      <c r="A19" s="11">
        <f t="shared" si="0"/>
        <v>60020000</v>
      </c>
      <c r="B19" s="11"/>
      <c r="C19" s="13">
        <v>6</v>
      </c>
      <c r="D19" s="12">
        <v>0</v>
      </c>
      <c r="E19" s="13">
        <v>2</v>
      </c>
      <c r="F19" s="13">
        <v>0</v>
      </c>
      <c r="G19" s="12">
        <v>0</v>
      </c>
      <c r="H19" s="56">
        <v>1</v>
      </c>
      <c r="I19" s="56"/>
      <c r="J19" s="56"/>
      <c r="K19" s="56"/>
      <c r="L19" s="56"/>
    </row>
    <row r="20" spans="1:12" s="98" customFormat="1" x14ac:dyDescent="0.15">
      <c r="A20" s="11">
        <f t="shared" si="0"/>
        <v>60020000</v>
      </c>
      <c r="B20" s="11"/>
      <c r="C20" s="13">
        <v>6</v>
      </c>
      <c r="D20" s="12">
        <v>0</v>
      </c>
      <c r="E20" s="13">
        <v>2</v>
      </c>
      <c r="F20" s="13">
        <v>0</v>
      </c>
      <c r="G20" s="12">
        <v>0</v>
      </c>
      <c r="H20" s="56">
        <v>1</v>
      </c>
      <c r="I20" s="56"/>
      <c r="J20" s="56"/>
      <c r="K20" s="56"/>
      <c r="L20" s="56"/>
    </row>
    <row r="21" spans="1:12" s="98" customFormat="1" x14ac:dyDescent="0.15">
      <c r="A21" s="11">
        <f t="shared" si="0"/>
        <v>60020000</v>
      </c>
      <c r="B21" s="11"/>
      <c r="C21" s="13">
        <v>6</v>
      </c>
      <c r="D21" s="12">
        <v>0</v>
      </c>
      <c r="E21" s="13">
        <v>2</v>
      </c>
      <c r="F21" s="13">
        <v>0</v>
      </c>
      <c r="G21" s="12">
        <v>0</v>
      </c>
      <c r="H21" s="56">
        <v>1</v>
      </c>
      <c r="I21" s="56"/>
      <c r="J21" s="56"/>
      <c r="K21" s="56"/>
      <c r="L21" s="56"/>
    </row>
    <row r="22" spans="1:12" s="98" customFormat="1" x14ac:dyDescent="0.15">
      <c r="A22" s="11">
        <f t="shared" si="0"/>
        <v>60020000</v>
      </c>
      <c r="B22" s="11"/>
      <c r="C22" s="13">
        <v>6</v>
      </c>
      <c r="D22" s="12">
        <v>0</v>
      </c>
      <c r="E22" s="13">
        <v>2</v>
      </c>
      <c r="F22" s="13">
        <v>0</v>
      </c>
      <c r="G22" s="12">
        <v>0</v>
      </c>
      <c r="H22" s="56">
        <v>1</v>
      </c>
      <c r="I22" s="56"/>
      <c r="J22" s="56"/>
      <c r="K22" s="56"/>
      <c r="L22" s="56"/>
    </row>
    <row r="23" spans="1:12" s="98" customFormat="1" x14ac:dyDescent="0.15">
      <c r="A23" s="11">
        <f t="shared" si="0"/>
        <v>60020000</v>
      </c>
      <c r="B23" s="11"/>
      <c r="C23" s="13">
        <v>6</v>
      </c>
      <c r="D23" s="12">
        <v>0</v>
      </c>
      <c r="E23" s="13">
        <v>2</v>
      </c>
      <c r="F23" s="13">
        <v>0</v>
      </c>
      <c r="G23" s="12">
        <v>0</v>
      </c>
      <c r="H23" s="56">
        <v>1</v>
      </c>
      <c r="I23" s="56"/>
      <c r="J23" s="56"/>
      <c r="K23" s="56"/>
      <c r="L23" s="56"/>
    </row>
    <row r="24" spans="1:12" s="98" customFormat="1" ht="17.25" thickBot="1" x14ac:dyDescent="0.2">
      <c r="A24" s="11">
        <f t="shared" si="0"/>
        <v>60020000</v>
      </c>
      <c r="B24" s="11"/>
      <c r="C24" s="113">
        <v>6</v>
      </c>
      <c r="D24" s="12">
        <v>0</v>
      </c>
      <c r="E24" s="113">
        <v>2</v>
      </c>
      <c r="F24" s="113">
        <v>0</v>
      </c>
      <c r="G24" s="114">
        <v>0</v>
      </c>
      <c r="H24" s="56">
        <v>1</v>
      </c>
      <c r="I24" s="56"/>
      <c r="J24" s="56"/>
      <c r="K24" s="56"/>
      <c r="L24" s="56"/>
    </row>
    <row r="25" spans="1:12" s="115" customFormat="1" x14ac:dyDescent="0.15">
      <c r="A25" s="18">
        <f t="shared" si="0"/>
        <v>60030000</v>
      </c>
      <c r="B25" s="18"/>
      <c r="C25" s="20">
        <v>6</v>
      </c>
      <c r="D25" s="19">
        <v>0</v>
      </c>
      <c r="E25" s="20">
        <v>3</v>
      </c>
      <c r="F25" s="20">
        <v>0</v>
      </c>
      <c r="G25" s="19">
        <v>0</v>
      </c>
      <c r="H25" s="57">
        <v>1</v>
      </c>
      <c r="I25" s="57"/>
      <c r="J25" s="57"/>
      <c r="K25" s="57"/>
      <c r="L25" s="57"/>
    </row>
    <row r="26" spans="1:12" s="98" customFormat="1" x14ac:dyDescent="0.15">
      <c r="A26" s="11">
        <f t="shared" si="0"/>
        <v>60030000</v>
      </c>
      <c r="B26" s="11"/>
      <c r="C26" s="13">
        <v>6</v>
      </c>
      <c r="D26" s="12">
        <v>0</v>
      </c>
      <c r="E26" s="13">
        <v>3</v>
      </c>
      <c r="F26" s="13">
        <v>0</v>
      </c>
      <c r="G26" s="12">
        <v>0</v>
      </c>
      <c r="H26" s="56">
        <v>1</v>
      </c>
      <c r="I26" s="56"/>
      <c r="J26" s="56"/>
      <c r="K26" s="56"/>
      <c r="L26" s="56"/>
    </row>
    <row r="27" spans="1:12" s="98" customFormat="1" x14ac:dyDescent="0.15">
      <c r="A27" s="11">
        <f t="shared" si="0"/>
        <v>60030000</v>
      </c>
      <c r="B27" s="11"/>
      <c r="C27" s="13">
        <v>6</v>
      </c>
      <c r="D27" s="12">
        <v>0</v>
      </c>
      <c r="E27" s="13">
        <v>3</v>
      </c>
      <c r="F27" s="13">
        <v>0</v>
      </c>
      <c r="G27" s="12">
        <v>0</v>
      </c>
      <c r="H27" s="56">
        <v>1</v>
      </c>
      <c r="I27" s="56"/>
      <c r="J27" s="56"/>
      <c r="K27" s="56"/>
      <c r="L27" s="56"/>
    </row>
    <row r="28" spans="1:12" s="98" customFormat="1" x14ac:dyDescent="0.15">
      <c r="A28" s="11">
        <f t="shared" si="0"/>
        <v>60030000</v>
      </c>
      <c r="B28" s="11"/>
      <c r="C28" s="13">
        <v>6</v>
      </c>
      <c r="D28" s="12">
        <v>0</v>
      </c>
      <c r="E28" s="13">
        <v>3</v>
      </c>
      <c r="F28" s="13">
        <v>0</v>
      </c>
      <c r="G28" s="12">
        <v>0</v>
      </c>
      <c r="H28" s="56">
        <v>1</v>
      </c>
      <c r="I28" s="56"/>
      <c r="J28" s="56"/>
      <c r="K28" s="56"/>
      <c r="L28" s="56"/>
    </row>
    <row r="29" spans="1:12" s="98" customFormat="1" x14ac:dyDescent="0.15">
      <c r="A29" s="11">
        <f t="shared" si="0"/>
        <v>60030000</v>
      </c>
      <c r="B29" s="11"/>
      <c r="C29" s="13">
        <v>6</v>
      </c>
      <c r="D29" s="12">
        <v>0</v>
      </c>
      <c r="E29" s="13">
        <v>3</v>
      </c>
      <c r="F29" s="13">
        <v>0</v>
      </c>
      <c r="G29" s="12">
        <v>0</v>
      </c>
      <c r="H29" s="56">
        <v>1</v>
      </c>
      <c r="I29" s="56"/>
      <c r="J29" s="56"/>
      <c r="K29" s="56"/>
      <c r="L29" s="56"/>
    </row>
    <row r="30" spans="1:12" s="98" customFormat="1" x14ac:dyDescent="0.15">
      <c r="A30" s="11">
        <f t="shared" si="0"/>
        <v>60030000</v>
      </c>
      <c r="B30" s="11"/>
      <c r="C30" s="13">
        <v>6</v>
      </c>
      <c r="D30" s="12">
        <v>0</v>
      </c>
      <c r="E30" s="13">
        <v>3</v>
      </c>
      <c r="F30" s="13">
        <v>0</v>
      </c>
      <c r="G30" s="12">
        <v>0</v>
      </c>
      <c r="H30" s="56">
        <v>1</v>
      </c>
      <c r="I30" s="56"/>
      <c r="J30" s="56"/>
      <c r="K30" s="56"/>
      <c r="L30" s="56"/>
    </row>
    <row r="31" spans="1:12" s="98" customFormat="1" x14ac:dyDescent="0.15">
      <c r="A31" s="11">
        <f t="shared" si="0"/>
        <v>60030000</v>
      </c>
      <c r="B31" s="11"/>
      <c r="C31" s="13">
        <v>6</v>
      </c>
      <c r="D31" s="12">
        <v>0</v>
      </c>
      <c r="E31" s="13">
        <v>3</v>
      </c>
      <c r="F31" s="13">
        <v>0</v>
      </c>
      <c r="G31" s="12">
        <v>0</v>
      </c>
      <c r="H31" s="56">
        <v>1</v>
      </c>
      <c r="I31" s="56"/>
      <c r="J31" s="56"/>
      <c r="K31" s="56"/>
      <c r="L31" s="56"/>
    </row>
    <row r="32" spans="1:12" s="98" customFormat="1" x14ac:dyDescent="0.15">
      <c r="A32" s="11">
        <f t="shared" si="0"/>
        <v>60030000</v>
      </c>
      <c r="B32" s="11"/>
      <c r="C32" s="13">
        <v>6</v>
      </c>
      <c r="D32" s="12">
        <v>0</v>
      </c>
      <c r="E32" s="13">
        <v>3</v>
      </c>
      <c r="F32" s="13">
        <v>0</v>
      </c>
      <c r="G32" s="12">
        <v>0</v>
      </c>
      <c r="H32" s="56">
        <v>1</v>
      </c>
      <c r="I32" s="56"/>
      <c r="J32" s="56"/>
      <c r="K32" s="56"/>
      <c r="L32" s="56"/>
    </row>
    <row r="33" spans="1:12" s="98" customFormat="1" x14ac:dyDescent="0.15">
      <c r="A33" s="11">
        <f t="shared" si="0"/>
        <v>60030000</v>
      </c>
      <c r="B33" s="11"/>
      <c r="C33" s="13">
        <v>6</v>
      </c>
      <c r="D33" s="12">
        <v>0</v>
      </c>
      <c r="E33" s="13">
        <v>3</v>
      </c>
      <c r="F33" s="13">
        <v>0</v>
      </c>
      <c r="G33" s="12">
        <v>0</v>
      </c>
      <c r="H33" s="56">
        <v>1</v>
      </c>
      <c r="I33" s="56"/>
      <c r="J33" s="56"/>
      <c r="K33" s="56"/>
      <c r="L33" s="56"/>
    </row>
    <row r="34" spans="1:12" s="98" customFormat="1" ht="17.25" thickBot="1" x14ac:dyDescent="0.2">
      <c r="A34" s="11">
        <f t="shared" si="0"/>
        <v>60030000</v>
      </c>
      <c r="B34" s="11"/>
      <c r="C34" s="113">
        <v>6</v>
      </c>
      <c r="D34" s="12">
        <v>0</v>
      </c>
      <c r="E34" s="113">
        <v>3</v>
      </c>
      <c r="F34" s="113">
        <v>0</v>
      </c>
      <c r="G34" s="114">
        <v>0</v>
      </c>
      <c r="H34" s="56">
        <v>1</v>
      </c>
      <c r="I34" s="56"/>
      <c r="J34" s="56"/>
      <c r="K34" s="56"/>
      <c r="L34" s="56"/>
    </row>
    <row r="35" spans="1:12" s="115" customFormat="1" x14ac:dyDescent="0.15">
      <c r="A35" s="18">
        <f t="shared" si="0"/>
        <v>60040000</v>
      </c>
      <c r="B35" s="18"/>
      <c r="C35" s="20">
        <v>6</v>
      </c>
      <c r="D35" s="19">
        <v>0</v>
      </c>
      <c r="E35" s="20">
        <v>4</v>
      </c>
      <c r="F35" s="20">
        <v>0</v>
      </c>
      <c r="G35" s="19">
        <v>0</v>
      </c>
      <c r="H35" s="57">
        <v>1</v>
      </c>
      <c r="I35" s="57"/>
      <c r="J35" s="57"/>
      <c r="K35" s="57"/>
      <c r="L35" s="57"/>
    </row>
    <row r="36" spans="1:12" s="98" customFormat="1" x14ac:dyDescent="0.15">
      <c r="A36" s="11">
        <f t="shared" si="0"/>
        <v>60040000</v>
      </c>
      <c r="B36" s="11"/>
      <c r="C36" s="13">
        <v>6</v>
      </c>
      <c r="D36" s="12">
        <v>0</v>
      </c>
      <c r="E36" s="13">
        <v>4</v>
      </c>
      <c r="F36" s="13">
        <v>0</v>
      </c>
      <c r="G36" s="12">
        <v>0</v>
      </c>
      <c r="H36" s="56">
        <v>1</v>
      </c>
      <c r="I36" s="56"/>
      <c r="J36" s="56"/>
      <c r="K36" s="56"/>
      <c r="L36" s="56"/>
    </row>
    <row r="37" spans="1:12" s="98" customFormat="1" x14ac:dyDescent="0.15">
      <c r="A37" s="11">
        <f t="shared" si="0"/>
        <v>60040000</v>
      </c>
      <c r="B37" s="11"/>
      <c r="C37" s="13">
        <v>6</v>
      </c>
      <c r="D37" s="12">
        <v>0</v>
      </c>
      <c r="E37" s="13">
        <v>4</v>
      </c>
      <c r="F37" s="13">
        <v>0</v>
      </c>
      <c r="G37" s="12">
        <v>0</v>
      </c>
      <c r="H37" s="56">
        <v>1</v>
      </c>
      <c r="I37" s="56"/>
      <c r="J37" s="56"/>
      <c r="K37" s="56"/>
      <c r="L37" s="56"/>
    </row>
    <row r="38" spans="1:12" s="98" customFormat="1" x14ac:dyDescent="0.15">
      <c r="A38" s="11">
        <f t="shared" si="0"/>
        <v>60040000</v>
      </c>
      <c r="B38" s="11"/>
      <c r="C38" s="13">
        <v>6</v>
      </c>
      <c r="D38" s="12">
        <v>0</v>
      </c>
      <c r="E38" s="13">
        <v>4</v>
      </c>
      <c r="F38" s="13">
        <v>0</v>
      </c>
      <c r="G38" s="12">
        <v>0</v>
      </c>
      <c r="H38" s="56">
        <v>1</v>
      </c>
      <c r="I38" s="56"/>
      <c r="J38" s="56"/>
      <c r="K38" s="56"/>
      <c r="L38" s="56"/>
    </row>
    <row r="39" spans="1:12" s="98" customFormat="1" x14ac:dyDescent="0.15">
      <c r="A39" s="11">
        <f t="shared" si="0"/>
        <v>60040000</v>
      </c>
      <c r="B39" s="11"/>
      <c r="C39" s="13">
        <v>6</v>
      </c>
      <c r="D39" s="12">
        <v>0</v>
      </c>
      <c r="E39" s="13">
        <v>4</v>
      </c>
      <c r="F39" s="13">
        <v>0</v>
      </c>
      <c r="G39" s="12">
        <v>0</v>
      </c>
      <c r="H39" s="56">
        <v>1</v>
      </c>
      <c r="I39" s="56"/>
      <c r="J39" s="56"/>
      <c r="K39" s="56"/>
      <c r="L39" s="56"/>
    </row>
    <row r="40" spans="1:12" s="98" customFormat="1" x14ac:dyDescent="0.15">
      <c r="A40" s="11">
        <f t="shared" si="0"/>
        <v>60040000</v>
      </c>
      <c r="B40" s="11"/>
      <c r="C40" s="13">
        <v>6</v>
      </c>
      <c r="D40" s="12">
        <v>0</v>
      </c>
      <c r="E40" s="13">
        <v>4</v>
      </c>
      <c r="F40" s="13">
        <v>0</v>
      </c>
      <c r="G40" s="12">
        <v>0</v>
      </c>
      <c r="H40" s="56">
        <v>1</v>
      </c>
      <c r="I40" s="56"/>
      <c r="J40" s="56"/>
      <c r="K40" s="56"/>
      <c r="L40" s="56"/>
    </row>
    <row r="41" spans="1:12" s="98" customFormat="1" x14ac:dyDescent="0.15">
      <c r="A41" s="11">
        <f t="shared" si="0"/>
        <v>60040000</v>
      </c>
      <c r="B41" s="11"/>
      <c r="C41" s="13">
        <v>6</v>
      </c>
      <c r="D41" s="12">
        <v>0</v>
      </c>
      <c r="E41" s="13">
        <v>4</v>
      </c>
      <c r="F41" s="13">
        <v>0</v>
      </c>
      <c r="G41" s="12">
        <v>0</v>
      </c>
      <c r="H41" s="56">
        <v>1</v>
      </c>
      <c r="I41" s="56"/>
      <c r="J41" s="56"/>
      <c r="K41" s="56"/>
      <c r="L41" s="56"/>
    </row>
    <row r="42" spans="1:12" s="98" customFormat="1" x14ac:dyDescent="0.15">
      <c r="A42" s="11">
        <f t="shared" si="0"/>
        <v>60040000</v>
      </c>
      <c r="B42" s="11"/>
      <c r="C42" s="13">
        <v>6</v>
      </c>
      <c r="D42" s="12">
        <v>0</v>
      </c>
      <c r="E42" s="13">
        <v>4</v>
      </c>
      <c r="F42" s="13">
        <v>0</v>
      </c>
      <c r="G42" s="12">
        <v>0</v>
      </c>
      <c r="H42" s="56">
        <v>1</v>
      </c>
      <c r="I42" s="56"/>
      <c r="J42" s="56"/>
      <c r="K42" s="56"/>
      <c r="L42" s="56"/>
    </row>
    <row r="43" spans="1:12" s="98" customFormat="1" x14ac:dyDescent="0.15">
      <c r="A43" s="11">
        <f t="shared" si="0"/>
        <v>60040000</v>
      </c>
      <c r="B43" s="11"/>
      <c r="C43" s="13">
        <v>6</v>
      </c>
      <c r="D43" s="12">
        <v>0</v>
      </c>
      <c r="E43" s="13">
        <v>4</v>
      </c>
      <c r="F43" s="13">
        <v>0</v>
      </c>
      <c r="G43" s="12">
        <v>0</v>
      </c>
      <c r="H43" s="56">
        <v>1</v>
      </c>
      <c r="I43" s="56"/>
      <c r="J43" s="56"/>
      <c r="K43" s="56"/>
      <c r="L43" s="56"/>
    </row>
    <row r="44" spans="1:12" s="98" customFormat="1" ht="17.25" thickBot="1" x14ac:dyDescent="0.2">
      <c r="A44" s="11">
        <f t="shared" si="0"/>
        <v>60040000</v>
      </c>
      <c r="B44" s="11"/>
      <c r="C44" s="113">
        <v>6</v>
      </c>
      <c r="D44" s="12">
        <v>0</v>
      </c>
      <c r="E44" s="113">
        <v>4</v>
      </c>
      <c r="F44" s="113">
        <v>0</v>
      </c>
      <c r="G44" s="114">
        <v>0</v>
      </c>
      <c r="H44" s="56">
        <v>1</v>
      </c>
      <c r="I44" s="56"/>
      <c r="J44" s="56"/>
      <c r="K44" s="56"/>
      <c r="L44" s="56"/>
    </row>
    <row r="45" spans="1:12" s="115" customFormat="1" x14ac:dyDescent="0.15">
      <c r="A45" s="18">
        <f t="shared" si="0"/>
        <v>60050000</v>
      </c>
      <c r="B45" s="18"/>
      <c r="C45" s="20">
        <v>6</v>
      </c>
      <c r="D45" s="19">
        <v>0</v>
      </c>
      <c r="E45" s="20">
        <v>5</v>
      </c>
      <c r="F45" s="20">
        <v>0</v>
      </c>
      <c r="G45" s="19">
        <v>0</v>
      </c>
      <c r="H45" s="57">
        <v>1</v>
      </c>
      <c r="I45" s="57"/>
      <c r="J45" s="57"/>
      <c r="K45" s="57"/>
      <c r="L45" s="57"/>
    </row>
    <row r="46" spans="1:12" s="98" customFormat="1" x14ac:dyDescent="0.15">
      <c r="A46" s="11">
        <f t="shared" si="0"/>
        <v>60050000</v>
      </c>
      <c r="B46" s="11"/>
      <c r="C46" s="13">
        <v>6</v>
      </c>
      <c r="D46" s="12">
        <v>0</v>
      </c>
      <c r="E46" s="13">
        <v>5</v>
      </c>
      <c r="F46" s="13">
        <v>0</v>
      </c>
      <c r="G46" s="12">
        <v>0</v>
      </c>
      <c r="H46" s="56">
        <v>1</v>
      </c>
      <c r="I46" s="56"/>
      <c r="J46" s="56"/>
      <c r="K46" s="56"/>
      <c r="L46" s="56"/>
    </row>
    <row r="47" spans="1:12" s="98" customFormat="1" x14ac:dyDescent="0.15">
      <c r="A47" s="11">
        <f t="shared" si="0"/>
        <v>60050000</v>
      </c>
      <c r="B47" s="11"/>
      <c r="C47" s="13">
        <v>6</v>
      </c>
      <c r="D47" s="12">
        <v>0</v>
      </c>
      <c r="E47" s="13">
        <v>5</v>
      </c>
      <c r="F47" s="13">
        <v>0</v>
      </c>
      <c r="G47" s="12">
        <v>0</v>
      </c>
      <c r="H47" s="56">
        <v>1</v>
      </c>
      <c r="I47" s="56"/>
      <c r="J47" s="56"/>
      <c r="K47" s="56"/>
      <c r="L47" s="56"/>
    </row>
    <row r="48" spans="1:12" s="98" customFormat="1" x14ac:dyDescent="0.15">
      <c r="A48" s="11">
        <f t="shared" si="0"/>
        <v>60050000</v>
      </c>
      <c r="B48" s="11"/>
      <c r="C48" s="13">
        <v>6</v>
      </c>
      <c r="D48" s="12">
        <v>0</v>
      </c>
      <c r="E48" s="13">
        <v>5</v>
      </c>
      <c r="F48" s="13">
        <v>0</v>
      </c>
      <c r="G48" s="12">
        <v>0</v>
      </c>
      <c r="H48" s="56">
        <v>1</v>
      </c>
      <c r="I48" s="56"/>
      <c r="J48" s="56"/>
      <c r="K48" s="56"/>
      <c r="L48" s="56"/>
    </row>
    <row r="49" spans="1:12" s="98" customFormat="1" x14ac:dyDescent="0.15">
      <c r="A49" s="11">
        <f t="shared" si="0"/>
        <v>60050000</v>
      </c>
      <c r="B49" s="11"/>
      <c r="C49" s="13">
        <v>6</v>
      </c>
      <c r="D49" s="12">
        <v>0</v>
      </c>
      <c r="E49" s="13">
        <v>5</v>
      </c>
      <c r="F49" s="13">
        <v>0</v>
      </c>
      <c r="G49" s="12">
        <v>0</v>
      </c>
      <c r="H49" s="56">
        <v>1</v>
      </c>
      <c r="I49" s="56"/>
      <c r="J49" s="56"/>
      <c r="K49" s="56"/>
      <c r="L49" s="56"/>
    </row>
    <row r="50" spans="1:12" s="98" customFormat="1" x14ac:dyDescent="0.15">
      <c r="A50" s="11">
        <f t="shared" si="0"/>
        <v>60050000</v>
      </c>
      <c r="B50" s="11"/>
      <c r="C50" s="13">
        <v>6</v>
      </c>
      <c r="D50" s="12">
        <v>0</v>
      </c>
      <c r="E50" s="13">
        <v>5</v>
      </c>
      <c r="F50" s="13">
        <v>0</v>
      </c>
      <c r="G50" s="12">
        <v>0</v>
      </c>
      <c r="H50" s="56">
        <v>1</v>
      </c>
      <c r="I50" s="56"/>
      <c r="J50" s="56"/>
      <c r="K50" s="56"/>
      <c r="L50" s="56"/>
    </row>
    <row r="51" spans="1:12" s="98" customFormat="1" x14ac:dyDescent="0.15">
      <c r="A51" s="11">
        <f t="shared" si="0"/>
        <v>60050000</v>
      </c>
      <c r="B51" s="11"/>
      <c r="C51" s="13">
        <v>6</v>
      </c>
      <c r="D51" s="12">
        <v>0</v>
      </c>
      <c r="E51" s="13">
        <v>5</v>
      </c>
      <c r="F51" s="13">
        <v>0</v>
      </c>
      <c r="G51" s="12">
        <v>0</v>
      </c>
      <c r="H51" s="56">
        <v>1</v>
      </c>
      <c r="I51" s="56"/>
      <c r="J51" s="56"/>
      <c r="K51" s="56"/>
      <c r="L51" s="56"/>
    </row>
    <row r="52" spans="1:12" s="98" customFormat="1" x14ac:dyDescent="0.15">
      <c r="A52" s="11">
        <f t="shared" si="0"/>
        <v>60050000</v>
      </c>
      <c r="B52" s="11"/>
      <c r="C52" s="13">
        <v>6</v>
      </c>
      <c r="D52" s="12">
        <v>0</v>
      </c>
      <c r="E52" s="13">
        <v>5</v>
      </c>
      <c r="F52" s="13">
        <v>0</v>
      </c>
      <c r="G52" s="12">
        <v>0</v>
      </c>
      <c r="H52" s="56">
        <v>1</v>
      </c>
      <c r="I52" s="56"/>
      <c r="J52" s="56"/>
      <c r="K52" s="56"/>
      <c r="L52" s="56"/>
    </row>
    <row r="53" spans="1:12" s="98" customFormat="1" x14ac:dyDescent="0.15">
      <c r="A53" s="11">
        <f t="shared" si="0"/>
        <v>60050000</v>
      </c>
      <c r="B53" s="11"/>
      <c r="C53" s="13">
        <v>6</v>
      </c>
      <c r="D53" s="12">
        <v>0</v>
      </c>
      <c r="E53" s="13">
        <v>5</v>
      </c>
      <c r="F53" s="13">
        <v>0</v>
      </c>
      <c r="G53" s="12">
        <v>0</v>
      </c>
      <c r="H53" s="56">
        <v>1</v>
      </c>
      <c r="I53" s="56"/>
      <c r="J53" s="56"/>
      <c r="K53" s="56"/>
      <c r="L53" s="56"/>
    </row>
    <row r="54" spans="1:12" s="98" customFormat="1" ht="17.25" thickBot="1" x14ac:dyDescent="0.2">
      <c r="A54" s="11">
        <f t="shared" si="0"/>
        <v>60050000</v>
      </c>
      <c r="B54" s="11"/>
      <c r="C54" s="113">
        <v>6</v>
      </c>
      <c r="D54" s="12">
        <v>0</v>
      </c>
      <c r="E54" s="113">
        <v>5</v>
      </c>
      <c r="F54" s="113">
        <v>0</v>
      </c>
      <c r="G54" s="114">
        <v>0</v>
      </c>
      <c r="H54" s="56">
        <v>1</v>
      </c>
      <c r="I54" s="56"/>
      <c r="J54" s="56"/>
      <c r="K54" s="56"/>
      <c r="L54" s="56"/>
    </row>
    <row r="55" spans="1:12" s="115" customFormat="1" x14ac:dyDescent="0.15">
      <c r="A55" s="18">
        <f t="shared" si="0"/>
        <v>60060000</v>
      </c>
      <c r="B55" s="18"/>
      <c r="C55" s="20">
        <v>6</v>
      </c>
      <c r="D55" s="19">
        <v>0</v>
      </c>
      <c r="E55" s="20">
        <v>6</v>
      </c>
      <c r="F55" s="20">
        <v>0</v>
      </c>
      <c r="G55" s="19">
        <v>0</v>
      </c>
      <c r="H55" s="57">
        <v>1</v>
      </c>
      <c r="I55" s="57"/>
      <c r="J55" s="57"/>
      <c r="K55" s="57"/>
      <c r="L55" s="57"/>
    </row>
    <row r="56" spans="1:12" s="98" customFormat="1" x14ac:dyDescent="0.15">
      <c r="A56" s="11">
        <f t="shared" si="0"/>
        <v>60060000</v>
      </c>
      <c r="B56" s="11"/>
      <c r="C56" s="13">
        <v>6</v>
      </c>
      <c r="D56" s="12">
        <v>0</v>
      </c>
      <c r="E56" s="13">
        <v>6</v>
      </c>
      <c r="F56" s="13">
        <v>0</v>
      </c>
      <c r="G56" s="12">
        <v>0</v>
      </c>
      <c r="H56" s="56">
        <v>1</v>
      </c>
      <c r="I56" s="56"/>
      <c r="J56" s="56"/>
      <c r="K56" s="56"/>
      <c r="L56" s="56"/>
    </row>
    <row r="57" spans="1:12" s="98" customFormat="1" x14ac:dyDescent="0.15">
      <c r="A57" s="11">
        <f t="shared" si="0"/>
        <v>60060000</v>
      </c>
      <c r="B57" s="11"/>
      <c r="C57" s="13">
        <v>6</v>
      </c>
      <c r="D57" s="12">
        <v>0</v>
      </c>
      <c r="E57" s="13">
        <v>6</v>
      </c>
      <c r="F57" s="13">
        <v>0</v>
      </c>
      <c r="G57" s="12">
        <v>0</v>
      </c>
      <c r="H57" s="56">
        <v>1</v>
      </c>
      <c r="I57" s="56"/>
      <c r="J57" s="56"/>
      <c r="K57" s="56"/>
      <c r="L57" s="56"/>
    </row>
    <row r="58" spans="1:12" s="98" customFormat="1" x14ac:dyDescent="0.15">
      <c r="A58" s="11">
        <f t="shared" si="0"/>
        <v>60060000</v>
      </c>
      <c r="B58" s="11"/>
      <c r="C58" s="13">
        <v>6</v>
      </c>
      <c r="D58" s="12">
        <v>0</v>
      </c>
      <c r="E58" s="13">
        <v>6</v>
      </c>
      <c r="F58" s="13">
        <v>0</v>
      </c>
      <c r="G58" s="12">
        <v>0</v>
      </c>
      <c r="H58" s="56">
        <v>1</v>
      </c>
      <c r="I58" s="56"/>
      <c r="J58" s="56"/>
      <c r="K58" s="56"/>
      <c r="L58" s="56"/>
    </row>
    <row r="59" spans="1:12" s="98" customFormat="1" x14ac:dyDescent="0.15">
      <c r="A59" s="11">
        <f t="shared" si="0"/>
        <v>60060000</v>
      </c>
      <c r="B59" s="11"/>
      <c r="C59" s="13">
        <v>6</v>
      </c>
      <c r="D59" s="12">
        <v>0</v>
      </c>
      <c r="E59" s="13">
        <v>6</v>
      </c>
      <c r="F59" s="13">
        <v>0</v>
      </c>
      <c r="G59" s="12">
        <v>0</v>
      </c>
      <c r="H59" s="56">
        <v>1</v>
      </c>
      <c r="I59" s="56"/>
      <c r="J59" s="56"/>
      <c r="K59" s="56"/>
      <c r="L59" s="56"/>
    </row>
    <row r="60" spans="1:12" s="98" customFormat="1" x14ac:dyDescent="0.15">
      <c r="A60" s="11">
        <f t="shared" si="0"/>
        <v>60060000</v>
      </c>
      <c r="B60" s="11"/>
      <c r="C60" s="13">
        <v>6</v>
      </c>
      <c r="D60" s="12">
        <v>0</v>
      </c>
      <c r="E60" s="13">
        <v>6</v>
      </c>
      <c r="F60" s="13">
        <v>0</v>
      </c>
      <c r="G60" s="12">
        <v>0</v>
      </c>
      <c r="H60" s="56">
        <v>1</v>
      </c>
      <c r="I60" s="56"/>
      <c r="J60" s="56"/>
      <c r="K60" s="56"/>
      <c r="L60" s="56"/>
    </row>
    <row r="61" spans="1:12" s="98" customFormat="1" x14ac:dyDescent="0.15">
      <c r="A61" s="11">
        <f t="shared" si="0"/>
        <v>60060000</v>
      </c>
      <c r="B61" s="11"/>
      <c r="C61" s="13">
        <v>6</v>
      </c>
      <c r="D61" s="12">
        <v>0</v>
      </c>
      <c r="E61" s="13">
        <v>6</v>
      </c>
      <c r="F61" s="13">
        <v>0</v>
      </c>
      <c r="G61" s="12">
        <v>0</v>
      </c>
      <c r="H61" s="56">
        <v>1</v>
      </c>
      <c r="I61" s="56"/>
      <c r="J61" s="56"/>
      <c r="K61" s="56"/>
      <c r="L61" s="56"/>
    </row>
    <row r="62" spans="1:12" s="98" customFormat="1" x14ac:dyDescent="0.15">
      <c r="A62" s="11">
        <f t="shared" si="0"/>
        <v>60060000</v>
      </c>
      <c r="B62" s="11"/>
      <c r="C62" s="13">
        <v>6</v>
      </c>
      <c r="D62" s="12">
        <v>0</v>
      </c>
      <c r="E62" s="13">
        <v>6</v>
      </c>
      <c r="F62" s="13">
        <v>0</v>
      </c>
      <c r="G62" s="12">
        <v>0</v>
      </c>
      <c r="H62" s="56">
        <v>1</v>
      </c>
      <c r="I62" s="56"/>
      <c r="J62" s="56"/>
      <c r="K62" s="56"/>
      <c r="L62" s="56"/>
    </row>
    <row r="63" spans="1:12" s="98" customFormat="1" x14ac:dyDescent="0.15">
      <c r="A63" s="11">
        <f t="shared" si="0"/>
        <v>60060000</v>
      </c>
      <c r="B63" s="11"/>
      <c r="C63" s="13">
        <v>6</v>
      </c>
      <c r="D63" s="12">
        <v>0</v>
      </c>
      <c r="E63" s="13">
        <v>6</v>
      </c>
      <c r="F63" s="13">
        <v>0</v>
      </c>
      <c r="G63" s="12">
        <v>0</v>
      </c>
      <c r="H63" s="56">
        <v>1</v>
      </c>
      <c r="I63" s="56"/>
      <c r="J63" s="56"/>
      <c r="K63" s="56"/>
      <c r="L63" s="56"/>
    </row>
    <row r="64" spans="1:12" s="98" customFormat="1" ht="17.25" thickBot="1" x14ac:dyDescent="0.2">
      <c r="A64" s="11">
        <f t="shared" si="0"/>
        <v>60060000</v>
      </c>
      <c r="B64" s="11"/>
      <c r="C64" s="113">
        <v>6</v>
      </c>
      <c r="D64" s="12">
        <v>0</v>
      </c>
      <c r="E64" s="113">
        <v>6</v>
      </c>
      <c r="F64" s="113">
        <v>0</v>
      </c>
      <c r="G64" s="114">
        <v>0</v>
      </c>
      <c r="H64" s="56">
        <v>1</v>
      </c>
      <c r="I64" s="56"/>
      <c r="J64" s="56"/>
      <c r="K64" s="56"/>
      <c r="L64" s="56"/>
    </row>
    <row r="65" spans="1:12" s="115" customFormat="1" x14ac:dyDescent="0.15">
      <c r="A65" s="18">
        <f t="shared" si="0"/>
        <v>60070000</v>
      </c>
      <c r="B65" s="18"/>
      <c r="C65" s="20">
        <v>6</v>
      </c>
      <c r="D65" s="19">
        <v>0</v>
      </c>
      <c r="E65" s="20">
        <v>7</v>
      </c>
      <c r="F65" s="20">
        <v>0</v>
      </c>
      <c r="G65" s="19">
        <v>0</v>
      </c>
      <c r="H65" s="57">
        <v>1</v>
      </c>
      <c r="I65" s="57"/>
      <c r="J65" s="57"/>
      <c r="K65" s="57"/>
      <c r="L65" s="57"/>
    </row>
    <row r="66" spans="1:12" s="98" customFormat="1" x14ac:dyDescent="0.15">
      <c r="A66" s="11">
        <f t="shared" si="0"/>
        <v>60070000</v>
      </c>
      <c r="B66" s="11"/>
      <c r="C66" s="13">
        <v>6</v>
      </c>
      <c r="D66" s="12">
        <v>0</v>
      </c>
      <c r="E66" s="13">
        <v>7</v>
      </c>
      <c r="F66" s="13">
        <v>0</v>
      </c>
      <c r="G66" s="12">
        <v>0</v>
      </c>
      <c r="H66" s="56">
        <v>1</v>
      </c>
      <c r="I66" s="56"/>
      <c r="J66" s="56"/>
      <c r="K66" s="56"/>
      <c r="L66" s="56"/>
    </row>
    <row r="67" spans="1:12" s="98" customFormat="1" x14ac:dyDescent="0.15">
      <c r="A67" s="11">
        <f t="shared" si="0"/>
        <v>60070000</v>
      </c>
      <c r="B67" s="11"/>
      <c r="C67" s="13">
        <v>6</v>
      </c>
      <c r="D67" s="12">
        <v>0</v>
      </c>
      <c r="E67" s="13">
        <v>7</v>
      </c>
      <c r="F67" s="13">
        <v>0</v>
      </c>
      <c r="G67" s="12">
        <v>0</v>
      </c>
      <c r="H67" s="56">
        <v>1</v>
      </c>
      <c r="I67" s="56"/>
      <c r="J67" s="56"/>
      <c r="K67" s="56"/>
      <c r="L67" s="56"/>
    </row>
    <row r="68" spans="1:12" s="98" customFormat="1" x14ac:dyDescent="0.15">
      <c r="A68" s="11">
        <f t="shared" si="0"/>
        <v>60070000</v>
      </c>
      <c r="B68" s="11"/>
      <c r="C68" s="13">
        <v>6</v>
      </c>
      <c r="D68" s="12">
        <v>0</v>
      </c>
      <c r="E68" s="13">
        <v>7</v>
      </c>
      <c r="F68" s="13">
        <v>0</v>
      </c>
      <c r="G68" s="12">
        <v>0</v>
      </c>
      <c r="H68" s="56">
        <v>1</v>
      </c>
      <c r="I68" s="56"/>
      <c r="J68" s="56"/>
      <c r="K68" s="56"/>
      <c r="L68" s="56"/>
    </row>
    <row r="69" spans="1:12" s="98" customFormat="1" x14ac:dyDescent="0.15">
      <c r="A69" s="11">
        <f t="shared" si="0"/>
        <v>60070000</v>
      </c>
      <c r="B69" s="11"/>
      <c r="C69" s="13">
        <v>6</v>
      </c>
      <c r="D69" s="12">
        <v>0</v>
      </c>
      <c r="E69" s="13">
        <v>7</v>
      </c>
      <c r="F69" s="13">
        <v>0</v>
      </c>
      <c r="G69" s="12">
        <v>0</v>
      </c>
      <c r="H69" s="56">
        <v>1</v>
      </c>
      <c r="I69" s="56"/>
      <c r="J69" s="56"/>
      <c r="K69" s="56"/>
      <c r="L69" s="56"/>
    </row>
    <row r="70" spans="1:12" s="98" customFormat="1" x14ac:dyDescent="0.15">
      <c r="A70" s="11">
        <f t="shared" ref="A70:A133" si="1">C70*10000000+D70*1000000+E70*10000+F70*100+G70</f>
        <v>60070000</v>
      </c>
      <c r="B70" s="11"/>
      <c r="C70" s="13">
        <v>6</v>
      </c>
      <c r="D70" s="12">
        <v>0</v>
      </c>
      <c r="E70" s="13">
        <v>7</v>
      </c>
      <c r="F70" s="13">
        <v>0</v>
      </c>
      <c r="G70" s="12">
        <v>0</v>
      </c>
      <c r="H70" s="56">
        <v>1</v>
      </c>
      <c r="I70" s="56"/>
      <c r="J70" s="56"/>
      <c r="K70" s="56"/>
      <c r="L70" s="56"/>
    </row>
    <row r="71" spans="1:12" s="98" customFormat="1" x14ac:dyDescent="0.15">
      <c r="A71" s="11">
        <f t="shared" si="1"/>
        <v>60070000</v>
      </c>
      <c r="B71" s="11"/>
      <c r="C71" s="13">
        <v>6</v>
      </c>
      <c r="D71" s="12">
        <v>0</v>
      </c>
      <c r="E71" s="13">
        <v>7</v>
      </c>
      <c r="F71" s="13">
        <v>0</v>
      </c>
      <c r="G71" s="12">
        <v>0</v>
      </c>
      <c r="H71" s="56">
        <v>1</v>
      </c>
      <c r="I71" s="56"/>
      <c r="J71" s="56"/>
      <c r="K71" s="56"/>
      <c r="L71" s="56"/>
    </row>
    <row r="72" spans="1:12" s="98" customFormat="1" x14ac:dyDescent="0.15">
      <c r="A72" s="11">
        <f t="shared" si="1"/>
        <v>60070000</v>
      </c>
      <c r="B72" s="11"/>
      <c r="C72" s="13">
        <v>6</v>
      </c>
      <c r="D72" s="12">
        <v>0</v>
      </c>
      <c r="E72" s="13">
        <v>7</v>
      </c>
      <c r="F72" s="13">
        <v>0</v>
      </c>
      <c r="G72" s="12">
        <v>0</v>
      </c>
      <c r="H72" s="56">
        <v>1</v>
      </c>
      <c r="I72" s="56"/>
      <c r="J72" s="56"/>
      <c r="K72" s="56"/>
      <c r="L72" s="56"/>
    </row>
    <row r="73" spans="1:12" s="98" customFormat="1" x14ac:dyDescent="0.15">
      <c r="A73" s="11">
        <f t="shared" si="1"/>
        <v>60070000</v>
      </c>
      <c r="B73" s="11"/>
      <c r="C73" s="13">
        <v>6</v>
      </c>
      <c r="D73" s="12">
        <v>0</v>
      </c>
      <c r="E73" s="13">
        <v>7</v>
      </c>
      <c r="F73" s="13">
        <v>0</v>
      </c>
      <c r="G73" s="12">
        <v>0</v>
      </c>
      <c r="H73" s="56">
        <v>1</v>
      </c>
      <c r="I73" s="56"/>
      <c r="J73" s="56"/>
      <c r="K73" s="56"/>
      <c r="L73" s="56"/>
    </row>
    <row r="74" spans="1:12" s="98" customFormat="1" ht="17.25" thickBot="1" x14ac:dyDescent="0.2">
      <c r="A74" s="11">
        <f t="shared" si="1"/>
        <v>60070000</v>
      </c>
      <c r="B74" s="11"/>
      <c r="C74" s="113">
        <v>6</v>
      </c>
      <c r="D74" s="12">
        <v>0</v>
      </c>
      <c r="E74" s="113">
        <v>7</v>
      </c>
      <c r="F74" s="113">
        <v>0</v>
      </c>
      <c r="G74" s="114">
        <v>0</v>
      </c>
      <c r="H74" s="56">
        <v>1</v>
      </c>
      <c r="I74" s="56"/>
      <c r="J74" s="56"/>
      <c r="K74" s="56"/>
      <c r="L74" s="56"/>
    </row>
    <row r="75" spans="1:12" s="115" customFormat="1" x14ac:dyDescent="0.15">
      <c r="A75" s="18">
        <f t="shared" si="1"/>
        <v>60080000</v>
      </c>
      <c r="B75" s="18"/>
      <c r="C75" s="20">
        <v>6</v>
      </c>
      <c r="D75" s="19">
        <v>0</v>
      </c>
      <c r="E75" s="20">
        <v>8</v>
      </c>
      <c r="F75" s="20">
        <v>0</v>
      </c>
      <c r="G75" s="19">
        <v>0</v>
      </c>
      <c r="H75" s="57">
        <v>1</v>
      </c>
      <c r="I75" s="57"/>
      <c r="J75" s="57"/>
      <c r="K75" s="57"/>
      <c r="L75" s="57"/>
    </row>
    <row r="76" spans="1:12" s="98" customFormat="1" x14ac:dyDescent="0.15">
      <c r="A76" s="11">
        <f t="shared" si="1"/>
        <v>60080000</v>
      </c>
      <c r="B76" s="11"/>
      <c r="C76" s="13">
        <v>6</v>
      </c>
      <c r="D76" s="12">
        <v>0</v>
      </c>
      <c r="E76" s="13">
        <v>8</v>
      </c>
      <c r="F76" s="13">
        <v>0</v>
      </c>
      <c r="G76" s="12">
        <v>0</v>
      </c>
      <c r="H76" s="56">
        <v>1</v>
      </c>
      <c r="I76" s="56"/>
      <c r="J76" s="56"/>
      <c r="K76" s="56"/>
      <c r="L76" s="56"/>
    </row>
    <row r="77" spans="1:12" s="98" customFormat="1" x14ac:dyDescent="0.15">
      <c r="A77" s="11">
        <f t="shared" si="1"/>
        <v>60080000</v>
      </c>
      <c r="B77" s="11"/>
      <c r="C77" s="13">
        <v>6</v>
      </c>
      <c r="D77" s="12">
        <v>0</v>
      </c>
      <c r="E77" s="13">
        <v>8</v>
      </c>
      <c r="F77" s="13">
        <v>0</v>
      </c>
      <c r="G77" s="12">
        <v>0</v>
      </c>
      <c r="H77" s="56">
        <v>1</v>
      </c>
      <c r="I77" s="56"/>
      <c r="J77" s="56"/>
      <c r="K77" s="56"/>
      <c r="L77" s="56"/>
    </row>
    <row r="78" spans="1:12" s="98" customFormat="1" x14ac:dyDescent="0.15">
      <c r="A78" s="11">
        <f t="shared" si="1"/>
        <v>60080000</v>
      </c>
      <c r="B78" s="11"/>
      <c r="C78" s="13">
        <v>6</v>
      </c>
      <c r="D78" s="12">
        <v>0</v>
      </c>
      <c r="E78" s="13">
        <v>8</v>
      </c>
      <c r="F78" s="13">
        <v>0</v>
      </c>
      <c r="G78" s="12">
        <v>0</v>
      </c>
      <c r="H78" s="56">
        <v>1</v>
      </c>
      <c r="I78" s="56"/>
      <c r="J78" s="56"/>
      <c r="K78" s="56"/>
      <c r="L78" s="56"/>
    </row>
    <row r="79" spans="1:12" s="98" customFormat="1" x14ac:dyDescent="0.15">
      <c r="A79" s="11">
        <f t="shared" si="1"/>
        <v>60080000</v>
      </c>
      <c r="B79" s="11"/>
      <c r="C79" s="13">
        <v>6</v>
      </c>
      <c r="D79" s="12">
        <v>0</v>
      </c>
      <c r="E79" s="13">
        <v>8</v>
      </c>
      <c r="F79" s="13">
        <v>0</v>
      </c>
      <c r="G79" s="12">
        <v>0</v>
      </c>
      <c r="H79" s="56">
        <v>1</v>
      </c>
      <c r="I79" s="56"/>
      <c r="J79" s="56"/>
      <c r="K79" s="56"/>
      <c r="L79" s="56"/>
    </row>
    <row r="80" spans="1:12" s="98" customFormat="1" x14ac:dyDescent="0.15">
      <c r="A80" s="11">
        <f t="shared" si="1"/>
        <v>60080000</v>
      </c>
      <c r="B80" s="11"/>
      <c r="C80" s="13">
        <v>6</v>
      </c>
      <c r="D80" s="12">
        <v>0</v>
      </c>
      <c r="E80" s="13">
        <v>8</v>
      </c>
      <c r="F80" s="13">
        <v>0</v>
      </c>
      <c r="G80" s="12">
        <v>0</v>
      </c>
      <c r="H80" s="56">
        <v>1</v>
      </c>
      <c r="I80" s="56"/>
      <c r="J80" s="56"/>
      <c r="K80" s="56"/>
      <c r="L80" s="56"/>
    </row>
    <row r="81" spans="1:12" s="98" customFormat="1" x14ac:dyDescent="0.15">
      <c r="A81" s="11">
        <f t="shared" si="1"/>
        <v>60080000</v>
      </c>
      <c r="B81" s="11"/>
      <c r="C81" s="13">
        <v>6</v>
      </c>
      <c r="D81" s="12">
        <v>0</v>
      </c>
      <c r="E81" s="13">
        <v>8</v>
      </c>
      <c r="F81" s="13">
        <v>0</v>
      </c>
      <c r="G81" s="12">
        <v>0</v>
      </c>
      <c r="H81" s="56">
        <v>1</v>
      </c>
      <c r="I81" s="56"/>
      <c r="J81" s="56"/>
      <c r="K81" s="56"/>
      <c r="L81" s="56"/>
    </row>
    <row r="82" spans="1:12" s="98" customFormat="1" x14ac:dyDescent="0.15">
      <c r="A82" s="11">
        <f t="shared" si="1"/>
        <v>60080000</v>
      </c>
      <c r="B82" s="11"/>
      <c r="C82" s="13">
        <v>6</v>
      </c>
      <c r="D82" s="12">
        <v>0</v>
      </c>
      <c r="E82" s="13">
        <v>8</v>
      </c>
      <c r="F82" s="13">
        <v>0</v>
      </c>
      <c r="G82" s="12">
        <v>0</v>
      </c>
      <c r="H82" s="56">
        <v>1</v>
      </c>
      <c r="I82" s="56"/>
      <c r="J82" s="56"/>
      <c r="K82" s="56"/>
      <c r="L82" s="56"/>
    </row>
    <row r="83" spans="1:12" s="98" customFormat="1" x14ac:dyDescent="0.15">
      <c r="A83" s="11">
        <f t="shared" si="1"/>
        <v>60080000</v>
      </c>
      <c r="B83" s="11"/>
      <c r="C83" s="13">
        <v>6</v>
      </c>
      <c r="D83" s="12">
        <v>0</v>
      </c>
      <c r="E83" s="13">
        <v>8</v>
      </c>
      <c r="F83" s="13">
        <v>0</v>
      </c>
      <c r="G83" s="12">
        <v>0</v>
      </c>
      <c r="H83" s="56">
        <v>1</v>
      </c>
      <c r="I83" s="56"/>
      <c r="J83" s="56"/>
      <c r="K83" s="56"/>
      <c r="L83" s="56"/>
    </row>
    <row r="84" spans="1:12" s="98" customFormat="1" ht="17.25" thickBot="1" x14ac:dyDescent="0.2">
      <c r="A84" s="11">
        <f t="shared" si="1"/>
        <v>60080000</v>
      </c>
      <c r="B84" s="11"/>
      <c r="C84" s="113">
        <v>6</v>
      </c>
      <c r="D84" s="12">
        <v>0</v>
      </c>
      <c r="E84" s="113">
        <v>8</v>
      </c>
      <c r="F84" s="113">
        <v>0</v>
      </c>
      <c r="G84" s="114">
        <v>0</v>
      </c>
      <c r="H84" s="56">
        <v>1</v>
      </c>
      <c r="I84" s="56"/>
      <c r="J84" s="56"/>
      <c r="K84" s="56"/>
      <c r="L84" s="56"/>
    </row>
    <row r="85" spans="1:12" s="115" customFormat="1" x14ac:dyDescent="0.15">
      <c r="A85" s="18">
        <f t="shared" si="1"/>
        <v>60090000</v>
      </c>
      <c r="B85" s="18"/>
      <c r="C85" s="20">
        <v>6</v>
      </c>
      <c r="D85" s="19">
        <v>0</v>
      </c>
      <c r="E85" s="20">
        <v>9</v>
      </c>
      <c r="F85" s="20">
        <v>0</v>
      </c>
      <c r="G85" s="19">
        <v>0</v>
      </c>
      <c r="H85" s="57">
        <v>1</v>
      </c>
      <c r="I85" s="57"/>
      <c r="J85" s="57"/>
      <c r="K85" s="57"/>
      <c r="L85" s="57"/>
    </row>
    <row r="86" spans="1:12" s="98" customFormat="1" x14ac:dyDescent="0.15">
      <c r="A86" s="11">
        <f t="shared" si="1"/>
        <v>60090000</v>
      </c>
      <c r="B86" s="11"/>
      <c r="C86" s="13">
        <v>6</v>
      </c>
      <c r="D86" s="12">
        <v>0</v>
      </c>
      <c r="E86" s="13">
        <v>9</v>
      </c>
      <c r="F86" s="13">
        <v>0</v>
      </c>
      <c r="G86" s="12">
        <v>0</v>
      </c>
      <c r="H86" s="56">
        <v>1</v>
      </c>
      <c r="I86" s="56"/>
      <c r="J86" s="56"/>
      <c r="K86" s="56"/>
      <c r="L86" s="56"/>
    </row>
    <row r="87" spans="1:12" s="98" customFormat="1" x14ac:dyDescent="0.15">
      <c r="A87" s="11">
        <f t="shared" si="1"/>
        <v>60090000</v>
      </c>
      <c r="B87" s="11"/>
      <c r="C87" s="13">
        <v>6</v>
      </c>
      <c r="D87" s="12">
        <v>0</v>
      </c>
      <c r="E87" s="13">
        <v>9</v>
      </c>
      <c r="F87" s="13">
        <v>0</v>
      </c>
      <c r="G87" s="12">
        <v>0</v>
      </c>
      <c r="H87" s="56">
        <v>1</v>
      </c>
      <c r="I87" s="56"/>
      <c r="J87" s="56"/>
      <c r="K87" s="56"/>
      <c r="L87" s="56"/>
    </row>
    <row r="88" spans="1:12" s="98" customFormat="1" x14ac:dyDescent="0.15">
      <c r="A88" s="11">
        <f t="shared" si="1"/>
        <v>60090000</v>
      </c>
      <c r="B88" s="11"/>
      <c r="C88" s="13">
        <v>6</v>
      </c>
      <c r="D88" s="12">
        <v>0</v>
      </c>
      <c r="E88" s="13">
        <v>9</v>
      </c>
      <c r="F88" s="13">
        <v>0</v>
      </c>
      <c r="G88" s="12">
        <v>0</v>
      </c>
      <c r="H88" s="56">
        <v>1</v>
      </c>
      <c r="I88" s="56"/>
      <c r="J88" s="56"/>
      <c r="K88" s="56"/>
      <c r="L88" s="56"/>
    </row>
    <row r="89" spans="1:12" s="98" customFormat="1" x14ac:dyDescent="0.15">
      <c r="A89" s="11">
        <f t="shared" si="1"/>
        <v>60090000</v>
      </c>
      <c r="B89" s="11"/>
      <c r="C89" s="13">
        <v>6</v>
      </c>
      <c r="D89" s="12">
        <v>0</v>
      </c>
      <c r="E89" s="13">
        <v>9</v>
      </c>
      <c r="F89" s="13">
        <v>0</v>
      </c>
      <c r="G89" s="12">
        <v>0</v>
      </c>
      <c r="H89" s="56">
        <v>1</v>
      </c>
      <c r="I89" s="56"/>
      <c r="J89" s="56"/>
      <c r="K89" s="56"/>
      <c r="L89" s="56"/>
    </row>
    <row r="90" spans="1:12" s="98" customFormat="1" x14ac:dyDescent="0.15">
      <c r="A90" s="11">
        <f t="shared" si="1"/>
        <v>60090000</v>
      </c>
      <c r="B90" s="11"/>
      <c r="C90" s="13">
        <v>6</v>
      </c>
      <c r="D90" s="12">
        <v>0</v>
      </c>
      <c r="E90" s="13">
        <v>9</v>
      </c>
      <c r="F90" s="13">
        <v>0</v>
      </c>
      <c r="G90" s="12">
        <v>0</v>
      </c>
      <c r="H90" s="56">
        <v>1</v>
      </c>
      <c r="I90" s="56"/>
      <c r="J90" s="56"/>
      <c r="K90" s="56"/>
      <c r="L90" s="56"/>
    </row>
    <row r="91" spans="1:12" s="98" customFormat="1" x14ac:dyDescent="0.15">
      <c r="A91" s="11">
        <f t="shared" si="1"/>
        <v>60090000</v>
      </c>
      <c r="B91" s="11"/>
      <c r="C91" s="13">
        <v>6</v>
      </c>
      <c r="D91" s="12">
        <v>0</v>
      </c>
      <c r="E91" s="13">
        <v>9</v>
      </c>
      <c r="F91" s="13">
        <v>0</v>
      </c>
      <c r="G91" s="12">
        <v>0</v>
      </c>
      <c r="H91" s="56">
        <v>1</v>
      </c>
      <c r="I91" s="56"/>
      <c r="J91" s="56"/>
      <c r="K91" s="56"/>
      <c r="L91" s="56"/>
    </row>
    <row r="92" spans="1:12" s="98" customFormat="1" x14ac:dyDescent="0.15">
      <c r="A92" s="11">
        <f t="shared" si="1"/>
        <v>60090000</v>
      </c>
      <c r="B92" s="11"/>
      <c r="C92" s="13">
        <v>6</v>
      </c>
      <c r="D92" s="12">
        <v>0</v>
      </c>
      <c r="E92" s="13">
        <v>9</v>
      </c>
      <c r="F92" s="13">
        <v>0</v>
      </c>
      <c r="G92" s="12">
        <v>0</v>
      </c>
      <c r="H92" s="56">
        <v>1</v>
      </c>
      <c r="I92" s="56"/>
      <c r="J92" s="56"/>
      <c r="K92" s="56"/>
      <c r="L92" s="56"/>
    </row>
    <row r="93" spans="1:12" s="98" customFormat="1" x14ac:dyDescent="0.15">
      <c r="A93" s="11">
        <f t="shared" si="1"/>
        <v>60090000</v>
      </c>
      <c r="B93" s="11"/>
      <c r="C93" s="13">
        <v>6</v>
      </c>
      <c r="D93" s="12">
        <v>0</v>
      </c>
      <c r="E93" s="13">
        <v>9</v>
      </c>
      <c r="F93" s="13">
        <v>0</v>
      </c>
      <c r="G93" s="12">
        <v>0</v>
      </c>
      <c r="H93" s="56">
        <v>1</v>
      </c>
      <c r="I93" s="56"/>
      <c r="J93" s="56"/>
      <c r="K93" s="56"/>
      <c r="L93" s="56"/>
    </row>
    <row r="94" spans="1:12" s="98" customFormat="1" ht="17.25" thickBot="1" x14ac:dyDescent="0.2">
      <c r="A94" s="11">
        <f t="shared" si="1"/>
        <v>60090000</v>
      </c>
      <c r="B94" s="11"/>
      <c r="C94" s="113">
        <v>6</v>
      </c>
      <c r="D94" s="12">
        <v>0</v>
      </c>
      <c r="E94" s="113">
        <v>9</v>
      </c>
      <c r="F94" s="113">
        <v>0</v>
      </c>
      <c r="G94" s="114">
        <v>0</v>
      </c>
      <c r="H94" s="56">
        <v>1</v>
      </c>
      <c r="I94" s="56"/>
      <c r="J94" s="56"/>
      <c r="K94" s="56"/>
      <c r="L94" s="56"/>
    </row>
    <row r="95" spans="1:12" s="115" customFormat="1" x14ac:dyDescent="0.15">
      <c r="A95" s="18">
        <f t="shared" si="1"/>
        <v>60100000</v>
      </c>
      <c r="B95" s="18"/>
      <c r="C95" s="20">
        <v>6</v>
      </c>
      <c r="D95" s="19">
        <v>0</v>
      </c>
      <c r="E95" s="20">
        <v>10</v>
      </c>
      <c r="F95" s="20">
        <v>0</v>
      </c>
      <c r="G95" s="19">
        <v>0</v>
      </c>
      <c r="H95" s="57">
        <v>1</v>
      </c>
      <c r="I95" s="57"/>
      <c r="J95" s="57"/>
      <c r="K95" s="57"/>
      <c r="L95" s="57"/>
    </row>
    <row r="96" spans="1:12" s="98" customFormat="1" x14ac:dyDescent="0.15">
      <c r="A96" s="11">
        <f t="shared" si="1"/>
        <v>60100000</v>
      </c>
      <c r="B96" s="11"/>
      <c r="C96" s="13">
        <v>6</v>
      </c>
      <c r="D96" s="12">
        <v>0</v>
      </c>
      <c r="E96" s="13">
        <v>10</v>
      </c>
      <c r="F96" s="13">
        <v>0</v>
      </c>
      <c r="G96" s="12">
        <v>0</v>
      </c>
      <c r="H96" s="56">
        <v>1</v>
      </c>
      <c r="I96" s="56"/>
      <c r="J96" s="56"/>
      <c r="K96" s="56"/>
      <c r="L96" s="56"/>
    </row>
    <row r="97" spans="1:12" s="98" customFormat="1" x14ac:dyDescent="0.15">
      <c r="A97" s="11">
        <f t="shared" si="1"/>
        <v>60100000</v>
      </c>
      <c r="B97" s="11"/>
      <c r="C97" s="13">
        <v>6</v>
      </c>
      <c r="D97" s="12">
        <v>0</v>
      </c>
      <c r="E97" s="13">
        <v>10</v>
      </c>
      <c r="F97" s="13">
        <v>0</v>
      </c>
      <c r="G97" s="12">
        <v>0</v>
      </c>
      <c r="H97" s="56">
        <v>1</v>
      </c>
      <c r="I97" s="56"/>
      <c r="J97" s="56"/>
      <c r="K97" s="56"/>
      <c r="L97" s="56"/>
    </row>
    <row r="98" spans="1:12" s="98" customFormat="1" x14ac:dyDescent="0.15">
      <c r="A98" s="11">
        <f t="shared" si="1"/>
        <v>60100000</v>
      </c>
      <c r="B98" s="11"/>
      <c r="C98" s="13">
        <v>6</v>
      </c>
      <c r="D98" s="12">
        <v>0</v>
      </c>
      <c r="E98" s="13">
        <v>10</v>
      </c>
      <c r="F98" s="13">
        <v>0</v>
      </c>
      <c r="G98" s="12">
        <v>0</v>
      </c>
      <c r="H98" s="56">
        <v>1</v>
      </c>
      <c r="I98" s="56"/>
      <c r="J98" s="56"/>
      <c r="K98" s="56"/>
      <c r="L98" s="56"/>
    </row>
    <row r="99" spans="1:12" s="98" customFormat="1" x14ac:dyDescent="0.15">
      <c r="A99" s="11">
        <f t="shared" si="1"/>
        <v>60100000</v>
      </c>
      <c r="B99" s="11"/>
      <c r="C99" s="13">
        <v>6</v>
      </c>
      <c r="D99" s="12">
        <v>0</v>
      </c>
      <c r="E99" s="13">
        <v>10</v>
      </c>
      <c r="F99" s="13">
        <v>0</v>
      </c>
      <c r="G99" s="12">
        <v>0</v>
      </c>
      <c r="H99" s="56">
        <v>1</v>
      </c>
      <c r="I99" s="56"/>
      <c r="J99" s="56"/>
      <c r="K99" s="56"/>
      <c r="L99" s="56"/>
    </row>
    <row r="100" spans="1:12" s="98" customFormat="1" x14ac:dyDescent="0.15">
      <c r="A100" s="11">
        <f t="shared" si="1"/>
        <v>60100000</v>
      </c>
      <c r="B100" s="11"/>
      <c r="C100" s="13">
        <v>6</v>
      </c>
      <c r="D100" s="12">
        <v>0</v>
      </c>
      <c r="E100" s="13">
        <v>10</v>
      </c>
      <c r="F100" s="13">
        <v>0</v>
      </c>
      <c r="G100" s="12">
        <v>0</v>
      </c>
      <c r="H100" s="56">
        <v>1</v>
      </c>
      <c r="I100" s="56"/>
      <c r="J100" s="56"/>
      <c r="K100" s="56"/>
      <c r="L100" s="56"/>
    </row>
    <row r="101" spans="1:12" s="98" customFormat="1" x14ac:dyDescent="0.15">
      <c r="A101" s="11">
        <f t="shared" si="1"/>
        <v>60100000</v>
      </c>
      <c r="B101" s="11"/>
      <c r="C101" s="13">
        <v>6</v>
      </c>
      <c r="D101" s="12">
        <v>0</v>
      </c>
      <c r="E101" s="13">
        <v>10</v>
      </c>
      <c r="F101" s="13">
        <v>0</v>
      </c>
      <c r="G101" s="12">
        <v>0</v>
      </c>
      <c r="H101" s="56">
        <v>1</v>
      </c>
      <c r="I101" s="56"/>
      <c r="J101" s="56"/>
      <c r="K101" s="56"/>
      <c r="L101" s="56"/>
    </row>
    <row r="102" spans="1:12" s="98" customFormat="1" x14ac:dyDescent="0.15">
      <c r="A102" s="11">
        <f t="shared" si="1"/>
        <v>60100000</v>
      </c>
      <c r="B102" s="11"/>
      <c r="C102" s="13">
        <v>6</v>
      </c>
      <c r="D102" s="12">
        <v>0</v>
      </c>
      <c r="E102" s="13">
        <v>10</v>
      </c>
      <c r="F102" s="13">
        <v>0</v>
      </c>
      <c r="G102" s="12">
        <v>0</v>
      </c>
      <c r="H102" s="56">
        <v>1</v>
      </c>
      <c r="I102" s="56"/>
      <c r="J102" s="56"/>
      <c r="K102" s="56"/>
      <c r="L102" s="56"/>
    </row>
    <row r="103" spans="1:12" s="98" customFormat="1" x14ac:dyDescent="0.15">
      <c r="A103" s="11">
        <f t="shared" si="1"/>
        <v>60100000</v>
      </c>
      <c r="B103" s="11"/>
      <c r="C103" s="13">
        <v>6</v>
      </c>
      <c r="D103" s="12">
        <v>0</v>
      </c>
      <c r="E103" s="13">
        <v>10</v>
      </c>
      <c r="F103" s="13">
        <v>0</v>
      </c>
      <c r="G103" s="12">
        <v>0</v>
      </c>
      <c r="H103" s="56">
        <v>1</v>
      </c>
      <c r="I103" s="56"/>
      <c r="J103" s="56"/>
      <c r="K103" s="56"/>
      <c r="L103" s="56"/>
    </row>
    <row r="104" spans="1:12" s="98" customFormat="1" ht="17.25" thickBot="1" x14ac:dyDescent="0.2">
      <c r="A104" s="11">
        <f t="shared" si="1"/>
        <v>60100000</v>
      </c>
      <c r="B104" s="11"/>
      <c r="C104" s="13">
        <v>6</v>
      </c>
      <c r="D104" s="12">
        <v>0</v>
      </c>
      <c r="E104" s="113">
        <v>10</v>
      </c>
      <c r="F104" s="113">
        <v>0</v>
      </c>
      <c r="G104" s="114">
        <v>0</v>
      </c>
      <c r="H104" s="56">
        <v>1</v>
      </c>
      <c r="I104" s="56"/>
      <c r="J104" s="56"/>
      <c r="K104" s="56"/>
      <c r="L104" s="56"/>
    </row>
    <row r="105" spans="1:12" s="115" customFormat="1" x14ac:dyDescent="0.15">
      <c r="A105" s="18">
        <f t="shared" si="1"/>
        <v>60110000</v>
      </c>
      <c r="B105" s="18"/>
      <c r="C105" s="20">
        <v>6</v>
      </c>
      <c r="D105" s="19">
        <v>0</v>
      </c>
      <c r="E105" s="20">
        <v>11</v>
      </c>
      <c r="F105" s="20">
        <v>0</v>
      </c>
      <c r="G105" s="19">
        <v>0</v>
      </c>
      <c r="H105" s="57">
        <v>1</v>
      </c>
      <c r="I105" s="57"/>
      <c r="J105" s="57"/>
      <c r="K105" s="57"/>
      <c r="L105" s="57"/>
    </row>
    <row r="106" spans="1:12" s="98" customFormat="1" x14ac:dyDescent="0.15">
      <c r="A106" s="11">
        <f t="shared" si="1"/>
        <v>60110000</v>
      </c>
      <c r="B106" s="11"/>
      <c r="C106" s="13">
        <v>6</v>
      </c>
      <c r="D106" s="12">
        <v>0</v>
      </c>
      <c r="E106" s="13">
        <v>11</v>
      </c>
      <c r="F106" s="13">
        <v>0</v>
      </c>
      <c r="G106" s="12">
        <v>0</v>
      </c>
      <c r="H106" s="56">
        <v>1</v>
      </c>
      <c r="I106" s="56"/>
      <c r="J106" s="56"/>
      <c r="K106" s="56"/>
      <c r="L106" s="56"/>
    </row>
    <row r="107" spans="1:12" s="98" customFormat="1" x14ac:dyDescent="0.15">
      <c r="A107" s="11">
        <f t="shared" si="1"/>
        <v>60110000</v>
      </c>
      <c r="B107" s="11"/>
      <c r="C107" s="13">
        <v>6</v>
      </c>
      <c r="D107" s="12">
        <v>0</v>
      </c>
      <c r="E107" s="13">
        <v>11</v>
      </c>
      <c r="F107" s="13">
        <v>0</v>
      </c>
      <c r="G107" s="12">
        <v>0</v>
      </c>
      <c r="H107" s="56">
        <v>1</v>
      </c>
      <c r="I107" s="56"/>
      <c r="J107" s="56"/>
      <c r="K107" s="56"/>
      <c r="L107" s="56"/>
    </row>
    <row r="108" spans="1:12" s="98" customFormat="1" x14ac:dyDescent="0.15">
      <c r="A108" s="11">
        <f t="shared" si="1"/>
        <v>60110000</v>
      </c>
      <c r="B108" s="11"/>
      <c r="C108" s="13">
        <v>6</v>
      </c>
      <c r="D108" s="12">
        <v>0</v>
      </c>
      <c r="E108" s="13">
        <v>11</v>
      </c>
      <c r="F108" s="13">
        <v>0</v>
      </c>
      <c r="G108" s="12">
        <v>0</v>
      </c>
      <c r="H108" s="56">
        <v>1</v>
      </c>
      <c r="I108" s="56"/>
      <c r="J108" s="56"/>
      <c r="K108" s="56"/>
      <c r="L108" s="56"/>
    </row>
    <row r="109" spans="1:12" s="98" customFormat="1" x14ac:dyDescent="0.15">
      <c r="A109" s="11">
        <f t="shared" si="1"/>
        <v>60110000</v>
      </c>
      <c r="B109" s="11"/>
      <c r="C109" s="13">
        <v>6</v>
      </c>
      <c r="D109" s="12">
        <v>0</v>
      </c>
      <c r="E109" s="13">
        <v>11</v>
      </c>
      <c r="F109" s="13">
        <v>0</v>
      </c>
      <c r="G109" s="12">
        <v>0</v>
      </c>
      <c r="H109" s="56">
        <v>1</v>
      </c>
      <c r="I109" s="56"/>
      <c r="J109" s="56"/>
      <c r="K109" s="56"/>
      <c r="L109" s="56"/>
    </row>
    <row r="110" spans="1:12" s="98" customFormat="1" x14ac:dyDescent="0.15">
      <c r="A110" s="11">
        <f t="shared" si="1"/>
        <v>60110000</v>
      </c>
      <c r="B110" s="11"/>
      <c r="C110" s="13">
        <v>6</v>
      </c>
      <c r="D110" s="12">
        <v>0</v>
      </c>
      <c r="E110" s="13">
        <v>11</v>
      </c>
      <c r="F110" s="13">
        <v>0</v>
      </c>
      <c r="G110" s="12">
        <v>0</v>
      </c>
      <c r="H110" s="56">
        <v>1</v>
      </c>
      <c r="I110" s="56"/>
      <c r="J110" s="56"/>
      <c r="K110" s="56"/>
      <c r="L110" s="56"/>
    </row>
    <row r="111" spans="1:12" s="98" customFormat="1" x14ac:dyDescent="0.15">
      <c r="A111" s="11">
        <f t="shared" si="1"/>
        <v>60110000</v>
      </c>
      <c r="B111" s="11"/>
      <c r="C111" s="13">
        <v>6</v>
      </c>
      <c r="D111" s="12">
        <v>0</v>
      </c>
      <c r="E111" s="13">
        <v>11</v>
      </c>
      <c r="F111" s="13">
        <v>0</v>
      </c>
      <c r="G111" s="12">
        <v>0</v>
      </c>
      <c r="H111" s="56">
        <v>1</v>
      </c>
      <c r="I111" s="56"/>
      <c r="J111" s="56"/>
      <c r="K111" s="56"/>
      <c r="L111" s="56"/>
    </row>
    <row r="112" spans="1:12" s="98" customFormat="1" x14ac:dyDescent="0.15">
      <c r="A112" s="11">
        <f t="shared" si="1"/>
        <v>60110000</v>
      </c>
      <c r="B112" s="11"/>
      <c r="C112" s="13">
        <v>6</v>
      </c>
      <c r="D112" s="12">
        <v>0</v>
      </c>
      <c r="E112" s="13">
        <v>11</v>
      </c>
      <c r="F112" s="13">
        <v>0</v>
      </c>
      <c r="G112" s="12">
        <v>0</v>
      </c>
      <c r="H112" s="56">
        <v>1</v>
      </c>
      <c r="I112" s="56"/>
      <c r="J112" s="56"/>
      <c r="K112" s="56"/>
      <c r="L112" s="56"/>
    </row>
    <row r="113" spans="1:12" s="98" customFormat="1" x14ac:dyDescent="0.15">
      <c r="A113" s="11">
        <f t="shared" si="1"/>
        <v>60110000</v>
      </c>
      <c r="B113" s="11"/>
      <c r="C113" s="13">
        <v>6</v>
      </c>
      <c r="D113" s="12">
        <v>0</v>
      </c>
      <c r="E113" s="13">
        <v>11</v>
      </c>
      <c r="F113" s="13">
        <v>0</v>
      </c>
      <c r="G113" s="12">
        <v>0</v>
      </c>
      <c r="H113" s="56">
        <v>1</v>
      </c>
      <c r="I113" s="56"/>
      <c r="J113" s="56"/>
      <c r="K113" s="56"/>
      <c r="L113" s="56"/>
    </row>
    <row r="114" spans="1:12" s="98" customFormat="1" ht="17.25" thickBot="1" x14ac:dyDescent="0.2">
      <c r="A114" s="11">
        <f t="shared" si="1"/>
        <v>60110000</v>
      </c>
      <c r="B114" s="11"/>
      <c r="C114" s="13">
        <v>6</v>
      </c>
      <c r="D114" s="12">
        <v>0</v>
      </c>
      <c r="E114" s="113">
        <v>11</v>
      </c>
      <c r="F114" s="113">
        <v>0</v>
      </c>
      <c r="G114" s="114">
        <v>0</v>
      </c>
      <c r="H114" s="56">
        <v>1</v>
      </c>
      <c r="I114" s="56"/>
      <c r="J114" s="56"/>
      <c r="K114" s="56"/>
      <c r="L114" s="56"/>
    </row>
    <row r="115" spans="1:12" s="115" customFormat="1" x14ac:dyDescent="0.15">
      <c r="A115" s="18">
        <f t="shared" si="1"/>
        <v>60120000</v>
      </c>
      <c r="B115" s="18"/>
      <c r="C115" s="20">
        <v>6</v>
      </c>
      <c r="D115" s="19">
        <v>0</v>
      </c>
      <c r="E115" s="20">
        <v>12</v>
      </c>
      <c r="F115" s="20">
        <v>0</v>
      </c>
      <c r="G115" s="19">
        <v>0</v>
      </c>
      <c r="H115" s="57">
        <v>1</v>
      </c>
      <c r="I115" s="57"/>
      <c r="J115" s="57"/>
      <c r="K115" s="57"/>
      <c r="L115" s="57"/>
    </row>
    <row r="116" spans="1:12" s="98" customFormat="1" x14ac:dyDescent="0.15">
      <c r="A116" s="11">
        <f t="shared" si="1"/>
        <v>60120000</v>
      </c>
      <c r="B116" s="11"/>
      <c r="C116" s="13">
        <v>6</v>
      </c>
      <c r="D116" s="12">
        <v>0</v>
      </c>
      <c r="E116" s="13">
        <v>12</v>
      </c>
      <c r="F116" s="13">
        <v>0</v>
      </c>
      <c r="G116" s="12">
        <v>0</v>
      </c>
      <c r="H116" s="56">
        <v>1</v>
      </c>
      <c r="I116" s="56"/>
      <c r="J116" s="56"/>
      <c r="K116" s="56"/>
      <c r="L116" s="56"/>
    </row>
    <row r="117" spans="1:12" s="98" customFormat="1" x14ac:dyDescent="0.15">
      <c r="A117" s="11">
        <f t="shared" si="1"/>
        <v>60120000</v>
      </c>
      <c r="B117" s="11"/>
      <c r="C117" s="13">
        <v>6</v>
      </c>
      <c r="D117" s="12">
        <v>0</v>
      </c>
      <c r="E117" s="13">
        <v>12</v>
      </c>
      <c r="F117" s="13">
        <v>0</v>
      </c>
      <c r="G117" s="12">
        <v>0</v>
      </c>
      <c r="H117" s="56">
        <v>1</v>
      </c>
      <c r="I117" s="56"/>
      <c r="J117" s="56"/>
      <c r="K117" s="56"/>
      <c r="L117" s="56"/>
    </row>
    <row r="118" spans="1:12" s="98" customFormat="1" x14ac:dyDescent="0.15">
      <c r="A118" s="11">
        <f t="shared" si="1"/>
        <v>60120000</v>
      </c>
      <c r="B118" s="11"/>
      <c r="C118" s="13">
        <v>6</v>
      </c>
      <c r="D118" s="12">
        <v>0</v>
      </c>
      <c r="E118" s="13">
        <v>12</v>
      </c>
      <c r="F118" s="13">
        <v>0</v>
      </c>
      <c r="G118" s="12">
        <v>0</v>
      </c>
      <c r="H118" s="56">
        <v>1</v>
      </c>
      <c r="I118" s="56"/>
      <c r="J118" s="56"/>
      <c r="K118" s="56"/>
      <c r="L118" s="56"/>
    </row>
    <row r="119" spans="1:12" s="98" customFormat="1" x14ac:dyDescent="0.15">
      <c r="A119" s="11">
        <f t="shared" si="1"/>
        <v>60120000</v>
      </c>
      <c r="B119" s="11"/>
      <c r="C119" s="13">
        <v>6</v>
      </c>
      <c r="D119" s="12">
        <v>0</v>
      </c>
      <c r="E119" s="13">
        <v>12</v>
      </c>
      <c r="F119" s="13">
        <v>0</v>
      </c>
      <c r="G119" s="12">
        <v>0</v>
      </c>
      <c r="H119" s="56">
        <v>1</v>
      </c>
      <c r="I119" s="56"/>
      <c r="J119" s="56"/>
      <c r="K119" s="56"/>
      <c r="L119" s="56"/>
    </row>
    <row r="120" spans="1:12" s="98" customFormat="1" x14ac:dyDescent="0.15">
      <c r="A120" s="11">
        <f t="shared" si="1"/>
        <v>60120000</v>
      </c>
      <c r="B120" s="11"/>
      <c r="C120" s="13">
        <v>6</v>
      </c>
      <c r="D120" s="12">
        <v>0</v>
      </c>
      <c r="E120" s="13">
        <v>12</v>
      </c>
      <c r="F120" s="13">
        <v>0</v>
      </c>
      <c r="G120" s="12">
        <v>0</v>
      </c>
      <c r="H120" s="56">
        <v>1</v>
      </c>
      <c r="I120" s="56"/>
      <c r="J120" s="56"/>
      <c r="K120" s="56"/>
      <c r="L120" s="56"/>
    </row>
    <row r="121" spans="1:12" s="98" customFormat="1" x14ac:dyDescent="0.15">
      <c r="A121" s="11">
        <f t="shared" si="1"/>
        <v>60120000</v>
      </c>
      <c r="B121" s="11"/>
      <c r="C121" s="13">
        <v>6</v>
      </c>
      <c r="D121" s="12">
        <v>0</v>
      </c>
      <c r="E121" s="13">
        <v>12</v>
      </c>
      <c r="F121" s="13">
        <v>0</v>
      </c>
      <c r="G121" s="12">
        <v>0</v>
      </c>
      <c r="H121" s="56">
        <v>1</v>
      </c>
      <c r="I121" s="56"/>
      <c r="J121" s="56"/>
      <c r="K121" s="56"/>
      <c r="L121" s="56"/>
    </row>
    <row r="122" spans="1:12" s="98" customFormat="1" x14ac:dyDescent="0.15">
      <c r="A122" s="11">
        <f t="shared" si="1"/>
        <v>60120000</v>
      </c>
      <c r="B122" s="11"/>
      <c r="C122" s="13">
        <v>6</v>
      </c>
      <c r="D122" s="12">
        <v>0</v>
      </c>
      <c r="E122" s="13">
        <v>12</v>
      </c>
      <c r="F122" s="13">
        <v>0</v>
      </c>
      <c r="G122" s="12">
        <v>0</v>
      </c>
      <c r="H122" s="56">
        <v>1</v>
      </c>
      <c r="I122" s="56"/>
      <c r="J122" s="56"/>
      <c r="K122" s="56"/>
      <c r="L122" s="56"/>
    </row>
    <row r="123" spans="1:12" s="98" customFormat="1" x14ac:dyDescent="0.15">
      <c r="A123" s="11">
        <f t="shared" si="1"/>
        <v>60120000</v>
      </c>
      <c r="B123" s="11"/>
      <c r="C123" s="13">
        <v>6</v>
      </c>
      <c r="D123" s="12">
        <v>0</v>
      </c>
      <c r="E123" s="13">
        <v>12</v>
      </c>
      <c r="F123" s="13">
        <v>0</v>
      </c>
      <c r="G123" s="12">
        <v>0</v>
      </c>
      <c r="H123" s="56">
        <v>1</v>
      </c>
      <c r="I123" s="56"/>
      <c r="J123" s="56"/>
      <c r="K123" s="56"/>
      <c r="L123" s="56"/>
    </row>
    <row r="124" spans="1:12" s="98" customFormat="1" ht="17.25" thickBot="1" x14ac:dyDescent="0.2">
      <c r="A124" s="11">
        <f t="shared" si="1"/>
        <v>60120000</v>
      </c>
      <c r="B124" s="11"/>
      <c r="C124" s="13">
        <v>6</v>
      </c>
      <c r="D124" s="12">
        <v>0</v>
      </c>
      <c r="E124" s="113">
        <v>12</v>
      </c>
      <c r="F124" s="113">
        <v>0</v>
      </c>
      <c r="G124" s="114">
        <v>0</v>
      </c>
      <c r="H124" s="56">
        <v>1</v>
      </c>
      <c r="I124" s="56"/>
      <c r="J124" s="56"/>
      <c r="K124" s="56"/>
      <c r="L124" s="56"/>
    </row>
    <row r="125" spans="1:12" s="115" customFormat="1" x14ac:dyDescent="0.15">
      <c r="A125" s="18">
        <f t="shared" si="1"/>
        <v>60130000</v>
      </c>
      <c r="B125" s="18"/>
      <c r="C125" s="20">
        <v>6</v>
      </c>
      <c r="D125" s="19">
        <v>0</v>
      </c>
      <c r="E125" s="20">
        <v>13</v>
      </c>
      <c r="F125" s="20">
        <v>0</v>
      </c>
      <c r="G125" s="19">
        <v>0</v>
      </c>
      <c r="H125" s="57">
        <v>1</v>
      </c>
      <c r="I125" s="57"/>
      <c r="J125" s="57"/>
      <c r="K125" s="57"/>
      <c r="L125" s="57"/>
    </row>
    <row r="126" spans="1:12" s="98" customFormat="1" x14ac:dyDescent="0.15">
      <c r="A126" s="11">
        <f t="shared" si="1"/>
        <v>60130000</v>
      </c>
      <c r="B126" s="11"/>
      <c r="C126" s="13">
        <v>6</v>
      </c>
      <c r="D126" s="12">
        <v>0</v>
      </c>
      <c r="E126" s="13">
        <v>13</v>
      </c>
      <c r="F126" s="13">
        <v>0</v>
      </c>
      <c r="G126" s="12">
        <v>0</v>
      </c>
      <c r="H126" s="56">
        <v>1</v>
      </c>
      <c r="I126" s="56"/>
      <c r="J126" s="56"/>
      <c r="K126" s="56"/>
      <c r="L126" s="56"/>
    </row>
    <row r="127" spans="1:12" s="98" customFormat="1" x14ac:dyDescent="0.15">
      <c r="A127" s="11">
        <f t="shared" si="1"/>
        <v>60130000</v>
      </c>
      <c r="B127" s="11"/>
      <c r="C127" s="13">
        <v>6</v>
      </c>
      <c r="D127" s="12">
        <v>0</v>
      </c>
      <c r="E127" s="13">
        <v>13</v>
      </c>
      <c r="F127" s="13">
        <v>0</v>
      </c>
      <c r="G127" s="12">
        <v>0</v>
      </c>
      <c r="H127" s="56">
        <v>1</v>
      </c>
      <c r="I127" s="56"/>
      <c r="J127" s="56"/>
      <c r="K127" s="56"/>
      <c r="L127" s="56"/>
    </row>
    <row r="128" spans="1:12" s="98" customFormat="1" x14ac:dyDescent="0.15">
      <c r="A128" s="11">
        <f t="shared" si="1"/>
        <v>60130000</v>
      </c>
      <c r="B128" s="11"/>
      <c r="C128" s="13">
        <v>6</v>
      </c>
      <c r="D128" s="12">
        <v>0</v>
      </c>
      <c r="E128" s="13">
        <v>13</v>
      </c>
      <c r="F128" s="13">
        <v>0</v>
      </c>
      <c r="G128" s="12">
        <v>0</v>
      </c>
      <c r="H128" s="56">
        <v>1</v>
      </c>
      <c r="I128" s="56"/>
      <c r="J128" s="56"/>
      <c r="K128" s="56"/>
      <c r="L128" s="56"/>
    </row>
    <row r="129" spans="1:12" s="98" customFormat="1" x14ac:dyDescent="0.15">
      <c r="A129" s="11">
        <f t="shared" si="1"/>
        <v>60130000</v>
      </c>
      <c r="B129" s="11"/>
      <c r="C129" s="13">
        <v>6</v>
      </c>
      <c r="D129" s="12">
        <v>0</v>
      </c>
      <c r="E129" s="13">
        <v>13</v>
      </c>
      <c r="F129" s="13">
        <v>0</v>
      </c>
      <c r="G129" s="12">
        <v>0</v>
      </c>
      <c r="H129" s="56">
        <v>1</v>
      </c>
      <c r="I129" s="56"/>
      <c r="J129" s="56"/>
      <c r="K129" s="56"/>
      <c r="L129" s="56"/>
    </row>
    <row r="130" spans="1:12" s="98" customFormat="1" x14ac:dyDescent="0.15">
      <c r="A130" s="11">
        <f t="shared" si="1"/>
        <v>60130000</v>
      </c>
      <c r="B130" s="11"/>
      <c r="C130" s="13">
        <v>6</v>
      </c>
      <c r="D130" s="12">
        <v>0</v>
      </c>
      <c r="E130" s="13">
        <v>13</v>
      </c>
      <c r="F130" s="13">
        <v>0</v>
      </c>
      <c r="G130" s="12">
        <v>0</v>
      </c>
      <c r="H130" s="56">
        <v>1</v>
      </c>
      <c r="I130" s="56"/>
      <c r="J130" s="56"/>
      <c r="K130" s="56"/>
      <c r="L130" s="56"/>
    </row>
    <row r="131" spans="1:12" s="98" customFormat="1" x14ac:dyDescent="0.15">
      <c r="A131" s="11">
        <f t="shared" si="1"/>
        <v>60130000</v>
      </c>
      <c r="B131" s="11"/>
      <c r="C131" s="13">
        <v>6</v>
      </c>
      <c r="D131" s="12">
        <v>0</v>
      </c>
      <c r="E131" s="13">
        <v>13</v>
      </c>
      <c r="F131" s="13">
        <v>0</v>
      </c>
      <c r="G131" s="12">
        <v>0</v>
      </c>
      <c r="H131" s="56">
        <v>1</v>
      </c>
      <c r="I131" s="56"/>
      <c r="J131" s="56"/>
      <c r="K131" s="56"/>
      <c r="L131" s="56"/>
    </row>
    <row r="132" spans="1:12" s="98" customFormat="1" x14ac:dyDescent="0.15">
      <c r="A132" s="11">
        <f t="shared" si="1"/>
        <v>60130000</v>
      </c>
      <c r="B132" s="11"/>
      <c r="C132" s="13">
        <v>6</v>
      </c>
      <c r="D132" s="12">
        <v>0</v>
      </c>
      <c r="E132" s="13">
        <v>13</v>
      </c>
      <c r="F132" s="13">
        <v>0</v>
      </c>
      <c r="G132" s="12">
        <v>0</v>
      </c>
      <c r="H132" s="56">
        <v>1</v>
      </c>
      <c r="I132" s="56"/>
      <c r="J132" s="56"/>
      <c r="K132" s="56"/>
      <c r="L132" s="56"/>
    </row>
    <row r="133" spans="1:12" s="98" customFormat="1" x14ac:dyDescent="0.15">
      <c r="A133" s="11">
        <f t="shared" si="1"/>
        <v>60130000</v>
      </c>
      <c r="B133" s="11"/>
      <c r="C133" s="13">
        <v>6</v>
      </c>
      <c r="D133" s="12">
        <v>0</v>
      </c>
      <c r="E133" s="13">
        <v>13</v>
      </c>
      <c r="F133" s="13">
        <v>0</v>
      </c>
      <c r="G133" s="12">
        <v>0</v>
      </c>
      <c r="H133" s="56">
        <v>1</v>
      </c>
      <c r="I133" s="56"/>
      <c r="J133" s="56"/>
      <c r="K133" s="56"/>
      <c r="L133" s="56"/>
    </row>
    <row r="134" spans="1:12" s="98" customFormat="1" ht="17.25" thickBot="1" x14ac:dyDescent="0.2">
      <c r="A134" s="11">
        <f t="shared" ref="A134:A197" si="2">C134*10000000+D134*1000000+E134*10000+F134*100+G134</f>
        <v>60130000</v>
      </c>
      <c r="B134" s="11"/>
      <c r="C134" s="13">
        <v>6</v>
      </c>
      <c r="D134" s="12">
        <v>0</v>
      </c>
      <c r="E134" s="113">
        <v>13</v>
      </c>
      <c r="F134" s="113">
        <v>0</v>
      </c>
      <c r="G134" s="114">
        <v>0</v>
      </c>
      <c r="H134" s="56">
        <v>1</v>
      </c>
      <c r="I134" s="56"/>
      <c r="J134" s="56"/>
      <c r="K134" s="56"/>
      <c r="L134" s="56"/>
    </row>
    <row r="135" spans="1:12" s="115" customFormat="1" x14ac:dyDescent="0.15">
      <c r="A135" s="18">
        <f t="shared" si="2"/>
        <v>60140000</v>
      </c>
      <c r="B135" s="18"/>
      <c r="C135" s="20">
        <v>6</v>
      </c>
      <c r="D135" s="19">
        <v>0</v>
      </c>
      <c r="E135" s="20">
        <v>14</v>
      </c>
      <c r="F135" s="20">
        <v>0</v>
      </c>
      <c r="G135" s="19">
        <v>0</v>
      </c>
      <c r="H135" s="57">
        <v>1</v>
      </c>
      <c r="I135" s="57"/>
      <c r="J135" s="57"/>
      <c r="K135" s="57"/>
      <c r="L135" s="57"/>
    </row>
    <row r="136" spans="1:12" s="98" customFormat="1" x14ac:dyDescent="0.15">
      <c r="A136" s="11">
        <f t="shared" si="2"/>
        <v>60140000</v>
      </c>
      <c r="B136" s="11"/>
      <c r="C136" s="13">
        <v>6</v>
      </c>
      <c r="D136" s="12">
        <v>0</v>
      </c>
      <c r="E136" s="13">
        <v>14</v>
      </c>
      <c r="F136" s="13">
        <v>0</v>
      </c>
      <c r="G136" s="12">
        <v>0</v>
      </c>
      <c r="H136" s="56">
        <v>1</v>
      </c>
      <c r="I136" s="56"/>
      <c r="J136" s="56"/>
      <c r="K136" s="56"/>
      <c r="L136" s="56"/>
    </row>
    <row r="137" spans="1:12" s="98" customFormat="1" x14ac:dyDescent="0.15">
      <c r="A137" s="11">
        <f t="shared" si="2"/>
        <v>60140000</v>
      </c>
      <c r="B137" s="11"/>
      <c r="C137" s="13">
        <v>6</v>
      </c>
      <c r="D137" s="12">
        <v>0</v>
      </c>
      <c r="E137" s="13">
        <v>14</v>
      </c>
      <c r="F137" s="13">
        <v>0</v>
      </c>
      <c r="G137" s="12">
        <v>0</v>
      </c>
      <c r="H137" s="56">
        <v>1</v>
      </c>
      <c r="I137" s="56"/>
      <c r="J137" s="56"/>
      <c r="K137" s="56"/>
      <c r="L137" s="56"/>
    </row>
    <row r="138" spans="1:12" s="98" customFormat="1" x14ac:dyDescent="0.15">
      <c r="A138" s="11">
        <f t="shared" si="2"/>
        <v>60140000</v>
      </c>
      <c r="B138" s="11"/>
      <c r="C138" s="13">
        <v>6</v>
      </c>
      <c r="D138" s="12">
        <v>0</v>
      </c>
      <c r="E138" s="13">
        <v>14</v>
      </c>
      <c r="F138" s="13">
        <v>0</v>
      </c>
      <c r="G138" s="12">
        <v>0</v>
      </c>
      <c r="H138" s="56">
        <v>1</v>
      </c>
      <c r="I138" s="56"/>
      <c r="J138" s="56"/>
      <c r="K138" s="56"/>
      <c r="L138" s="56"/>
    </row>
    <row r="139" spans="1:12" s="98" customFormat="1" x14ac:dyDescent="0.15">
      <c r="A139" s="11">
        <f t="shared" si="2"/>
        <v>60140000</v>
      </c>
      <c r="B139" s="11"/>
      <c r="C139" s="13">
        <v>6</v>
      </c>
      <c r="D139" s="12">
        <v>0</v>
      </c>
      <c r="E139" s="13">
        <v>14</v>
      </c>
      <c r="F139" s="13">
        <v>0</v>
      </c>
      <c r="G139" s="12">
        <v>0</v>
      </c>
      <c r="H139" s="56">
        <v>1</v>
      </c>
      <c r="I139" s="56"/>
      <c r="J139" s="56"/>
      <c r="K139" s="56"/>
      <c r="L139" s="56"/>
    </row>
    <row r="140" spans="1:12" s="98" customFormat="1" x14ac:dyDescent="0.15">
      <c r="A140" s="11">
        <f t="shared" si="2"/>
        <v>60140000</v>
      </c>
      <c r="B140" s="11"/>
      <c r="C140" s="13">
        <v>6</v>
      </c>
      <c r="D140" s="12">
        <v>0</v>
      </c>
      <c r="E140" s="13">
        <v>14</v>
      </c>
      <c r="F140" s="13">
        <v>0</v>
      </c>
      <c r="G140" s="12">
        <v>0</v>
      </c>
      <c r="H140" s="56">
        <v>1</v>
      </c>
      <c r="I140" s="56"/>
      <c r="J140" s="56"/>
      <c r="K140" s="56"/>
      <c r="L140" s="56"/>
    </row>
    <row r="141" spans="1:12" s="98" customFormat="1" x14ac:dyDescent="0.15">
      <c r="A141" s="11">
        <f t="shared" si="2"/>
        <v>60140000</v>
      </c>
      <c r="B141" s="11"/>
      <c r="C141" s="13">
        <v>6</v>
      </c>
      <c r="D141" s="12">
        <v>0</v>
      </c>
      <c r="E141" s="13">
        <v>14</v>
      </c>
      <c r="F141" s="13">
        <v>0</v>
      </c>
      <c r="G141" s="12">
        <v>0</v>
      </c>
      <c r="H141" s="56">
        <v>1</v>
      </c>
      <c r="I141" s="56"/>
      <c r="J141" s="56"/>
      <c r="K141" s="56"/>
      <c r="L141" s="56"/>
    </row>
    <row r="142" spans="1:12" s="98" customFormat="1" x14ac:dyDescent="0.15">
      <c r="A142" s="11">
        <f t="shared" si="2"/>
        <v>60140000</v>
      </c>
      <c r="B142" s="11"/>
      <c r="C142" s="13">
        <v>6</v>
      </c>
      <c r="D142" s="12">
        <v>0</v>
      </c>
      <c r="E142" s="13">
        <v>14</v>
      </c>
      <c r="F142" s="13">
        <v>0</v>
      </c>
      <c r="G142" s="12">
        <v>0</v>
      </c>
      <c r="H142" s="56">
        <v>1</v>
      </c>
      <c r="I142" s="56"/>
      <c r="J142" s="56"/>
      <c r="K142" s="56"/>
      <c r="L142" s="56"/>
    </row>
    <row r="143" spans="1:12" s="98" customFormat="1" x14ac:dyDescent="0.15">
      <c r="A143" s="11">
        <f t="shared" si="2"/>
        <v>60140000</v>
      </c>
      <c r="B143" s="11"/>
      <c r="C143" s="13">
        <v>6</v>
      </c>
      <c r="D143" s="12">
        <v>0</v>
      </c>
      <c r="E143" s="13">
        <v>14</v>
      </c>
      <c r="F143" s="13">
        <v>0</v>
      </c>
      <c r="G143" s="12">
        <v>0</v>
      </c>
      <c r="H143" s="56">
        <v>1</v>
      </c>
      <c r="I143" s="56"/>
      <c r="J143" s="56"/>
      <c r="K143" s="56"/>
      <c r="L143" s="56"/>
    </row>
    <row r="144" spans="1:12" s="98" customFormat="1" ht="17.25" thickBot="1" x14ac:dyDescent="0.2">
      <c r="A144" s="11">
        <f t="shared" si="2"/>
        <v>60140000</v>
      </c>
      <c r="B144" s="11"/>
      <c r="C144" s="13">
        <v>6</v>
      </c>
      <c r="D144" s="12">
        <v>0</v>
      </c>
      <c r="E144" s="113">
        <v>14</v>
      </c>
      <c r="F144" s="113">
        <v>0</v>
      </c>
      <c r="G144" s="114">
        <v>0</v>
      </c>
      <c r="H144" s="56">
        <v>1</v>
      </c>
      <c r="I144" s="56"/>
      <c r="J144" s="56"/>
      <c r="K144" s="56"/>
      <c r="L144" s="56"/>
    </row>
    <row r="145" spans="1:12" s="115" customFormat="1" x14ac:dyDescent="0.15">
      <c r="A145" s="18">
        <f t="shared" si="2"/>
        <v>60150000</v>
      </c>
      <c r="B145" s="18"/>
      <c r="C145" s="20">
        <v>6</v>
      </c>
      <c r="D145" s="19">
        <v>0</v>
      </c>
      <c r="E145" s="20">
        <v>15</v>
      </c>
      <c r="F145" s="20">
        <v>0</v>
      </c>
      <c r="G145" s="19">
        <v>0</v>
      </c>
      <c r="H145" s="57">
        <v>1</v>
      </c>
      <c r="I145" s="57"/>
      <c r="J145" s="57"/>
      <c r="K145" s="57"/>
      <c r="L145" s="57"/>
    </row>
    <row r="146" spans="1:12" s="98" customFormat="1" x14ac:dyDescent="0.15">
      <c r="A146" s="11">
        <f t="shared" si="2"/>
        <v>60150000</v>
      </c>
      <c r="B146" s="11"/>
      <c r="C146" s="13">
        <v>6</v>
      </c>
      <c r="D146" s="12">
        <v>0</v>
      </c>
      <c r="E146" s="13">
        <v>15</v>
      </c>
      <c r="F146" s="13">
        <v>0</v>
      </c>
      <c r="G146" s="12">
        <v>0</v>
      </c>
      <c r="H146" s="56">
        <v>1</v>
      </c>
      <c r="I146" s="56"/>
      <c r="J146" s="56"/>
      <c r="K146" s="56"/>
      <c r="L146" s="56"/>
    </row>
    <row r="147" spans="1:12" s="98" customFormat="1" x14ac:dyDescent="0.15">
      <c r="A147" s="11">
        <f t="shared" si="2"/>
        <v>60150000</v>
      </c>
      <c r="B147" s="11"/>
      <c r="C147" s="13">
        <v>6</v>
      </c>
      <c r="D147" s="12">
        <v>0</v>
      </c>
      <c r="E147" s="13">
        <v>15</v>
      </c>
      <c r="F147" s="13">
        <v>0</v>
      </c>
      <c r="G147" s="12">
        <v>0</v>
      </c>
      <c r="H147" s="56">
        <v>1</v>
      </c>
      <c r="I147" s="56"/>
      <c r="J147" s="56"/>
      <c r="K147" s="56"/>
      <c r="L147" s="56"/>
    </row>
    <row r="148" spans="1:12" s="98" customFormat="1" x14ac:dyDescent="0.15">
      <c r="A148" s="11">
        <f t="shared" si="2"/>
        <v>60150000</v>
      </c>
      <c r="B148" s="11"/>
      <c r="C148" s="13">
        <v>6</v>
      </c>
      <c r="D148" s="12">
        <v>0</v>
      </c>
      <c r="E148" s="13">
        <v>15</v>
      </c>
      <c r="F148" s="13">
        <v>0</v>
      </c>
      <c r="G148" s="12">
        <v>0</v>
      </c>
      <c r="H148" s="56">
        <v>1</v>
      </c>
      <c r="I148" s="56"/>
      <c r="J148" s="56"/>
      <c r="K148" s="56"/>
      <c r="L148" s="56"/>
    </row>
    <row r="149" spans="1:12" s="98" customFormat="1" x14ac:dyDescent="0.15">
      <c r="A149" s="11">
        <f t="shared" si="2"/>
        <v>60150000</v>
      </c>
      <c r="B149" s="11"/>
      <c r="C149" s="13">
        <v>6</v>
      </c>
      <c r="D149" s="12">
        <v>0</v>
      </c>
      <c r="E149" s="13">
        <v>15</v>
      </c>
      <c r="F149" s="13">
        <v>0</v>
      </c>
      <c r="G149" s="12">
        <v>0</v>
      </c>
      <c r="H149" s="56">
        <v>1</v>
      </c>
      <c r="I149" s="56"/>
      <c r="J149" s="56"/>
      <c r="K149" s="56"/>
      <c r="L149" s="56"/>
    </row>
    <row r="150" spans="1:12" s="98" customFormat="1" x14ac:dyDescent="0.15">
      <c r="A150" s="11">
        <f t="shared" si="2"/>
        <v>60150000</v>
      </c>
      <c r="B150" s="11"/>
      <c r="C150" s="13">
        <v>6</v>
      </c>
      <c r="D150" s="12">
        <v>0</v>
      </c>
      <c r="E150" s="13">
        <v>15</v>
      </c>
      <c r="F150" s="13">
        <v>0</v>
      </c>
      <c r="G150" s="12">
        <v>0</v>
      </c>
      <c r="H150" s="56">
        <v>1</v>
      </c>
      <c r="I150" s="56"/>
      <c r="J150" s="56"/>
      <c r="K150" s="56"/>
      <c r="L150" s="56"/>
    </row>
    <row r="151" spans="1:12" s="98" customFormat="1" x14ac:dyDescent="0.15">
      <c r="A151" s="11">
        <f t="shared" si="2"/>
        <v>60150000</v>
      </c>
      <c r="B151" s="11"/>
      <c r="C151" s="13">
        <v>6</v>
      </c>
      <c r="D151" s="12">
        <v>0</v>
      </c>
      <c r="E151" s="13">
        <v>15</v>
      </c>
      <c r="F151" s="13">
        <v>0</v>
      </c>
      <c r="G151" s="12">
        <v>0</v>
      </c>
      <c r="H151" s="56">
        <v>1</v>
      </c>
      <c r="I151" s="56"/>
      <c r="J151" s="56"/>
      <c r="K151" s="56"/>
      <c r="L151" s="56"/>
    </row>
    <row r="152" spans="1:12" s="98" customFormat="1" x14ac:dyDescent="0.15">
      <c r="A152" s="11">
        <f t="shared" si="2"/>
        <v>60150000</v>
      </c>
      <c r="B152" s="11"/>
      <c r="C152" s="13">
        <v>6</v>
      </c>
      <c r="D152" s="12">
        <v>0</v>
      </c>
      <c r="E152" s="13">
        <v>15</v>
      </c>
      <c r="F152" s="13">
        <v>0</v>
      </c>
      <c r="G152" s="12">
        <v>0</v>
      </c>
      <c r="H152" s="56">
        <v>1</v>
      </c>
      <c r="I152" s="56"/>
      <c r="J152" s="56"/>
      <c r="K152" s="56"/>
      <c r="L152" s="56"/>
    </row>
    <row r="153" spans="1:12" s="98" customFormat="1" x14ac:dyDescent="0.15">
      <c r="A153" s="11">
        <f t="shared" si="2"/>
        <v>60150000</v>
      </c>
      <c r="B153" s="11"/>
      <c r="C153" s="13">
        <v>6</v>
      </c>
      <c r="D153" s="12">
        <v>0</v>
      </c>
      <c r="E153" s="13">
        <v>15</v>
      </c>
      <c r="F153" s="13">
        <v>0</v>
      </c>
      <c r="G153" s="12">
        <v>0</v>
      </c>
      <c r="H153" s="56">
        <v>1</v>
      </c>
      <c r="I153" s="56"/>
      <c r="J153" s="56"/>
      <c r="K153" s="56"/>
      <c r="L153" s="56"/>
    </row>
    <row r="154" spans="1:12" s="98" customFormat="1" ht="17.25" thickBot="1" x14ac:dyDescent="0.2">
      <c r="A154" s="11">
        <f t="shared" si="2"/>
        <v>60150000</v>
      </c>
      <c r="B154" s="11"/>
      <c r="C154" s="13">
        <v>6</v>
      </c>
      <c r="D154" s="12">
        <v>0</v>
      </c>
      <c r="E154" s="113">
        <v>15</v>
      </c>
      <c r="F154" s="113">
        <v>0</v>
      </c>
      <c r="G154" s="114">
        <v>0</v>
      </c>
      <c r="H154" s="56">
        <v>1</v>
      </c>
      <c r="I154" s="56"/>
      <c r="J154" s="56"/>
      <c r="K154" s="56"/>
      <c r="L154" s="56"/>
    </row>
    <row r="155" spans="1:12" s="115" customFormat="1" x14ac:dyDescent="0.15">
      <c r="A155" s="18">
        <f t="shared" si="2"/>
        <v>60160000</v>
      </c>
      <c r="B155" s="18"/>
      <c r="C155" s="20">
        <v>6</v>
      </c>
      <c r="D155" s="19">
        <v>0</v>
      </c>
      <c r="E155" s="20">
        <v>16</v>
      </c>
      <c r="F155" s="20">
        <v>0</v>
      </c>
      <c r="G155" s="19">
        <v>0</v>
      </c>
      <c r="H155" s="57">
        <v>1</v>
      </c>
      <c r="I155" s="57"/>
      <c r="J155" s="57"/>
      <c r="K155" s="57"/>
      <c r="L155" s="57"/>
    </row>
    <row r="156" spans="1:12" s="98" customFormat="1" x14ac:dyDescent="0.15">
      <c r="A156" s="11">
        <f t="shared" si="2"/>
        <v>60160000</v>
      </c>
      <c r="B156" s="11"/>
      <c r="C156" s="13">
        <v>6</v>
      </c>
      <c r="D156" s="12">
        <v>0</v>
      </c>
      <c r="E156" s="13">
        <v>16</v>
      </c>
      <c r="F156" s="13">
        <v>0</v>
      </c>
      <c r="G156" s="12">
        <v>0</v>
      </c>
      <c r="H156" s="56">
        <v>1</v>
      </c>
      <c r="I156" s="56"/>
      <c r="J156" s="56"/>
      <c r="K156" s="56"/>
      <c r="L156" s="56"/>
    </row>
    <row r="157" spans="1:12" s="98" customFormat="1" x14ac:dyDescent="0.15">
      <c r="A157" s="11">
        <f t="shared" si="2"/>
        <v>60160000</v>
      </c>
      <c r="B157" s="11"/>
      <c r="C157" s="13">
        <v>6</v>
      </c>
      <c r="D157" s="12">
        <v>0</v>
      </c>
      <c r="E157" s="13">
        <v>16</v>
      </c>
      <c r="F157" s="13">
        <v>0</v>
      </c>
      <c r="G157" s="12">
        <v>0</v>
      </c>
      <c r="H157" s="56">
        <v>1</v>
      </c>
      <c r="I157" s="56"/>
      <c r="J157" s="56"/>
      <c r="K157" s="56"/>
      <c r="L157" s="56"/>
    </row>
    <row r="158" spans="1:12" s="98" customFormat="1" x14ac:dyDescent="0.15">
      <c r="A158" s="11">
        <f t="shared" si="2"/>
        <v>60160000</v>
      </c>
      <c r="B158" s="11"/>
      <c r="C158" s="13">
        <v>6</v>
      </c>
      <c r="D158" s="12">
        <v>0</v>
      </c>
      <c r="E158" s="13">
        <v>16</v>
      </c>
      <c r="F158" s="13">
        <v>0</v>
      </c>
      <c r="G158" s="12">
        <v>0</v>
      </c>
      <c r="H158" s="56">
        <v>1</v>
      </c>
      <c r="I158" s="56"/>
      <c r="J158" s="56"/>
      <c r="K158" s="56"/>
      <c r="L158" s="56"/>
    </row>
    <row r="159" spans="1:12" s="98" customFormat="1" x14ac:dyDescent="0.15">
      <c r="A159" s="11">
        <f t="shared" si="2"/>
        <v>60160000</v>
      </c>
      <c r="B159" s="11"/>
      <c r="C159" s="13">
        <v>6</v>
      </c>
      <c r="D159" s="12">
        <v>0</v>
      </c>
      <c r="E159" s="13">
        <v>16</v>
      </c>
      <c r="F159" s="13">
        <v>0</v>
      </c>
      <c r="G159" s="12">
        <v>0</v>
      </c>
      <c r="H159" s="56">
        <v>1</v>
      </c>
      <c r="I159" s="56"/>
      <c r="J159" s="56"/>
      <c r="K159" s="56"/>
      <c r="L159" s="56"/>
    </row>
    <row r="160" spans="1:12" s="98" customFormat="1" x14ac:dyDescent="0.15">
      <c r="A160" s="11">
        <f t="shared" si="2"/>
        <v>60160000</v>
      </c>
      <c r="B160" s="11"/>
      <c r="C160" s="13">
        <v>6</v>
      </c>
      <c r="D160" s="12">
        <v>0</v>
      </c>
      <c r="E160" s="13">
        <v>16</v>
      </c>
      <c r="F160" s="13">
        <v>0</v>
      </c>
      <c r="G160" s="12">
        <v>0</v>
      </c>
      <c r="H160" s="56">
        <v>1</v>
      </c>
      <c r="I160" s="56"/>
      <c r="J160" s="56"/>
      <c r="K160" s="56"/>
      <c r="L160" s="56"/>
    </row>
    <row r="161" spans="1:12" s="98" customFormat="1" x14ac:dyDescent="0.15">
      <c r="A161" s="11">
        <f t="shared" si="2"/>
        <v>60160000</v>
      </c>
      <c r="B161" s="11"/>
      <c r="C161" s="13">
        <v>6</v>
      </c>
      <c r="D161" s="12">
        <v>0</v>
      </c>
      <c r="E161" s="13">
        <v>16</v>
      </c>
      <c r="F161" s="13">
        <v>0</v>
      </c>
      <c r="G161" s="12">
        <v>0</v>
      </c>
      <c r="H161" s="56">
        <v>1</v>
      </c>
      <c r="I161" s="56"/>
      <c r="J161" s="56"/>
      <c r="K161" s="56"/>
      <c r="L161" s="56"/>
    </row>
    <row r="162" spans="1:12" s="98" customFormat="1" x14ac:dyDescent="0.15">
      <c r="A162" s="11">
        <f t="shared" si="2"/>
        <v>60160000</v>
      </c>
      <c r="B162" s="11"/>
      <c r="C162" s="13">
        <v>6</v>
      </c>
      <c r="D162" s="12">
        <v>0</v>
      </c>
      <c r="E162" s="13">
        <v>16</v>
      </c>
      <c r="F162" s="13">
        <v>0</v>
      </c>
      <c r="G162" s="12">
        <v>0</v>
      </c>
      <c r="H162" s="56">
        <v>1</v>
      </c>
      <c r="I162" s="56"/>
      <c r="J162" s="56"/>
      <c r="K162" s="56"/>
      <c r="L162" s="56"/>
    </row>
    <row r="163" spans="1:12" s="98" customFormat="1" x14ac:dyDescent="0.15">
      <c r="A163" s="11">
        <f t="shared" si="2"/>
        <v>60160000</v>
      </c>
      <c r="B163" s="11"/>
      <c r="C163" s="13">
        <v>6</v>
      </c>
      <c r="D163" s="12">
        <v>0</v>
      </c>
      <c r="E163" s="13">
        <v>16</v>
      </c>
      <c r="F163" s="13">
        <v>0</v>
      </c>
      <c r="G163" s="12">
        <v>0</v>
      </c>
      <c r="H163" s="56">
        <v>1</v>
      </c>
      <c r="I163" s="56"/>
      <c r="J163" s="56"/>
      <c r="K163" s="56"/>
      <c r="L163" s="56"/>
    </row>
    <row r="164" spans="1:12" s="98" customFormat="1" ht="17.25" thickBot="1" x14ac:dyDescent="0.2">
      <c r="A164" s="11">
        <f t="shared" si="2"/>
        <v>60160000</v>
      </c>
      <c r="B164" s="11"/>
      <c r="C164" s="13">
        <v>6</v>
      </c>
      <c r="D164" s="12">
        <v>0</v>
      </c>
      <c r="E164" s="113">
        <v>16</v>
      </c>
      <c r="F164" s="113">
        <v>0</v>
      </c>
      <c r="G164" s="114">
        <v>0</v>
      </c>
      <c r="H164" s="56">
        <v>1</v>
      </c>
      <c r="I164" s="56"/>
      <c r="J164" s="56"/>
      <c r="K164" s="56"/>
      <c r="L164" s="56"/>
    </row>
    <row r="165" spans="1:12" s="115" customFormat="1" x14ac:dyDescent="0.15">
      <c r="A165" s="18">
        <f t="shared" si="2"/>
        <v>60170000</v>
      </c>
      <c r="B165" s="18"/>
      <c r="C165" s="20">
        <v>6</v>
      </c>
      <c r="D165" s="19">
        <v>0</v>
      </c>
      <c r="E165" s="20">
        <v>17</v>
      </c>
      <c r="F165" s="20">
        <v>0</v>
      </c>
      <c r="G165" s="19">
        <v>0</v>
      </c>
      <c r="H165" s="57">
        <v>1</v>
      </c>
      <c r="I165" s="57"/>
      <c r="J165" s="57"/>
      <c r="K165" s="57"/>
      <c r="L165" s="57"/>
    </row>
    <row r="166" spans="1:12" s="98" customFormat="1" x14ac:dyDescent="0.15">
      <c r="A166" s="11">
        <f t="shared" si="2"/>
        <v>60170000</v>
      </c>
      <c r="B166" s="11"/>
      <c r="C166" s="13">
        <v>6</v>
      </c>
      <c r="D166" s="12">
        <v>0</v>
      </c>
      <c r="E166" s="13">
        <v>17</v>
      </c>
      <c r="F166" s="13">
        <v>0</v>
      </c>
      <c r="G166" s="12">
        <v>0</v>
      </c>
      <c r="H166" s="56">
        <v>1</v>
      </c>
      <c r="I166" s="56"/>
      <c r="J166" s="56"/>
      <c r="K166" s="56"/>
      <c r="L166" s="56"/>
    </row>
    <row r="167" spans="1:12" s="98" customFormat="1" x14ac:dyDescent="0.15">
      <c r="A167" s="11">
        <f t="shared" si="2"/>
        <v>60170000</v>
      </c>
      <c r="B167" s="11"/>
      <c r="C167" s="13">
        <v>6</v>
      </c>
      <c r="D167" s="12">
        <v>0</v>
      </c>
      <c r="E167" s="13">
        <v>17</v>
      </c>
      <c r="F167" s="13">
        <v>0</v>
      </c>
      <c r="G167" s="12">
        <v>0</v>
      </c>
      <c r="H167" s="56">
        <v>1</v>
      </c>
      <c r="I167" s="56"/>
      <c r="J167" s="56"/>
      <c r="K167" s="56"/>
      <c r="L167" s="56"/>
    </row>
    <row r="168" spans="1:12" s="98" customFormat="1" x14ac:dyDescent="0.15">
      <c r="A168" s="11">
        <f t="shared" si="2"/>
        <v>60170000</v>
      </c>
      <c r="B168" s="11"/>
      <c r="C168" s="13">
        <v>6</v>
      </c>
      <c r="D168" s="12">
        <v>0</v>
      </c>
      <c r="E168" s="13">
        <v>17</v>
      </c>
      <c r="F168" s="13">
        <v>0</v>
      </c>
      <c r="G168" s="12">
        <v>0</v>
      </c>
      <c r="H168" s="56">
        <v>1</v>
      </c>
      <c r="I168" s="56"/>
      <c r="J168" s="56"/>
      <c r="K168" s="56"/>
      <c r="L168" s="56"/>
    </row>
    <row r="169" spans="1:12" s="98" customFormat="1" x14ac:dyDescent="0.15">
      <c r="A169" s="11">
        <f t="shared" si="2"/>
        <v>60170000</v>
      </c>
      <c r="B169" s="11"/>
      <c r="C169" s="13">
        <v>6</v>
      </c>
      <c r="D169" s="12">
        <v>0</v>
      </c>
      <c r="E169" s="13">
        <v>17</v>
      </c>
      <c r="F169" s="13">
        <v>0</v>
      </c>
      <c r="G169" s="12">
        <v>0</v>
      </c>
      <c r="H169" s="56">
        <v>1</v>
      </c>
      <c r="I169" s="56"/>
      <c r="J169" s="56"/>
      <c r="K169" s="56"/>
      <c r="L169" s="56"/>
    </row>
    <row r="170" spans="1:12" s="98" customFormat="1" x14ac:dyDescent="0.15">
      <c r="A170" s="11">
        <f t="shared" si="2"/>
        <v>60170000</v>
      </c>
      <c r="B170" s="11"/>
      <c r="C170" s="13">
        <v>6</v>
      </c>
      <c r="D170" s="12">
        <v>0</v>
      </c>
      <c r="E170" s="13">
        <v>17</v>
      </c>
      <c r="F170" s="13">
        <v>0</v>
      </c>
      <c r="G170" s="12">
        <v>0</v>
      </c>
      <c r="H170" s="56">
        <v>1</v>
      </c>
      <c r="I170" s="56"/>
      <c r="J170" s="56"/>
      <c r="K170" s="56"/>
      <c r="L170" s="56"/>
    </row>
    <row r="171" spans="1:12" s="98" customFormat="1" x14ac:dyDescent="0.15">
      <c r="A171" s="11">
        <f t="shared" si="2"/>
        <v>60170000</v>
      </c>
      <c r="B171" s="11"/>
      <c r="C171" s="13">
        <v>6</v>
      </c>
      <c r="D171" s="12">
        <v>0</v>
      </c>
      <c r="E171" s="13">
        <v>17</v>
      </c>
      <c r="F171" s="13">
        <v>0</v>
      </c>
      <c r="G171" s="12">
        <v>0</v>
      </c>
      <c r="H171" s="56">
        <v>1</v>
      </c>
      <c r="I171" s="56"/>
      <c r="J171" s="56"/>
      <c r="K171" s="56"/>
      <c r="L171" s="56"/>
    </row>
    <row r="172" spans="1:12" s="98" customFormat="1" x14ac:dyDescent="0.15">
      <c r="A172" s="11">
        <f t="shared" si="2"/>
        <v>60170000</v>
      </c>
      <c r="B172" s="11"/>
      <c r="C172" s="13">
        <v>6</v>
      </c>
      <c r="D172" s="12">
        <v>0</v>
      </c>
      <c r="E172" s="13">
        <v>17</v>
      </c>
      <c r="F172" s="13">
        <v>0</v>
      </c>
      <c r="G172" s="12">
        <v>0</v>
      </c>
      <c r="H172" s="56">
        <v>1</v>
      </c>
      <c r="I172" s="56"/>
      <c r="J172" s="56"/>
      <c r="K172" s="56"/>
      <c r="L172" s="56"/>
    </row>
    <row r="173" spans="1:12" s="98" customFormat="1" x14ac:dyDescent="0.15">
      <c r="A173" s="11">
        <f t="shared" si="2"/>
        <v>60170000</v>
      </c>
      <c r="B173" s="11"/>
      <c r="C173" s="13">
        <v>6</v>
      </c>
      <c r="D173" s="12">
        <v>0</v>
      </c>
      <c r="E173" s="13">
        <v>17</v>
      </c>
      <c r="F173" s="13">
        <v>0</v>
      </c>
      <c r="G173" s="12">
        <v>0</v>
      </c>
      <c r="H173" s="56">
        <v>1</v>
      </c>
      <c r="I173" s="56"/>
      <c r="J173" s="56"/>
      <c r="K173" s="56"/>
      <c r="L173" s="56"/>
    </row>
    <row r="174" spans="1:12" s="98" customFormat="1" ht="17.25" thickBot="1" x14ac:dyDescent="0.2">
      <c r="A174" s="11">
        <f t="shared" si="2"/>
        <v>60170000</v>
      </c>
      <c r="B174" s="11"/>
      <c r="C174" s="13">
        <v>6</v>
      </c>
      <c r="D174" s="12">
        <v>0</v>
      </c>
      <c r="E174" s="113">
        <v>17</v>
      </c>
      <c r="F174" s="113">
        <v>0</v>
      </c>
      <c r="G174" s="114">
        <v>0</v>
      </c>
      <c r="H174" s="56">
        <v>1</v>
      </c>
      <c r="I174" s="56"/>
      <c r="J174" s="56"/>
      <c r="K174" s="56"/>
      <c r="L174" s="56"/>
    </row>
    <row r="175" spans="1:12" s="115" customFormat="1" x14ac:dyDescent="0.15">
      <c r="A175" s="18">
        <f t="shared" si="2"/>
        <v>60180000</v>
      </c>
      <c r="B175" s="18"/>
      <c r="C175" s="20">
        <v>6</v>
      </c>
      <c r="D175" s="19">
        <v>0</v>
      </c>
      <c r="E175" s="20">
        <v>18</v>
      </c>
      <c r="F175" s="20">
        <v>0</v>
      </c>
      <c r="G175" s="19">
        <v>0</v>
      </c>
      <c r="H175" s="57">
        <v>1</v>
      </c>
      <c r="I175" s="57"/>
      <c r="J175" s="57"/>
      <c r="K175" s="57"/>
      <c r="L175" s="57"/>
    </row>
    <row r="176" spans="1:12" s="98" customFormat="1" x14ac:dyDescent="0.15">
      <c r="A176" s="11">
        <f t="shared" si="2"/>
        <v>60180000</v>
      </c>
      <c r="B176" s="11"/>
      <c r="C176" s="13">
        <v>6</v>
      </c>
      <c r="D176" s="12">
        <v>0</v>
      </c>
      <c r="E176" s="13">
        <v>18</v>
      </c>
      <c r="F176" s="13">
        <v>0</v>
      </c>
      <c r="G176" s="12">
        <v>0</v>
      </c>
      <c r="H176" s="56">
        <v>1</v>
      </c>
      <c r="I176" s="56"/>
      <c r="J176" s="56"/>
      <c r="K176" s="56"/>
      <c r="L176" s="56"/>
    </row>
    <row r="177" spans="1:12" s="98" customFormat="1" x14ac:dyDescent="0.15">
      <c r="A177" s="11">
        <f t="shared" si="2"/>
        <v>60180000</v>
      </c>
      <c r="B177" s="11"/>
      <c r="C177" s="13">
        <v>6</v>
      </c>
      <c r="D177" s="12">
        <v>0</v>
      </c>
      <c r="E177" s="13">
        <v>18</v>
      </c>
      <c r="F177" s="13">
        <v>0</v>
      </c>
      <c r="G177" s="12">
        <v>0</v>
      </c>
      <c r="H177" s="56">
        <v>1</v>
      </c>
      <c r="I177" s="56"/>
      <c r="J177" s="56"/>
      <c r="K177" s="56"/>
      <c r="L177" s="56"/>
    </row>
    <row r="178" spans="1:12" s="98" customFormat="1" x14ac:dyDescent="0.15">
      <c r="A178" s="11">
        <f t="shared" si="2"/>
        <v>60180000</v>
      </c>
      <c r="B178" s="11"/>
      <c r="C178" s="13">
        <v>6</v>
      </c>
      <c r="D178" s="12">
        <v>0</v>
      </c>
      <c r="E178" s="13">
        <v>18</v>
      </c>
      <c r="F178" s="13">
        <v>0</v>
      </c>
      <c r="G178" s="12">
        <v>0</v>
      </c>
      <c r="H178" s="56">
        <v>1</v>
      </c>
      <c r="I178" s="56"/>
      <c r="J178" s="56"/>
      <c r="K178" s="56"/>
      <c r="L178" s="56"/>
    </row>
    <row r="179" spans="1:12" s="98" customFormat="1" x14ac:dyDescent="0.15">
      <c r="A179" s="11">
        <f t="shared" si="2"/>
        <v>60180000</v>
      </c>
      <c r="B179" s="11"/>
      <c r="C179" s="13">
        <v>6</v>
      </c>
      <c r="D179" s="12">
        <v>0</v>
      </c>
      <c r="E179" s="13">
        <v>18</v>
      </c>
      <c r="F179" s="13">
        <v>0</v>
      </c>
      <c r="G179" s="12">
        <v>0</v>
      </c>
      <c r="H179" s="56">
        <v>1</v>
      </c>
      <c r="I179" s="56"/>
      <c r="J179" s="56"/>
      <c r="K179" s="56"/>
      <c r="L179" s="56"/>
    </row>
    <row r="180" spans="1:12" s="98" customFormat="1" x14ac:dyDescent="0.15">
      <c r="A180" s="11">
        <f t="shared" si="2"/>
        <v>60180000</v>
      </c>
      <c r="B180" s="11"/>
      <c r="C180" s="13">
        <v>6</v>
      </c>
      <c r="D180" s="12">
        <v>0</v>
      </c>
      <c r="E180" s="13">
        <v>18</v>
      </c>
      <c r="F180" s="13">
        <v>0</v>
      </c>
      <c r="G180" s="12">
        <v>0</v>
      </c>
      <c r="H180" s="56">
        <v>1</v>
      </c>
      <c r="I180" s="56"/>
      <c r="J180" s="56"/>
      <c r="K180" s="56"/>
      <c r="L180" s="56"/>
    </row>
    <row r="181" spans="1:12" s="98" customFormat="1" x14ac:dyDescent="0.15">
      <c r="A181" s="11">
        <f t="shared" si="2"/>
        <v>60180000</v>
      </c>
      <c r="B181" s="11"/>
      <c r="C181" s="13">
        <v>6</v>
      </c>
      <c r="D181" s="12">
        <v>0</v>
      </c>
      <c r="E181" s="13">
        <v>18</v>
      </c>
      <c r="F181" s="13">
        <v>0</v>
      </c>
      <c r="G181" s="12">
        <v>0</v>
      </c>
      <c r="H181" s="56">
        <v>1</v>
      </c>
      <c r="I181" s="56"/>
      <c r="J181" s="56"/>
      <c r="K181" s="56"/>
      <c r="L181" s="56"/>
    </row>
    <row r="182" spans="1:12" s="98" customFormat="1" x14ac:dyDescent="0.15">
      <c r="A182" s="11">
        <f t="shared" si="2"/>
        <v>60180000</v>
      </c>
      <c r="B182" s="11"/>
      <c r="C182" s="13">
        <v>6</v>
      </c>
      <c r="D182" s="12">
        <v>0</v>
      </c>
      <c r="E182" s="13">
        <v>18</v>
      </c>
      <c r="F182" s="13">
        <v>0</v>
      </c>
      <c r="G182" s="12">
        <v>0</v>
      </c>
      <c r="H182" s="56">
        <v>1</v>
      </c>
      <c r="I182" s="56"/>
      <c r="J182" s="56"/>
      <c r="K182" s="56"/>
      <c r="L182" s="56"/>
    </row>
    <row r="183" spans="1:12" s="98" customFormat="1" x14ac:dyDescent="0.15">
      <c r="A183" s="11">
        <f t="shared" si="2"/>
        <v>60180000</v>
      </c>
      <c r="B183" s="11"/>
      <c r="C183" s="13">
        <v>6</v>
      </c>
      <c r="D183" s="12">
        <v>0</v>
      </c>
      <c r="E183" s="13">
        <v>18</v>
      </c>
      <c r="F183" s="13">
        <v>0</v>
      </c>
      <c r="G183" s="12">
        <v>0</v>
      </c>
      <c r="H183" s="56">
        <v>1</v>
      </c>
      <c r="I183" s="56"/>
      <c r="J183" s="56"/>
      <c r="K183" s="56"/>
      <c r="L183" s="56"/>
    </row>
    <row r="184" spans="1:12" s="98" customFormat="1" ht="17.25" thickBot="1" x14ac:dyDescent="0.2">
      <c r="A184" s="11">
        <f t="shared" si="2"/>
        <v>60180000</v>
      </c>
      <c r="B184" s="11"/>
      <c r="C184" s="13">
        <v>6</v>
      </c>
      <c r="D184" s="12">
        <v>0</v>
      </c>
      <c r="E184" s="113">
        <v>18</v>
      </c>
      <c r="F184" s="113">
        <v>0</v>
      </c>
      <c r="G184" s="114">
        <v>0</v>
      </c>
      <c r="H184" s="56">
        <v>1</v>
      </c>
      <c r="I184" s="56"/>
      <c r="J184" s="56"/>
      <c r="K184" s="56"/>
      <c r="L184" s="56"/>
    </row>
    <row r="185" spans="1:12" s="115" customFormat="1" x14ac:dyDescent="0.15">
      <c r="A185" s="18">
        <f t="shared" si="2"/>
        <v>60190000</v>
      </c>
      <c r="B185" s="18"/>
      <c r="C185" s="20">
        <v>6</v>
      </c>
      <c r="D185" s="19">
        <v>0</v>
      </c>
      <c r="E185" s="20">
        <v>19</v>
      </c>
      <c r="F185" s="20">
        <v>0</v>
      </c>
      <c r="G185" s="19">
        <v>0</v>
      </c>
      <c r="H185" s="57">
        <v>1</v>
      </c>
      <c r="I185" s="57"/>
      <c r="J185" s="57"/>
      <c r="K185" s="57"/>
      <c r="L185" s="57"/>
    </row>
    <row r="186" spans="1:12" s="98" customFormat="1" x14ac:dyDescent="0.15">
      <c r="A186" s="11">
        <f t="shared" si="2"/>
        <v>60190000</v>
      </c>
      <c r="B186" s="11"/>
      <c r="C186" s="13">
        <v>6</v>
      </c>
      <c r="D186" s="12">
        <v>0</v>
      </c>
      <c r="E186" s="13">
        <v>19</v>
      </c>
      <c r="F186" s="13">
        <v>0</v>
      </c>
      <c r="G186" s="12">
        <v>0</v>
      </c>
      <c r="H186" s="56">
        <v>1</v>
      </c>
      <c r="I186" s="56"/>
      <c r="J186" s="56"/>
      <c r="K186" s="56"/>
      <c r="L186" s="56"/>
    </row>
    <row r="187" spans="1:12" s="98" customFormat="1" x14ac:dyDescent="0.15">
      <c r="A187" s="11">
        <f t="shared" si="2"/>
        <v>60190000</v>
      </c>
      <c r="B187" s="11"/>
      <c r="C187" s="13">
        <v>6</v>
      </c>
      <c r="D187" s="12">
        <v>0</v>
      </c>
      <c r="E187" s="13">
        <v>19</v>
      </c>
      <c r="F187" s="13">
        <v>0</v>
      </c>
      <c r="G187" s="12">
        <v>0</v>
      </c>
      <c r="H187" s="56">
        <v>1</v>
      </c>
      <c r="I187" s="56"/>
      <c r="J187" s="56"/>
      <c r="K187" s="56"/>
      <c r="L187" s="56"/>
    </row>
    <row r="188" spans="1:12" s="98" customFormat="1" x14ac:dyDescent="0.15">
      <c r="A188" s="11">
        <f t="shared" si="2"/>
        <v>60190000</v>
      </c>
      <c r="B188" s="11"/>
      <c r="C188" s="13">
        <v>6</v>
      </c>
      <c r="D188" s="12">
        <v>0</v>
      </c>
      <c r="E188" s="13">
        <v>19</v>
      </c>
      <c r="F188" s="13">
        <v>0</v>
      </c>
      <c r="G188" s="12">
        <v>0</v>
      </c>
      <c r="H188" s="56">
        <v>1</v>
      </c>
      <c r="I188" s="56"/>
      <c r="J188" s="56"/>
      <c r="K188" s="56"/>
      <c r="L188" s="56"/>
    </row>
    <row r="189" spans="1:12" s="98" customFormat="1" x14ac:dyDescent="0.15">
      <c r="A189" s="11">
        <f t="shared" si="2"/>
        <v>60190000</v>
      </c>
      <c r="B189" s="11"/>
      <c r="C189" s="13">
        <v>6</v>
      </c>
      <c r="D189" s="12">
        <v>0</v>
      </c>
      <c r="E189" s="13">
        <v>19</v>
      </c>
      <c r="F189" s="13">
        <v>0</v>
      </c>
      <c r="G189" s="12">
        <v>0</v>
      </c>
      <c r="H189" s="56">
        <v>1</v>
      </c>
      <c r="I189" s="56"/>
      <c r="J189" s="56"/>
      <c r="K189" s="56"/>
      <c r="L189" s="56"/>
    </row>
    <row r="190" spans="1:12" s="98" customFormat="1" x14ac:dyDescent="0.15">
      <c r="A190" s="11">
        <f t="shared" si="2"/>
        <v>60190000</v>
      </c>
      <c r="B190" s="11"/>
      <c r="C190" s="13">
        <v>6</v>
      </c>
      <c r="D190" s="12">
        <v>0</v>
      </c>
      <c r="E190" s="13">
        <v>19</v>
      </c>
      <c r="F190" s="13">
        <v>0</v>
      </c>
      <c r="G190" s="12">
        <v>0</v>
      </c>
      <c r="H190" s="56">
        <v>1</v>
      </c>
      <c r="I190" s="56"/>
      <c r="J190" s="56"/>
      <c r="K190" s="56"/>
      <c r="L190" s="56"/>
    </row>
    <row r="191" spans="1:12" s="98" customFormat="1" x14ac:dyDescent="0.15">
      <c r="A191" s="11">
        <f t="shared" si="2"/>
        <v>60190000</v>
      </c>
      <c r="B191" s="11"/>
      <c r="C191" s="13">
        <v>6</v>
      </c>
      <c r="D191" s="12">
        <v>0</v>
      </c>
      <c r="E191" s="13">
        <v>19</v>
      </c>
      <c r="F191" s="13">
        <v>0</v>
      </c>
      <c r="G191" s="12">
        <v>0</v>
      </c>
      <c r="H191" s="56">
        <v>1</v>
      </c>
      <c r="I191" s="56"/>
      <c r="J191" s="56"/>
      <c r="K191" s="56"/>
      <c r="L191" s="56"/>
    </row>
    <row r="192" spans="1:12" s="98" customFormat="1" x14ac:dyDescent="0.15">
      <c r="A192" s="11">
        <f t="shared" si="2"/>
        <v>60190000</v>
      </c>
      <c r="B192" s="11"/>
      <c r="C192" s="13">
        <v>6</v>
      </c>
      <c r="D192" s="12">
        <v>0</v>
      </c>
      <c r="E192" s="13">
        <v>19</v>
      </c>
      <c r="F192" s="13">
        <v>0</v>
      </c>
      <c r="G192" s="12">
        <v>0</v>
      </c>
      <c r="H192" s="56">
        <v>1</v>
      </c>
      <c r="I192" s="56"/>
      <c r="J192" s="56"/>
      <c r="K192" s="56"/>
      <c r="L192" s="56"/>
    </row>
    <row r="193" spans="1:12" s="98" customFormat="1" x14ac:dyDescent="0.15">
      <c r="A193" s="11">
        <f t="shared" si="2"/>
        <v>60190000</v>
      </c>
      <c r="B193" s="11"/>
      <c r="C193" s="13">
        <v>6</v>
      </c>
      <c r="D193" s="12">
        <v>0</v>
      </c>
      <c r="E193" s="13">
        <v>19</v>
      </c>
      <c r="F193" s="13">
        <v>0</v>
      </c>
      <c r="G193" s="12">
        <v>0</v>
      </c>
      <c r="H193" s="56">
        <v>1</v>
      </c>
      <c r="I193" s="56"/>
      <c r="J193" s="56"/>
      <c r="K193" s="56"/>
      <c r="L193" s="56"/>
    </row>
    <row r="194" spans="1:12" s="98" customFormat="1" ht="17.25" thickBot="1" x14ac:dyDescent="0.2">
      <c r="A194" s="11">
        <f t="shared" si="2"/>
        <v>60190000</v>
      </c>
      <c r="B194" s="11"/>
      <c r="C194" s="13">
        <v>6</v>
      </c>
      <c r="D194" s="12">
        <v>0</v>
      </c>
      <c r="E194" s="113">
        <v>19</v>
      </c>
      <c r="F194" s="113">
        <v>0</v>
      </c>
      <c r="G194" s="114">
        <v>0</v>
      </c>
      <c r="H194" s="56">
        <v>1</v>
      </c>
      <c r="I194" s="56"/>
      <c r="J194" s="56"/>
      <c r="K194" s="56"/>
      <c r="L194" s="56"/>
    </row>
    <row r="195" spans="1:12" s="115" customFormat="1" x14ac:dyDescent="0.15">
      <c r="A195" s="18">
        <f t="shared" si="2"/>
        <v>60200000</v>
      </c>
      <c r="B195" s="18"/>
      <c r="C195" s="20">
        <v>6</v>
      </c>
      <c r="D195" s="19">
        <v>0</v>
      </c>
      <c r="E195" s="20">
        <v>20</v>
      </c>
      <c r="F195" s="20">
        <v>0</v>
      </c>
      <c r="G195" s="19">
        <v>0</v>
      </c>
      <c r="H195" s="57">
        <v>1</v>
      </c>
      <c r="I195" s="57"/>
      <c r="J195" s="57"/>
      <c r="K195" s="57"/>
      <c r="L195" s="57"/>
    </row>
    <row r="196" spans="1:12" s="98" customFormat="1" x14ac:dyDescent="0.15">
      <c r="A196" s="11">
        <f t="shared" si="2"/>
        <v>60200000</v>
      </c>
      <c r="B196" s="11"/>
      <c r="C196" s="13">
        <v>6</v>
      </c>
      <c r="D196" s="12">
        <v>0</v>
      </c>
      <c r="E196" s="13">
        <v>20</v>
      </c>
      <c r="F196" s="13">
        <v>0</v>
      </c>
      <c r="G196" s="12">
        <v>0</v>
      </c>
      <c r="H196" s="56">
        <v>1</v>
      </c>
      <c r="I196" s="56"/>
      <c r="J196" s="56"/>
      <c r="K196" s="56"/>
      <c r="L196" s="56"/>
    </row>
    <row r="197" spans="1:12" s="98" customFormat="1" x14ac:dyDescent="0.15">
      <c r="A197" s="11">
        <f t="shared" si="2"/>
        <v>60200000</v>
      </c>
      <c r="B197" s="11"/>
      <c r="C197" s="13">
        <v>6</v>
      </c>
      <c r="D197" s="12">
        <v>0</v>
      </c>
      <c r="E197" s="13">
        <v>20</v>
      </c>
      <c r="F197" s="13">
        <v>0</v>
      </c>
      <c r="G197" s="12">
        <v>0</v>
      </c>
      <c r="H197" s="56">
        <v>1</v>
      </c>
      <c r="I197" s="56"/>
      <c r="J197" s="56"/>
      <c r="K197" s="56"/>
      <c r="L197" s="56"/>
    </row>
    <row r="198" spans="1:12" s="98" customFormat="1" x14ac:dyDescent="0.15">
      <c r="A198" s="11">
        <f t="shared" ref="A198:A204" si="3">C198*10000000+D198*1000000+E198*10000+F198*100+G198</f>
        <v>60200000</v>
      </c>
      <c r="B198" s="11"/>
      <c r="C198" s="13">
        <v>6</v>
      </c>
      <c r="D198" s="12">
        <v>0</v>
      </c>
      <c r="E198" s="13">
        <v>20</v>
      </c>
      <c r="F198" s="13">
        <v>0</v>
      </c>
      <c r="G198" s="12">
        <v>0</v>
      </c>
      <c r="H198" s="56">
        <v>1</v>
      </c>
      <c r="I198" s="56"/>
      <c r="J198" s="56"/>
      <c r="K198" s="56"/>
      <c r="L198" s="56"/>
    </row>
    <row r="199" spans="1:12" s="98" customFormat="1" x14ac:dyDescent="0.15">
      <c r="A199" s="11">
        <f t="shared" si="3"/>
        <v>60200000</v>
      </c>
      <c r="B199" s="11"/>
      <c r="C199" s="13">
        <v>6</v>
      </c>
      <c r="D199" s="12">
        <v>0</v>
      </c>
      <c r="E199" s="13">
        <v>20</v>
      </c>
      <c r="F199" s="13">
        <v>0</v>
      </c>
      <c r="G199" s="12">
        <v>0</v>
      </c>
      <c r="H199" s="56">
        <v>1</v>
      </c>
      <c r="I199" s="56"/>
      <c r="J199" s="56"/>
      <c r="K199" s="56"/>
      <c r="L199" s="56"/>
    </row>
    <row r="200" spans="1:12" s="98" customFormat="1" x14ac:dyDescent="0.15">
      <c r="A200" s="11">
        <f t="shared" si="3"/>
        <v>60200000</v>
      </c>
      <c r="B200" s="11"/>
      <c r="C200" s="13">
        <v>6</v>
      </c>
      <c r="D200" s="12">
        <v>0</v>
      </c>
      <c r="E200" s="13">
        <v>20</v>
      </c>
      <c r="F200" s="13">
        <v>0</v>
      </c>
      <c r="G200" s="12">
        <v>0</v>
      </c>
      <c r="H200" s="56">
        <v>1</v>
      </c>
      <c r="I200" s="56"/>
      <c r="J200" s="56"/>
      <c r="K200" s="56"/>
      <c r="L200" s="56"/>
    </row>
    <row r="201" spans="1:12" s="98" customFormat="1" x14ac:dyDescent="0.15">
      <c r="A201" s="11">
        <f t="shared" si="3"/>
        <v>60200000</v>
      </c>
      <c r="B201" s="11"/>
      <c r="C201" s="13">
        <v>6</v>
      </c>
      <c r="D201" s="12">
        <v>0</v>
      </c>
      <c r="E201" s="13">
        <v>20</v>
      </c>
      <c r="F201" s="13">
        <v>0</v>
      </c>
      <c r="G201" s="12">
        <v>0</v>
      </c>
      <c r="H201" s="56">
        <v>1</v>
      </c>
      <c r="I201" s="56"/>
      <c r="J201" s="56"/>
      <c r="K201" s="56"/>
      <c r="L201" s="56"/>
    </row>
    <row r="202" spans="1:12" s="98" customFormat="1" x14ac:dyDescent="0.15">
      <c r="A202" s="11">
        <f t="shared" si="3"/>
        <v>60200000</v>
      </c>
      <c r="B202" s="11"/>
      <c r="C202" s="13">
        <v>6</v>
      </c>
      <c r="D202" s="12">
        <v>0</v>
      </c>
      <c r="E202" s="13">
        <v>20</v>
      </c>
      <c r="F202" s="13">
        <v>0</v>
      </c>
      <c r="G202" s="12">
        <v>0</v>
      </c>
      <c r="H202" s="56">
        <v>1</v>
      </c>
      <c r="I202" s="56"/>
      <c r="J202" s="56"/>
      <c r="K202" s="56"/>
      <c r="L202" s="56"/>
    </row>
    <row r="203" spans="1:12" s="98" customFormat="1" x14ac:dyDescent="0.15">
      <c r="A203" s="11">
        <f t="shared" si="3"/>
        <v>60200000</v>
      </c>
      <c r="B203" s="11"/>
      <c r="C203" s="13">
        <v>6</v>
      </c>
      <c r="D203" s="12">
        <v>0</v>
      </c>
      <c r="E203" s="13">
        <v>20</v>
      </c>
      <c r="F203" s="13">
        <v>0</v>
      </c>
      <c r="G203" s="12">
        <v>0</v>
      </c>
      <c r="H203" s="56">
        <v>1</v>
      </c>
      <c r="I203" s="56"/>
      <c r="J203" s="56"/>
      <c r="K203" s="56"/>
      <c r="L203" s="56"/>
    </row>
    <row r="204" spans="1:12" s="98" customFormat="1" ht="17.25" thickBot="1" x14ac:dyDescent="0.2">
      <c r="A204" s="11">
        <f t="shared" si="3"/>
        <v>60200000</v>
      </c>
      <c r="B204" s="11"/>
      <c r="C204" s="13">
        <v>6</v>
      </c>
      <c r="D204" s="12">
        <v>0</v>
      </c>
      <c r="E204" s="113">
        <v>20</v>
      </c>
      <c r="F204" s="113">
        <v>0</v>
      </c>
      <c r="G204" s="114">
        <v>0</v>
      </c>
      <c r="H204" s="56">
        <v>1</v>
      </c>
      <c r="I204" s="56"/>
      <c r="J204" s="56"/>
      <c r="K204" s="56"/>
      <c r="L204" s="56"/>
    </row>
    <row r="205" spans="1:12" s="115" customFormat="1" x14ac:dyDescent="0.15">
      <c r="A205" s="18"/>
      <c r="B205" s="18"/>
      <c r="C205" s="20"/>
      <c r="D205" s="19"/>
      <c r="E205" s="20"/>
      <c r="F205" s="20"/>
      <c r="G205" s="19"/>
      <c r="H205" s="57"/>
      <c r="I205" s="57"/>
      <c r="J205" s="57"/>
      <c r="K205" s="57"/>
      <c r="L205" s="57"/>
    </row>
    <row r="206" spans="1:12" s="98" customFormat="1" x14ac:dyDescent="0.15">
      <c r="A206" s="11"/>
      <c r="B206" s="11"/>
      <c r="C206" s="13"/>
      <c r="D206" s="12"/>
      <c r="E206" s="13"/>
      <c r="F206" s="13"/>
      <c r="G206" s="12"/>
      <c r="H206" s="56"/>
      <c r="I206" s="56"/>
      <c r="J206" s="56"/>
      <c r="K206" s="56"/>
      <c r="L206" s="56"/>
    </row>
    <row r="207" spans="1:12" s="98" customFormat="1" x14ac:dyDescent="0.15">
      <c r="A207" s="11"/>
      <c r="B207" s="11"/>
      <c r="C207" s="13"/>
      <c r="D207" s="12"/>
      <c r="E207" s="13"/>
      <c r="F207" s="13"/>
      <c r="G207" s="12"/>
      <c r="H207" s="56"/>
      <c r="I207" s="56"/>
      <c r="J207" s="56"/>
      <c r="K207" s="56"/>
      <c r="L207" s="56"/>
    </row>
    <row r="208" spans="1:12" s="98" customFormat="1" x14ac:dyDescent="0.15">
      <c r="A208" s="11"/>
      <c r="B208" s="11"/>
      <c r="C208" s="13"/>
      <c r="D208" s="12"/>
      <c r="E208" s="13"/>
      <c r="F208" s="13"/>
      <c r="G208" s="12"/>
      <c r="H208" s="56"/>
      <c r="I208" s="56"/>
      <c r="J208" s="56"/>
      <c r="K208" s="56"/>
      <c r="L208" s="56"/>
    </row>
    <row r="209" spans="1:12" s="98" customFormat="1" x14ac:dyDescent="0.15">
      <c r="A209" s="11"/>
      <c r="B209" s="11"/>
      <c r="C209" s="13"/>
      <c r="D209" s="12"/>
      <c r="E209" s="13"/>
      <c r="F209" s="13"/>
      <c r="G209" s="12"/>
      <c r="H209" s="56"/>
      <c r="I209" s="56"/>
      <c r="J209" s="56"/>
      <c r="K209" s="56"/>
      <c r="L209" s="56"/>
    </row>
    <row r="210" spans="1:12" s="98" customFormat="1" x14ac:dyDescent="0.15">
      <c r="A210" s="11"/>
      <c r="B210" s="11"/>
      <c r="C210" s="13"/>
      <c r="D210" s="12"/>
      <c r="E210" s="13"/>
      <c r="F210" s="13"/>
      <c r="G210" s="12"/>
      <c r="H210" s="56"/>
      <c r="I210" s="56"/>
      <c r="J210" s="56"/>
      <c r="K210" s="56"/>
      <c r="L210" s="56"/>
    </row>
    <row r="211" spans="1:12" s="98" customFormat="1" x14ac:dyDescent="0.15">
      <c r="A211" s="11"/>
      <c r="B211" s="11"/>
      <c r="C211" s="13"/>
      <c r="D211" s="12"/>
      <c r="E211" s="13"/>
      <c r="F211" s="13"/>
      <c r="G211" s="12"/>
      <c r="H211" s="56"/>
      <c r="I211" s="56"/>
      <c r="J211" s="56"/>
      <c r="K211" s="56"/>
      <c r="L211" s="56"/>
    </row>
    <row r="212" spans="1:12" s="98" customFormat="1" x14ac:dyDescent="0.15">
      <c r="A212" s="11"/>
      <c r="B212" s="11"/>
      <c r="C212" s="13"/>
      <c r="D212" s="12"/>
      <c r="E212" s="13"/>
      <c r="F212" s="13"/>
      <c r="G212" s="12"/>
      <c r="H212" s="56"/>
      <c r="I212" s="56"/>
      <c r="J212" s="56"/>
      <c r="K212" s="56"/>
      <c r="L212" s="56"/>
    </row>
    <row r="213" spans="1:12" s="98" customFormat="1" x14ac:dyDescent="0.15">
      <c r="A213" s="11"/>
      <c r="B213" s="11"/>
      <c r="C213" s="13"/>
      <c r="D213" s="12"/>
      <c r="E213" s="13"/>
      <c r="F213" s="13"/>
      <c r="G213" s="12"/>
      <c r="H213" s="56"/>
      <c r="I213" s="56"/>
      <c r="J213" s="56"/>
      <c r="K213" s="56"/>
      <c r="L213" s="56"/>
    </row>
    <row r="214" spans="1:12" s="98" customFormat="1" x14ac:dyDescent="0.15">
      <c r="A214" s="11"/>
      <c r="B214" s="11"/>
      <c r="C214" s="13"/>
      <c r="D214" s="12"/>
      <c r="E214" s="13"/>
      <c r="F214" s="13"/>
      <c r="G214" s="12"/>
      <c r="H214" s="56"/>
      <c r="I214" s="56"/>
      <c r="J214" s="56"/>
      <c r="K214" s="56"/>
      <c r="L214" s="56"/>
    </row>
    <row r="215" spans="1:12" s="98" customFormat="1" x14ac:dyDescent="0.15">
      <c r="A215" s="11"/>
      <c r="B215" s="11"/>
      <c r="C215" s="13"/>
      <c r="D215" s="12"/>
      <c r="E215" s="13"/>
      <c r="F215" s="13"/>
      <c r="G215" s="12"/>
      <c r="H215" s="56"/>
      <c r="I215" s="56"/>
      <c r="J215" s="56"/>
      <c r="K215" s="56"/>
      <c r="L215" s="56"/>
    </row>
    <row r="216" spans="1:12" s="98" customFormat="1" x14ac:dyDescent="0.15">
      <c r="A216" s="11"/>
      <c r="B216" s="11"/>
      <c r="C216" s="13"/>
      <c r="D216" s="12"/>
      <c r="E216" s="13"/>
      <c r="F216" s="13"/>
      <c r="G216" s="12"/>
      <c r="H216" s="56"/>
      <c r="I216" s="56"/>
      <c r="J216" s="56"/>
      <c r="K216" s="56"/>
      <c r="L216" s="56"/>
    </row>
    <row r="217" spans="1:12" s="98" customFormat="1" x14ac:dyDescent="0.15">
      <c r="A217" s="11"/>
      <c r="B217" s="11"/>
      <c r="C217" s="13"/>
      <c r="D217" s="12"/>
      <c r="E217" s="13"/>
      <c r="F217" s="13"/>
      <c r="G217" s="12"/>
      <c r="H217" s="56"/>
      <c r="I217" s="56"/>
      <c r="J217" s="56"/>
      <c r="K217" s="56"/>
      <c r="L217" s="56"/>
    </row>
    <row r="218" spans="1:12" s="98" customFormat="1" x14ac:dyDescent="0.15">
      <c r="A218" s="11"/>
      <c r="B218" s="11"/>
      <c r="C218" s="13"/>
      <c r="D218" s="12"/>
      <c r="E218" s="13"/>
      <c r="F218" s="13"/>
      <c r="G218" s="12"/>
      <c r="H218" s="56"/>
      <c r="I218" s="56"/>
      <c r="J218" s="56"/>
      <c r="K218" s="56"/>
      <c r="L218" s="56"/>
    </row>
    <row r="219" spans="1:12" s="98" customFormat="1" x14ac:dyDescent="0.15">
      <c r="A219" s="11"/>
      <c r="B219" s="11"/>
      <c r="C219" s="13"/>
      <c r="D219" s="12"/>
      <c r="E219" s="13"/>
      <c r="F219" s="13"/>
      <c r="G219" s="12"/>
      <c r="H219" s="56"/>
      <c r="I219" s="56"/>
      <c r="J219" s="56"/>
      <c r="K219" s="56"/>
      <c r="L219" s="56"/>
    </row>
    <row r="220" spans="1:12" s="98" customFormat="1" x14ac:dyDescent="0.15">
      <c r="A220" s="11"/>
      <c r="B220" s="11"/>
      <c r="C220" s="13"/>
      <c r="D220" s="12"/>
      <c r="E220" s="13"/>
      <c r="F220" s="13"/>
      <c r="G220" s="12"/>
      <c r="H220" s="56"/>
      <c r="I220" s="56"/>
      <c r="J220" s="56"/>
      <c r="K220" s="56"/>
      <c r="L220" s="56"/>
    </row>
    <row r="221" spans="1:12" s="98" customFormat="1" x14ac:dyDescent="0.15">
      <c r="A221" s="11"/>
      <c r="B221" s="11"/>
      <c r="C221" s="13"/>
      <c r="D221" s="12"/>
      <c r="E221" s="13"/>
      <c r="F221" s="13"/>
      <c r="G221" s="12"/>
      <c r="H221" s="56"/>
      <c r="I221" s="56"/>
      <c r="J221" s="56"/>
      <c r="K221" s="56"/>
      <c r="L221" s="56"/>
    </row>
    <row r="222" spans="1:12" s="98" customFormat="1" x14ac:dyDescent="0.15">
      <c r="A222" s="11"/>
      <c r="B222" s="11"/>
      <c r="C222" s="13"/>
      <c r="D222" s="12"/>
      <c r="E222" s="13"/>
      <c r="F222" s="13"/>
      <c r="G222" s="12"/>
      <c r="H222" s="56"/>
      <c r="I222" s="56"/>
      <c r="J222" s="56"/>
      <c r="K222" s="56"/>
      <c r="L222" s="56"/>
    </row>
    <row r="223" spans="1:12" s="98" customFormat="1" x14ac:dyDescent="0.15">
      <c r="A223" s="11"/>
      <c r="B223" s="11"/>
      <c r="C223" s="13"/>
      <c r="D223" s="12"/>
      <c r="E223" s="13"/>
      <c r="F223" s="13"/>
      <c r="G223" s="12"/>
      <c r="H223" s="56"/>
      <c r="I223" s="56"/>
      <c r="J223" s="56"/>
      <c r="K223" s="56"/>
      <c r="L223" s="56"/>
    </row>
    <row r="224" spans="1:12" s="98" customFormat="1" x14ac:dyDescent="0.15">
      <c r="A224" s="11"/>
      <c r="B224" s="11"/>
      <c r="C224" s="13"/>
      <c r="D224" s="12"/>
      <c r="E224" s="13"/>
      <c r="F224" s="13"/>
      <c r="G224" s="12"/>
      <c r="H224" s="56"/>
      <c r="I224" s="56"/>
      <c r="J224" s="56"/>
      <c r="K224" s="56"/>
      <c r="L224" s="56"/>
    </row>
    <row r="225" spans="1:12" s="98" customFormat="1" x14ac:dyDescent="0.15">
      <c r="A225" s="11"/>
      <c r="B225" s="11"/>
      <c r="C225" s="13"/>
      <c r="D225" s="12"/>
      <c r="E225" s="13"/>
      <c r="F225" s="13"/>
      <c r="G225" s="12"/>
      <c r="H225" s="56"/>
      <c r="I225" s="56"/>
      <c r="J225" s="56"/>
      <c r="K225" s="56"/>
      <c r="L225" s="56"/>
    </row>
    <row r="226" spans="1:12" s="98" customFormat="1" x14ac:dyDescent="0.15">
      <c r="A226" s="11"/>
      <c r="B226" s="11"/>
      <c r="C226" s="13"/>
      <c r="D226" s="12"/>
      <c r="E226" s="13"/>
      <c r="F226" s="13"/>
      <c r="G226" s="12"/>
      <c r="H226" s="56"/>
      <c r="I226" s="56"/>
      <c r="J226" s="56"/>
      <c r="K226" s="56"/>
      <c r="L226" s="56"/>
    </row>
    <row r="227" spans="1:12" s="98" customFormat="1" x14ac:dyDescent="0.15">
      <c r="A227" s="11"/>
      <c r="B227" s="11"/>
      <c r="C227" s="13"/>
      <c r="D227" s="12"/>
      <c r="E227" s="13"/>
      <c r="F227" s="13"/>
      <c r="G227" s="12"/>
      <c r="H227" s="56"/>
      <c r="I227" s="56"/>
      <c r="J227" s="56"/>
      <c r="K227" s="56"/>
      <c r="L227" s="56"/>
    </row>
    <row r="228" spans="1:12" s="98" customFormat="1" x14ac:dyDescent="0.15">
      <c r="A228" s="11"/>
      <c r="B228" s="11"/>
      <c r="C228" s="13"/>
      <c r="D228" s="12"/>
      <c r="E228" s="13"/>
      <c r="F228" s="13"/>
      <c r="G228" s="12"/>
      <c r="H228" s="56"/>
      <c r="I228" s="56"/>
      <c r="J228" s="56"/>
      <c r="K228" s="56"/>
      <c r="L228" s="56"/>
    </row>
    <row r="229" spans="1:12" s="98" customFormat="1" x14ac:dyDescent="0.15">
      <c r="A229" s="11"/>
      <c r="B229" s="11"/>
      <c r="C229" s="13"/>
      <c r="D229" s="12"/>
      <c r="E229" s="13"/>
      <c r="F229" s="13"/>
      <c r="G229" s="12"/>
      <c r="H229" s="56"/>
      <c r="I229" s="56"/>
      <c r="J229" s="56"/>
      <c r="K229" s="56"/>
      <c r="L229" s="56"/>
    </row>
    <row r="230" spans="1:12" s="98" customFormat="1" x14ac:dyDescent="0.15">
      <c r="A230" s="11"/>
      <c r="B230" s="11"/>
      <c r="C230" s="13"/>
      <c r="D230" s="12"/>
      <c r="E230" s="13"/>
      <c r="F230" s="13"/>
      <c r="G230" s="12"/>
      <c r="H230" s="56"/>
      <c r="I230" s="56"/>
      <c r="J230" s="56"/>
      <c r="K230" s="56"/>
      <c r="L230" s="56"/>
    </row>
    <row r="231" spans="1:12" s="98" customFormat="1" x14ac:dyDescent="0.15">
      <c r="A231" s="11"/>
      <c r="B231" s="11"/>
      <c r="C231" s="13"/>
      <c r="D231" s="12"/>
      <c r="E231" s="13"/>
      <c r="F231" s="13"/>
      <c r="G231" s="12"/>
      <c r="H231" s="56"/>
      <c r="I231" s="56"/>
      <c r="J231" s="56"/>
      <c r="K231" s="56"/>
      <c r="L231" s="56"/>
    </row>
    <row r="232" spans="1:12" s="98" customFormat="1" x14ac:dyDescent="0.15">
      <c r="A232" s="11"/>
      <c r="B232" s="11"/>
      <c r="C232" s="13"/>
      <c r="D232" s="12"/>
      <c r="E232" s="13"/>
      <c r="F232" s="13"/>
      <c r="G232" s="12"/>
      <c r="H232" s="56"/>
      <c r="I232" s="56"/>
      <c r="J232" s="56"/>
      <c r="K232" s="56"/>
      <c r="L232" s="56"/>
    </row>
    <row r="233" spans="1:12" s="98" customFormat="1" x14ac:dyDescent="0.15">
      <c r="A233" s="11"/>
      <c r="B233" s="11"/>
      <c r="C233" s="13"/>
      <c r="D233" s="12"/>
      <c r="E233" s="13"/>
      <c r="F233" s="13"/>
      <c r="G233" s="12"/>
      <c r="H233" s="56"/>
      <c r="I233" s="56"/>
      <c r="J233" s="56"/>
      <c r="K233" s="56"/>
      <c r="L233" s="56"/>
    </row>
    <row r="234" spans="1:12" s="98" customFormat="1" x14ac:dyDescent="0.15">
      <c r="A234" s="11"/>
      <c r="B234" s="11"/>
      <c r="C234" s="13"/>
      <c r="D234" s="12"/>
      <c r="E234" s="13"/>
      <c r="F234" s="13"/>
      <c r="G234" s="12"/>
      <c r="H234" s="56"/>
      <c r="I234" s="56"/>
      <c r="J234" s="56"/>
      <c r="K234" s="56"/>
      <c r="L234" s="56"/>
    </row>
    <row r="235" spans="1:12" s="98" customFormat="1" x14ac:dyDescent="0.15">
      <c r="A235" s="11"/>
      <c r="B235" s="11"/>
      <c r="C235" s="13"/>
      <c r="D235" s="12"/>
      <c r="E235" s="13"/>
      <c r="F235" s="13"/>
      <c r="G235" s="12"/>
      <c r="H235" s="56"/>
      <c r="I235" s="56"/>
      <c r="J235" s="56"/>
      <c r="K235" s="56"/>
      <c r="L235" s="56"/>
    </row>
    <row r="236" spans="1:12" s="98" customFormat="1" x14ac:dyDescent="0.15">
      <c r="A236" s="11"/>
      <c r="B236" s="11"/>
      <c r="C236" s="13"/>
      <c r="D236" s="12"/>
      <c r="E236" s="13"/>
      <c r="F236" s="13"/>
      <c r="G236" s="12"/>
      <c r="H236" s="56"/>
      <c r="I236" s="56"/>
      <c r="J236" s="56"/>
      <c r="K236" s="56"/>
      <c r="L236" s="56"/>
    </row>
    <row r="237" spans="1:12" s="98" customFormat="1" x14ac:dyDescent="0.15">
      <c r="A237" s="11"/>
      <c r="B237" s="11"/>
      <c r="C237" s="13"/>
      <c r="D237" s="12"/>
      <c r="E237" s="13"/>
      <c r="F237" s="13"/>
      <c r="G237" s="12"/>
      <c r="H237" s="56"/>
      <c r="I237" s="56"/>
      <c r="J237" s="56"/>
      <c r="K237" s="56"/>
      <c r="L237" s="56"/>
    </row>
    <row r="238" spans="1:12" s="98" customFormat="1" x14ac:dyDescent="0.15">
      <c r="A238" s="11"/>
      <c r="B238" s="11"/>
      <c r="C238" s="13"/>
      <c r="D238" s="12"/>
      <c r="E238" s="13"/>
      <c r="F238" s="13"/>
      <c r="G238" s="12"/>
      <c r="H238" s="56"/>
      <c r="I238" s="56"/>
      <c r="J238" s="56"/>
      <c r="K238" s="56"/>
      <c r="L238" s="56"/>
    </row>
    <row r="239" spans="1:12" s="98" customFormat="1" x14ac:dyDescent="0.15">
      <c r="A239" s="11"/>
      <c r="B239" s="11"/>
      <c r="C239" s="13"/>
      <c r="D239" s="12"/>
      <c r="E239" s="13"/>
      <c r="F239" s="13"/>
      <c r="G239" s="12"/>
      <c r="H239" s="56"/>
      <c r="I239" s="56"/>
      <c r="J239" s="56"/>
      <c r="K239" s="56"/>
      <c r="L239" s="56"/>
    </row>
    <row r="240" spans="1:12" s="98" customFormat="1" x14ac:dyDescent="0.15">
      <c r="A240" s="11"/>
      <c r="B240" s="11"/>
      <c r="C240" s="13"/>
      <c r="D240" s="12"/>
      <c r="E240" s="13"/>
      <c r="F240" s="13"/>
      <c r="G240" s="12"/>
      <c r="H240" s="56"/>
      <c r="I240" s="56"/>
      <c r="J240" s="56"/>
      <c r="K240" s="56"/>
      <c r="L240" s="56"/>
    </row>
    <row r="241" spans="1:12" s="98" customFormat="1" x14ac:dyDescent="0.15">
      <c r="A241" s="11"/>
      <c r="B241" s="11"/>
      <c r="C241" s="13"/>
      <c r="D241" s="12"/>
      <c r="E241" s="13"/>
      <c r="F241" s="13"/>
      <c r="G241" s="12"/>
      <c r="H241" s="56"/>
      <c r="I241" s="56"/>
      <c r="J241" s="56"/>
      <c r="K241" s="56"/>
      <c r="L241" s="56"/>
    </row>
    <row r="242" spans="1:12" s="98" customFormat="1" x14ac:dyDescent="0.15">
      <c r="A242" s="11"/>
      <c r="B242" s="11"/>
      <c r="C242" s="13"/>
      <c r="D242" s="12"/>
      <c r="E242" s="13"/>
      <c r="F242" s="13"/>
      <c r="G242" s="12"/>
      <c r="H242" s="56"/>
      <c r="I242" s="56"/>
      <c r="J242" s="56"/>
      <c r="K242" s="56"/>
      <c r="L242" s="56"/>
    </row>
    <row r="243" spans="1:12" s="98" customFormat="1" x14ac:dyDescent="0.15">
      <c r="A243" s="11"/>
      <c r="B243" s="11"/>
      <c r="C243" s="13"/>
      <c r="D243" s="12"/>
      <c r="E243" s="13"/>
      <c r="F243" s="13"/>
      <c r="G243" s="12"/>
      <c r="H243" s="56"/>
      <c r="I243" s="56"/>
      <c r="J243" s="56"/>
      <c r="K243" s="56"/>
      <c r="L243" s="56"/>
    </row>
    <row r="244" spans="1:12" s="98" customFormat="1" x14ac:dyDescent="0.15">
      <c r="A244" s="11"/>
      <c r="B244" s="11"/>
      <c r="C244" s="13"/>
      <c r="D244" s="12"/>
      <c r="E244" s="13"/>
      <c r="F244" s="13"/>
      <c r="G244" s="12"/>
      <c r="H244" s="56"/>
      <c r="I244" s="56"/>
      <c r="J244" s="56"/>
      <c r="K244" s="56"/>
      <c r="L244" s="56"/>
    </row>
    <row r="245" spans="1:12" s="98" customFormat="1" x14ac:dyDescent="0.15">
      <c r="A245" s="11"/>
      <c r="B245" s="11"/>
      <c r="C245" s="13"/>
      <c r="D245" s="12"/>
      <c r="E245" s="13"/>
      <c r="F245" s="13"/>
      <c r="G245" s="12"/>
      <c r="H245" s="56"/>
      <c r="I245" s="56"/>
      <c r="J245" s="56"/>
      <c r="K245" s="56"/>
      <c r="L245" s="56"/>
    </row>
    <row r="246" spans="1:12" s="98" customFormat="1" x14ac:dyDescent="0.15">
      <c r="A246" s="11"/>
      <c r="B246" s="11"/>
      <c r="C246" s="13"/>
      <c r="D246" s="12"/>
      <c r="E246" s="13"/>
      <c r="F246" s="13"/>
      <c r="G246" s="12"/>
      <c r="H246" s="56"/>
      <c r="I246" s="56"/>
      <c r="J246" s="56"/>
      <c r="K246" s="56"/>
      <c r="L246" s="56"/>
    </row>
    <row r="247" spans="1:12" s="98" customFormat="1" x14ac:dyDescent="0.15">
      <c r="A247" s="11"/>
      <c r="B247" s="11"/>
      <c r="C247" s="13"/>
      <c r="D247" s="12"/>
      <c r="E247" s="13"/>
      <c r="F247" s="13"/>
      <c r="G247" s="12"/>
      <c r="H247" s="56"/>
      <c r="I247" s="56"/>
      <c r="J247" s="56"/>
      <c r="K247" s="56"/>
      <c r="L247" s="56"/>
    </row>
    <row r="248" spans="1:12" s="98" customFormat="1" x14ac:dyDescent="0.15">
      <c r="A248" s="11"/>
      <c r="B248" s="11"/>
      <c r="C248" s="13"/>
      <c r="D248" s="12"/>
      <c r="E248" s="13"/>
      <c r="F248" s="13"/>
      <c r="G248" s="12"/>
      <c r="H248" s="56"/>
      <c r="I248" s="56"/>
      <c r="J248" s="56"/>
      <c r="K248" s="56"/>
      <c r="L248" s="56"/>
    </row>
    <row r="249" spans="1:12" s="98" customFormat="1" x14ac:dyDescent="0.15">
      <c r="A249" s="11"/>
      <c r="B249" s="11"/>
      <c r="C249" s="13"/>
      <c r="D249" s="12"/>
      <c r="E249" s="13"/>
      <c r="F249" s="13"/>
      <c r="G249" s="12"/>
      <c r="H249" s="56"/>
      <c r="I249" s="56"/>
      <c r="J249" s="56"/>
      <c r="K249" s="56"/>
      <c r="L249" s="56"/>
    </row>
    <row r="250" spans="1:12" s="98" customFormat="1" x14ac:dyDescent="0.15">
      <c r="A250" s="11"/>
      <c r="B250" s="11"/>
      <c r="C250" s="13"/>
      <c r="D250" s="12"/>
      <c r="E250" s="13"/>
      <c r="F250" s="13"/>
      <c r="G250" s="12"/>
      <c r="H250" s="56"/>
      <c r="I250" s="56"/>
      <c r="J250" s="56"/>
      <c r="K250" s="56"/>
      <c r="L250" s="56"/>
    </row>
    <row r="251" spans="1:12" s="98" customFormat="1" x14ac:dyDescent="0.15">
      <c r="A251" s="11"/>
      <c r="B251" s="11"/>
      <c r="C251" s="13"/>
      <c r="D251" s="12"/>
      <c r="E251" s="13"/>
      <c r="F251" s="13"/>
      <c r="G251" s="12"/>
      <c r="H251" s="56"/>
      <c r="I251" s="56"/>
      <c r="J251" s="56"/>
      <c r="K251" s="56"/>
      <c r="L251" s="56"/>
    </row>
    <row r="252" spans="1:12" s="98" customFormat="1" x14ac:dyDescent="0.15">
      <c r="A252" s="11"/>
      <c r="B252" s="11"/>
      <c r="C252" s="13"/>
      <c r="D252" s="12"/>
      <c r="E252" s="13"/>
      <c r="F252" s="13"/>
      <c r="G252" s="12"/>
      <c r="H252" s="56"/>
      <c r="I252" s="56"/>
      <c r="J252" s="56"/>
      <c r="K252" s="56"/>
      <c r="L252" s="56"/>
    </row>
    <row r="253" spans="1:12" s="98" customFormat="1" x14ac:dyDescent="0.15">
      <c r="A253" s="11"/>
      <c r="B253" s="11"/>
      <c r="C253" s="13"/>
      <c r="D253" s="12"/>
      <c r="E253" s="13"/>
      <c r="F253" s="13"/>
      <c r="G253" s="12"/>
      <c r="H253" s="56"/>
      <c r="I253" s="56"/>
      <c r="J253" s="56"/>
      <c r="K253" s="56"/>
      <c r="L253" s="56"/>
    </row>
    <row r="254" spans="1:12" s="98" customFormat="1" x14ac:dyDescent="0.15">
      <c r="A254" s="11"/>
      <c r="B254" s="11"/>
      <c r="C254" s="13"/>
      <c r="D254" s="12"/>
      <c r="E254" s="13"/>
      <c r="F254" s="13"/>
      <c r="G254" s="12"/>
      <c r="H254" s="56"/>
      <c r="I254" s="56"/>
      <c r="J254" s="56"/>
      <c r="K254" s="56"/>
      <c r="L254" s="56"/>
    </row>
    <row r="255" spans="1:12" s="98" customFormat="1" x14ac:dyDescent="0.15">
      <c r="A255" s="11"/>
      <c r="B255" s="11"/>
      <c r="C255" s="13"/>
      <c r="D255" s="12"/>
      <c r="E255" s="13"/>
      <c r="F255" s="13"/>
      <c r="G255" s="12"/>
      <c r="H255" s="56"/>
      <c r="I255" s="56"/>
      <c r="J255" s="56"/>
      <c r="K255" s="56"/>
      <c r="L255" s="56"/>
    </row>
    <row r="256" spans="1:12" s="98" customFormat="1" x14ac:dyDescent="0.15">
      <c r="A256" s="11"/>
      <c r="B256" s="11"/>
      <c r="C256" s="13"/>
      <c r="D256" s="12"/>
      <c r="E256" s="13"/>
      <c r="F256" s="13"/>
      <c r="G256" s="12"/>
      <c r="H256" s="56"/>
      <c r="I256" s="56"/>
      <c r="J256" s="56"/>
      <c r="K256" s="56"/>
      <c r="L256" s="56"/>
    </row>
    <row r="257" spans="1:12" s="98" customFormat="1" x14ac:dyDescent="0.15">
      <c r="A257" s="11"/>
      <c r="B257" s="11"/>
      <c r="C257" s="13"/>
      <c r="D257" s="12"/>
      <c r="E257" s="13"/>
      <c r="F257" s="13"/>
      <c r="G257" s="12"/>
      <c r="H257" s="56"/>
      <c r="I257" s="56"/>
      <c r="J257" s="56"/>
      <c r="K257" s="56"/>
      <c r="L257" s="56"/>
    </row>
    <row r="258" spans="1:12" s="98" customFormat="1" x14ac:dyDescent="0.15">
      <c r="A258" s="11"/>
      <c r="B258" s="11"/>
      <c r="C258" s="13"/>
      <c r="D258" s="12"/>
      <c r="E258" s="13"/>
      <c r="F258" s="13"/>
      <c r="G258" s="12"/>
      <c r="H258" s="56"/>
      <c r="I258" s="56"/>
      <c r="J258" s="56"/>
      <c r="K258" s="56"/>
      <c r="L258" s="56"/>
    </row>
    <row r="259" spans="1:12" s="98" customFormat="1" x14ac:dyDescent="0.15">
      <c r="A259" s="11"/>
      <c r="B259" s="11"/>
      <c r="C259" s="13"/>
      <c r="D259" s="12"/>
      <c r="E259" s="13"/>
      <c r="F259" s="13"/>
      <c r="G259" s="12"/>
      <c r="H259" s="56"/>
      <c r="I259" s="56"/>
      <c r="J259" s="56"/>
      <c r="K259" s="56"/>
      <c r="L259" s="56"/>
    </row>
    <row r="260" spans="1:12" s="98" customFormat="1" x14ac:dyDescent="0.15">
      <c r="A260" s="11"/>
      <c r="B260" s="11"/>
      <c r="C260" s="13"/>
      <c r="D260" s="12"/>
      <c r="E260" s="13"/>
      <c r="F260" s="13"/>
      <c r="G260" s="12"/>
      <c r="H260" s="56"/>
      <c r="I260" s="56"/>
      <c r="J260" s="56"/>
      <c r="K260" s="56"/>
      <c r="L260" s="56"/>
    </row>
    <row r="261" spans="1:12" s="98" customFormat="1" x14ac:dyDescent="0.15">
      <c r="A261" s="11"/>
      <c r="B261" s="11"/>
      <c r="C261" s="13"/>
      <c r="D261" s="12"/>
      <c r="E261" s="13"/>
      <c r="F261" s="13"/>
      <c r="G261" s="12"/>
      <c r="H261" s="56"/>
      <c r="I261" s="56"/>
      <c r="J261" s="56"/>
      <c r="K261" s="56"/>
      <c r="L261" s="56"/>
    </row>
    <row r="262" spans="1:12" s="98" customFormat="1" x14ac:dyDescent="0.15">
      <c r="A262" s="11"/>
      <c r="B262" s="11"/>
      <c r="C262" s="13"/>
      <c r="D262" s="12"/>
      <c r="E262" s="13"/>
      <c r="F262" s="13"/>
      <c r="G262" s="12"/>
      <c r="H262" s="56"/>
      <c r="I262" s="56"/>
      <c r="J262" s="56"/>
      <c r="K262" s="56"/>
      <c r="L262" s="56"/>
    </row>
    <row r="263" spans="1:12" s="98" customFormat="1" x14ac:dyDescent="0.15">
      <c r="A263" s="11"/>
      <c r="B263" s="11"/>
      <c r="C263" s="13"/>
      <c r="D263" s="12"/>
      <c r="E263" s="13"/>
      <c r="F263" s="13"/>
      <c r="G263" s="12"/>
      <c r="H263" s="56"/>
      <c r="I263" s="56"/>
      <c r="J263" s="56"/>
      <c r="K263" s="56"/>
      <c r="L263" s="56"/>
    </row>
    <row r="264" spans="1:12" s="98" customFormat="1" x14ac:dyDescent="0.15">
      <c r="A264" s="11"/>
      <c r="B264" s="11"/>
      <c r="C264" s="13"/>
      <c r="D264" s="12"/>
      <c r="E264" s="13"/>
      <c r="F264" s="13"/>
      <c r="G264" s="12"/>
      <c r="H264" s="56"/>
      <c r="I264" s="56"/>
      <c r="J264" s="56"/>
      <c r="K264" s="56"/>
      <c r="L264" s="56"/>
    </row>
    <row r="265" spans="1:12" s="98" customFormat="1" x14ac:dyDescent="0.15">
      <c r="A265" s="11"/>
      <c r="B265" s="11"/>
      <c r="C265" s="13"/>
      <c r="D265" s="12"/>
      <c r="E265" s="13"/>
      <c r="F265" s="13"/>
      <c r="G265" s="12"/>
      <c r="H265" s="56"/>
      <c r="I265" s="56"/>
      <c r="J265" s="56"/>
      <c r="K265" s="56"/>
      <c r="L265" s="56"/>
    </row>
    <row r="266" spans="1:12" s="98" customFormat="1" x14ac:dyDescent="0.15">
      <c r="A266" s="11"/>
      <c r="B266" s="11"/>
      <c r="C266" s="13"/>
      <c r="D266" s="12"/>
      <c r="E266" s="13"/>
      <c r="F266" s="13"/>
      <c r="G266" s="12"/>
      <c r="H266" s="56"/>
      <c r="I266" s="56"/>
      <c r="J266" s="56"/>
      <c r="K266" s="56"/>
      <c r="L266" s="56"/>
    </row>
    <row r="267" spans="1:12" s="98" customFormat="1" x14ac:dyDescent="0.15">
      <c r="A267" s="11"/>
      <c r="B267" s="11"/>
      <c r="C267" s="13"/>
      <c r="D267" s="12"/>
      <c r="E267" s="13"/>
      <c r="F267" s="13"/>
      <c r="G267" s="12"/>
      <c r="H267" s="56"/>
      <c r="I267" s="56"/>
      <c r="J267" s="56"/>
      <c r="K267" s="56"/>
      <c r="L267" s="56"/>
    </row>
    <row r="268" spans="1:12" s="98" customFormat="1" x14ac:dyDescent="0.15">
      <c r="A268" s="11"/>
      <c r="B268" s="11"/>
      <c r="C268" s="13"/>
      <c r="D268" s="12"/>
      <c r="E268" s="13"/>
      <c r="F268" s="13"/>
      <c r="G268" s="12"/>
      <c r="H268" s="56"/>
      <c r="I268" s="56"/>
      <c r="J268" s="56"/>
      <c r="K268" s="56"/>
      <c r="L268" s="56"/>
    </row>
    <row r="269" spans="1:12" s="98" customFormat="1" x14ac:dyDescent="0.15">
      <c r="A269" s="11"/>
      <c r="B269" s="11"/>
      <c r="C269" s="13"/>
      <c r="D269" s="12"/>
      <c r="E269" s="13"/>
      <c r="F269" s="13"/>
      <c r="G269" s="12"/>
      <c r="H269" s="56"/>
      <c r="I269" s="56"/>
      <c r="J269" s="56"/>
      <c r="K269" s="56"/>
      <c r="L269" s="56"/>
    </row>
    <row r="270" spans="1:12" s="98" customFormat="1" x14ac:dyDescent="0.15">
      <c r="A270" s="11"/>
      <c r="B270" s="11"/>
      <c r="C270" s="13"/>
      <c r="D270" s="12"/>
      <c r="E270" s="13"/>
      <c r="F270" s="13"/>
      <c r="G270" s="12"/>
      <c r="H270" s="56"/>
      <c r="I270" s="56"/>
      <c r="J270" s="56"/>
      <c r="K270" s="56"/>
      <c r="L270" s="56"/>
    </row>
    <row r="271" spans="1:12" s="98" customFormat="1" x14ac:dyDescent="0.15">
      <c r="A271" s="11"/>
      <c r="B271" s="11"/>
      <c r="C271" s="13"/>
      <c r="D271" s="12"/>
      <c r="E271" s="13"/>
      <c r="F271" s="13"/>
      <c r="G271" s="12"/>
      <c r="H271" s="56"/>
      <c r="I271" s="56"/>
      <c r="J271" s="56"/>
      <c r="K271" s="56"/>
      <c r="L271" s="56"/>
    </row>
    <row r="272" spans="1:12" s="98" customFormat="1" x14ac:dyDescent="0.15">
      <c r="A272" s="11"/>
      <c r="B272" s="11"/>
      <c r="C272" s="13"/>
      <c r="D272" s="12"/>
      <c r="E272" s="13"/>
      <c r="F272" s="13"/>
      <c r="G272" s="12"/>
      <c r="H272" s="56"/>
      <c r="I272" s="56"/>
      <c r="J272" s="56"/>
      <c r="K272" s="56"/>
      <c r="L272" s="56"/>
    </row>
    <row r="273" spans="1:12" s="98" customFormat="1" x14ac:dyDescent="0.15">
      <c r="A273" s="11"/>
      <c r="B273" s="11"/>
      <c r="C273" s="13"/>
      <c r="D273" s="12"/>
      <c r="E273" s="13"/>
      <c r="F273" s="13"/>
      <c r="G273" s="12"/>
      <c r="H273" s="56"/>
      <c r="I273" s="56"/>
      <c r="J273" s="56"/>
      <c r="K273" s="56"/>
      <c r="L273" s="56"/>
    </row>
    <row r="274" spans="1:12" s="98" customFormat="1" x14ac:dyDescent="0.15">
      <c r="A274" s="11"/>
      <c r="B274" s="11"/>
      <c r="C274" s="13"/>
      <c r="D274" s="12"/>
      <c r="E274" s="13"/>
      <c r="F274" s="13"/>
      <c r="G274" s="12"/>
      <c r="H274" s="56"/>
      <c r="I274" s="56"/>
      <c r="J274" s="56"/>
      <c r="K274" s="56"/>
      <c r="L274" s="56"/>
    </row>
    <row r="275" spans="1:12" s="98" customFormat="1" x14ac:dyDescent="0.15">
      <c r="A275" s="11"/>
      <c r="B275" s="11"/>
      <c r="C275" s="13"/>
      <c r="D275" s="12"/>
      <c r="E275" s="13"/>
      <c r="F275" s="13"/>
      <c r="G275" s="12"/>
      <c r="H275" s="56"/>
      <c r="I275" s="56"/>
      <c r="J275" s="56"/>
      <c r="K275" s="56"/>
      <c r="L275" s="56"/>
    </row>
    <row r="276" spans="1:12" s="98" customFormat="1" x14ac:dyDescent="0.15">
      <c r="A276" s="11"/>
      <c r="B276" s="11"/>
      <c r="C276" s="13"/>
      <c r="D276" s="12"/>
      <c r="E276" s="13"/>
      <c r="F276" s="13"/>
      <c r="G276" s="12"/>
      <c r="H276" s="56"/>
      <c r="I276" s="56"/>
      <c r="J276" s="56"/>
      <c r="K276" s="56"/>
      <c r="L276" s="56"/>
    </row>
    <row r="277" spans="1:12" s="98" customFormat="1" x14ac:dyDescent="0.15">
      <c r="A277" s="11"/>
      <c r="B277" s="11"/>
      <c r="C277" s="13"/>
      <c r="D277" s="12"/>
      <c r="E277" s="13"/>
      <c r="F277" s="13"/>
      <c r="G277" s="12"/>
      <c r="H277" s="56"/>
      <c r="I277" s="56"/>
      <c r="J277" s="56"/>
      <c r="K277" s="56"/>
      <c r="L277" s="56"/>
    </row>
    <row r="278" spans="1:12" s="98" customFormat="1" x14ac:dyDescent="0.15">
      <c r="A278" s="11"/>
      <c r="B278" s="11"/>
      <c r="C278" s="13"/>
      <c r="D278" s="12"/>
      <c r="E278" s="13"/>
      <c r="F278" s="13"/>
      <c r="G278" s="12"/>
      <c r="H278" s="56"/>
      <c r="I278" s="56"/>
      <c r="J278" s="56"/>
      <c r="K278" s="56"/>
      <c r="L278" s="56"/>
    </row>
    <row r="279" spans="1:12" s="98" customFormat="1" x14ac:dyDescent="0.15">
      <c r="A279" s="11"/>
      <c r="B279" s="11"/>
      <c r="C279" s="13"/>
      <c r="D279" s="12"/>
      <c r="E279" s="13"/>
      <c r="F279" s="13"/>
      <c r="G279" s="12"/>
      <c r="H279" s="56"/>
      <c r="I279" s="56"/>
      <c r="J279" s="56"/>
      <c r="K279" s="56"/>
      <c r="L279" s="56"/>
    </row>
    <row r="280" spans="1:12" s="98" customFormat="1" x14ac:dyDescent="0.15">
      <c r="A280" s="11"/>
      <c r="B280" s="11"/>
      <c r="C280" s="13"/>
      <c r="D280" s="12"/>
      <c r="E280" s="13"/>
      <c r="F280" s="13"/>
      <c r="G280" s="12"/>
      <c r="H280" s="56"/>
      <c r="I280" s="56"/>
      <c r="J280" s="56"/>
      <c r="K280" s="56"/>
      <c r="L280" s="56"/>
    </row>
    <row r="281" spans="1:12" s="98" customFormat="1" x14ac:dyDescent="0.15">
      <c r="A281" s="11"/>
      <c r="B281" s="11"/>
      <c r="C281" s="13"/>
      <c r="D281" s="12"/>
      <c r="E281" s="13"/>
      <c r="F281" s="13"/>
      <c r="G281" s="12"/>
      <c r="H281" s="56"/>
      <c r="I281" s="56"/>
      <c r="J281" s="56"/>
      <c r="K281" s="56"/>
      <c r="L281" s="56"/>
    </row>
    <row r="282" spans="1:12" s="98" customFormat="1" x14ac:dyDescent="0.15">
      <c r="A282" s="11"/>
      <c r="B282" s="11"/>
      <c r="C282" s="13"/>
      <c r="D282" s="12"/>
      <c r="E282" s="13"/>
      <c r="F282" s="13"/>
      <c r="G282" s="12"/>
      <c r="H282" s="56"/>
      <c r="I282" s="56"/>
      <c r="J282" s="56"/>
      <c r="K282" s="56"/>
      <c r="L282" s="56"/>
    </row>
    <row r="283" spans="1:12" s="98" customFormat="1" x14ac:dyDescent="0.15">
      <c r="A283" s="11"/>
      <c r="B283" s="11"/>
      <c r="C283" s="13"/>
      <c r="D283" s="12"/>
      <c r="E283" s="13"/>
      <c r="F283" s="13"/>
      <c r="G283" s="12"/>
      <c r="H283" s="56"/>
      <c r="I283" s="56"/>
      <c r="J283" s="56"/>
      <c r="K283" s="56"/>
      <c r="L283" s="56"/>
    </row>
    <row r="284" spans="1:12" s="98" customFormat="1" x14ac:dyDescent="0.15">
      <c r="A284" s="11"/>
      <c r="B284" s="11"/>
      <c r="C284" s="13"/>
      <c r="D284" s="12"/>
      <c r="E284" s="13"/>
      <c r="F284" s="13"/>
      <c r="G284" s="12"/>
      <c r="H284" s="56"/>
      <c r="I284" s="56"/>
      <c r="J284" s="56"/>
      <c r="K284" s="56"/>
      <c r="L284" s="56"/>
    </row>
    <row r="285" spans="1:12" s="98" customFormat="1" x14ac:dyDescent="0.15">
      <c r="A285" s="11"/>
      <c r="B285" s="11"/>
      <c r="C285" s="13"/>
      <c r="D285" s="12"/>
      <c r="E285" s="13"/>
      <c r="F285" s="13"/>
      <c r="G285" s="12"/>
      <c r="H285" s="56"/>
      <c r="I285" s="56"/>
      <c r="J285" s="56"/>
      <c r="K285" s="56"/>
      <c r="L285" s="56"/>
    </row>
    <row r="286" spans="1:12" s="98" customFormat="1" x14ac:dyDescent="0.15">
      <c r="A286" s="11"/>
      <c r="B286" s="11"/>
      <c r="C286" s="13"/>
      <c r="D286" s="12"/>
      <c r="E286" s="13"/>
      <c r="F286" s="13"/>
      <c r="G286" s="12"/>
      <c r="H286" s="56"/>
      <c r="I286" s="56"/>
      <c r="J286" s="56"/>
      <c r="K286" s="56"/>
      <c r="L286" s="56"/>
    </row>
    <row r="287" spans="1:12" s="98" customFormat="1" x14ac:dyDescent="0.15">
      <c r="A287" s="11"/>
      <c r="B287" s="11"/>
      <c r="C287" s="13"/>
      <c r="D287" s="12"/>
      <c r="E287" s="13"/>
      <c r="F287" s="13"/>
      <c r="G287" s="12"/>
      <c r="H287" s="56"/>
      <c r="I287" s="56"/>
      <c r="J287" s="56"/>
      <c r="K287" s="56"/>
      <c r="L287" s="56"/>
    </row>
    <row r="288" spans="1:12" s="98" customFormat="1" x14ac:dyDescent="0.15">
      <c r="A288" s="11"/>
      <c r="B288" s="11"/>
      <c r="C288" s="13"/>
      <c r="D288" s="12"/>
      <c r="E288" s="13"/>
      <c r="F288" s="13"/>
      <c r="G288" s="12"/>
      <c r="H288" s="56"/>
      <c r="I288" s="56"/>
      <c r="J288" s="56"/>
      <c r="K288" s="56"/>
      <c r="L288" s="56"/>
    </row>
    <row r="289" spans="1:12" s="98" customFormat="1" x14ac:dyDescent="0.15">
      <c r="A289" s="11"/>
      <c r="B289" s="11"/>
      <c r="C289" s="13"/>
      <c r="D289" s="12"/>
      <c r="E289" s="13"/>
      <c r="F289" s="13"/>
      <c r="G289" s="12"/>
      <c r="H289" s="56"/>
      <c r="I289" s="56"/>
      <c r="J289" s="56"/>
      <c r="K289" s="56"/>
      <c r="L289" s="56"/>
    </row>
    <row r="290" spans="1:12" s="98" customFormat="1" x14ac:dyDescent="0.15">
      <c r="A290" s="11"/>
      <c r="B290" s="11"/>
      <c r="C290" s="13"/>
      <c r="D290" s="12"/>
      <c r="E290" s="13"/>
      <c r="F290" s="13"/>
      <c r="G290" s="12"/>
      <c r="H290" s="56"/>
      <c r="I290" s="56"/>
      <c r="J290" s="56"/>
      <c r="K290" s="56"/>
      <c r="L290" s="56"/>
    </row>
    <row r="291" spans="1:12" s="98" customFormat="1" x14ac:dyDescent="0.15">
      <c r="A291" s="11"/>
      <c r="B291" s="11"/>
      <c r="C291" s="13"/>
      <c r="D291" s="12"/>
      <c r="E291" s="13"/>
      <c r="F291" s="13"/>
      <c r="G291" s="12"/>
      <c r="H291" s="56"/>
      <c r="I291" s="56"/>
      <c r="J291" s="56"/>
      <c r="K291" s="56"/>
      <c r="L291" s="56"/>
    </row>
    <row r="292" spans="1:12" s="98" customFormat="1" x14ac:dyDescent="0.15">
      <c r="A292" s="11"/>
      <c r="B292" s="11"/>
      <c r="C292" s="13"/>
      <c r="D292" s="12"/>
      <c r="E292" s="13"/>
      <c r="F292" s="13"/>
      <c r="G292" s="12"/>
      <c r="H292" s="56"/>
      <c r="I292" s="56"/>
      <c r="J292" s="56"/>
      <c r="K292" s="56"/>
      <c r="L292" s="56"/>
    </row>
    <row r="293" spans="1:12" s="98" customFormat="1" x14ac:dyDescent="0.15">
      <c r="A293" s="11"/>
      <c r="B293" s="11"/>
      <c r="C293" s="13"/>
      <c r="D293" s="12"/>
      <c r="E293" s="13"/>
      <c r="F293" s="13"/>
      <c r="G293" s="12"/>
      <c r="H293" s="56"/>
      <c r="I293" s="56"/>
      <c r="J293" s="56"/>
      <c r="K293" s="56"/>
      <c r="L293" s="56"/>
    </row>
    <row r="294" spans="1:12" s="98" customFormat="1" x14ac:dyDescent="0.15">
      <c r="A294" s="11"/>
      <c r="B294" s="11"/>
      <c r="C294" s="13"/>
      <c r="D294" s="12"/>
      <c r="E294" s="13"/>
      <c r="F294" s="13"/>
      <c r="G294" s="12"/>
      <c r="H294" s="56"/>
      <c r="I294" s="56"/>
      <c r="J294" s="56"/>
      <c r="K294" s="56"/>
      <c r="L294" s="56"/>
    </row>
    <row r="295" spans="1:12" s="98" customFormat="1" x14ac:dyDescent="0.15">
      <c r="A295" s="11"/>
      <c r="B295" s="11"/>
      <c r="C295" s="13"/>
      <c r="D295" s="12"/>
      <c r="E295" s="13"/>
      <c r="F295" s="13"/>
      <c r="G295" s="12"/>
      <c r="H295" s="56"/>
      <c r="I295" s="56"/>
      <c r="J295" s="56"/>
      <c r="K295" s="56"/>
      <c r="L295" s="56"/>
    </row>
    <row r="296" spans="1:12" s="98" customFormat="1" x14ac:dyDescent="0.15">
      <c r="A296" s="11"/>
      <c r="B296" s="11"/>
      <c r="C296" s="13"/>
      <c r="D296" s="12"/>
      <c r="E296" s="13"/>
      <c r="F296" s="13"/>
      <c r="G296" s="12"/>
      <c r="H296" s="56"/>
      <c r="I296" s="56"/>
      <c r="J296" s="56"/>
      <c r="K296" s="56"/>
      <c r="L296" s="56"/>
    </row>
    <row r="297" spans="1:12" s="98" customFormat="1" x14ac:dyDescent="0.15">
      <c r="A297" s="11"/>
      <c r="B297" s="11"/>
      <c r="C297" s="13"/>
      <c r="D297" s="12"/>
      <c r="E297" s="13"/>
      <c r="F297" s="13"/>
      <c r="G297" s="12"/>
      <c r="H297" s="56"/>
      <c r="I297" s="56"/>
      <c r="J297" s="56"/>
      <c r="K297" s="56"/>
      <c r="L297" s="56"/>
    </row>
    <row r="298" spans="1:12" s="98" customFormat="1" x14ac:dyDescent="0.15">
      <c r="A298" s="11"/>
      <c r="B298" s="11"/>
      <c r="C298" s="13"/>
      <c r="D298" s="12"/>
      <c r="E298" s="13"/>
      <c r="F298" s="13"/>
      <c r="G298" s="12"/>
      <c r="H298" s="56"/>
      <c r="I298" s="56"/>
      <c r="J298" s="56"/>
      <c r="K298" s="56"/>
      <c r="L298" s="56"/>
    </row>
    <row r="299" spans="1:12" s="98" customFormat="1" x14ac:dyDescent="0.15">
      <c r="A299" s="11"/>
      <c r="B299" s="11"/>
      <c r="C299" s="13"/>
      <c r="D299" s="12"/>
      <c r="E299" s="13"/>
      <c r="F299" s="13"/>
      <c r="G299" s="12"/>
      <c r="H299" s="56"/>
      <c r="I299" s="56"/>
      <c r="J299" s="56"/>
      <c r="K299" s="56"/>
      <c r="L299" s="56"/>
    </row>
    <row r="300" spans="1:12" s="98" customFormat="1" x14ac:dyDescent="0.15">
      <c r="A300" s="11"/>
      <c r="B300" s="11"/>
      <c r="C300" s="13"/>
      <c r="D300" s="12"/>
      <c r="E300" s="13"/>
      <c r="F300" s="13"/>
      <c r="G300" s="12"/>
      <c r="H300" s="56"/>
      <c r="I300" s="56"/>
      <c r="J300" s="56"/>
      <c r="K300" s="56"/>
      <c r="L300" s="56"/>
    </row>
    <row r="301" spans="1:12" s="98" customFormat="1" x14ac:dyDescent="0.15">
      <c r="A301" s="11"/>
      <c r="B301" s="11"/>
      <c r="C301" s="13"/>
      <c r="D301" s="12"/>
      <c r="E301" s="13"/>
      <c r="F301" s="13"/>
      <c r="G301" s="12"/>
      <c r="H301" s="56"/>
      <c r="I301" s="56"/>
      <c r="J301" s="56"/>
      <c r="K301" s="56"/>
      <c r="L301" s="56"/>
    </row>
    <row r="302" spans="1:12" s="98" customFormat="1" x14ac:dyDescent="0.15">
      <c r="A302" s="11"/>
      <c r="B302" s="11"/>
      <c r="C302" s="13"/>
      <c r="D302" s="12"/>
      <c r="E302" s="13"/>
      <c r="F302" s="13"/>
      <c r="G302" s="12"/>
      <c r="H302" s="56"/>
      <c r="I302" s="56"/>
      <c r="J302" s="56"/>
      <c r="K302" s="56"/>
      <c r="L302" s="56"/>
    </row>
    <row r="303" spans="1:12" s="98" customFormat="1" x14ac:dyDescent="0.15">
      <c r="A303" s="11"/>
      <c r="B303" s="11"/>
      <c r="C303" s="13"/>
      <c r="D303" s="12"/>
      <c r="E303" s="13"/>
      <c r="F303" s="13"/>
      <c r="G303" s="12"/>
      <c r="H303" s="56"/>
      <c r="I303" s="56"/>
      <c r="J303" s="56"/>
      <c r="K303" s="56"/>
      <c r="L303" s="56"/>
    </row>
    <row r="304" spans="1:12" s="98" customFormat="1" x14ac:dyDescent="0.15">
      <c r="A304" s="11"/>
      <c r="B304" s="11"/>
      <c r="C304" s="13"/>
      <c r="D304" s="12"/>
      <c r="E304" s="13"/>
      <c r="F304" s="13"/>
      <c r="G304" s="12"/>
      <c r="H304" s="56"/>
      <c r="I304" s="56"/>
      <c r="J304" s="56"/>
      <c r="K304" s="56"/>
      <c r="L304" s="56"/>
    </row>
    <row r="305" spans="1:12" s="98" customFormat="1" x14ac:dyDescent="0.15">
      <c r="A305" s="11"/>
      <c r="B305" s="11"/>
      <c r="C305" s="13"/>
      <c r="D305" s="12"/>
      <c r="E305" s="13"/>
      <c r="F305" s="13"/>
      <c r="G305" s="12"/>
      <c r="H305" s="56"/>
      <c r="I305" s="56"/>
      <c r="J305" s="56"/>
      <c r="K305" s="56"/>
      <c r="L305" s="56"/>
    </row>
    <row r="306" spans="1:12" s="98" customFormat="1" x14ac:dyDescent="0.15">
      <c r="A306" s="11"/>
      <c r="B306" s="11"/>
      <c r="C306" s="13"/>
      <c r="D306" s="12"/>
      <c r="E306" s="13"/>
      <c r="F306" s="13"/>
      <c r="G306" s="12"/>
      <c r="H306" s="56"/>
      <c r="I306" s="56"/>
      <c r="J306" s="56"/>
      <c r="K306" s="56"/>
      <c r="L306" s="56"/>
    </row>
    <row r="307" spans="1:12" s="98" customFormat="1" x14ac:dyDescent="0.15">
      <c r="A307" s="11"/>
      <c r="B307" s="11"/>
      <c r="C307" s="13"/>
      <c r="D307" s="12"/>
      <c r="E307" s="13"/>
      <c r="F307" s="13"/>
      <c r="G307" s="12"/>
      <c r="H307" s="56"/>
      <c r="I307" s="56"/>
      <c r="J307" s="56"/>
      <c r="K307" s="56"/>
      <c r="L307" s="56"/>
    </row>
    <row r="308" spans="1:12" s="98" customFormat="1" x14ac:dyDescent="0.15">
      <c r="A308" s="11"/>
      <c r="B308" s="11"/>
      <c r="C308" s="13"/>
      <c r="D308" s="12"/>
      <c r="E308" s="13"/>
      <c r="F308" s="13"/>
      <c r="G308" s="12"/>
      <c r="H308" s="56"/>
      <c r="I308" s="56"/>
      <c r="J308" s="56"/>
      <c r="K308" s="56"/>
      <c r="L308" s="56"/>
    </row>
    <row r="309" spans="1:12" s="98" customFormat="1" x14ac:dyDescent="0.15">
      <c r="A309" s="11"/>
      <c r="B309" s="11"/>
      <c r="C309" s="13"/>
      <c r="D309" s="12"/>
      <c r="E309" s="13"/>
      <c r="F309" s="13"/>
      <c r="G309" s="12"/>
      <c r="H309" s="56"/>
      <c r="I309" s="56"/>
      <c r="J309" s="56"/>
      <c r="K309" s="56"/>
      <c r="L309" s="56"/>
    </row>
    <row r="310" spans="1:12" s="98" customFormat="1" x14ac:dyDescent="0.15">
      <c r="A310" s="11"/>
      <c r="B310" s="11"/>
      <c r="C310" s="13"/>
      <c r="D310" s="12"/>
      <c r="E310" s="13"/>
      <c r="F310" s="13"/>
      <c r="G310" s="12"/>
      <c r="H310" s="56"/>
      <c r="I310" s="56"/>
      <c r="J310" s="56"/>
      <c r="K310" s="56"/>
      <c r="L310" s="56"/>
    </row>
    <row r="311" spans="1:12" s="98" customFormat="1" x14ac:dyDescent="0.15">
      <c r="A311" s="11"/>
      <c r="B311" s="11"/>
      <c r="C311" s="13"/>
      <c r="D311" s="12"/>
      <c r="E311" s="13"/>
      <c r="F311" s="13"/>
      <c r="G311" s="12"/>
      <c r="H311" s="56"/>
      <c r="I311" s="56"/>
      <c r="J311" s="56"/>
      <c r="K311" s="56"/>
      <c r="L311" s="56"/>
    </row>
    <row r="312" spans="1:12" s="98" customFormat="1" x14ac:dyDescent="0.15">
      <c r="A312" s="11"/>
      <c r="B312" s="11"/>
      <c r="C312" s="13"/>
      <c r="D312" s="12"/>
      <c r="E312" s="13"/>
      <c r="F312" s="13"/>
      <c r="G312" s="12"/>
      <c r="H312" s="56"/>
      <c r="I312" s="56"/>
      <c r="J312" s="56"/>
      <c r="K312" s="56"/>
      <c r="L312" s="56"/>
    </row>
    <row r="313" spans="1:12" s="98" customFormat="1" x14ac:dyDescent="0.15">
      <c r="A313" s="11"/>
      <c r="B313" s="11"/>
      <c r="C313" s="13"/>
      <c r="D313" s="12"/>
      <c r="E313" s="13"/>
      <c r="F313" s="13"/>
      <c r="G313" s="12"/>
      <c r="H313" s="56"/>
      <c r="I313" s="56"/>
      <c r="J313" s="56"/>
      <c r="K313" s="56"/>
      <c r="L313" s="56"/>
    </row>
    <row r="314" spans="1:12" s="98" customFormat="1" x14ac:dyDescent="0.15">
      <c r="A314" s="11"/>
      <c r="B314" s="11"/>
      <c r="C314" s="13"/>
      <c r="D314" s="12"/>
      <c r="E314" s="13"/>
      <c r="F314" s="13"/>
      <c r="G314" s="12"/>
      <c r="H314" s="56"/>
      <c r="I314" s="56"/>
      <c r="J314" s="56"/>
      <c r="K314" s="56"/>
      <c r="L314" s="56"/>
    </row>
    <row r="315" spans="1:12" s="98" customFormat="1" x14ac:dyDescent="0.15">
      <c r="A315" s="11"/>
      <c r="B315" s="11"/>
      <c r="C315" s="13"/>
      <c r="D315" s="12"/>
      <c r="E315" s="13"/>
      <c r="F315" s="13"/>
      <c r="G315" s="12"/>
      <c r="H315" s="56"/>
      <c r="I315" s="56"/>
      <c r="J315" s="56"/>
      <c r="K315" s="56"/>
      <c r="L315" s="56"/>
    </row>
    <row r="316" spans="1:12" s="98" customFormat="1" x14ac:dyDescent="0.15">
      <c r="A316" s="11"/>
      <c r="B316" s="11"/>
      <c r="C316" s="13"/>
      <c r="D316" s="12"/>
      <c r="E316" s="13"/>
      <c r="F316" s="13"/>
      <c r="G316" s="12"/>
      <c r="H316" s="56"/>
      <c r="I316" s="56"/>
      <c r="J316" s="56"/>
      <c r="K316" s="56"/>
      <c r="L316" s="56"/>
    </row>
    <row r="317" spans="1:12" s="98" customFormat="1" x14ac:dyDescent="0.15">
      <c r="A317" s="11"/>
      <c r="B317" s="11"/>
      <c r="C317" s="13"/>
      <c r="D317" s="12"/>
      <c r="E317" s="13"/>
      <c r="F317" s="13"/>
      <c r="G317" s="12"/>
      <c r="H317" s="56"/>
      <c r="I317" s="56"/>
      <c r="J317" s="56"/>
      <c r="K317" s="56"/>
      <c r="L317" s="56"/>
    </row>
    <row r="318" spans="1:12" s="98" customFormat="1" x14ac:dyDescent="0.15">
      <c r="A318" s="11"/>
      <c r="B318" s="11"/>
      <c r="C318" s="13"/>
      <c r="D318" s="12"/>
      <c r="E318" s="13"/>
      <c r="F318" s="13"/>
      <c r="G318" s="12"/>
      <c r="H318" s="56"/>
      <c r="I318" s="56"/>
      <c r="J318" s="56"/>
      <c r="K318" s="56"/>
      <c r="L318" s="56"/>
    </row>
    <row r="319" spans="1:12" s="98" customFormat="1" x14ac:dyDescent="0.15">
      <c r="A319" s="11"/>
      <c r="B319" s="11"/>
      <c r="C319" s="13"/>
      <c r="D319" s="12"/>
      <c r="E319" s="13"/>
      <c r="F319" s="13"/>
      <c r="G319" s="12"/>
      <c r="H319" s="56"/>
      <c r="I319" s="56"/>
      <c r="J319" s="56"/>
      <c r="K319" s="56"/>
      <c r="L319" s="56"/>
    </row>
    <row r="320" spans="1:12" s="98" customFormat="1" x14ac:dyDescent="0.15">
      <c r="A320" s="11"/>
      <c r="B320" s="11"/>
      <c r="C320" s="13"/>
      <c r="D320" s="12"/>
      <c r="E320" s="13"/>
      <c r="F320" s="13"/>
      <c r="G320" s="12"/>
      <c r="H320" s="56"/>
      <c r="I320" s="56"/>
      <c r="J320" s="56"/>
      <c r="K320" s="56"/>
      <c r="L320" s="56"/>
    </row>
    <row r="321" spans="1:12" s="98" customFormat="1" x14ac:dyDescent="0.15">
      <c r="A321" s="11"/>
      <c r="B321" s="11"/>
      <c r="C321" s="13"/>
      <c r="D321" s="12"/>
      <c r="E321" s="13"/>
      <c r="F321" s="13"/>
      <c r="G321" s="12"/>
      <c r="H321" s="56"/>
      <c r="I321" s="56"/>
      <c r="J321" s="56"/>
      <c r="K321" s="56"/>
      <c r="L321" s="56"/>
    </row>
    <row r="322" spans="1:12" s="98" customFormat="1" x14ac:dyDescent="0.15">
      <c r="A322" s="11"/>
      <c r="B322" s="11"/>
      <c r="C322" s="13"/>
      <c r="D322" s="12"/>
      <c r="E322" s="13"/>
      <c r="F322" s="13"/>
      <c r="G322" s="12"/>
      <c r="H322" s="56"/>
      <c r="I322" s="56"/>
      <c r="J322" s="56"/>
      <c r="K322" s="56"/>
      <c r="L322" s="56"/>
    </row>
    <row r="323" spans="1:12" s="98" customFormat="1" x14ac:dyDescent="0.15">
      <c r="A323" s="11"/>
      <c r="B323" s="11"/>
      <c r="C323" s="13"/>
      <c r="D323" s="12"/>
      <c r="E323" s="13"/>
      <c r="F323" s="13"/>
      <c r="G323" s="12"/>
      <c r="H323" s="56"/>
      <c r="I323" s="56"/>
      <c r="J323" s="56"/>
      <c r="K323" s="56"/>
      <c r="L323" s="56"/>
    </row>
    <row r="324" spans="1:12" s="98" customFormat="1" x14ac:dyDescent="0.15">
      <c r="A324" s="11"/>
      <c r="B324" s="11"/>
      <c r="C324" s="13"/>
      <c r="D324" s="12"/>
      <c r="E324" s="13"/>
      <c r="F324" s="13"/>
      <c r="G324" s="12"/>
      <c r="H324" s="56"/>
      <c r="I324" s="56"/>
      <c r="J324" s="56"/>
      <c r="K324" s="56"/>
      <c r="L324" s="56"/>
    </row>
    <row r="325" spans="1:12" s="98" customFormat="1" x14ac:dyDescent="0.15">
      <c r="A325" s="11"/>
      <c r="B325" s="11"/>
      <c r="C325" s="13"/>
      <c r="D325" s="12"/>
      <c r="E325" s="13"/>
      <c r="F325" s="13"/>
      <c r="G325" s="12"/>
      <c r="H325" s="56"/>
      <c r="I325" s="56"/>
      <c r="J325" s="56"/>
      <c r="K325" s="56"/>
      <c r="L325" s="56"/>
    </row>
    <row r="326" spans="1:12" s="98" customFormat="1" x14ac:dyDescent="0.15">
      <c r="A326" s="11"/>
      <c r="B326" s="11"/>
      <c r="C326" s="13"/>
      <c r="D326" s="12"/>
      <c r="E326" s="13"/>
      <c r="F326" s="13"/>
      <c r="G326" s="12"/>
      <c r="H326" s="56"/>
      <c r="I326" s="56"/>
      <c r="J326" s="56"/>
      <c r="K326" s="56"/>
      <c r="L326" s="56"/>
    </row>
    <row r="327" spans="1:12" s="98" customFormat="1" x14ac:dyDescent="0.15">
      <c r="A327" s="11"/>
      <c r="B327" s="11"/>
      <c r="C327" s="13"/>
      <c r="D327" s="12"/>
      <c r="E327" s="13"/>
      <c r="F327" s="13"/>
      <c r="G327" s="12"/>
      <c r="H327" s="56"/>
      <c r="I327" s="56"/>
      <c r="J327" s="56"/>
      <c r="K327" s="56"/>
      <c r="L327" s="56"/>
    </row>
    <row r="328" spans="1:12" s="98" customFormat="1" x14ac:dyDescent="0.15">
      <c r="A328" s="11"/>
      <c r="B328" s="11"/>
      <c r="C328" s="13"/>
      <c r="D328" s="12"/>
      <c r="E328" s="13"/>
      <c r="F328" s="13"/>
      <c r="G328" s="12"/>
      <c r="H328" s="56"/>
      <c r="I328" s="56"/>
      <c r="J328" s="56"/>
      <c r="K328" s="56"/>
      <c r="L328" s="56"/>
    </row>
    <row r="329" spans="1:12" s="98" customFormat="1" x14ac:dyDescent="0.15">
      <c r="A329" s="11"/>
      <c r="B329" s="11"/>
      <c r="C329" s="13"/>
      <c r="D329" s="12"/>
      <c r="E329" s="13"/>
      <c r="F329" s="13"/>
      <c r="G329" s="12"/>
      <c r="H329" s="56"/>
      <c r="I329" s="56"/>
      <c r="J329" s="56"/>
      <c r="K329" s="56"/>
      <c r="L329" s="56"/>
    </row>
    <row r="330" spans="1:12" s="98" customFormat="1" x14ac:dyDescent="0.15">
      <c r="A330" s="11"/>
      <c r="B330" s="11"/>
      <c r="C330" s="13"/>
      <c r="D330" s="12"/>
      <c r="E330" s="13"/>
      <c r="F330" s="13"/>
      <c r="G330" s="12"/>
      <c r="H330" s="56"/>
      <c r="I330" s="56"/>
      <c r="J330" s="56"/>
      <c r="K330" s="56"/>
      <c r="L330" s="56"/>
    </row>
    <row r="331" spans="1:12" s="98" customFormat="1" x14ac:dyDescent="0.15">
      <c r="A331" s="11"/>
      <c r="B331" s="11"/>
      <c r="C331" s="13"/>
      <c r="D331" s="12"/>
      <c r="E331" s="13"/>
      <c r="F331" s="13"/>
      <c r="G331" s="12"/>
      <c r="H331" s="56"/>
      <c r="I331" s="56"/>
      <c r="J331" s="56"/>
      <c r="K331" s="56"/>
      <c r="L331" s="56"/>
    </row>
    <row r="332" spans="1:12" s="98" customFormat="1" x14ac:dyDescent="0.15">
      <c r="A332" s="11"/>
      <c r="B332" s="11"/>
      <c r="C332" s="13"/>
      <c r="D332" s="12"/>
      <c r="E332" s="13"/>
      <c r="F332" s="13"/>
      <c r="G332" s="12"/>
      <c r="H332" s="56"/>
      <c r="I332" s="56"/>
      <c r="J332" s="56"/>
      <c r="K332" s="56"/>
      <c r="L332" s="56"/>
    </row>
    <row r="333" spans="1:12" s="98" customFormat="1" x14ac:dyDescent="0.15">
      <c r="A333" s="11"/>
      <c r="B333" s="11"/>
      <c r="C333" s="13"/>
      <c r="D333" s="12"/>
      <c r="E333" s="13"/>
      <c r="F333" s="13"/>
      <c r="G333" s="12"/>
      <c r="H333" s="56"/>
      <c r="I333" s="56"/>
      <c r="J333" s="56"/>
      <c r="K333" s="56"/>
      <c r="L333" s="56"/>
    </row>
    <row r="334" spans="1:12" s="98" customFormat="1" x14ac:dyDescent="0.15">
      <c r="A334" s="11"/>
      <c r="B334" s="11"/>
      <c r="C334" s="13"/>
      <c r="D334" s="12"/>
      <c r="E334" s="13"/>
      <c r="F334" s="13"/>
      <c r="G334" s="12"/>
      <c r="H334" s="56"/>
      <c r="I334" s="56"/>
      <c r="J334" s="56"/>
      <c r="K334" s="56"/>
      <c r="L334" s="56"/>
    </row>
    <row r="335" spans="1:12" s="98" customFormat="1" x14ac:dyDescent="0.15">
      <c r="A335" s="11"/>
      <c r="B335" s="11"/>
      <c r="C335" s="13"/>
      <c r="D335" s="12"/>
      <c r="E335" s="13"/>
      <c r="F335" s="13"/>
      <c r="G335" s="12"/>
      <c r="H335" s="56"/>
      <c r="I335" s="56"/>
      <c r="J335" s="56"/>
      <c r="K335" s="56"/>
      <c r="L335" s="56"/>
    </row>
    <row r="336" spans="1:12" s="98" customFormat="1" x14ac:dyDescent="0.15">
      <c r="A336" s="11"/>
      <c r="B336" s="11"/>
      <c r="C336" s="13"/>
      <c r="D336" s="12"/>
      <c r="E336" s="13"/>
      <c r="F336" s="13"/>
      <c r="G336" s="12"/>
      <c r="H336" s="56"/>
      <c r="I336" s="56"/>
      <c r="J336" s="56"/>
      <c r="K336" s="56"/>
      <c r="L336" s="56"/>
    </row>
    <row r="337" spans="1:12" s="98" customFormat="1" x14ac:dyDescent="0.15">
      <c r="A337" s="11"/>
      <c r="B337" s="11"/>
      <c r="C337" s="13"/>
      <c r="D337" s="12"/>
      <c r="E337" s="13"/>
      <c r="F337" s="13"/>
      <c r="G337" s="12"/>
      <c r="H337" s="56"/>
      <c r="I337" s="56"/>
      <c r="J337" s="56"/>
      <c r="K337" s="56"/>
      <c r="L337" s="56"/>
    </row>
    <row r="338" spans="1:12" s="98" customFormat="1" x14ac:dyDescent="0.15">
      <c r="A338" s="11"/>
      <c r="B338" s="11"/>
      <c r="C338" s="13"/>
      <c r="D338" s="12"/>
      <c r="E338" s="13"/>
      <c r="F338" s="13"/>
      <c r="G338" s="12"/>
      <c r="H338" s="56"/>
      <c r="I338" s="56"/>
      <c r="J338" s="56"/>
      <c r="K338" s="56"/>
      <c r="L338" s="56"/>
    </row>
    <row r="339" spans="1:12" s="98" customFormat="1" x14ac:dyDescent="0.15">
      <c r="A339" s="11"/>
      <c r="B339" s="11"/>
      <c r="C339" s="13"/>
      <c r="D339" s="12"/>
      <c r="E339" s="13"/>
      <c r="F339" s="13"/>
      <c r="G339" s="12"/>
      <c r="H339" s="56"/>
      <c r="I339" s="56"/>
      <c r="J339" s="56"/>
      <c r="K339" s="56"/>
      <c r="L339" s="56"/>
    </row>
    <row r="340" spans="1:12" s="98" customFormat="1" x14ac:dyDescent="0.15">
      <c r="A340" s="11"/>
      <c r="B340" s="11"/>
      <c r="C340" s="13"/>
      <c r="D340" s="12"/>
      <c r="E340" s="13"/>
      <c r="F340" s="13"/>
      <c r="G340" s="12"/>
      <c r="H340" s="56"/>
      <c r="I340" s="56"/>
      <c r="J340" s="56"/>
      <c r="K340" s="56"/>
      <c r="L340" s="56"/>
    </row>
    <row r="341" spans="1:12" s="98" customFormat="1" x14ac:dyDescent="0.15">
      <c r="A341" s="11"/>
      <c r="B341" s="11"/>
      <c r="C341" s="13"/>
      <c r="D341" s="12"/>
      <c r="E341" s="13"/>
      <c r="F341" s="13"/>
      <c r="G341" s="12"/>
      <c r="H341" s="56"/>
      <c r="I341" s="56"/>
      <c r="J341" s="56"/>
      <c r="K341" s="56"/>
      <c r="L341" s="56"/>
    </row>
    <row r="342" spans="1:12" s="98" customFormat="1" x14ac:dyDescent="0.15">
      <c r="A342" s="11"/>
      <c r="B342" s="11"/>
      <c r="C342" s="13"/>
      <c r="D342" s="12"/>
      <c r="E342" s="13"/>
      <c r="F342" s="13"/>
      <c r="G342" s="12"/>
      <c r="H342" s="56"/>
      <c r="I342" s="56"/>
      <c r="J342" s="56"/>
      <c r="K342" s="56"/>
      <c r="L342" s="56"/>
    </row>
    <row r="343" spans="1:12" s="98" customFormat="1" x14ac:dyDescent="0.15">
      <c r="A343" s="11"/>
      <c r="B343" s="11"/>
      <c r="C343" s="13"/>
      <c r="D343" s="12"/>
      <c r="E343" s="13"/>
      <c r="F343" s="13"/>
      <c r="G343" s="12"/>
      <c r="H343" s="56"/>
      <c r="I343" s="56"/>
      <c r="J343" s="56"/>
      <c r="K343" s="56"/>
      <c r="L343" s="56"/>
    </row>
    <row r="344" spans="1:12" s="98" customFormat="1" x14ac:dyDescent="0.15">
      <c r="A344" s="11"/>
      <c r="B344" s="11"/>
      <c r="C344" s="13"/>
      <c r="D344" s="12"/>
      <c r="E344" s="13"/>
      <c r="F344" s="13"/>
      <c r="G344" s="12"/>
      <c r="H344" s="56"/>
      <c r="I344" s="56"/>
      <c r="J344" s="56"/>
      <c r="K344" s="56"/>
      <c r="L344" s="56"/>
    </row>
    <row r="345" spans="1:12" s="98" customFormat="1" x14ac:dyDescent="0.15">
      <c r="A345" s="11"/>
      <c r="B345" s="11"/>
      <c r="C345" s="13"/>
      <c r="D345" s="12"/>
      <c r="E345" s="13"/>
      <c r="F345" s="13"/>
      <c r="G345" s="12"/>
      <c r="H345" s="56"/>
      <c r="I345" s="56"/>
      <c r="J345" s="56"/>
      <c r="K345" s="56"/>
      <c r="L345" s="56"/>
    </row>
    <row r="346" spans="1:12" s="98" customFormat="1" x14ac:dyDescent="0.15">
      <c r="A346" s="11"/>
      <c r="B346" s="11"/>
      <c r="C346" s="13"/>
      <c r="D346" s="12"/>
      <c r="E346" s="13"/>
      <c r="F346" s="13"/>
      <c r="G346" s="12"/>
      <c r="H346" s="56"/>
      <c r="I346" s="56"/>
      <c r="J346" s="56"/>
      <c r="K346" s="56"/>
      <c r="L346" s="56"/>
    </row>
    <row r="347" spans="1:12" s="98" customFormat="1" x14ac:dyDescent="0.15">
      <c r="A347" s="11"/>
      <c r="B347" s="11"/>
      <c r="C347" s="13"/>
      <c r="D347" s="12"/>
      <c r="E347" s="13"/>
      <c r="F347" s="13"/>
      <c r="G347" s="12"/>
      <c r="H347" s="56"/>
      <c r="I347" s="56"/>
      <c r="J347" s="56"/>
      <c r="K347" s="56"/>
      <c r="L347" s="56"/>
    </row>
    <row r="348" spans="1:12" s="98" customFormat="1" x14ac:dyDescent="0.15">
      <c r="A348" s="11"/>
      <c r="B348" s="11"/>
      <c r="C348" s="13"/>
      <c r="D348" s="12"/>
      <c r="E348" s="13"/>
      <c r="F348" s="13"/>
      <c r="G348" s="12"/>
      <c r="H348" s="56"/>
      <c r="I348" s="56"/>
      <c r="J348" s="56"/>
      <c r="K348" s="56"/>
      <c r="L348" s="56"/>
    </row>
    <row r="349" spans="1:12" s="98" customFormat="1" x14ac:dyDescent="0.15">
      <c r="A349" s="11"/>
      <c r="B349" s="11"/>
      <c r="C349" s="13"/>
      <c r="D349" s="12"/>
      <c r="E349" s="13"/>
      <c r="F349" s="13"/>
      <c r="G349" s="12"/>
      <c r="H349" s="56"/>
      <c r="I349" s="56"/>
      <c r="J349" s="56"/>
      <c r="K349" s="56"/>
      <c r="L349" s="56"/>
    </row>
    <row r="350" spans="1:12" s="98" customFormat="1" x14ac:dyDescent="0.15">
      <c r="A350" s="11"/>
      <c r="B350" s="11"/>
      <c r="C350" s="13"/>
      <c r="D350" s="12"/>
      <c r="E350" s="13"/>
      <c r="F350" s="13"/>
      <c r="G350" s="12"/>
      <c r="H350" s="56"/>
      <c r="I350" s="56"/>
      <c r="J350" s="56"/>
      <c r="K350" s="56"/>
      <c r="L350" s="56"/>
    </row>
    <row r="351" spans="1:12" s="98" customFormat="1" x14ac:dyDescent="0.15">
      <c r="A351" s="11"/>
      <c r="B351" s="11"/>
      <c r="C351" s="13"/>
      <c r="D351" s="12"/>
      <c r="E351" s="13"/>
      <c r="F351" s="13"/>
      <c r="G351" s="12"/>
      <c r="H351" s="56"/>
      <c r="I351" s="56"/>
      <c r="J351" s="56"/>
      <c r="K351" s="56"/>
      <c r="L351" s="56"/>
    </row>
    <row r="352" spans="1:12" s="98" customFormat="1" x14ac:dyDescent="0.15">
      <c r="A352" s="11"/>
      <c r="B352" s="11"/>
      <c r="C352" s="13"/>
      <c r="D352" s="12"/>
      <c r="E352" s="13"/>
      <c r="F352" s="13"/>
      <c r="G352" s="12"/>
      <c r="H352" s="56"/>
      <c r="I352" s="56"/>
      <c r="J352" s="56"/>
      <c r="K352" s="56"/>
      <c r="L352" s="56"/>
    </row>
    <row r="353" spans="1:12" s="98" customFormat="1" x14ac:dyDescent="0.15">
      <c r="A353" s="11"/>
      <c r="B353" s="11"/>
      <c r="C353" s="13"/>
      <c r="D353" s="12"/>
      <c r="E353" s="13"/>
      <c r="F353" s="13"/>
      <c r="G353" s="12"/>
      <c r="H353" s="56"/>
      <c r="I353" s="56"/>
      <c r="J353" s="56"/>
      <c r="K353" s="56"/>
      <c r="L353" s="56"/>
    </row>
    <row r="354" spans="1:12" s="98" customFormat="1" x14ac:dyDescent="0.15">
      <c r="A354" s="11"/>
      <c r="B354" s="11"/>
      <c r="C354" s="13"/>
      <c r="D354" s="12"/>
      <c r="E354" s="13"/>
      <c r="F354" s="13"/>
      <c r="G354" s="12"/>
      <c r="H354" s="56"/>
      <c r="I354" s="56"/>
      <c r="J354" s="56"/>
      <c r="K354" s="56"/>
      <c r="L354" s="56"/>
    </row>
    <row r="355" spans="1:12" s="98" customFormat="1" x14ac:dyDescent="0.15">
      <c r="A355" s="11"/>
      <c r="B355" s="11"/>
      <c r="C355" s="13"/>
      <c r="D355" s="12"/>
      <c r="E355" s="13"/>
      <c r="F355" s="13"/>
      <c r="G355" s="12"/>
      <c r="H355" s="56"/>
      <c r="I355" s="56"/>
      <c r="J355" s="56"/>
      <c r="K355" s="56"/>
      <c r="L355" s="56"/>
    </row>
    <row r="356" spans="1:12" s="98" customFormat="1" x14ac:dyDescent="0.15">
      <c r="A356" s="11"/>
      <c r="B356" s="11"/>
      <c r="C356" s="13"/>
      <c r="D356" s="12"/>
      <c r="E356" s="13"/>
      <c r="F356" s="13"/>
      <c r="G356" s="12"/>
      <c r="H356" s="56"/>
      <c r="I356" s="56"/>
      <c r="J356" s="56"/>
      <c r="K356" s="56"/>
      <c r="L356" s="56"/>
    </row>
    <row r="357" spans="1:12" s="98" customFormat="1" x14ac:dyDescent="0.15">
      <c r="A357" s="11"/>
      <c r="B357" s="11"/>
      <c r="C357" s="13"/>
      <c r="D357" s="12"/>
      <c r="E357" s="13"/>
      <c r="F357" s="13"/>
      <c r="G357" s="12"/>
      <c r="H357" s="56"/>
      <c r="I357" s="56"/>
      <c r="J357" s="56"/>
      <c r="K357" s="56"/>
      <c r="L357" s="56"/>
    </row>
    <row r="358" spans="1:12" s="98" customFormat="1" x14ac:dyDescent="0.15">
      <c r="A358" s="11"/>
      <c r="B358" s="11"/>
      <c r="C358" s="13"/>
      <c r="D358" s="12"/>
      <c r="E358" s="13"/>
      <c r="F358" s="13"/>
      <c r="G358" s="12"/>
      <c r="H358" s="56"/>
      <c r="I358" s="56"/>
      <c r="J358" s="56"/>
      <c r="K358" s="56"/>
      <c r="L358" s="56"/>
    </row>
    <row r="359" spans="1:12" s="98" customFormat="1" x14ac:dyDescent="0.15">
      <c r="A359" s="11"/>
      <c r="B359" s="11"/>
      <c r="C359" s="13"/>
      <c r="D359" s="12"/>
      <c r="E359" s="13"/>
      <c r="F359" s="13"/>
      <c r="G359" s="12"/>
      <c r="H359" s="56"/>
      <c r="I359" s="56"/>
      <c r="J359" s="56"/>
      <c r="K359" s="56"/>
      <c r="L359" s="56"/>
    </row>
    <row r="360" spans="1:12" s="98" customFormat="1" x14ac:dyDescent="0.15">
      <c r="A360" s="11"/>
      <c r="B360" s="11"/>
      <c r="C360" s="13"/>
      <c r="D360" s="12"/>
      <c r="E360" s="13"/>
      <c r="F360" s="13"/>
      <c r="G360" s="12"/>
      <c r="H360" s="56"/>
      <c r="I360" s="56"/>
      <c r="J360" s="56"/>
      <c r="K360" s="56"/>
      <c r="L360" s="56"/>
    </row>
    <row r="361" spans="1:12" s="98" customFormat="1" x14ac:dyDescent="0.15">
      <c r="A361" s="11"/>
      <c r="B361" s="11"/>
      <c r="C361" s="13"/>
      <c r="D361" s="12"/>
      <c r="E361" s="13"/>
      <c r="F361" s="13"/>
      <c r="G361" s="12"/>
      <c r="H361" s="56"/>
      <c r="I361" s="56"/>
      <c r="J361" s="56"/>
      <c r="K361" s="56"/>
      <c r="L361" s="56"/>
    </row>
    <row r="362" spans="1:12" s="98" customFormat="1" x14ac:dyDescent="0.15">
      <c r="A362" s="11"/>
      <c r="B362" s="11"/>
      <c r="C362" s="13"/>
      <c r="D362" s="12"/>
      <c r="E362" s="13"/>
      <c r="F362" s="13"/>
      <c r="G362" s="12"/>
      <c r="H362" s="56"/>
      <c r="I362" s="56"/>
      <c r="J362" s="56"/>
      <c r="K362" s="56"/>
      <c r="L362" s="56"/>
    </row>
    <row r="363" spans="1:12" s="98" customFormat="1" x14ac:dyDescent="0.15">
      <c r="A363" s="11"/>
      <c r="B363" s="11"/>
      <c r="C363" s="13"/>
      <c r="D363" s="12"/>
      <c r="E363" s="13"/>
      <c r="F363" s="13"/>
      <c r="G363" s="12"/>
      <c r="H363" s="56"/>
      <c r="I363" s="56"/>
      <c r="J363" s="56"/>
      <c r="K363" s="56"/>
      <c r="L363" s="56"/>
    </row>
    <row r="364" spans="1:12" s="98" customFormat="1" x14ac:dyDescent="0.15">
      <c r="A364" s="11"/>
      <c r="B364" s="11"/>
      <c r="C364" s="13"/>
      <c r="D364" s="12"/>
      <c r="E364" s="13"/>
      <c r="F364" s="13"/>
      <c r="G364" s="12"/>
      <c r="H364" s="56"/>
      <c r="I364" s="56"/>
      <c r="J364" s="56"/>
      <c r="K364" s="56"/>
      <c r="L364" s="56"/>
    </row>
    <row r="365" spans="1:12" s="98" customFormat="1" x14ac:dyDescent="0.15">
      <c r="A365" s="11"/>
      <c r="B365" s="11"/>
      <c r="C365" s="13"/>
      <c r="D365" s="12"/>
      <c r="E365" s="13"/>
      <c r="F365" s="13"/>
      <c r="G365" s="12"/>
      <c r="H365" s="56"/>
      <c r="I365" s="56"/>
      <c r="J365" s="56"/>
      <c r="K365" s="56"/>
      <c r="L365" s="56"/>
    </row>
    <row r="366" spans="1:12" s="98" customFormat="1" x14ac:dyDescent="0.15">
      <c r="A366" s="11"/>
      <c r="B366" s="11"/>
      <c r="C366" s="13"/>
      <c r="D366" s="12"/>
      <c r="E366" s="13"/>
      <c r="F366" s="13"/>
      <c r="G366" s="12"/>
      <c r="H366" s="56"/>
      <c r="I366" s="56"/>
      <c r="J366" s="56"/>
      <c r="K366" s="56"/>
      <c r="L366" s="56"/>
    </row>
    <row r="367" spans="1:12" s="98" customFormat="1" x14ac:dyDescent="0.15">
      <c r="A367" s="11"/>
      <c r="B367" s="11"/>
      <c r="C367" s="13"/>
      <c r="D367" s="12"/>
      <c r="E367" s="13"/>
      <c r="F367" s="13"/>
      <c r="G367" s="12"/>
      <c r="H367" s="56"/>
      <c r="I367" s="56"/>
      <c r="J367" s="56"/>
      <c r="K367" s="56"/>
      <c r="L367" s="56"/>
    </row>
    <row r="368" spans="1:12" s="98" customFormat="1" x14ac:dyDescent="0.15">
      <c r="A368" s="11"/>
      <c r="B368" s="11"/>
      <c r="C368" s="13"/>
      <c r="D368" s="12"/>
      <c r="E368" s="13"/>
      <c r="F368" s="13"/>
      <c r="G368" s="12"/>
      <c r="H368" s="56"/>
      <c r="I368" s="56"/>
      <c r="J368" s="56"/>
      <c r="K368" s="56"/>
      <c r="L368" s="56"/>
    </row>
    <row r="369" spans="1:12" s="98" customFormat="1" x14ac:dyDescent="0.15">
      <c r="A369" s="11"/>
      <c r="B369" s="11"/>
      <c r="C369" s="13"/>
      <c r="D369" s="12"/>
      <c r="E369" s="13"/>
      <c r="F369" s="13"/>
      <c r="G369" s="12"/>
      <c r="H369" s="56"/>
      <c r="I369" s="56"/>
      <c r="J369" s="56"/>
      <c r="K369" s="56"/>
      <c r="L369" s="56"/>
    </row>
    <row r="370" spans="1:12" s="98" customFormat="1" x14ac:dyDescent="0.15">
      <c r="A370" s="11"/>
      <c r="B370" s="11"/>
      <c r="C370" s="13"/>
      <c r="D370" s="12"/>
      <c r="E370" s="13"/>
      <c r="F370" s="13"/>
      <c r="G370" s="12"/>
      <c r="H370" s="56"/>
      <c r="I370" s="56"/>
      <c r="J370" s="56"/>
      <c r="K370" s="56"/>
      <c r="L370" s="56"/>
    </row>
    <row r="371" spans="1:12" s="98" customFormat="1" x14ac:dyDescent="0.15">
      <c r="A371" s="11"/>
      <c r="B371" s="11"/>
      <c r="C371" s="13"/>
      <c r="D371" s="12"/>
      <c r="E371" s="13"/>
      <c r="F371" s="13"/>
      <c r="G371" s="12"/>
      <c r="H371" s="56"/>
      <c r="I371" s="56"/>
      <c r="J371" s="56"/>
      <c r="K371" s="56"/>
      <c r="L371" s="56"/>
    </row>
    <row r="372" spans="1:12" s="98" customFormat="1" x14ac:dyDescent="0.15">
      <c r="A372" s="11"/>
      <c r="B372" s="11"/>
      <c r="C372" s="13"/>
      <c r="D372" s="12"/>
      <c r="E372" s="13"/>
      <c r="F372" s="13"/>
      <c r="G372" s="12"/>
      <c r="H372" s="56"/>
      <c r="I372" s="56"/>
      <c r="J372" s="56"/>
      <c r="K372" s="56"/>
      <c r="L372" s="56"/>
    </row>
    <row r="373" spans="1:12" s="98" customFormat="1" x14ac:dyDescent="0.15">
      <c r="A373" s="11"/>
      <c r="B373" s="11"/>
      <c r="C373" s="13"/>
      <c r="D373" s="12"/>
      <c r="E373" s="13"/>
      <c r="F373" s="13"/>
      <c r="G373" s="12"/>
      <c r="H373" s="56"/>
      <c r="I373" s="56"/>
      <c r="J373" s="56"/>
      <c r="K373" s="56"/>
      <c r="L373" s="56"/>
    </row>
    <row r="374" spans="1:12" s="98" customFormat="1" x14ac:dyDescent="0.15">
      <c r="A374" s="11"/>
      <c r="B374" s="11"/>
      <c r="C374" s="13"/>
      <c r="D374" s="12"/>
      <c r="E374" s="13"/>
      <c r="F374" s="13"/>
      <c r="G374" s="12"/>
      <c r="H374" s="56"/>
      <c r="I374" s="56"/>
      <c r="J374" s="56"/>
      <c r="K374" s="56"/>
      <c r="L374" s="56"/>
    </row>
    <row r="375" spans="1:12" s="98" customFormat="1" x14ac:dyDescent="0.15">
      <c r="A375" s="11"/>
      <c r="B375" s="11"/>
      <c r="C375" s="13"/>
      <c r="D375" s="12"/>
      <c r="E375" s="13"/>
      <c r="F375" s="13"/>
      <c r="G375" s="12"/>
      <c r="H375" s="56"/>
      <c r="I375" s="56"/>
      <c r="J375" s="56"/>
      <c r="K375" s="56"/>
      <c r="L375" s="56"/>
    </row>
    <row r="376" spans="1:12" s="98" customFormat="1" x14ac:dyDescent="0.15">
      <c r="A376" s="11"/>
      <c r="B376" s="11"/>
      <c r="C376" s="13"/>
      <c r="D376" s="12"/>
      <c r="E376" s="13"/>
      <c r="F376" s="13"/>
      <c r="G376" s="12"/>
      <c r="H376" s="56"/>
      <c r="I376" s="56"/>
      <c r="J376" s="56"/>
      <c r="K376" s="56"/>
      <c r="L376" s="56"/>
    </row>
    <row r="377" spans="1:12" s="98" customFormat="1" x14ac:dyDescent="0.15">
      <c r="A377" s="11"/>
      <c r="B377" s="11"/>
      <c r="C377" s="13"/>
      <c r="D377" s="12"/>
      <c r="E377" s="13"/>
      <c r="F377" s="13"/>
      <c r="G377" s="12"/>
      <c r="H377" s="56"/>
      <c r="I377" s="56"/>
      <c r="J377" s="56"/>
      <c r="K377" s="56"/>
      <c r="L377" s="56"/>
    </row>
    <row r="378" spans="1:12" s="98" customFormat="1" x14ac:dyDescent="0.15">
      <c r="A378" s="11"/>
      <c r="B378" s="11"/>
      <c r="C378" s="13"/>
      <c r="D378" s="12"/>
      <c r="E378" s="13"/>
      <c r="F378" s="13"/>
      <c r="G378" s="12"/>
      <c r="H378" s="56"/>
      <c r="I378" s="56"/>
      <c r="J378" s="56"/>
      <c r="K378" s="56"/>
      <c r="L378" s="56"/>
    </row>
    <row r="379" spans="1:12" s="98" customFormat="1" x14ac:dyDescent="0.15">
      <c r="A379" s="11"/>
      <c r="B379" s="11"/>
      <c r="C379" s="13"/>
      <c r="D379" s="12"/>
      <c r="E379" s="13"/>
      <c r="F379" s="13"/>
      <c r="G379" s="12"/>
      <c r="H379" s="56"/>
      <c r="I379" s="56"/>
      <c r="J379" s="56"/>
      <c r="K379" s="56"/>
      <c r="L379" s="56"/>
    </row>
    <row r="380" spans="1:12" s="98" customFormat="1" x14ac:dyDescent="0.15">
      <c r="A380" s="11"/>
      <c r="B380" s="11"/>
      <c r="C380" s="13"/>
      <c r="D380" s="12"/>
      <c r="E380" s="13"/>
      <c r="F380" s="13"/>
      <c r="G380" s="12"/>
      <c r="H380" s="56"/>
      <c r="I380" s="56"/>
      <c r="J380" s="56"/>
      <c r="K380" s="56"/>
      <c r="L380" s="56"/>
    </row>
    <row r="381" spans="1:12" s="98" customFormat="1" x14ac:dyDescent="0.15">
      <c r="A381" s="11"/>
      <c r="B381" s="11"/>
      <c r="C381" s="13"/>
      <c r="D381" s="12"/>
      <c r="E381" s="13"/>
      <c r="F381" s="13"/>
      <c r="G381" s="12"/>
      <c r="H381" s="56"/>
      <c r="I381" s="56"/>
      <c r="J381" s="56"/>
      <c r="K381" s="56"/>
      <c r="L381" s="56"/>
    </row>
    <row r="382" spans="1:12" s="98" customFormat="1" x14ac:dyDescent="0.15">
      <c r="A382" s="11"/>
      <c r="B382" s="11"/>
      <c r="C382" s="13"/>
      <c r="D382" s="12"/>
      <c r="E382" s="13"/>
      <c r="F382" s="13"/>
      <c r="G382" s="12"/>
      <c r="H382" s="56"/>
      <c r="I382" s="56"/>
      <c r="J382" s="56"/>
      <c r="K382" s="56"/>
      <c r="L382" s="56"/>
    </row>
    <row r="383" spans="1:12" s="98" customFormat="1" x14ac:dyDescent="0.15">
      <c r="A383" s="11"/>
      <c r="B383" s="11"/>
      <c r="C383" s="13"/>
      <c r="D383" s="12"/>
      <c r="E383" s="13"/>
      <c r="F383" s="13"/>
      <c r="G383" s="12"/>
      <c r="H383" s="56"/>
      <c r="I383" s="56"/>
      <c r="J383" s="56"/>
      <c r="K383" s="56"/>
      <c r="L383" s="56"/>
    </row>
    <row r="384" spans="1:12" s="98" customFormat="1" x14ac:dyDescent="0.15">
      <c r="A384" s="11"/>
      <c r="B384" s="11"/>
      <c r="C384" s="13"/>
      <c r="D384" s="12"/>
      <c r="E384" s="13"/>
      <c r="F384" s="13"/>
      <c r="G384" s="12"/>
      <c r="H384" s="56"/>
      <c r="I384" s="56"/>
      <c r="J384" s="56"/>
      <c r="K384" s="56"/>
      <c r="L384" s="56"/>
    </row>
    <row r="385" spans="1:12" s="98" customFormat="1" x14ac:dyDescent="0.15">
      <c r="A385" s="11"/>
      <c r="B385" s="11"/>
      <c r="C385" s="13"/>
      <c r="D385" s="12"/>
      <c r="E385" s="13"/>
      <c r="F385" s="13"/>
      <c r="G385" s="12"/>
      <c r="H385" s="56"/>
      <c r="I385" s="56"/>
      <c r="J385" s="56"/>
      <c r="K385" s="56"/>
      <c r="L385" s="56"/>
    </row>
    <row r="386" spans="1:12" s="98" customFormat="1" x14ac:dyDescent="0.15">
      <c r="A386" s="11"/>
      <c r="B386" s="11"/>
      <c r="C386" s="13"/>
      <c r="D386" s="12"/>
      <c r="E386" s="13"/>
      <c r="F386" s="13"/>
      <c r="G386" s="12"/>
      <c r="H386" s="56"/>
      <c r="I386" s="56"/>
      <c r="J386" s="56"/>
      <c r="K386" s="56"/>
      <c r="L386" s="56"/>
    </row>
    <row r="387" spans="1:12" s="98" customFormat="1" x14ac:dyDescent="0.15">
      <c r="A387" s="11"/>
      <c r="B387" s="11"/>
      <c r="C387" s="13"/>
      <c r="D387" s="12"/>
      <c r="E387" s="13"/>
      <c r="F387" s="13"/>
      <c r="G387" s="12"/>
      <c r="H387" s="56"/>
      <c r="I387" s="56"/>
      <c r="J387" s="56"/>
      <c r="K387" s="56"/>
      <c r="L387" s="56"/>
    </row>
    <row r="388" spans="1:12" s="98" customFormat="1" x14ac:dyDescent="0.15">
      <c r="A388" s="11"/>
      <c r="B388" s="11"/>
      <c r="C388" s="13"/>
      <c r="D388" s="12"/>
      <c r="E388" s="13"/>
      <c r="F388" s="13"/>
      <c r="G388" s="12"/>
      <c r="H388" s="56"/>
      <c r="I388" s="56"/>
      <c r="J388" s="56"/>
      <c r="K388" s="56"/>
      <c r="L388" s="56"/>
    </row>
    <row r="389" spans="1:12" s="98" customFormat="1" x14ac:dyDescent="0.15">
      <c r="A389" s="11"/>
      <c r="B389" s="11"/>
      <c r="C389" s="13"/>
      <c r="D389" s="12"/>
      <c r="E389" s="13"/>
      <c r="F389" s="13"/>
      <c r="G389" s="12"/>
      <c r="H389" s="56"/>
      <c r="I389" s="56"/>
      <c r="J389" s="56"/>
      <c r="K389" s="56"/>
      <c r="L389" s="56"/>
    </row>
    <row r="390" spans="1:12" s="98" customFormat="1" x14ac:dyDescent="0.15">
      <c r="A390" s="11"/>
      <c r="B390" s="11"/>
      <c r="C390" s="13"/>
      <c r="D390" s="12"/>
      <c r="E390" s="13"/>
      <c r="F390" s="13"/>
      <c r="G390" s="12"/>
      <c r="H390" s="56"/>
      <c r="I390" s="56"/>
      <c r="J390" s="56"/>
      <c r="K390" s="56"/>
      <c r="L390" s="56"/>
    </row>
    <row r="391" spans="1:12" s="98" customFormat="1" x14ac:dyDescent="0.15">
      <c r="A391" s="11"/>
      <c r="B391" s="11"/>
      <c r="C391" s="13"/>
      <c r="D391" s="12"/>
      <c r="E391" s="13"/>
      <c r="F391" s="13"/>
      <c r="G391" s="12"/>
      <c r="H391" s="56"/>
      <c r="I391" s="56"/>
      <c r="J391" s="56"/>
      <c r="K391" s="56"/>
      <c r="L391" s="56"/>
    </row>
    <row r="392" spans="1:12" s="98" customFormat="1" x14ac:dyDescent="0.15">
      <c r="A392" s="11"/>
      <c r="B392" s="11"/>
      <c r="C392" s="13"/>
      <c r="D392" s="12"/>
      <c r="E392" s="13"/>
      <c r="F392" s="13"/>
      <c r="G392" s="12"/>
      <c r="H392" s="56"/>
      <c r="I392" s="56"/>
      <c r="J392" s="56"/>
      <c r="K392" s="56"/>
      <c r="L392" s="56"/>
    </row>
    <row r="393" spans="1:12" s="98" customFormat="1" x14ac:dyDescent="0.15">
      <c r="A393" s="11"/>
      <c r="B393" s="11"/>
      <c r="C393" s="13"/>
      <c r="D393" s="12"/>
      <c r="E393" s="13"/>
      <c r="F393" s="13"/>
      <c r="G393" s="12"/>
      <c r="H393" s="56"/>
      <c r="I393" s="56"/>
      <c r="J393" s="56"/>
      <c r="K393" s="56"/>
      <c r="L393" s="56"/>
    </row>
    <row r="394" spans="1:12" s="98" customFormat="1" x14ac:dyDescent="0.15">
      <c r="A394" s="11"/>
      <c r="B394" s="11"/>
      <c r="C394" s="13"/>
      <c r="D394" s="12"/>
      <c r="E394" s="13"/>
      <c r="F394" s="13"/>
      <c r="G394" s="12"/>
      <c r="H394" s="56"/>
      <c r="I394" s="56"/>
      <c r="J394" s="56"/>
      <c r="K394" s="56"/>
      <c r="L394" s="56"/>
    </row>
    <row r="395" spans="1:12" s="98" customFormat="1" x14ac:dyDescent="0.15">
      <c r="A395" s="11"/>
      <c r="B395" s="11"/>
      <c r="C395" s="13"/>
      <c r="D395" s="12"/>
      <c r="E395" s="13"/>
      <c r="F395" s="13"/>
      <c r="G395" s="12"/>
      <c r="H395" s="56"/>
      <c r="I395" s="56"/>
      <c r="J395" s="56"/>
      <c r="K395" s="56"/>
      <c r="L395" s="56"/>
    </row>
    <row r="396" spans="1:12" s="98" customFormat="1" x14ac:dyDescent="0.15">
      <c r="A396" s="11"/>
      <c r="B396" s="11"/>
      <c r="C396" s="13"/>
      <c r="D396" s="12"/>
      <c r="E396" s="13"/>
      <c r="F396" s="13"/>
      <c r="G396" s="12"/>
      <c r="H396" s="56"/>
      <c r="I396" s="56"/>
      <c r="J396" s="56"/>
      <c r="K396" s="56"/>
      <c r="L396" s="56"/>
    </row>
    <row r="397" spans="1:12" s="98" customFormat="1" x14ac:dyDescent="0.15">
      <c r="A397" s="11"/>
      <c r="B397" s="11"/>
      <c r="C397" s="13"/>
      <c r="D397" s="12"/>
      <c r="E397" s="13"/>
      <c r="F397" s="13"/>
      <c r="G397" s="12"/>
      <c r="H397" s="56"/>
      <c r="I397" s="56"/>
      <c r="J397" s="56"/>
      <c r="K397" s="56"/>
      <c r="L397" s="56"/>
    </row>
    <row r="398" spans="1:12" s="98" customFormat="1" x14ac:dyDescent="0.15">
      <c r="A398" s="11"/>
      <c r="B398" s="11"/>
      <c r="C398" s="13"/>
      <c r="D398" s="12"/>
      <c r="E398" s="13"/>
      <c r="F398" s="13"/>
      <c r="G398" s="12"/>
      <c r="H398" s="56"/>
      <c r="I398" s="56"/>
      <c r="J398" s="56"/>
      <c r="K398" s="56"/>
      <c r="L398" s="56"/>
    </row>
    <row r="399" spans="1:12" s="98" customFormat="1" x14ac:dyDescent="0.15">
      <c r="A399" s="11"/>
      <c r="B399" s="11"/>
      <c r="C399" s="13"/>
      <c r="D399" s="12"/>
      <c r="E399" s="13"/>
      <c r="F399" s="13"/>
      <c r="G399" s="12"/>
      <c r="H399" s="56"/>
      <c r="I399" s="56"/>
      <c r="J399" s="56"/>
      <c r="K399" s="56"/>
      <c r="L399" s="56"/>
    </row>
    <row r="400" spans="1:12" s="98" customFormat="1" x14ac:dyDescent="0.15">
      <c r="A400" s="11"/>
      <c r="B400" s="11"/>
      <c r="C400" s="13"/>
      <c r="D400" s="12"/>
      <c r="E400" s="13"/>
      <c r="F400" s="13"/>
      <c r="G400" s="12"/>
      <c r="H400" s="56"/>
      <c r="I400" s="56"/>
      <c r="J400" s="56"/>
      <c r="K400" s="56"/>
      <c r="L400" s="56"/>
    </row>
    <row r="401" spans="1:12" s="98" customFormat="1" x14ac:dyDescent="0.15">
      <c r="A401" s="11"/>
      <c r="B401" s="11"/>
      <c r="C401" s="13"/>
      <c r="D401" s="12"/>
      <c r="E401" s="13"/>
      <c r="F401" s="13"/>
      <c r="G401" s="12"/>
      <c r="H401" s="56"/>
      <c r="I401" s="56"/>
      <c r="J401" s="56"/>
      <c r="K401" s="56"/>
      <c r="L401" s="56"/>
    </row>
    <row r="402" spans="1:12" s="98" customFormat="1" x14ac:dyDescent="0.15">
      <c r="A402" s="11"/>
      <c r="B402" s="11"/>
      <c r="C402" s="13"/>
      <c r="D402" s="12"/>
      <c r="E402" s="13"/>
      <c r="F402" s="13"/>
      <c r="G402" s="12"/>
      <c r="H402" s="56"/>
      <c r="I402" s="56"/>
      <c r="J402" s="56"/>
      <c r="K402" s="56"/>
      <c r="L402" s="56"/>
    </row>
    <row r="403" spans="1:12" s="98" customFormat="1" x14ac:dyDescent="0.15">
      <c r="A403" s="11"/>
      <c r="B403" s="11"/>
      <c r="C403" s="13"/>
      <c r="D403" s="12"/>
      <c r="E403" s="13"/>
      <c r="F403" s="13"/>
      <c r="G403" s="12"/>
      <c r="H403" s="56"/>
      <c r="I403" s="56"/>
      <c r="J403" s="56"/>
      <c r="K403" s="56"/>
      <c r="L403" s="56"/>
    </row>
    <row r="404" spans="1:12" s="98" customFormat="1" x14ac:dyDescent="0.15">
      <c r="A404" s="11"/>
      <c r="B404" s="11"/>
      <c r="C404" s="13"/>
      <c r="D404" s="12"/>
      <c r="E404" s="13"/>
      <c r="F404" s="13"/>
      <c r="G404" s="12"/>
      <c r="H404" s="56"/>
      <c r="I404" s="56"/>
      <c r="J404" s="56"/>
      <c r="K404" s="56"/>
      <c r="L404" s="56"/>
    </row>
    <row r="405" spans="1:12" s="98" customFormat="1" x14ac:dyDescent="0.15">
      <c r="A405" s="11"/>
      <c r="B405" s="11"/>
      <c r="C405" s="13"/>
      <c r="D405" s="12"/>
      <c r="E405" s="13"/>
      <c r="F405" s="13"/>
      <c r="G405" s="12"/>
      <c r="H405" s="56"/>
      <c r="I405" s="56"/>
      <c r="J405" s="56"/>
      <c r="K405" s="56"/>
      <c r="L405" s="56"/>
    </row>
    <row r="406" spans="1:12" s="98" customFormat="1" x14ac:dyDescent="0.15">
      <c r="A406" s="11"/>
      <c r="B406" s="11"/>
      <c r="C406" s="13"/>
      <c r="D406" s="12"/>
      <c r="E406" s="13"/>
      <c r="F406" s="13"/>
      <c r="G406" s="12"/>
      <c r="H406" s="56"/>
      <c r="I406" s="56"/>
      <c r="J406" s="56"/>
      <c r="K406" s="56"/>
      <c r="L406" s="56"/>
    </row>
    <row r="407" spans="1:12" s="98" customFormat="1" x14ac:dyDescent="0.15">
      <c r="A407" s="11"/>
      <c r="B407" s="11"/>
      <c r="C407" s="13"/>
      <c r="D407" s="12"/>
      <c r="E407" s="13"/>
      <c r="F407" s="13"/>
      <c r="G407" s="12"/>
      <c r="H407" s="56"/>
      <c r="I407" s="56"/>
      <c r="J407" s="56"/>
      <c r="K407" s="56"/>
      <c r="L407" s="56"/>
    </row>
    <row r="408" spans="1:12" s="98" customFormat="1" x14ac:dyDescent="0.15">
      <c r="A408" s="11"/>
      <c r="B408" s="11"/>
      <c r="C408" s="13"/>
      <c r="D408" s="12"/>
      <c r="E408" s="13"/>
      <c r="F408" s="13"/>
      <c r="G408" s="12"/>
      <c r="H408" s="56"/>
      <c r="I408" s="56"/>
      <c r="J408" s="56"/>
      <c r="K408" s="56"/>
      <c r="L408" s="56"/>
    </row>
    <row r="409" spans="1:12" s="98" customFormat="1" x14ac:dyDescent="0.15">
      <c r="A409" s="11"/>
      <c r="B409" s="11"/>
      <c r="C409" s="13"/>
      <c r="D409" s="12"/>
      <c r="E409" s="13"/>
      <c r="F409" s="13"/>
      <c r="G409" s="12"/>
      <c r="H409" s="56"/>
      <c r="I409" s="56"/>
      <c r="J409" s="56"/>
      <c r="K409" s="56"/>
      <c r="L409" s="56"/>
    </row>
    <row r="410" spans="1:12" s="98" customFormat="1" x14ac:dyDescent="0.15">
      <c r="A410" s="11"/>
      <c r="B410" s="11"/>
      <c r="C410" s="13"/>
      <c r="D410" s="12"/>
      <c r="E410" s="13"/>
      <c r="F410" s="13"/>
      <c r="G410" s="12"/>
      <c r="H410" s="56"/>
      <c r="I410" s="56"/>
      <c r="J410" s="56"/>
      <c r="K410" s="56"/>
      <c r="L410" s="56"/>
    </row>
    <row r="411" spans="1:12" s="98" customFormat="1" x14ac:dyDescent="0.15">
      <c r="A411" s="11"/>
      <c r="B411" s="11"/>
      <c r="C411" s="13"/>
      <c r="D411" s="12"/>
      <c r="E411" s="13"/>
      <c r="F411" s="13"/>
      <c r="G411" s="12"/>
      <c r="H411" s="56"/>
      <c r="I411" s="56"/>
      <c r="J411" s="56"/>
      <c r="K411" s="56"/>
      <c r="L411" s="56"/>
    </row>
    <row r="412" spans="1:12" s="98" customFormat="1" x14ac:dyDescent="0.15">
      <c r="A412" s="11"/>
      <c r="B412" s="11"/>
      <c r="C412" s="13"/>
      <c r="D412" s="12"/>
      <c r="E412" s="13"/>
      <c r="F412" s="13"/>
      <c r="G412" s="12"/>
      <c r="H412" s="56"/>
      <c r="I412" s="56"/>
      <c r="J412" s="56"/>
      <c r="K412" s="56"/>
      <c r="L412" s="56"/>
    </row>
    <row r="413" spans="1:12" s="98" customFormat="1" x14ac:dyDescent="0.15">
      <c r="A413" s="11"/>
      <c r="B413" s="11"/>
      <c r="C413" s="13"/>
      <c r="D413" s="12"/>
      <c r="E413" s="13"/>
      <c r="F413" s="13"/>
      <c r="G413" s="12"/>
      <c r="H413" s="56"/>
      <c r="I413" s="56"/>
      <c r="J413" s="56"/>
      <c r="K413" s="56"/>
      <c r="L413" s="56"/>
    </row>
    <row r="414" spans="1:12" s="98" customFormat="1" x14ac:dyDescent="0.15">
      <c r="A414" s="11"/>
      <c r="B414" s="11"/>
      <c r="C414" s="13"/>
      <c r="D414" s="12"/>
      <c r="E414" s="13"/>
      <c r="F414" s="13"/>
      <c r="G414" s="12"/>
      <c r="H414" s="56"/>
      <c r="I414" s="56"/>
      <c r="J414" s="56"/>
      <c r="K414" s="56"/>
      <c r="L414" s="56"/>
    </row>
    <row r="415" spans="1:12" s="98" customFormat="1" x14ac:dyDescent="0.15">
      <c r="A415" s="11"/>
      <c r="B415" s="11"/>
      <c r="C415" s="13"/>
      <c r="D415" s="12"/>
      <c r="E415" s="13"/>
      <c r="F415" s="13"/>
      <c r="G415" s="12"/>
      <c r="H415" s="56"/>
      <c r="I415" s="56"/>
      <c r="J415" s="56"/>
      <c r="K415" s="56"/>
      <c r="L415" s="56"/>
    </row>
    <row r="416" spans="1:12" s="98" customFormat="1" x14ac:dyDescent="0.15">
      <c r="A416" s="11"/>
      <c r="B416" s="11"/>
      <c r="C416" s="13"/>
      <c r="D416" s="12"/>
      <c r="E416" s="13"/>
      <c r="F416" s="13"/>
      <c r="G416" s="12"/>
      <c r="H416" s="56"/>
      <c r="I416" s="56"/>
      <c r="J416" s="56"/>
      <c r="K416" s="56"/>
      <c r="L416" s="56"/>
    </row>
    <row r="417" spans="1:12" s="98" customFormat="1" x14ac:dyDescent="0.15">
      <c r="A417" s="11"/>
      <c r="B417" s="11"/>
      <c r="C417" s="13"/>
      <c r="D417" s="12"/>
      <c r="E417" s="13"/>
      <c r="F417" s="13"/>
      <c r="G417" s="12"/>
      <c r="H417" s="56"/>
      <c r="I417" s="56"/>
      <c r="J417" s="56"/>
      <c r="K417" s="56"/>
      <c r="L417" s="56"/>
    </row>
    <row r="418" spans="1:12" s="98" customFormat="1" x14ac:dyDescent="0.15">
      <c r="A418" s="11"/>
      <c r="B418" s="11"/>
      <c r="C418" s="13"/>
      <c r="D418" s="12"/>
      <c r="E418" s="13"/>
      <c r="F418" s="13"/>
      <c r="G418" s="12"/>
      <c r="H418" s="56"/>
      <c r="I418" s="56"/>
      <c r="J418" s="56"/>
      <c r="K418" s="56"/>
      <c r="L418" s="56"/>
    </row>
    <row r="419" spans="1:12" s="98" customFormat="1" x14ac:dyDescent="0.15">
      <c r="A419" s="11"/>
      <c r="B419" s="11"/>
      <c r="C419" s="13"/>
      <c r="D419" s="12"/>
      <c r="E419" s="13"/>
      <c r="F419" s="13"/>
      <c r="G419" s="12"/>
      <c r="H419" s="56"/>
      <c r="I419" s="56"/>
      <c r="J419" s="56"/>
      <c r="K419" s="56"/>
      <c r="L419" s="56"/>
    </row>
    <row r="420" spans="1:12" s="98" customFormat="1" x14ac:dyDescent="0.15">
      <c r="A420" s="11"/>
      <c r="B420" s="11"/>
      <c r="C420" s="13"/>
      <c r="D420" s="12"/>
      <c r="E420" s="13"/>
      <c r="F420" s="13"/>
      <c r="G420" s="12"/>
      <c r="H420" s="56"/>
      <c r="I420" s="56"/>
      <c r="J420" s="56"/>
      <c r="K420" s="56"/>
      <c r="L420" s="56"/>
    </row>
    <row r="421" spans="1:12" s="98" customFormat="1" x14ac:dyDescent="0.15">
      <c r="A421" s="11"/>
      <c r="B421" s="11"/>
      <c r="C421" s="13"/>
      <c r="D421" s="12"/>
      <c r="E421" s="13"/>
      <c r="F421" s="13"/>
      <c r="G421" s="12"/>
      <c r="H421" s="56"/>
      <c r="I421" s="56"/>
      <c r="J421" s="56"/>
      <c r="K421" s="56"/>
      <c r="L421" s="56"/>
    </row>
    <row r="422" spans="1:12" s="98" customFormat="1" x14ac:dyDescent="0.15">
      <c r="A422" s="11"/>
      <c r="B422" s="11"/>
      <c r="C422" s="13"/>
      <c r="D422" s="12"/>
      <c r="E422" s="13"/>
      <c r="F422" s="13"/>
      <c r="G422" s="12"/>
      <c r="H422" s="56"/>
      <c r="I422" s="56"/>
      <c r="J422" s="56"/>
      <c r="K422" s="56"/>
      <c r="L422" s="56"/>
    </row>
    <row r="423" spans="1:12" s="98" customFormat="1" x14ac:dyDescent="0.15">
      <c r="A423" s="11"/>
      <c r="B423" s="11"/>
      <c r="C423" s="13"/>
      <c r="D423" s="12"/>
      <c r="E423" s="13"/>
      <c r="F423" s="13"/>
      <c r="G423" s="12"/>
      <c r="H423" s="56"/>
      <c r="I423" s="56"/>
      <c r="J423" s="56"/>
      <c r="K423" s="56"/>
      <c r="L423" s="56"/>
    </row>
    <row r="424" spans="1:12" s="98" customFormat="1" x14ac:dyDescent="0.15">
      <c r="A424" s="11"/>
      <c r="B424" s="11"/>
      <c r="C424" s="13"/>
      <c r="D424" s="12"/>
      <c r="E424" s="13"/>
      <c r="F424" s="13"/>
      <c r="G424" s="12"/>
      <c r="H424" s="56"/>
      <c r="I424" s="56"/>
      <c r="J424" s="56"/>
      <c r="K424" s="56"/>
      <c r="L424" s="56"/>
    </row>
    <row r="425" spans="1:12" s="98" customFormat="1" x14ac:dyDescent="0.15">
      <c r="A425" s="11"/>
      <c r="B425" s="11"/>
      <c r="C425" s="13"/>
      <c r="D425" s="12"/>
      <c r="E425" s="13"/>
      <c r="F425" s="13"/>
      <c r="G425" s="12"/>
      <c r="H425" s="56"/>
      <c r="I425" s="56"/>
      <c r="J425" s="56"/>
      <c r="K425" s="56"/>
      <c r="L425" s="56"/>
    </row>
    <row r="426" spans="1:12" s="98" customFormat="1" x14ac:dyDescent="0.15">
      <c r="A426" s="11"/>
      <c r="B426" s="11"/>
      <c r="C426" s="13"/>
      <c r="D426" s="12"/>
      <c r="E426" s="13"/>
      <c r="F426" s="13"/>
      <c r="G426" s="12"/>
      <c r="H426" s="56"/>
      <c r="I426" s="56"/>
      <c r="J426" s="56"/>
      <c r="K426" s="56"/>
      <c r="L426" s="56"/>
    </row>
    <row r="427" spans="1:12" s="98" customFormat="1" x14ac:dyDescent="0.15">
      <c r="A427" s="11"/>
      <c r="B427" s="11"/>
      <c r="C427" s="13"/>
      <c r="D427" s="12"/>
      <c r="E427" s="13"/>
      <c r="F427" s="13"/>
      <c r="G427" s="12"/>
      <c r="H427" s="56"/>
      <c r="I427" s="56"/>
      <c r="J427" s="56"/>
      <c r="K427" s="56"/>
      <c r="L427" s="56"/>
    </row>
    <row r="428" spans="1:12" s="98" customFormat="1" x14ac:dyDescent="0.15">
      <c r="A428" s="11"/>
      <c r="B428" s="11"/>
      <c r="C428" s="13"/>
      <c r="D428" s="12"/>
      <c r="E428" s="13"/>
      <c r="F428" s="13"/>
      <c r="G428" s="12"/>
      <c r="H428" s="56"/>
      <c r="I428" s="56"/>
      <c r="J428" s="56"/>
      <c r="K428" s="56"/>
      <c r="L428" s="56"/>
    </row>
    <row r="429" spans="1:12" s="98" customFormat="1" x14ac:dyDescent="0.15">
      <c r="A429" s="11"/>
      <c r="B429" s="11"/>
      <c r="C429" s="13"/>
      <c r="D429" s="12"/>
      <c r="E429" s="13"/>
      <c r="F429" s="13"/>
      <c r="G429" s="12"/>
      <c r="H429" s="56"/>
      <c r="I429" s="56"/>
      <c r="J429" s="56"/>
      <c r="K429" s="56"/>
      <c r="L429" s="56"/>
    </row>
    <row r="430" spans="1:12" s="98" customFormat="1" x14ac:dyDescent="0.15">
      <c r="A430" s="11"/>
      <c r="B430" s="11"/>
      <c r="C430" s="13"/>
      <c r="D430" s="12"/>
      <c r="E430" s="13"/>
      <c r="F430" s="13"/>
      <c r="G430" s="12"/>
      <c r="H430" s="56"/>
      <c r="I430" s="56"/>
      <c r="J430" s="56"/>
      <c r="K430" s="56"/>
      <c r="L430" s="56"/>
    </row>
    <row r="431" spans="1:12" s="98" customFormat="1" x14ac:dyDescent="0.15">
      <c r="A431" s="11"/>
      <c r="B431" s="11"/>
      <c r="C431" s="13"/>
      <c r="D431" s="12"/>
      <c r="E431" s="13"/>
      <c r="F431" s="13"/>
      <c r="G431" s="12"/>
      <c r="H431" s="56"/>
      <c r="I431" s="56"/>
      <c r="J431" s="56"/>
      <c r="K431" s="56"/>
      <c r="L431" s="56"/>
    </row>
    <row r="432" spans="1:12" s="98" customFormat="1" x14ac:dyDescent="0.15">
      <c r="A432" s="11"/>
      <c r="B432" s="11"/>
      <c r="C432" s="13"/>
      <c r="D432" s="12"/>
      <c r="E432" s="13"/>
      <c r="F432" s="13"/>
      <c r="G432" s="12"/>
      <c r="H432" s="56"/>
      <c r="I432" s="56"/>
      <c r="J432" s="56"/>
      <c r="K432" s="56"/>
      <c r="L432" s="56"/>
    </row>
    <row r="433" spans="1:12" s="98" customFormat="1" x14ac:dyDescent="0.15">
      <c r="A433" s="11"/>
      <c r="B433" s="11"/>
      <c r="C433" s="13"/>
      <c r="D433" s="12"/>
      <c r="E433" s="13"/>
      <c r="F433" s="13"/>
      <c r="G433" s="12"/>
      <c r="H433" s="56"/>
      <c r="I433" s="56"/>
      <c r="J433" s="56"/>
      <c r="K433" s="56"/>
      <c r="L433" s="56"/>
    </row>
    <row r="434" spans="1:12" s="98" customFormat="1" x14ac:dyDescent="0.15">
      <c r="A434" s="11"/>
      <c r="B434" s="11"/>
      <c r="C434" s="13"/>
      <c r="D434" s="12"/>
      <c r="E434" s="13"/>
      <c r="F434" s="13"/>
      <c r="G434" s="12"/>
      <c r="H434" s="56"/>
      <c r="I434" s="56"/>
      <c r="J434" s="56"/>
      <c r="K434" s="56"/>
      <c r="L434" s="56"/>
    </row>
    <row r="435" spans="1:12" s="98" customFormat="1" x14ac:dyDescent="0.15">
      <c r="A435" s="11"/>
      <c r="B435" s="11"/>
      <c r="C435" s="13"/>
      <c r="D435" s="12"/>
      <c r="E435" s="13"/>
      <c r="F435" s="13"/>
      <c r="G435" s="12"/>
      <c r="H435" s="56"/>
      <c r="I435" s="56"/>
      <c r="J435" s="56"/>
      <c r="K435" s="56"/>
      <c r="L435" s="56"/>
    </row>
    <row r="436" spans="1:12" s="98" customFormat="1" x14ac:dyDescent="0.15">
      <c r="A436" s="11"/>
      <c r="B436" s="11"/>
      <c r="C436" s="13"/>
      <c r="D436" s="12"/>
      <c r="E436" s="13"/>
      <c r="F436" s="13"/>
      <c r="G436" s="12"/>
      <c r="H436" s="56"/>
      <c r="I436" s="56"/>
      <c r="J436" s="56"/>
      <c r="K436" s="56"/>
      <c r="L436" s="56"/>
    </row>
    <row r="437" spans="1:12" s="98" customFormat="1" x14ac:dyDescent="0.15">
      <c r="A437" s="11"/>
      <c r="B437" s="11"/>
      <c r="C437" s="13"/>
      <c r="D437" s="12"/>
      <c r="E437" s="13"/>
      <c r="F437" s="13"/>
      <c r="G437" s="12"/>
      <c r="H437" s="56"/>
      <c r="I437" s="56"/>
      <c r="J437" s="56"/>
      <c r="K437" s="56"/>
      <c r="L437" s="56"/>
    </row>
    <row r="438" spans="1:12" s="98" customFormat="1" x14ac:dyDescent="0.15">
      <c r="A438" s="11"/>
      <c r="B438" s="11"/>
      <c r="C438" s="13"/>
      <c r="D438" s="12"/>
      <c r="E438" s="13"/>
      <c r="F438" s="13"/>
      <c r="G438" s="12"/>
      <c r="H438" s="56"/>
      <c r="I438" s="56"/>
      <c r="J438" s="56"/>
      <c r="K438" s="56"/>
      <c r="L438" s="56"/>
    </row>
    <row r="439" spans="1:12" s="98" customFormat="1" x14ac:dyDescent="0.15">
      <c r="A439" s="11"/>
      <c r="B439" s="11"/>
      <c r="C439" s="13"/>
      <c r="D439" s="12"/>
      <c r="E439" s="13"/>
      <c r="F439" s="13"/>
      <c r="G439" s="12"/>
      <c r="H439" s="56"/>
      <c r="I439" s="56"/>
      <c r="J439" s="56"/>
      <c r="K439" s="56"/>
      <c r="L439" s="56"/>
    </row>
    <row r="440" spans="1:12" s="98" customFormat="1" x14ac:dyDescent="0.15">
      <c r="A440" s="11"/>
      <c r="B440" s="11"/>
      <c r="C440" s="13"/>
      <c r="D440" s="12"/>
      <c r="E440" s="13"/>
      <c r="F440" s="13"/>
      <c r="G440" s="12"/>
      <c r="H440" s="56"/>
      <c r="I440" s="56"/>
      <c r="J440" s="56"/>
      <c r="K440" s="56"/>
      <c r="L440" s="56"/>
    </row>
    <row r="441" spans="1:12" s="98" customFormat="1" x14ac:dyDescent="0.15">
      <c r="A441" s="11"/>
      <c r="B441" s="11"/>
      <c r="C441" s="13"/>
      <c r="D441" s="12"/>
      <c r="E441" s="13"/>
      <c r="F441" s="13"/>
      <c r="G441" s="12"/>
      <c r="H441" s="56"/>
      <c r="I441" s="56"/>
      <c r="J441" s="56"/>
      <c r="K441" s="56"/>
      <c r="L441" s="56"/>
    </row>
    <row r="442" spans="1:12" s="98" customFormat="1" x14ac:dyDescent="0.15">
      <c r="A442" s="11"/>
      <c r="B442" s="11"/>
      <c r="C442" s="13"/>
      <c r="D442" s="12"/>
      <c r="E442" s="13"/>
      <c r="F442" s="13"/>
      <c r="G442" s="12"/>
      <c r="H442" s="56"/>
      <c r="I442" s="56"/>
      <c r="J442" s="56"/>
      <c r="K442" s="56"/>
      <c r="L442" s="56"/>
    </row>
    <row r="443" spans="1:12" s="98" customFormat="1" x14ac:dyDescent="0.15">
      <c r="A443" s="11"/>
      <c r="B443" s="11"/>
      <c r="C443" s="13"/>
      <c r="D443" s="12"/>
      <c r="E443" s="13"/>
      <c r="F443" s="13"/>
      <c r="G443" s="12"/>
      <c r="H443" s="56"/>
      <c r="I443" s="56"/>
      <c r="J443" s="56"/>
      <c r="K443" s="56"/>
      <c r="L443" s="56"/>
    </row>
    <row r="444" spans="1:12" s="98" customFormat="1" x14ac:dyDescent="0.15">
      <c r="A444" s="11"/>
      <c r="B444" s="11"/>
      <c r="C444" s="13"/>
      <c r="D444" s="12"/>
      <c r="E444" s="13"/>
      <c r="F444" s="13"/>
      <c r="G444" s="12"/>
      <c r="H444" s="56"/>
      <c r="I444" s="56"/>
      <c r="J444" s="56"/>
      <c r="K444" s="56"/>
      <c r="L444" s="56"/>
    </row>
    <row r="445" spans="1:12" s="98" customFormat="1" x14ac:dyDescent="0.15">
      <c r="A445" s="11"/>
      <c r="B445" s="11"/>
      <c r="C445" s="13"/>
      <c r="D445" s="12"/>
      <c r="E445" s="13"/>
      <c r="F445" s="13"/>
      <c r="G445" s="12"/>
      <c r="H445" s="56"/>
      <c r="I445" s="56"/>
      <c r="J445" s="56"/>
      <c r="K445" s="56"/>
      <c r="L445" s="56"/>
    </row>
    <row r="446" spans="1:12" s="98" customFormat="1" x14ac:dyDescent="0.15">
      <c r="A446" s="11"/>
      <c r="B446" s="11"/>
      <c r="C446" s="13"/>
      <c r="D446" s="12"/>
      <c r="E446" s="13"/>
      <c r="F446" s="13"/>
      <c r="G446" s="12"/>
      <c r="H446" s="56"/>
      <c r="I446" s="56"/>
      <c r="J446" s="56"/>
      <c r="K446" s="56"/>
      <c r="L446" s="56"/>
    </row>
    <row r="447" spans="1:12" s="98" customFormat="1" x14ac:dyDescent="0.15">
      <c r="A447" s="11"/>
      <c r="B447" s="11"/>
      <c r="C447" s="13"/>
      <c r="D447" s="12"/>
      <c r="E447" s="13"/>
      <c r="F447" s="13"/>
      <c r="G447" s="12"/>
      <c r="H447" s="56"/>
      <c r="I447" s="56"/>
      <c r="J447" s="56"/>
      <c r="K447" s="56"/>
      <c r="L447" s="56"/>
    </row>
    <row r="448" spans="1:12" s="98" customFormat="1" x14ac:dyDescent="0.15">
      <c r="A448" s="11"/>
      <c r="B448" s="11"/>
      <c r="C448" s="13"/>
      <c r="D448" s="12"/>
      <c r="E448" s="13"/>
      <c r="F448" s="13"/>
      <c r="G448" s="12"/>
      <c r="H448" s="56"/>
      <c r="I448" s="56"/>
      <c r="J448" s="56"/>
      <c r="K448" s="56"/>
      <c r="L448" s="56"/>
    </row>
    <row r="449" spans="1:12" s="98" customFormat="1" x14ac:dyDescent="0.15">
      <c r="A449" s="11"/>
      <c r="B449" s="11"/>
      <c r="C449" s="13"/>
      <c r="D449" s="12"/>
      <c r="E449" s="13"/>
      <c r="F449" s="13"/>
      <c r="G449" s="12"/>
      <c r="H449" s="56"/>
      <c r="I449" s="56"/>
      <c r="J449" s="56"/>
      <c r="K449" s="56"/>
      <c r="L449" s="56"/>
    </row>
    <row r="450" spans="1:12" s="98" customFormat="1" x14ac:dyDescent="0.15">
      <c r="A450" s="11"/>
      <c r="B450" s="11"/>
      <c r="C450" s="13"/>
      <c r="D450" s="12"/>
      <c r="E450" s="13"/>
      <c r="F450" s="13"/>
      <c r="G450" s="12"/>
      <c r="H450" s="56"/>
      <c r="I450" s="56"/>
      <c r="J450" s="56"/>
      <c r="K450" s="56"/>
      <c r="L450" s="56"/>
    </row>
    <row r="451" spans="1:12" s="98" customFormat="1" x14ac:dyDescent="0.15">
      <c r="A451" s="11"/>
      <c r="B451" s="11"/>
      <c r="C451" s="13"/>
      <c r="D451" s="12"/>
      <c r="E451" s="13"/>
      <c r="F451" s="13"/>
      <c r="G451" s="12"/>
      <c r="H451" s="56"/>
      <c r="I451" s="56"/>
      <c r="J451" s="56"/>
      <c r="K451" s="56"/>
      <c r="L451" s="56"/>
    </row>
    <row r="452" spans="1:12" s="98" customFormat="1" x14ac:dyDescent="0.15">
      <c r="A452" s="11"/>
      <c r="B452" s="11"/>
      <c r="C452" s="13"/>
      <c r="D452" s="12"/>
      <c r="E452" s="13"/>
      <c r="F452" s="13"/>
      <c r="G452" s="12"/>
      <c r="H452" s="56"/>
      <c r="I452" s="56"/>
      <c r="J452" s="56"/>
      <c r="K452" s="56"/>
      <c r="L452" s="56"/>
    </row>
    <row r="453" spans="1:12" s="98" customFormat="1" x14ac:dyDescent="0.15">
      <c r="A453" s="11"/>
      <c r="B453" s="11"/>
      <c r="C453" s="13"/>
      <c r="D453" s="12"/>
      <c r="E453" s="13"/>
      <c r="F453" s="13"/>
      <c r="G453" s="12"/>
      <c r="H453" s="56"/>
      <c r="I453" s="56"/>
      <c r="J453" s="56"/>
      <c r="K453" s="56"/>
      <c r="L453" s="56"/>
    </row>
    <row r="454" spans="1:12" s="98" customFormat="1" x14ac:dyDescent="0.15">
      <c r="A454" s="11"/>
      <c r="B454" s="11"/>
      <c r="C454" s="13"/>
      <c r="D454" s="12"/>
      <c r="E454" s="13"/>
      <c r="F454" s="13"/>
      <c r="G454" s="12"/>
      <c r="H454" s="56"/>
      <c r="I454" s="56"/>
      <c r="J454" s="56"/>
      <c r="K454" s="56"/>
      <c r="L454" s="56"/>
    </row>
    <row r="455" spans="1:12" s="98" customFormat="1" x14ac:dyDescent="0.15">
      <c r="A455" s="11"/>
      <c r="B455" s="11"/>
      <c r="C455" s="13"/>
      <c r="D455" s="12"/>
      <c r="E455" s="13"/>
      <c r="F455" s="13"/>
      <c r="G455" s="12"/>
      <c r="H455" s="56"/>
      <c r="I455" s="56"/>
      <c r="J455" s="56"/>
      <c r="K455" s="56"/>
      <c r="L455" s="56"/>
    </row>
    <row r="456" spans="1:12" s="98" customFormat="1" x14ac:dyDescent="0.15">
      <c r="A456" s="11"/>
      <c r="B456" s="11"/>
      <c r="C456" s="13"/>
      <c r="D456" s="12"/>
      <c r="E456" s="13"/>
      <c r="F456" s="13"/>
      <c r="G456" s="12"/>
      <c r="H456" s="56"/>
      <c r="I456" s="56"/>
      <c r="J456" s="56"/>
      <c r="K456" s="56"/>
      <c r="L456" s="56"/>
    </row>
    <row r="457" spans="1:12" s="98" customFormat="1" x14ac:dyDescent="0.15">
      <c r="A457" s="11"/>
      <c r="B457" s="11"/>
      <c r="C457" s="13"/>
      <c r="D457" s="12"/>
      <c r="E457" s="13"/>
      <c r="F457" s="13"/>
      <c r="G457" s="12"/>
      <c r="H457" s="56"/>
      <c r="I457" s="56"/>
      <c r="J457" s="56"/>
      <c r="K457" s="56"/>
      <c r="L457" s="56"/>
    </row>
    <row r="458" spans="1:12" s="98" customFormat="1" x14ac:dyDescent="0.15">
      <c r="A458" s="11"/>
      <c r="B458" s="11"/>
      <c r="C458" s="13"/>
      <c r="D458" s="12"/>
      <c r="E458" s="13"/>
      <c r="F458" s="13"/>
      <c r="G458" s="12"/>
      <c r="H458" s="56"/>
      <c r="I458" s="56"/>
      <c r="J458" s="56"/>
      <c r="K458" s="56"/>
      <c r="L458" s="56"/>
    </row>
    <row r="459" spans="1:12" s="98" customFormat="1" x14ac:dyDescent="0.15">
      <c r="A459" s="11"/>
      <c r="B459" s="11"/>
      <c r="C459" s="13"/>
      <c r="D459" s="12"/>
      <c r="E459" s="13"/>
      <c r="F459" s="13"/>
      <c r="G459" s="12"/>
      <c r="H459" s="56"/>
      <c r="I459" s="56"/>
      <c r="J459" s="56"/>
      <c r="K459" s="56"/>
      <c r="L459" s="56"/>
    </row>
    <row r="460" spans="1:12" s="98" customFormat="1" x14ac:dyDescent="0.15">
      <c r="A460" s="11"/>
      <c r="B460" s="11"/>
      <c r="C460" s="13"/>
      <c r="D460" s="12"/>
      <c r="E460" s="13"/>
      <c r="F460" s="13"/>
      <c r="G460" s="12"/>
      <c r="H460" s="56"/>
      <c r="I460" s="56"/>
      <c r="J460" s="56"/>
      <c r="K460" s="56"/>
      <c r="L460" s="56"/>
    </row>
    <row r="461" spans="1:12" s="98" customFormat="1" x14ac:dyDescent="0.15">
      <c r="A461" s="11"/>
      <c r="B461" s="11"/>
      <c r="C461" s="13"/>
      <c r="D461" s="12"/>
      <c r="E461" s="13"/>
      <c r="F461" s="13"/>
      <c r="G461" s="12"/>
      <c r="H461" s="56"/>
      <c r="I461" s="56"/>
      <c r="J461" s="56"/>
      <c r="K461" s="56"/>
      <c r="L461" s="56"/>
    </row>
    <row r="462" spans="1:12" s="98" customFormat="1" x14ac:dyDescent="0.15">
      <c r="A462" s="11"/>
      <c r="B462" s="11"/>
      <c r="C462" s="13"/>
      <c r="D462" s="12"/>
      <c r="E462" s="13"/>
      <c r="F462" s="13"/>
      <c r="G462" s="12"/>
      <c r="H462" s="56"/>
      <c r="I462" s="56"/>
      <c r="J462" s="56"/>
      <c r="K462" s="56"/>
      <c r="L462" s="56"/>
    </row>
    <row r="463" spans="1:12" s="98" customFormat="1" x14ac:dyDescent="0.15">
      <c r="A463" s="11"/>
      <c r="B463" s="11"/>
      <c r="C463" s="13"/>
      <c r="D463" s="12"/>
      <c r="E463" s="13"/>
      <c r="F463" s="13"/>
      <c r="G463" s="12"/>
      <c r="H463" s="56"/>
      <c r="I463" s="56"/>
      <c r="J463" s="56"/>
      <c r="K463" s="56"/>
      <c r="L463" s="56"/>
    </row>
    <row r="464" spans="1:12" s="98" customFormat="1" x14ac:dyDescent="0.15">
      <c r="A464" s="11"/>
      <c r="B464" s="11"/>
      <c r="C464" s="13"/>
      <c r="D464" s="12"/>
      <c r="E464" s="13"/>
      <c r="F464" s="13"/>
      <c r="G464" s="12"/>
      <c r="H464" s="56"/>
      <c r="I464" s="56"/>
      <c r="J464" s="56"/>
      <c r="K464" s="56"/>
      <c r="L464" s="56"/>
    </row>
    <row r="465" spans="1:12" s="98" customFormat="1" x14ac:dyDescent="0.15">
      <c r="A465" s="11"/>
      <c r="B465" s="11"/>
      <c r="C465" s="13"/>
      <c r="D465" s="12"/>
      <c r="E465" s="13"/>
      <c r="F465" s="13"/>
      <c r="G465" s="12"/>
      <c r="H465" s="56"/>
      <c r="I465" s="56"/>
      <c r="J465" s="56"/>
      <c r="K465" s="56"/>
      <c r="L465" s="56"/>
    </row>
    <row r="466" spans="1:12" s="98" customFormat="1" x14ac:dyDescent="0.15">
      <c r="A466" s="11"/>
      <c r="B466" s="11"/>
      <c r="C466" s="13"/>
      <c r="D466" s="12"/>
      <c r="E466" s="13"/>
      <c r="F466" s="13"/>
      <c r="G466" s="12"/>
      <c r="H466" s="56"/>
      <c r="I466" s="56"/>
      <c r="J466" s="56"/>
      <c r="K466" s="56"/>
      <c r="L466" s="56"/>
    </row>
    <row r="467" spans="1:12" s="98" customFormat="1" x14ac:dyDescent="0.15">
      <c r="A467" s="11"/>
      <c r="B467" s="11"/>
      <c r="C467" s="13"/>
      <c r="D467" s="12"/>
      <c r="E467" s="13"/>
      <c r="F467" s="13"/>
      <c r="G467" s="12"/>
      <c r="H467" s="56"/>
      <c r="I467" s="56"/>
      <c r="J467" s="56"/>
      <c r="K467" s="56"/>
      <c r="L467" s="56"/>
    </row>
    <row r="468" spans="1:12" s="98" customFormat="1" x14ac:dyDescent="0.15">
      <c r="A468" s="11"/>
      <c r="B468" s="11"/>
      <c r="C468" s="13"/>
      <c r="D468" s="12"/>
      <c r="E468" s="13"/>
      <c r="F468" s="13"/>
      <c r="G468" s="12"/>
      <c r="H468" s="56"/>
      <c r="I468" s="56"/>
      <c r="J468" s="56"/>
      <c r="K468" s="56"/>
      <c r="L468" s="56"/>
    </row>
    <row r="469" spans="1:12" s="98" customFormat="1" x14ac:dyDescent="0.15">
      <c r="A469" s="11"/>
      <c r="B469" s="11"/>
      <c r="C469" s="13"/>
      <c r="D469" s="12"/>
      <c r="E469" s="13"/>
      <c r="F469" s="13"/>
      <c r="G469" s="12"/>
      <c r="H469" s="56"/>
      <c r="I469" s="56"/>
      <c r="J469" s="56"/>
      <c r="K469" s="56"/>
      <c r="L469" s="56"/>
    </row>
    <row r="470" spans="1:12" s="98" customFormat="1" x14ac:dyDescent="0.15">
      <c r="A470" s="11"/>
      <c r="B470" s="11"/>
      <c r="C470" s="13"/>
      <c r="D470" s="12"/>
      <c r="E470" s="13"/>
      <c r="F470" s="13"/>
      <c r="G470" s="12"/>
      <c r="H470" s="56"/>
      <c r="I470" s="56"/>
      <c r="J470" s="56"/>
      <c r="K470" s="56"/>
      <c r="L470" s="56"/>
    </row>
    <row r="471" spans="1:12" s="98" customFormat="1" x14ac:dyDescent="0.15">
      <c r="A471" s="11"/>
      <c r="B471" s="11"/>
      <c r="C471" s="13"/>
      <c r="D471" s="12"/>
      <c r="E471" s="13"/>
      <c r="F471" s="13"/>
      <c r="G471" s="12"/>
      <c r="H471" s="56"/>
      <c r="I471" s="56"/>
      <c r="J471" s="56"/>
      <c r="K471" s="56"/>
      <c r="L471" s="56"/>
    </row>
    <row r="472" spans="1:12" s="98" customFormat="1" x14ac:dyDescent="0.15">
      <c r="A472" s="11"/>
      <c r="B472" s="11"/>
      <c r="C472" s="13"/>
      <c r="D472" s="12"/>
      <c r="E472" s="13"/>
      <c r="F472" s="13"/>
      <c r="G472" s="12"/>
      <c r="H472" s="56"/>
      <c r="I472" s="56"/>
      <c r="J472" s="56"/>
      <c r="K472" s="56"/>
      <c r="L472" s="56"/>
    </row>
    <row r="473" spans="1:12" s="98" customFormat="1" x14ac:dyDescent="0.15">
      <c r="A473" s="11"/>
      <c r="B473" s="11"/>
      <c r="C473" s="13"/>
      <c r="D473" s="12"/>
      <c r="E473" s="13"/>
      <c r="F473" s="13"/>
      <c r="G473" s="12"/>
      <c r="H473" s="56"/>
      <c r="I473" s="56"/>
      <c r="J473" s="56"/>
      <c r="K473" s="56"/>
      <c r="L473" s="56"/>
    </row>
    <row r="474" spans="1:12" s="98" customFormat="1" x14ac:dyDescent="0.15">
      <c r="A474" s="11"/>
      <c r="B474" s="11"/>
      <c r="C474" s="13"/>
      <c r="D474" s="12"/>
      <c r="E474" s="13"/>
      <c r="F474" s="13"/>
      <c r="G474" s="12"/>
      <c r="H474" s="56"/>
      <c r="I474" s="56"/>
      <c r="J474" s="56"/>
      <c r="K474" s="56"/>
      <c r="L474" s="56"/>
    </row>
    <row r="475" spans="1:12" s="98" customFormat="1" x14ac:dyDescent="0.15">
      <c r="A475" s="11"/>
      <c r="B475" s="11"/>
      <c r="C475" s="13"/>
      <c r="D475" s="12"/>
      <c r="E475" s="13"/>
      <c r="F475" s="13"/>
      <c r="G475" s="12"/>
      <c r="H475" s="56"/>
      <c r="I475" s="56"/>
      <c r="J475" s="56"/>
      <c r="K475" s="56"/>
      <c r="L475" s="56"/>
    </row>
    <row r="476" spans="1:12" s="98" customFormat="1" x14ac:dyDescent="0.15">
      <c r="A476" s="11"/>
      <c r="B476" s="11"/>
      <c r="C476" s="13"/>
      <c r="D476" s="12"/>
      <c r="E476" s="13"/>
      <c r="F476" s="13"/>
      <c r="G476" s="12"/>
      <c r="H476" s="56"/>
      <c r="I476" s="56"/>
      <c r="J476" s="56"/>
      <c r="K476" s="56"/>
      <c r="L476" s="56"/>
    </row>
    <row r="477" spans="1:12" s="98" customFormat="1" x14ac:dyDescent="0.15">
      <c r="A477" s="11"/>
      <c r="B477" s="11"/>
      <c r="C477" s="13"/>
      <c r="D477" s="12"/>
      <c r="E477" s="13"/>
      <c r="F477" s="13"/>
      <c r="G477" s="12"/>
      <c r="H477" s="56"/>
      <c r="I477" s="56"/>
      <c r="J477" s="56"/>
      <c r="K477" s="56"/>
      <c r="L477" s="56"/>
    </row>
    <row r="478" spans="1:12" s="98" customFormat="1" x14ac:dyDescent="0.15">
      <c r="A478" s="11"/>
      <c r="B478" s="11"/>
      <c r="C478" s="13"/>
      <c r="D478" s="12"/>
      <c r="E478" s="13"/>
      <c r="F478" s="13"/>
      <c r="G478" s="12"/>
      <c r="H478" s="56"/>
      <c r="I478" s="56"/>
      <c r="J478" s="56"/>
      <c r="K478" s="56"/>
      <c r="L478" s="56"/>
    </row>
    <row r="479" spans="1:12" s="98" customFormat="1" x14ac:dyDescent="0.15">
      <c r="A479" s="11"/>
      <c r="B479" s="11"/>
      <c r="C479" s="13"/>
      <c r="D479" s="12"/>
      <c r="E479" s="13"/>
      <c r="F479" s="13"/>
      <c r="G479" s="12"/>
      <c r="H479" s="56"/>
      <c r="I479" s="56"/>
      <c r="J479" s="56"/>
      <c r="K479" s="56"/>
      <c r="L479" s="56"/>
    </row>
    <row r="480" spans="1:12" s="98" customFormat="1" x14ac:dyDescent="0.15">
      <c r="A480" s="11"/>
      <c r="B480" s="11"/>
      <c r="C480" s="13"/>
      <c r="D480" s="12"/>
      <c r="E480" s="13"/>
      <c r="F480" s="13"/>
      <c r="G480" s="12"/>
      <c r="H480" s="56"/>
      <c r="I480" s="56"/>
      <c r="J480" s="56"/>
      <c r="K480" s="56"/>
      <c r="L480" s="56"/>
    </row>
    <row r="481" spans="1:12" s="98" customFormat="1" x14ac:dyDescent="0.15">
      <c r="A481" s="11"/>
      <c r="B481" s="11"/>
      <c r="C481" s="13"/>
      <c r="D481" s="12"/>
      <c r="E481" s="13"/>
      <c r="F481" s="13"/>
      <c r="G481" s="12"/>
      <c r="H481" s="56"/>
      <c r="I481" s="56"/>
      <c r="J481" s="56"/>
      <c r="K481" s="56"/>
      <c r="L481" s="56"/>
    </row>
    <row r="482" spans="1:12" s="98" customFormat="1" x14ac:dyDescent="0.15">
      <c r="A482" s="11"/>
      <c r="B482" s="11"/>
      <c r="C482" s="13"/>
      <c r="D482" s="12"/>
      <c r="E482" s="13"/>
      <c r="F482" s="13"/>
      <c r="G482" s="12"/>
      <c r="H482" s="56"/>
      <c r="I482" s="56"/>
      <c r="J482" s="56"/>
      <c r="K482" s="56"/>
      <c r="L482" s="56"/>
    </row>
    <row r="483" spans="1:12" s="98" customFormat="1" x14ac:dyDescent="0.15">
      <c r="A483" s="11"/>
      <c r="B483" s="11"/>
      <c r="C483" s="13"/>
      <c r="D483" s="12"/>
      <c r="E483" s="13"/>
      <c r="F483" s="13"/>
      <c r="G483" s="12"/>
      <c r="H483" s="56"/>
      <c r="I483" s="56"/>
      <c r="J483" s="56"/>
      <c r="K483" s="56"/>
      <c r="L483" s="56"/>
    </row>
    <row r="484" spans="1:12" s="98" customFormat="1" x14ac:dyDescent="0.15">
      <c r="A484" s="11"/>
      <c r="B484" s="11"/>
      <c r="C484" s="13"/>
      <c r="D484" s="12"/>
      <c r="E484" s="13"/>
      <c r="F484" s="13"/>
      <c r="G484" s="12"/>
      <c r="H484" s="56"/>
      <c r="I484" s="56"/>
      <c r="J484" s="56"/>
      <c r="K484" s="56"/>
      <c r="L484" s="56"/>
    </row>
    <row r="485" spans="1:12" s="98" customFormat="1" x14ac:dyDescent="0.15">
      <c r="A485" s="11"/>
      <c r="B485" s="11"/>
      <c r="C485" s="13"/>
      <c r="D485" s="12"/>
      <c r="E485" s="13"/>
      <c r="F485" s="13"/>
      <c r="G485" s="12"/>
      <c r="H485" s="56"/>
      <c r="I485" s="56"/>
      <c r="J485" s="56"/>
      <c r="K485" s="56"/>
      <c r="L485" s="56"/>
    </row>
    <row r="486" spans="1:12" s="98" customFormat="1" x14ac:dyDescent="0.15">
      <c r="A486" s="11"/>
      <c r="B486" s="11"/>
      <c r="C486" s="13"/>
      <c r="D486" s="12"/>
      <c r="E486" s="13"/>
      <c r="F486" s="13"/>
      <c r="G486" s="12"/>
      <c r="H486" s="56"/>
      <c r="I486" s="56"/>
      <c r="J486" s="56"/>
      <c r="K486" s="56"/>
      <c r="L486" s="56"/>
    </row>
    <row r="487" spans="1:12" s="98" customFormat="1" x14ac:dyDescent="0.15">
      <c r="A487" s="11"/>
      <c r="B487" s="11"/>
      <c r="C487" s="13"/>
      <c r="D487" s="12"/>
      <c r="E487" s="13"/>
      <c r="F487" s="13"/>
      <c r="G487" s="12"/>
      <c r="H487" s="56"/>
      <c r="I487" s="56"/>
      <c r="J487" s="56"/>
      <c r="K487" s="56"/>
      <c r="L487" s="56"/>
    </row>
    <row r="488" spans="1:12" s="98" customFormat="1" x14ac:dyDescent="0.15">
      <c r="A488" s="11"/>
      <c r="B488" s="11"/>
      <c r="C488" s="13"/>
      <c r="D488" s="12"/>
      <c r="E488" s="13"/>
      <c r="F488" s="13"/>
      <c r="G488" s="12"/>
      <c r="H488" s="56"/>
      <c r="I488" s="56"/>
      <c r="J488" s="56"/>
      <c r="K488" s="56"/>
      <c r="L488" s="56"/>
    </row>
    <row r="489" spans="1:12" s="98" customFormat="1" x14ac:dyDescent="0.15">
      <c r="A489" s="11"/>
      <c r="B489" s="11"/>
      <c r="C489" s="13"/>
      <c r="D489" s="12"/>
      <c r="E489" s="13"/>
      <c r="F489" s="13"/>
      <c r="G489" s="12"/>
      <c r="H489" s="56"/>
      <c r="I489" s="56"/>
      <c r="J489" s="56"/>
      <c r="K489" s="56"/>
      <c r="L489" s="56"/>
    </row>
    <row r="490" spans="1:12" s="98" customFormat="1" x14ac:dyDescent="0.15">
      <c r="A490" s="11"/>
      <c r="B490" s="11"/>
      <c r="C490" s="13"/>
      <c r="D490" s="12"/>
      <c r="E490" s="13"/>
      <c r="F490" s="13"/>
      <c r="G490" s="12"/>
      <c r="H490" s="56"/>
      <c r="I490" s="56"/>
      <c r="J490" s="56"/>
      <c r="K490" s="56"/>
      <c r="L490" s="56"/>
    </row>
    <row r="491" spans="1:12" s="98" customFormat="1" x14ac:dyDescent="0.15">
      <c r="A491" s="11"/>
      <c r="B491" s="11"/>
      <c r="C491" s="13"/>
      <c r="D491" s="12"/>
      <c r="E491" s="13"/>
      <c r="F491" s="13"/>
      <c r="G491" s="12"/>
      <c r="H491" s="56"/>
      <c r="I491" s="56"/>
      <c r="J491" s="56"/>
      <c r="K491" s="56"/>
      <c r="L491" s="56"/>
    </row>
    <row r="492" spans="1:12" s="98" customFormat="1" x14ac:dyDescent="0.15">
      <c r="A492" s="11"/>
      <c r="B492" s="11"/>
      <c r="C492" s="13"/>
      <c r="D492" s="12"/>
      <c r="E492" s="13"/>
      <c r="F492" s="13"/>
      <c r="G492" s="12"/>
      <c r="H492" s="56"/>
      <c r="I492" s="56"/>
      <c r="J492" s="56"/>
      <c r="K492" s="56"/>
      <c r="L492" s="56"/>
    </row>
    <row r="493" spans="1:12" s="98" customFormat="1" x14ac:dyDescent="0.15">
      <c r="A493" s="11"/>
      <c r="B493" s="11"/>
      <c r="C493" s="13"/>
      <c r="D493" s="12"/>
      <c r="E493" s="13"/>
      <c r="F493" s="13"/>
      <c r="G493" s="12"/>
      <c r="H493" s="56"/>
      <c r="I493" s="56"/>
      <c r="J493" s="56"/>
      <c r="K493" s="56"/>
      <c r="L493" s="56"/>
    </row>
    <row r="494" spans="1:12" s="98" customFormat="1" x14ac:dyDescent="0.15">
      <c r="A494" s="11"/>
      <c r="B494" s="11"/>
      <c r="C494" s="13"/>
      <c r="D494" s="12"/>
      <c r="E494" s="13"/>
      <c r="F494" s="13"/>
      <c r="G494" s="12"/>
      <c r="H494" s="56"/>
      <c r="I494" s="56"/>
      <c r="J494" s="56"/>
      <c r="K494" s="56"/>
      <c r="L494" s="56"/>
    </row>
    <row r="495" spans="1:12" s="98" customFormat="1" x14ac:dyDescent="0.15">
      <c r="A495" s="11"/>
      <c r="B495" s="11"/>
      <c r="C495" s="13"/>
      <c r="D495" s="12"/>
      <c r="E495" s="13"/>
      <c r="F495" s="13"/>
      <c r="G495" s="12"/>
      <c r="H495" s="56"/>
      <c r="I495" s="56"/>
      <c r="J495" s="56"/>
      <c r="K495" s="56"/>
      <c r="L495" s="56"/>
    </row>
    <row r="496" spans="1:12" s="98" customFormat="1" x14ac:dyDescent="0.15">
      <c r="A496" s="11"/>
      <c r="B496" s="11"/>
      <c r="C496" s="13"/>
      <c r="D496" s="12"/>
      <c r="E496" s="13"/>
      <c r="F496" s="13"/>
      <c r="G496" s="12"/>
      <c r="H496" s="56"/>
      <c r="I496" s="56"/>
      <c r="J496" s="56"/>
      <c r="K496" s="56"/>
      <c r="L496" s="56"/>
    </row>
    <row r="497" spans="1:12" s="98" customFormat="1" x14ac:dyDescent="0.15">
      <c r="A497" s="11"/>
      <c r="B497" s="11"/>
      <c r="C497" s="13"/>
      <c r="D497" s="12"/>
      <c r="E497" s="13"/>
      <c r="F497" s="13"/>
      <c r="G497" s="12"/>
      <c r="H497" s="56"/>
      <c r="I497" s="56"/>
      <c r="J497" s="56"/>
      <c r="K497" s="56"/>
      <c r="L497" s="56"/>
    </row>
    <row r="498" spans="1:12" s="98" customFormat="1" x14ac:dyDescent="0.15">
      <c r="A498" s="11"/>
      <c r="B498" s="11"/>
      <c r="C498" s="13"/>
      <c r="D498" s="12"/>
      <c r="E498" s="13"/>
      <c r="F498" s="13"/>
      <c r="G498" s="12"/>
      <c r="H498" s="56"/>
      <c r="I498" s="56"/>
      <c r="J498" s="56"/>
      <c r="K498" s="56"/>
      <c r="L498" s="56"/>
    </row>
    <row r="499" spans="1:12" s="98" customFormat="1" x14ac:dyDescent="0.15">
      <c r="A499" s="11"/>
      <c r="B499" s="11"/>
      <c r="C499" s="13"/>
      <c r="D499" s="12"/>
      <c r="E499" s="13"/>
      <c r="F499" s="13"/>
      <c r="G499" s="12"/>
      <c r="H499" s="56"/>
      <c r="I499" s="56"/>
      <c r="J499" s="56"/>
      <c r="K499" s="56"/>
      <c r="L499" s="56"/>
    </row>
    <row r="500" spans="1:12" s="98" customFormat="1" x14ac:dyDescent="0.15">
      <c r="A500" s="11"/>
      <c r="B500" s="11"/>
      <c r="C500" s="13"/>
      <c r="D500" s="12"/>
      <c r="E500" s="13"/>
      <c r="F500" s="13"/>
      <c r="G500" s="12"/>
      <c r="H500" s="56"/>
      <c r="I500" s="56"/>
      <c r="J500" s="56"/>
      <c r="K500" s="56"/>
      <c r="L500" s="56"/>
    </row>
    <row r="501" spans="1:12" s="98" customFormat="1" x14ac:dyDescent="0.15">
      <c r="A501" s="11"/>
      <c r="B501" s="11"/>
      <c r="C501" s="13"/>
      <c r="D501" s="12"/>
      <c r="E501" s="13"/>
      <c r="F501" s="13"/>
      <c r="G501" s="12"/>
      <c r="H501" s="56"/>
      <c r="I501" s="56"/>
      <c r="J501" s="56"/>
      <c r="K501" s="56"/>
      <c r="L501" s="56"/>
    </row>
    <row r="502" spans="1:12" s="98" customFormat="1" x14ac:dyDescent="0.15">
      <c r="A502" s="11"/>
      <c r="B502" s="11"/>
      <c r="C502" s="13"/>
      <c r="D502" s="12"/>
      <c r="E502" s="13"/>
      <c r="F502" s="13"/>
      <c r="G502" s="12"/>
      <c r="H502" s="56"/>
      <c r="I502" s="56"/>
      <c r="J502" s="56"/>
      <c r="K502" s="56"/>
      <c r="L502" s="56"/>
    </row>
    <row r="503" spans="1:12" s="98" customFormat="1" x14ac:dyDescent="0.15">
      <c r="A503" s="11"/>
      <c r="B503" s="11"/>
      <c r="C503" s="13"/>
      <c r="D503" s="12"/>
      <c r="E503" s="13"/>
      <c r="F503" s="13"/>
      <c r="G503" s="12"/>
      <c r="H503" s="56"/>
      <c r="I503" s="56"/>
      <c r="J503" s="56"/>
      <c r="K503" s="56"/>
      <c r="L503" s="56"/>
    </row>
    <row r="504" spans="1:12" s="98" customFormat="1" x14ac:dyDescent="0.15">
      <c r="A504" s="11"/>
      <c r="B504" s="11"/>
      <c r="C504" s="13"/>
      <c r="D504" s="12"/>
      <c r="E504" s="13"/>
      <c r="F504" s="13"/>
      <c r="G504" s="12"/>
      <c r="H504" s="56"/>
      <c r="I504" s="56"/>
      <c r="J504" s="56"/>
      <c r="K504" s="56"/>
      <c r="L504" s="56"/>
    </row>
    <row r="505" spans="1:12" s="98" customFormat="1" x14ac:dyDescent="0.15">
      <c r="A505" s="11"/>
      <c r="B505" s="11"/>
      <c r="C505" s="13"/>
      <c r="D505" s="12"/>
      <c r="E505" s="13"/>
      <c r="F505" s="13"/>
      <c r="G505" s="12"/>
      <c r="H505" s="56"/>
      <c r="I505" s="56"/>
      <c r="J505" s="56"/>
      <c r="K505" s="56"/>
      <c r="L505" s="56"/>
    </row>
    <row r="506" spans="1:12" s="98" customFormat="1" x14ac:dyDescent="0.15">
      <c r="A506" s="11"/>
      <c r="B506" s="11"/>
      <c r="C506" s="13"/>
      <c r="D506" s="12"/>
      <c r="E506" s="13"/>
      <c r="F506" s="13"/>
      <c r="G506" s="12"/>
      <c r="H506" s="56"/>
      <c r="I506" s="56"/>
      <c r="J506" s="56"/>
      <c r="K506" s="56"/>
      <c r="L506" s="56"/>
    </row>
    <row r="507" spans="1:12" s="98" customFormat="1" x14ac:dyDescent="0.15">
      <c r="A507" s="11"/>
      <c r="B507" s="11"/>
      <c r="C507" s="13"/>
      <c r="D507" s="12"/>
      <c r="E507" s="13"/>
      <c r="F507" s="13"/>
      <c r="G507" s="12"/>
      <c r="H507" s="56"/>
      <c r="I507" s="56"/>
      <c r="J507" s="56"/>
      <c r="K507" s="56"/>
      <c r="L507" s="56"/>
    </row>
    <row r="508" spans="1:12" s="98" customFormat="1" x14ac:dyDescent="0.15">
      <c r="A508" s="11"/>
      <c r="B508" s="11"/>
      <c r="C508" s="13"/>
      <c r="D508" s="12"/>
      <c r="E508" s="13"/>
      <c r="F508" s="13"/>
      <c r="G508" s="12"/>
      <c r="H508" s="56"/>
      <c r="I508" s="56"/>
      <c r="J508" s="56"/>
      <c r="K508" s="56"/>
      <c r="L508" s="56"/>
    </row>
    <row r="509" spans="1:12" s="98" customFormat="1" x14ac:dyDescent="0.15">
      <c r="A509" s="11"/>
      <c r="B509" s="11"/>
      <c r="C509" s="13"/>
      <c r="D509" s="12"/>
      <c r="E509" s="13"/>
      <c r="F509" s="13"/>
      <c r="G509" s="12"/>
      <c r="H509" s="56"/>
      <c r="I509" s="56"/>
      <c r="J509" s="56"/>
      <c r="K509" s="56"/>
      <c r="L509" s="56"/>
    </row>
    <row r="510" spans="1:12" s="98" customFormat="1" x14ac:dyDescent="0.15">
      <c r="A510" s="11"/>
      <c r="B510" s="11"/>
      <c r="C510" s="13"/>
      <c r="D510" s="12"/>
      <c r="E510" s="13"/>
      <c r="F510" s="13"/>
      <c r="G510" s="12"/>
      <c r="H510" s="56"/>
      <c r="I510" s="56"/>
      <c r="J510" s="56"/>
      <c r="K510" s="56"/>
      <c r="L510" s="56"/>
    </row>
    <row r="511" spans="1:12" s="98" customFormat="1" x14ac:dyDescent="0.15">
      <c r="A511" s="11"/>
      <c r="B511" s="11"/>
      <c r="C511" s="13"/>
      <c r="D511" s="12"/>
      <c r="E511" s="13"/>
      <c r="F511" s="13"/>
      <c r="G511" s="12"/>
      <c r="H511" s="56"/>
      <c r="I511" s="56"/>
      <c r="J511" s="56"/>
      <c r="K511" s="56"/>
      <c r="L511" s="56"/>
    </row>
    <row r="512" spans="1:12" s="98" customFormat="1" x14ac:dyDescent="0.15">
      <c r="A512" s="11"/>
      <c r="B512" s="11"/>
      <c r="C512" s="13"/>
      <c r="D512" s="12"/>
      <c r="E512" s="13"/>
      <c r="F512" s="13"/>
      <c r="G512" s="12"/>
      <c r="H512" s="56"/>
      <c r="I512" s="56"/>
      <c r="J512" s="56"/>
      <c r="K512" s="56"/>
      <c r="L512" s="56"/>
    </row>
    <row r="513" spans="1:12" s="98" customFormat="1" x14ac:dyDescent="0.15">
      <c r="A513" s="11"/>
      <c r="B513" s="11"/>
      <c r="C513" s="13"/>
      <c r="D513" s="12"/>
      <c r="E513" s="13"/>
      <c r="F513" s="13"/>
      <c r="G513" s="12"/>
      <c r="H513" s="56"/>
      <c r="I513" s="56"/>
      <c r="J513" s="56"/>
      <c r="K513" s="56"/>
      <c r="L513" s="56"/>
    </row>
    <row r="514" spans="1:12" s="98" customFormat="1" x14ac:dyDescent="0.15">
      <c r="A514" s="11"/>
      <c r="B514" s="11"/>
      <c r="C514" s="13"/>
      <c r="D514" s="12"/>
      <c r="E514" s="13"/>
      <c r="F514" s="13"/>
      <c r="G514" s="12"/>
      <c r="H514" s="56"/>
      <c r="I514" s="56"/>
      <c r="J514" s="56"/>
      <c r="K514" s="56"/>
      <c r="L514" s="56"/>
    </row>
    <row r="515" spans="1:12" s="98" customFormat="1" x14ac:dyDescent="0.15">
      <c r="A515" s="11"/>
      <c r="B515" s="11"/>
      <c r="C515" s="13"/>
      <c r="D515" s="12"/>
      <c r="E515" s="13"/>
      <c r="F515" s="13"/>
      <c r="G515" s="12"/>
      <c r="H515" s="56"/>
      <c r="I515" s="56"/>
      <c r="J515" s="56"/>
      <c r="K515" s="56"/>
      <c r="L515" s="56"/>
    </row>
    <row r="516" spans="1:12" s="98" customFormat="1" x14ac:dyDescent="0.15">
      <c r="A516" s="11"/>
      <c r="B516" s="11"/>
      <c r="C516" s="13"/>
      <c r="D516" s="12"/>
      <c r="E516" s="13"/>
      <c r="F516" s="13"/>
      <c r="G516" s="12"/>
      <c r="H516" s="56"/>
      <c r="I516" s="56"/>
      <c r="J516" s="56"/>
      <c r="K516" s="56"/>
      <c r="L516" s="56"/>
    </row>
    <row r="517" spans="1:12" s="98" customFormat="1" x14ac:dyDescent="0.15">
      <c r="A517" s="11"/>
      <c r="B517" s="11"/>
      <c r="C517" s="13"/>
      <c r="D517" s="12"/>
      <c r="E517" s="13"/>
      <c r="F517" s="13"/>
      <c r="G517" s="12"/>
      <c r="H517" s="56"/>
      <c r="I517" s="56"/>
      <c r="J517" s="56"/>
      <c r="K517" s="56"/>
      <c r="L517" s="56"/>
    </row>
    <row r="518" spans="1:12" s="98" customFormat="1" x14ac:dyDescent="0.15">
      <c r="A518" s="11"/>
      <c r="B518" s="11"/>
      <c r="C518" s="13"/>
      <c r="D518" s="12"/>
      <c r="E518" s="13"/>
      <c r="F518" s="13"/>
      <c r="G518" s="12"/>
      <c r="H518" s="56"/>
      <c r="I518" s="56"/>
      <c r="J518" s="56"/>
      <c r="K518" s="56"/>
      <c r="L518" s="56"/>
    </row>
    <row r="519" spans="1:12" s="98" customFormat="1" x14ac:dyDescent="0.15">
      <c r="A519" s="11"/>
      <c r="B519" s="11"/>
      <c r="C519" s="13"/>
      <c r="D519" s="12"/>
      <c r="E519" s="13"/>
      <c r="F519" s="13"/>
      <c r="G519" s="12"/>
      <c r="H519" s="56"/>
      <c r="I519" s="56"/>
      <c r="J519" s="56"/>
      <c r="K519" s="56"/>
      <c r="L519" s="56"/>
    </row>
    <row r="520" spans="1:12" s="98" customFormat="1" x14ac:dyDescent="0.15">
      <c r="A520" s="11"/>
      <c r="B520" s="11"/>
      <c r="C520" s="13"/>
      <c r="D520" s="12"/>
      <c r="E520" s="13"/>
      <c r="F520" s="13"/>
      <c r="G520" s="12"/>
      <c r="H520" s="56"/>
      <c r="I520" s="56"/>
      <c r="J520" s="56"/>
      <c r="K520" s="56"/>
      <c r="L520" s="56"/>
    </row>
    <row r="521" spans="1:12" s="98" customFormat="1" x14ac:dyDescent="0.15">
      <c r="A521" s="11"/>
      <c r="B521" s="11"/>
      <c r="C521" s="13"/>
      <c r="D521" s="12"/>
      <c r="E521" s="13"/>
      <c r="F521" s="13"/>
      <c r="G521" s="12"/>
      <c r="H521" s="56"/>
      <c r="I521" s="56"/>
      <c r="J521" s="56"/>
      <c r="K521" s="56"/>
      <c r="L521" s="56"/>
    </row>
    <row r="522" spans="1:12" s="98" customFormat="1" x14ac:dyDescent="0.15">
      <c r="A522" s="11"/>
      <c r="B522" s="11"/>
      <c r="C522" s="13"/>
      <c r="D522" s="12"/>
      <c r="E522" s="13"/>
      <c r="F522" s="13"/>
      <c r="G522" s="12"/>
      <c r="H522" s="56"/>
      <c r="I522" s="56"/>
      <c r="J522" s="56"/>
      <c r="K522" s="56"/>
      <c r="L522" s="56"/>
    </row>
    <row r="523" spans="1:12" s="98" customFormat="1" x14ac:dyDescent="0.15">
      <c r="A523" s="11"/>
      <c r="B523" s="11"/>
      <c r="C523" s="13"/>
      <c r="D523" s="12"/>
      <c r="E523" s="13"/>
      <c r="F523" s="13"/>
      <c r="G523" s="12"/>
      <c r="H523" s="56"/>
      <c r="I523" s="56"/>
      <c r="J523" s="56"/>
      <c r="K523" s="56"/>
      <c r="L523" s="56"/>
    </row>
    <row r="524" spans="1:12" s="98" customFormat="1" x14ac:dyDescent="0.15">
      <c r="A524" s="11"/>
      <c r="B524" s="11"/>
      <c r="C524" s="13"/>
      <c r="D524" s="12"/>
      <c r="E524" s="13"/>
      <c r="F524" s="13"/>
      <c r="G524" s="12"/>
      <c r="H524" s="56"/>
      <c r="I524" s="56"/>
      <c r="J524" s="56"/>
      <c r="K524" s="56"/>
      <c r="L524" s="56"/>
    </row>
    <row r="525" spans="1:12" s="98" customFormat="1" x14ac:dyDescent="0.15">
      <c r="A525" s="11"/>
      <c r="B525" s="11"/>
      <c r="C525" s="13"/>
      <c r="D525" s="12"/>
      <c r="E525" s="13"/>
      <c r="F525" s="13"/>
      <c r="G525" s="12"/>
      <c r="H525" s="56"/>
      <c r="I525" s="56"/>
      <c r="J525" s="56"/>
      <c r="K525" s="56"/>
      <c r="L525" s="56"/>
    </row>
    <row r="526" spans="1:12" s="98" customFormat="1" x14ac:dyDescent="0.15">
      <c r="A526" s="11"/>
      <c r="B526" s="11"/>
      <c r="C526" s="13"/>
      <c r="D526" s="12"/>
      <c r="E526" s="13"/>
      <c r="F526" s="13"/>
      <c r="G526" s="12"/>
      <c r="H526" s="56"/>
      <c r="I526" s="56"/>
      <c r="J526" s="56"/>
      <c r="K526" s="56"/>
      <c r="L526" s="56"/>
    </row>
    <row r="527" spans="1:12" s="98" customFormat="1" x14ac:dyDescent="0.15">
      <c r="A527" s="11"/>
      <c r="B527" s="11"/>
      <c r="C527" s="13"/>
      <c r="D527" s="12"/>
      <c r="E527" s="13"/>
      <c r="F527" s="13"/>
      <c r="G527" s="12"/>
      <c r="H527" s="56"/>
      <c r="I527" s="56"/>
      <c r="J527" s="56"/>
      <c r="K527" s="56"/>
      <c r="L527" s="56"/>
    </row>
    <row r="528" spans="1:12" s="98" customFormat="1" x14ac:dyDescent="0.15">
      <c r="A528" s="11"/>
      <c r="B528" s="11"/>
      <c r="C528" s="13"/>
      <c r="D528" s="12"/>
      <c r="E528" s="13"/>
      <c r="F528" s="13"/>
      <c r="G528" s="12"/>
      <c r="H528" s="56"/>
      <c r="I528" s="56"/>
      <c r="J528" s="56"/>
      <c r="K528" s="56"/>
      <c r="L528" s="56"/>
    </row>
    <row r="529" spans="1:12" s="98" customFormat="1" x14ac:dyDescent="0.15">
      <c r="A529" s="11"/>
      <c r="B529" s="11"/>
      <c r="C529" s="13"/>
      <c r="D529" s="12"/>
      <c r="E529" s="13"/>
      <c r="F529" s="13"/>
      <c r="G529" s="12"/>
      <c r="H529" s="56"/>
      <c r="I529" s="56"/>
      <c r="J529" s="56"/>
      <c r="K529" s="56"/>
      <c r="L529" s="56"/>
    </row>
    <row r="530" spans="1:12" s="98" customFormat="1" x14ac:dyDescent="0.15">
      <c r="A530" s="11"/>
      <c r="B530" s="11"/>
      <c r="C530" s="13"/>
      <c r="D530" s="12"/>
      <c r="E530" s="13"/>
      <c r="F530" s="13"/>
      <c r="G530" s="12"/>
      <c r="H530" s="56"/>
      <c r="I530" s="56"/>
      <c r="J530" s="56"/>
      <c r="K530" s="56"/>
      <c r="L530" s="56"/>
    </row>
    <row r="531" spans="1:12" s="98" customFormat="1" x14ac:dyDescent="0.15">
      <c r="A531" s="11"/>
      <c r="B531" s="11"/>
      <c r="C531" s="13"/>
      <c r="D531" s="12"/>
      <c r="E531" s="13"/>
      <c r="F531" s="13"/>
      <c r="G531" s="12"/>
      <c r="H531" s="56"/>
      <c r="I531" s="56"/>
      <c r="J531" s="56"/>
      <c r="K531" s="56"/>
      <c r="L531" s="56"/>
    </row>
    <row r="532" spans="1:12" s="98" customFormat="1" x14ac:dyDescent="0.15">
      <c r="A532" s="11"/>
      <c r="B532" s="11"/>
      <c r="C532" s="13"/>
      <c r="D532" s="12"/>
      <c r="E532" s="13"/>
      <c r="F532" s="13"/>
      <c r="G532" s="12"/>
      <c r="H532" s="56"/>
      <c r="I532" s="56"/>
      <c r="J532" s="56"/>
      <c r="K532" s="56"/>
      <c r="L532" s="56"/>
    </row>
    <row r="533" spans="1:12" s="98" customFormat="1" x14ac:dyDescent="0.15">
      <c r="A533" s="11"/>
      <c r="B533" s="11"/>
      <c r="C533" s="13"/>
      <c r="D533" s="12"/>
      <c r="E533" s="13"/>
      <c r="F533" s="13"/>
      <c r="G533" s="12"/>
      <c r="H533" s="56"/>
      <c r="I533" s="56"/>
      <c r="J533" s="56"/>
      <c r="K533" s="56"/>
      <c r="L533" s="56"/>
    </row>
    <row r="534" spans="1:12" s="98" customFormat="1" x14ac:dyDescent="0.15">
      <c r="A534" s="11"/>
      <c r="B534" s="11"/>
      <c r="C534" s="13"/>
      <c r="D534" s="12"/>
      <c r="E534" s="13"/>
      <c r="F534" s="13"/>
      <c r="G534" s="12"/>
      <c r="H534" s="56"/>
      <c r="I534" s="56"/>
      <c r="J534" s="56"/>
      <c r="K534" s="56"/>
      <c r="L534" s="56"/>
    </row>
    <row r="535" spans="1:12" s="98" customFormat="1" x14ac:dyDescent="0.15">
      <c r="A535" s="11"/>
      <c r="B535" s="11"/>
      <c r="C535" s="13"/>
      <c r="D535" s="12"/>
      <c r="E535" s="13"/>
      <c r="F535" s="13"/>
      <c r="G535" s="12"/>
      <c r="H535" s="56"/>
      <c r="I535" s="56"/>
      <c r="J535" s="56"/>
      <c r="K535" s="56"/>
      <c r="L535" s="56"/>
    </row>
    <row r="536" spans="1:12" s="98" customFormat="1" x14ac:dyDescent="0.15">
      <c r="A536" s="11"/>
      <c r="B536" s="11"/>
      <c r="C536" s="13"/>
      <c r="D536" s="12"/>
      <c r="E536" s="13"/>
      <c r="F536" s="13"/>
      <c r="G536" s="12"/>
      <c r="H536" s="56"/>
      <c r="I536" s="56"/>
      <c r="J536" s="56"/>
      <c r="K536" s="56"/>
      <c r="L536" s="56"/>
    </row>
    <row r="537" spans="1:12" s="98" customFormat="1" x14ac:dyDescent="0.15">
      <c r="A537" s="11"/>
      <c r="B537" s="11"/>
      <c r="C537" s="13"/>
      <c r="D537" s="12"/>
      <c r="E537" s="13"/>
      <c r="F537" s="13"/>
      <c r="G537" s="12"/>
      <c r="H537" s="56"/>
      <c r="I537" s="56"/>
      <c r="J537" s="56"/>
      <c r="K537" s="56"/>
      <c r="L537" s="56"/>
    </row>
    <row r="538" spans="1:12" s="98" customFormat="1" x14ac:dyDescent="0.15">
      <c r="A538" s="11"/>
      <c r="B538" s="11"/>
      <c r="C538" s="13"/>
      <c r="D538" s="12"/>
      <c r="E538" s="13"/>
      <c r="F538" s="13"/>
      <c r="G538" s="12"/>
      <c r="H538" s="56"/>
      <c r="I538" s="56"/>
      <c r="J538" s="56"/>
      <c r="K538" s="56"/>
      <c r="L538" s="56"/>
    </row>
    <row r="539" spans="1:12" s="98" customFormat="1" x14ac:dyDescent="0.15">
      <c r="A539" s="11"/>
      <c r="B539" s="11"/>
      <c r="C539" s="13"/>
      <c r="D539" s="12"/>
      <c r="E539" s="13"/>
      <c r="F539" s="13"/>
      <c r="G539" s="12"/>
      <c r="H539" s="56"/>
      <c r="I539" s="56"/>
      <c r="J539" s="56"/>
      <c r="K539" s="56"/>
      <c r="L539" s="56"/>
    </row>
    <row r="540" spans="1:12" s="98" customFormat="1" x14ac:dyDescent="0.15">
      <c r="A540" s="11"/>
      <c r="B540" s="11"/>
      <c r="C540" s="13"/>
      <c r="D540" s="12"/>
      <c r="E540" s="13"/>
      <c r="F540" s="13"/>
      <c r="G540" s="12"/>
      <c r="H540" s="56"/>
      <c r="I540" s="56"/>
      <c r="J540" s="56"/>
      <c r="K540" s="56"/>
      <c r="L540" s="56"/>
    </row>
    <row r="541" spans="1:12" s="98" customFormat="1" x14ac:dyDescent="0.15">
      <c r="A541" s="11"/>
      <c r="B541" s="11"/>
      <c r="C541" s="13"/>
      <c r="D541" s="12"/>
      <c r="E541" s="13"/>
      <c r="F541" s="13"/>
      <c r="G541" s="12"/>
      <c r="H541" s="56"/>
      <c r="I541" s="56"/>
      <c r="J541" s="56"/>
      <c r="K541" s="56"/>
      <c r="L541" s="56"/>
    </row>
    <row r="542" spans="1:12" s="98" customFormat="1" x14ac:dyDescent="0.15">
      <c r="A542" s="11"/>
      <c r="B542" s="11"/>
      <c r="C542" s="13"/>
      <c r="D542" s="12"/>
      <c r="E542" s="13"/>
      <c r="F542" s="13"/>
      <c r="G542" s="12"/>
      <c r="H542" s="56"/>
      <c r="I542" s="56"/>
      <c r="J542" s="56"/>
      <c r="K542" s="56"/>
      <c r="L542" s="56"/>
    </row>
    <row r="543" spans="1:12" s="98" customFormat="1" x14ac:dyDescent="0.15">
      <c r="A543" s="11"/>
      <c r="B543" s="11"/>
      <c r="C543" s="13"/>
      <c r="D543" s="12"/>
      <c r="E543" s="13"/>
      <c r="F543" s="13"/>
      <c r="G543" s="12"/>
      <c r="H543" s="56"/>
      <c r="I543" s="56"/>
      <c r="J543" s="56"/>
      <c r="K543" s="56"/>
      <c r="L543" s="56"/>
    </row>
    <row r="544" spans="1:12" s="98" customFormat="1" x14ac:dyDescent="0.15">
      <c r="A544" s="11"/>
      <c r="B544" s="11"/>
      <c r="C544" s="13"/>
      <c r="D544" s="12"/>
      <c r="E544" s="13"/>
      <c r="F544" s="13"/>
      <c r="G544" s="12"/>
      <c r="H544" s="56"/>
      <c r="I544" s="56"/>
      <c r="J544" s="56"/>
      <c r="K544" s="56"/>
      <c r="L544" s="56"/>
    </row>
    <row r="545" spans="1:12" s="98" customFormat="1" x14ac:dyDescent="0.15">
      <c r="A545" s="11"/>
      <c r="B545" s="11"/>
      <c r="C545" s="13"/>
      <c r="D545" s="12"/>
      <c r="E545" s="13"/>
      <c r="F545" s="13"/>
      <c r="G545" s="12"/>
      <c r="H545" s="56"/>
      <c r="I545" s="56"/>
      <c r="J545" s="56"/>
      <c r="K545" s="56"/>
      <c r="L545" s="56"/>
    </row>
    <row r="546" spans="1:12" s="98" customFormat="1" x14ac:dyDescent="0.15">
      <c r="A546" s="11"/>
      <c r="B546" s="11"/>
      <c r="C546" s="13"/>
      <c r="D546" s="12"/>
      <c r="E546" s="13"/>
      <c r="F546" s="13"/>
      <c r="G546" s="12"/>
      <c r="H546" s="56"/>
      <c r="I546" s="56"/>
      <c r="J546" s="56"/>
      <c r="K546" s="56"/>
      <c r="L546" s="56"/>
    </row>
    <row r="547" spans="1:12" s="98" customFormat="1" x14ac:dyDescent="0.15">
      <c r="A547" s="11"/>
      <c r="B547" s="11"/>
      <c r="C547" s="13"/>
      <c r="D547" s="12"/>
      <c r="E547" s="13"/>
      <c r="F547" s="13"/>
      <c r="G547" s="12"/>
      <c r="H547" s="56"/>
      <c r="I547" s="56"/>
      <c r="J547" s="56"/>
      <c r="K547" s="56"/>
      <c r="L547" s="56"/>
    </row>
    <row r="548" spans="1:12" s="98" customFormat="1" x14ac:dyDescent="0.15">
      <c r="A548" s="11"/>
      <c r="B548" s="11"/>
      <c r="C548" s="13"/>
      <c r="D548" s="12"/>
      <c r="E548" s="13"/>
      <c r="F548" s="13"/>
      <c r="G548" s="12"/>
      <c r="H548" s="56"/>
      <c r="I548" s="56"/>
      <c r="J548" s="56"/>
      <c r="K548" s="56"/>
      <c r="L548" s="56"/>
    </row>
    <row r="549" spans="1:12" s="98" customFormat="1" x14ac:dyDescent="0.15">
      <c r="A549" s="11"/>
      <c r="B549" s="11"/>
      <c r="C549" s="13"/>
      <c r="D549" s="12"/>
      <c r="E549" s="13"/>
      <c r="F549" s="13"/>
      <c r="G549" s="12"/>
      <c r="H549" s="56"/>
      <c r="I549" s="56"/>
      <c r="J549" s="56"/>
      <c r="K549" s="56"/>
      <c r="L549" s="56"/>
    </row>
    <row r="550" spans="1:12" s="98" customFormat="1" x14ac:dyDescent="0.15">
      <c r="A550" s="11"/>
      <c r="B550" s="11"/>
      <c r="C550" s="13"/>
      <c r="D550" s="12"/>
      <c r="E550" s="13"/>
      <c r="F550" s="13"/>
      <c r="G550" s="12"/>
      <c r="H550" s="56"/>
      <c r="I550" s="56"/>
      <c r="J550" s="56"/>
      <c r="K550" s="56"/>
      <c r="L550" s="56"/>
    </row>
    <row r="551" spans="1:12" s="98" customFormat="1" x14ac:dyDescent="0.15">
      <c r="A551" s="11"/>
      <c r="B551" s="11"/>
      <c r="C551" s="13"/>
      <c r="D551" s="12"/>
      <c r="E551" s="13"/>
      <c r="F551" s="13"/>
      <c r="G551" s="12"/>
      <c r="H551" s="56"/>
      <c r="I551" s="56"/>
      <c r="J551" s="56"/>
      <c r="K551" s="56"/>
      <c r="L551" s="56"/>
    </row>
    <row r="552" spans="1:12" s="98" customFormat="1" x14ac:dyDescent="0.15">
      <c r="A552" s="11"/>
      <c r="B552" s="11"/>
      <c r="C552" s="13"/>
      <c r="D552" s="12"/>
      <c r="E552" s="13"/>
      <c r="F552" s="13"/>
      <c r="G552" s="12"/>
      <c r="H552" s="56"/>
      <c r="I552" s="56"/>
      <c r="J552" s="56"/>
      <c r="K552" s="56"/>
      <c r="L552" s="56"/>
    </row>
    <row r="553" spans="1:12" s="98" customFormat="1" x14ac:dyDescent="0.15">
      <c r="A553" s="11"/>
      <c r="B553" s="11"/>
      <c r="C553" s="13"/>
      <c r="D553" s="12"/>
      <c r="E553" s="13"/>
      <c r="F553" s="13"/>
      <c r="G553" s="12"/>
      <c r="H553" s="56"/>
      <c r="I553" s="56"/>
      <c r="J553" s="56"/>
      <c r="K553" s="56"/>
      <c r="L553" s="56"/>
    </row>
    <row r="554" spans="1:12" s="98" customFormat="1" x14ac:dyDescent="0.15">
      <c r="A554" s="11"/>
      <c r="B554" s="11"/>
      <c r="C554" s="13"/>
      <c r="D554" s="12"/>
      <c r="E554" s="13"/>
      <c r="F554" s="13"/>
      <c r="G554" s="12"/>
      <c r="H554" s="56"/>
      <c r="I554" s="56"/>
      <c r="J554" s="56"/>
      <c r="K554" s="56"/>
      <c r="L554" s="56"/>
    </row>
    <row r="555" spans="1:12" s="98" customFormat="1" x14ac:dyDescent="0.15">
      <c r="A555" s="11"/>
      <c r="B555" s="11"/>
      <c r="C555" s="13"/>
      <c r="D555" s="12"/>
      <c r="E555" s="13"/>
      <c r="F555" s="13"/>
      <c r="G555" s="12"/>
      <c r="H555" s="56"/>
      <c r="I555" s="56"/>
      <c r="J555" s="56"/>
      <c r="K555" s="56"/>
      <c r="L555" s="56"/>
    </row>
    <row r="556" spans="1:12" s="98" customFormat="1" x14ac:dyDescent="0.15">
      <c r="A556" s="11"/>
      <c r="B556" s="11"/>
      <c r="C556" s="13"/>
      <c r="D556" s="12"/>
      <c r="E556" s="13"/>
      <c r="F556" s="13"/>
      <c r="G556" s="12"/>
      <c r="H556" s="56"/>
      <c r="I556" s="56"/>
      <c r="J556" s="56"/>
      <c r="K556" s="56"/>
      <c r="L556" s="56"/>
    </row>
    <row r="557" spans="1:12" s="98" customFormat="1" x14ac:dyDescent="0.15">
      <c r="A557" s="11"/>
      <c r="B557" s="11"/>
      <c r="C557" s="13"/>
      <c r="D557" s="12"/>
      <c r="E557" s="13"/>
      <c r="F557" s="13"/>
      <c r="G557" s="12"/>
      <c r="H557" s="56"/>
      <c r="I557" s="56"/>
      <c r="J557" s="56"/>
      <c r="K557" s="56"/>
      <c r="L557" s="56"/>
    </row>
    <row r="558" spans="1:12" s="98" customFormat="1" x14ac:dyDescent="0.15">
      <c r="A558" s="11"/>
      <c r="B558" s="11"/>
      <c r="C558" s="13"/>
      <c r="D558" s="12"/>
      <c r="E558" s="13"/>
      <c r="F558" s="13"/>
      <c r="G558" s="12"/>
      <c r="H558" s="56"/>
      <c r="I558" s="56"/>
      <c r="J558" s="56"/>
      <c r="K558" s="56"/>
      <c r="L558" s="56"/>
    </row>
    <row r="559" spans="1:12" s="98" customFormat="1" x14ac:dyDescent="0.15">
      <c r="A559" s="11"/>
      <c r="B559" s="11"/>
      <c r="C559" s="13"/>
      <c r="D559" s="12"/>
      <c r="E559" s="13"/>
      <c r="F559" s="13"/>
      <c r="G559" s="12"/>
      <c r="H559" s="56"/>
      <c r="I559" s="56"/>
      <c r="J559" s="56"/>
      <c r="K559" s="56"/>
      <c r="L559" s="56"/>
    </row>
    <row r="560" spans="1:12" s="98" customFormat="1" x14ac:dyDescent="0.15">
      <c r="A560" s="11"/>
      <c r="B560" s="11"/>
      <c r="C560" s="13"/>
      <c r="D560" s="12"/>
      <c r="E560" s="13"/>
      <c r="F560" s="13"/>
      <c r="G560" s="12"/>
      <c r="H560" s="56"/>
      <c r="I560" s="56"/>
      <c r="J560" s="56"/>
      <c r="K560" s="56"/>
      <c r="L560" s="56"/>
    </row>
    <row r="561" spans="1:12" s="98" customFormat="1" x14ac:dyDescent="0.15">
      <c r="A561" s="11"/>
      <c r="B561" s="11"/>
      <c r="C561" s="13"/>
      <c r="D561" s="12"/>
      <c r="E561" s="13"/>
      <c r="F561" s="13"/>
      <c r="G561" s="12"/>
      <c r="H561" s="56"/>
      <c r="I561" s="56"/>
      <c r="J561" s="56"/>
      <c r="K561" s="56"/>
      <c r="L561" s="56"/>
    </row>
    <row r="562" spans="1:12" s="98" customFormat="1" x14ac:dyDescent="0.15">
      <c r="A562" s="11"/>
      <c r="B562" s="11"/>
      <c r="C562" s="13"/>
      <c r="D562" s="12"/>
      <c r="E562" s="13"/>
      <c r="F562" s="13"/>
      <c r="G562" s="12"/>
      <c r="H562" s="56"/>
      <c r="I562" s="56"/>
      <c r="J562" s="56"/>
      <c r="K562" s="56"/>
      <c r="L562" s="56"/>
    </row>
    <row r="563" spans="1:12" s="98" customFormat="1" x14ac:dyDescent="0.15">
      <c r="A563" s="11"/>
      <c r="B563" s="11"/>
      <c r="C563" s="13"/>
      <c r="D563" s="12"/>
      <c r="E563" s="13"/>
      <c r="F563" s="13"/>
      <c r="G563" s="12"/>
      <c r="H563" s="56"/>
      <c r="I563" s="56"/>
      <c r="J563" s="56"/>
      <c r="K563" s="56"/>
      <c r="L563" s="56"/>
    </row>
    <row r="564" spans="1:12" s="98" customFormat="1" x14ac:dyDescent="0.15">
      <c r="A564" s="11"/>
      <c r="B564" s="11"/>
      <c r="C564" s="13"/>
      <c r="D564" s="12"/>
      <c r="E564" s="13"/>
      <c r="F564" s="13"/>
      <c r="G564" s="12"/>
      <c r="H564" s="56"/>
      <c r="I564" s="56"/>
      <c r="J564" s="56"/>
      <c r="K564" s="56"/>
      <c r="L564" s="56"/>
    </row>
    <row r="565" spans="1:12" s="98" customFormat="1" x14ac:dyDescent="0.15">
      <c r="A565" s="11"/>
      <c r="B565" s="11"/>
      <c r="C565" s="13"/>
      <c r="D565" s="12"/>
      <c r="E565" s="13"/>
      <c r="F565" s="13"/>
      <c r="G565" s="12"/>
      <c r="H565" s="56"/>
      <c r="I565" s="56"/>
      <c r="J565" s="56"/>
      <c r="K565" s="56"/>
      <c r="L565" s="56"/>
    </row>
    <row r="566" spans="1:12" s="98" customFormat="1" x14ac:dyDescent="0.15">
      <c r="A566" s="11"/>
      <c r="B566" s="11"/>
      <c r="C566" s="13"/>
      <c r="D566" s="12"/>
      <c r="E566" s="13"/>
      <c r="F566" s="13"/>
      <c r="G566" s="12"/>
      <c r="H566" s="56"/>
      <c r="I566" s="56"/>
      <c r="J566" s="56"/>
      <c r="K566" s="56"/>
      <c r="L566" s="56"/>
    </row>
    <row r="567" spans="1:12" s="98" customFormat="1" x14ac:dyDescent="0.15">
      <c r="A567" s="11"/>
      <c r="B567" s="11"/>
      <c r="C567" s="13"/>
      <c r="D567" s="12"/>
      <c r="E567" s="13"/>
      <c r="F567" s="13"/>
      <c r="G567" s="12"/>
      <c r="H567" s="56"/>
      <c r="I567" s="56"/>
      <c r="J567" s="56"/>
      <c r="K567" s="56"/>
      <c r="L567" s="56"/>
    </row>
    <row r="568" spans="1:12" s="98" customFormat="1" x14ac:dyDescent="0.15">
      <c r="A568" s="11"/>
      <c r="B568" s="11"/>
      <c r="C568" s="13"/>
      <c r="D568" s="12"/>
      <c r="E568" s="13"/>
      <c r="F568" s="13"/>
      <c r="G568" s="12"/>
      <c r="H568" s="56"/>
      <c r="I568" s="56"/>
      <c r="J568" s="56"/>
      <c r="K568" s="56"/>
      <c r="L568" s="56"/>
    </row>
    <row r="569" spans="1:12" s="98" customFormat="1" x14ac:dyDescent="0.15">
      <c r="A569" s="11"/>
      <c r="B569" s="11"/>
      <c r="C569" s="13"/>
      <c r="D569" s="12"/>
      <c r="E569" s="13"/>
      <c r="F569" s="13"/>
      <c r="G569" s="12"/>
      <c r="H569" s="56"/>
      <c r="I569" s="56"/>
      <c r="J569" s="56"/>
      <c r="K569" s="56"/>
      <c r="L569" s="56"/>
    </row>
    <row r="570" spans="1:12" s="98" customFormat="1" x14ac:dyDescent="0.15">
      <c r="A570" s="11"/>
      <c r="B570" s="11"/>
      <c r="C570" s="13"/>
      <c r="D570" s="12"/>
      <c r="E570" s="13"/>
      <c r="F570" s="13"/>
      <c r="G570" s="12"/>
      <c r="H570" s="56"/>
      <c r="I570" s="56"/>
      <c r="J570" s="56"/>
      <c r="K570" s="56"/>
      <c r="L570" s="56"/>
    </row>
    <row r="571" spans="1:12" s="98" customFormat="1" x14ac:dyDescent="0.15">
      <c r="A571" s="11"/>
      <c r="B571" s="11"/>
      <c r="C571" s="13"/>
      <c r="D571" s="12"/>
      <c r="E571" s="13"/>
      <c r="F571" s="13"/>
      <c r="G571" s="12"/>
      <c r="H571" s="56"/>
      <c r="I571" s="56"/>
      <c r="J571" s="56"/>
      <c r="K571" s="56"/>
      <c r="L571" s="56"/>
    </row>
    <row r="572" spans="1:12" s="98" customFormat="1" x14ac:dyDescent="0.15">
      <c r="A572" s="11"/>
      <c r="B572" s="11"/>
      <c r="C572" s="13"/>
      <c r="D572" s="12"/>
      <c r="E572" s="13"/>
      <c r="F572" s="13"/>
      <c r="G572" s="12"/>
      <c r="H572" s="56"/>
      <c r="I572" s="56"/>
      <c r="J572" s="56"/>
      <c r="K572" s="56"/>
      <c r="L572" s="56"/>
    </row>
    <row r="573" spans="1:12" s="98" customFormat="1" x14ac:dyDescent="0.15">
      <c r="A573" s="11"/>
      <c r="B573" s="11"/>
      <c r="C573" s="13"/>
      <c r="D573" s="12"/>
      <c r="E573" s="13"/>
      <c r="F573" s="13"/>
      <c r="G573" s="12"/>
      <c r="H573" s="56"/>
      <c r="I573" s="56"/>
      <c r="J573" s="56"/>
      <c r="K573" s="56"/>
      <c r="L573" s="56"/>
    </row>
    <row r="574" spans="1:12" s="98" customFormat="1" x14ac:dyDescent="0.15">
      <c r="A574" s="11"/>
      <c r="B574" s="11"/>
      <c r="C574" s="13"/>
      <c r="D574" s="12"/>
      <c r="E574" s="13"/>
      <c r="F574" s="13"/>
      <c r="G574" s="12"/>
      <c r="H574" s="56"/>
      <c r="I574" s="56"/>
      <c r="J574" s="56"/>
      <c r="K574" s="56"/>
      <c r="L574" s="56"/>
    </row>
    <row r="575" spans="1:12" s="98" customFormat="1" x14ac:dyDescent="0.15">
      <c r="A575" s="11"/>
      <c r="B575" s="11"/>
      <c r="C575" s="13"/>
      <c r="D575" s="12"/>
      <c r="E575" s="13"/>
      <c r="F575" s="13"/>
      <c r="G575" s="12"/>
      <c r="H575" s="56"/>
      <c r="I575" s="56"/>
      <c r="J575" s="56"/>
      <c r="K575" s="56"/>
      <c r="L575" s="56"/>
    </row>
    <row r="576" spans="1:12" s="98" customFormat="1" x14ac:dyDescent="0.15">
      <c r="A576" s="11"/>
      <c r="B576" s="11"/>
      <c r="C576" s="13"/>
      <c r="D576" s="12"/>
      <c r="E576" s="13"/>
      <c r="F576" s="13"/>
      <c r="G576" s="12"/>
      <c r="H576" s="56"/>
      <c r="I576" s="56"/>
      <c r="J576" s="56"/>
      <c r="K576" s="56"/>
      <c r="L576" s="56"/>
    </row>
    <row r="577" spans="1:12" s="98" customFormat="1" x14ac:dyDescent="0.15">
      <c r="A577" s="11"/>
      <c r="B577" s="11"/>
      <c r="C577" s="13"/>
      <c r="D577" s="12"/>
      <c r="E577" s="13"/>
      <c r="F577" s="13"/>
      <c r="G577" s="12"/>
      <c r="H577" s="56"/>
      <c r="I577" s="56"/>
      <c r="J577" s="56"/>
      <c r="K577" s="56"/>
      <c r="L577" s="56"/>
    </row>
    <row r="578" spans="1:12" s="98" customFormat="1" x14ac:dyDescent="0.15">
      <c r="A578" s="11"/>
      <c r="B578" s="11"/>
      <c r="C578" s="13"/>
      <c r="D578" s="12"/>
      <c r="E578" s="13"/>
      <c r="F578" s="13"/>
      <c r="G578" s="12"/>
      <c r="H578" s="56"/>
      <c r="I578" s="56"/>
      <c r="J578" s="56"/>
      <c r="K578" s="56"/>
      <c r="L578" s="56"/>
    </row>
    <row r="579" spans="1:12" s="98" customFormat="1" x14ac:dyDescent="0.15">
      <c r="A579" s="11"/>
      <c r="B579" s="11"/>
      <c r="C579" s="13"/>
      <c r="D579" s="12"/>
      <c r="E579" s="13"/>
      <c r="F579" s="13"/>
      <c r="G579" s="12"/>
      <c r="H579" s="56"/>
      <c r="I579" s="56"/>
      <c r="J579" s="56"/>
      <c r="K579" s="56"/>
      <c r="L579" s="56"/>
    </row>
    <row r="580" spans="1:12" s="98" customFormat="1" x14ac:dyDescent="0.15">
      <c r="A580" s="11"/>
      <c r="B580" s="11"/>
      <c r="C580" s="13"/>
      <c r="D580" s="12"/>
      <c r="E580" s="13"/>
      <c r="F580" s="13"/>
      <c r="G580" s="12"/>
      <c r="H580" s="56"/>
      <c r="I580" s="56"/>
      <c r="J580" s="56"/>
      <c r="K580" s="56"/>
      <c r="L580" s="56"/>
    </row>
    <row r="581" spans="1:12" s="98" customFormat="1" x14ac:dyDescent="0.15">
      <c r="A581" s="11"/>
      <c r="B581" s="11"/>
      <c r="C581" s="13"/>
      <c r="D581" s="12"/>
      <c r="E581" s="13"/>
      <c r="F581" s="13"/>
      <c r="G581" s="12"/>
      <c r="H581" s="56"/>
      <c r="I581" s="56"/>
      <c r="J581" s="56"/>
      <c r="K581" s="56"/>
      <c r="L581" s="56"/>
    </row>
    <row r="582" spans="1:12" s="98" customFormat="1" x14ac:dyDescent="0.15">
      <c r="A582" s="11"/>
      <c r="B582" s="11"/>
      <c r="C582" s="13"/>
      <c r="D582" s="12"/>
      <c r="E582" s="13"/>
      <c r="F582" s="13"/>
      <c r="G582" s="12"/>
      <c r="H582" s="56"/>
      <c r="I582" s="56"/>
      <c r="J582" s="56"/>
      <c r="K582" s="56"/>
      <c r="L582" s="56"/>
    </row>
    <row r="583" spans="1:12" s="98" customFormat="1" x14ac:dyDescent="0.15">
      <c r="A583" s="11"/>
      <c r="B583" s="11"/>
      <c r="C583" s="13"/>
      <c r="D583" s="12"/>
      <c r="E583" s="13"/>
      <c r="F583" s="13"/>
      <c r="G583" s="12"/>
      <c r="H583" s="56"/>
      <c r="I583" s="56"/>
      <c r="J583" s="56"/>
      <c r="K583" s="56"/>
      <c r="L583" s="56"/>
    </row>
    <row r="584" spans="1:12" s="98" customFormat="1" x14ac:dyDescent="0.15">
      <c r="A584" s="11"/>
      <c r="B584" s="11"/>
      <c r="C584" s="13"/>
      <c r="D584" s="12"/>
      <c r="E584" s="13"/>
      <c r="F584" s="13"/>
      <c r="G584" s="12"/>
      <c r="H584" s="56"/>
      <c r="I584" s="56"/>
      <c r="J584" s="56"/>
      <c r="K584" s="56"/>
      <c r="L584" s="56"/>
    </row>
    <row r="585" spans="1:12" s="98" customFormat="1" x14ac:dyDescent="0.15">
      <c r="A585" s="11"/>
      <c r="B585" s="11"/>
      <c r="C585" s="13"/>
      <c r="D585" s="12"/>
      <c r="E585" s="13"/>
      <c r="F585" s="13"/>
      <c r="G585" s="12"/>
      <c r="H585" s="56"/>
      <c r="I585" s="56"/>
      <c r="J585" s="56"/>
      <c r="K585" s="56"/>
      <c r="L585" s="56"/>
    </row>
    <row r="586" spans="1:12" s="98" customFormat="1" x14ac:dyDescent="0.15">
      <c r="A586" s="11"/>
      <c r="B586" s="11"/>
      <c r="C586" s="13"/>
      <c r="D586" s="12"/>
      <c r="E586" s="13"/>
      <c r="F586" s="13"/>
      <c r="G586" s="12"/>
      <c r="H586" s="56"/>
      <c r="I586" s="56"/>
      <c r="J586" s="56"/>
      <c r="K586" s="56"/>
      <c r="L586" s="56"/>
    </row>
    <row r="587" spans="1:12" s="98" customFormat="1" x14ac:dyDescent="0.15">
      <c r="A587" s="11"/>
      <c r="B587" s="11"/>
      <c r="C587" s="13"/>
      <c r="D587" s="12"/>
      <c r="E587" s="13"/>
      <c r="F587" s="13"/>
      <c r="G587" s="12"/>
      <c r="H587" s="56"/>
      <c r="I587" s="56"/>
      <c r="J587" s="56"/>
      <c r="K587" s="56"/>
      <c r="L587" s="56"/>
    </row>
    <row r="588" spans="1:12" s="98" customFormat="1" x14ac:dyDescent="0.15">
      <c r="A588" s="11"/>
      <c r="B588" s="11"/>
      <c r="C588" s="13"/>
      <c r="D588" s="12"/>
      <c r="E588" s="13"/>
      <c r="F588" s="13"/>
      <c r="G588" s="12"/>
      <c r="H588" s="56"/>
      <c r="I588" s="56"/>
      <c r="J588" s="56"/>
      <c r="K588" s="56"/>
      <c r="L588" s="56"/>
    </row>
    <row r="589" spans="1:12" s="98" customFormat="1" x14ac:dyDescent="0.15">
      <c r="A589" s="11"/>
      <c r="B589" s="11"/>
      <c r="C589" s="13"/>
      <c r="D589" s="12"/>
      <c r="E589" s="13"/>
      <c r="F589" s="13"/>
      <c r="G589" s="12"/>
      <c r="H589" s="56"/>
      <c r="I589" s="56"/>
      <c r="J589" s="56"/>
      <c r="K589" s="56"/>
      <c r="L589" s="56"/>
    </row>
    <row r="590" spans="1:12" s="98" customFormat="1" x14ac:dyDescent="0.15">
      <c r="A590" s="11"/>
      <c r="B590" s="11"/>
      <c r="C590" s="13"/>
      <c r="D590" s="12"/>
      <c r="E590" s="13"/>
      <c r="F590" s="13"/>
      <c r="G590" s="12"/>
      <c r="H590" s="56"/>
      <c r="I590" s="56"/>
      <c r="J590" s="56"/>
      <c r="K590" s="56"/>
      <c r="L590" s="56"/>
    </row>
    <row r="591" spans="1:12" s="98" customFormat="1" x14ac:dyDescent="0.15">
      <c r="A591" s="11"/>
      <c r="B591" s="11"/>
      <c r="C591" s="13"/>
      <c r="D591" s="12"/>
      <c r="E591" s="13"/>
      <c r="F591" s="13"/>
      <c r="G591" s="12"/>
      <c r="H591" s="56"/>
      <c r="I591" s="56"/>
      <c r="J591" s="56"/>
      <c r="K591" s="56"/>
      <c r="L591" s="56"/>
    </row>
    <row r="592" spans="1:12" s="98" customFormat="1" x14ac:dyDescent="0.15">
      <c r="A592" s="11"/>
      <c r="B592" s="11"/>
      <c r="C592" s="13"/>
      <c r="D592" s="12"/>
      <c r="E592" s="13"/>
      <c r="F592" s="13"/>
      <c r="G592" s="12"/>
      <c r="H592" s="56"/>
      <c r="I592" s="56"/>
      <c r="J592" s="56"/>
      <c r="K592" s="56"/>
      <c r="L592" s="56"/>
    </row>
    <row r="593" spans="1:12" s="98" customFormat="1" x14ac:dyDescent="0.15">
      <c r="A593" s="11"/>
      <c r="B593" s="11"/>
      <c r="C593" s="13"/>
      <c r="D593" s="12"/>
      <c r="E593" s="13"/>
      <c r="F593" s="13"/>
      <c r="G593" s="12"/>
      <c r="H593" s="56"/>
      <c r="I593" s="56"/>
      <c r="J593" s="56"/>
      <c r="K593" s="56"/>
      <c r="L593" s="56"/>
    </row>
    <row r="594" spans="1:12" s="98" customFormat="1" ht="19.5" customHeight="1" x14ac:dyDescent="0.15">
      <c r="A594" s="11"/>
      <c r="B594" s="11"/>
      <c r="C594" s="13"/>
      <c r="D594" s="12"/>
      <c r="E594" s="13"/>
      <c r="F594" s="13"/>
      <c r="G594" s="12"/>
      <c r="H594" s="56"/>
      <c r="I594" s="56"/>
      <c r="J594" s="56"/>
      <c r="K594" s="56"/>
      <c r="L594" s="56"/>
    </row>
  </sheetData>
  <phoneticPr fontId="1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X594"/>
  <sheetViews>
    <sheetView workbookViewId="0">
      <selection activeCell="G10" sqref="G10:I10"/>
    </sheetView>
  </sheetViews>
  <sheetFormatPr defaultRowHeight="16.5" x14ac:dyDescent="0.15"/>
  <cols>
    <col min="1" max="1" width="11.25" style="11" bestFit="1" customWidth="1"/>
    <col min="2" max="2" width="7.125" style="10" customWidth="1"/>
    <col min="3" max="3" width="3.5" style="107" customWidth="1"/>
    <col min="4" max="4" width="3.875" style="10" customWidth="1"/>
    <col min="5" max="5" width="2.875" style="10" bestFit="1" customWidth="1"/>
    <col min="6" max="6" width="3.125" style="107" customWidth="1"/>
    <col min="7" max="7" width="28.125" style="10" customWidth="1"/>
    <col min="8" max="8" width="63.125" style="10" customWidth="1"/>
    <col min="9" max="13" width="18" style="56" customWidth="1"/>
    <col min="14" max="14" width="18" style="11" customWidth="1"/>
    <col min="15" max="15" width="11.375" style="101" customWidth="1"/>
    <col min="16" max="16" width="11.875" style="103" customWidth="1"/>
    <col min="17" max="17" width="13.75" style="101" customWidth="1"/>
    <col min="18" max="19" width="13.75" style="106" customWidth="1"/>
    <col min="20" max="20" width="69.125" style="101" customWidth="1"/>
    <col min="21" max="21" width="13.75" style="106" customWidth="1"/>
    <col min="22" max="22" width="9.875" style="103" customWidth="1"/>
    <col min="23" max="23" width="10.75" style="103" customWidth="1"/>
    <col min="24" max="24" width="12.625" style="103" customWidth="1"/>
    <col min="25" max="16384" width="9" style="103"/>
  </cols>
  <sheetData>
    <row r="1" spans="1:24" x14ac:dyDescent="0.15">
      <c r="A1" s="11" t="s">
        <v>605</v>
      </c>
      <c r="I1" s="56" t="s">
        <v>60</v>
      </c>
      <c r="J1" s="56" t="s">
        <v>60</v>
      </c>
      <c r="K1" s="56" t="s">
        <v>60</v>
      </c>
      <c r="L1" s="56" t="s">
        <v>60</v>
      </c>
      <c r="M1" s="56" t="s">
        <v>60</v>
      </c>
      <c r="O1" s="100"/>
      <c r="P1" s="11"/>
      <c r="R1" s="11"/>
      <c r="S1" s="11"/>
      <c r="T1" s="100"/>
      <c r="U1" s="11"/>
      <c r="V1" s="11"/>
      <c r="W1" s="11"/>
      <c r="X1" s="11"/>
    </row>
    <row r="2" spans="1:24" x14ac:dyDescent="0.15">
      <c r="A2" s="11" t="s">
        <v>61</v>
      </c>
      <c r="I2" s="56" t="s">
        <v>61</v>
      </c>
      <c r="J2" s="56" t="s">
        <v>61</v>
      </c>
      <c r="K2" s="56" t="s">
        <v>61</v>
      </c>
      <c r="L2" s="56" t="s">
        <v>61</v>
      </c>
      <c r="M2" s="56" t="s">
        <v>61</v>
      </c>
      <c r="P2" s="11"/>
      <c r="R2" s="11"/>
      <c r="S2" s="11"/>
    </row>
    <row r="3" spans="1:24" x14ac:dyDescent="0.15">
      <c r="A3" s="11" t="s">
        <v>613</v>
      </c>
      <c r="I3" s="56" t="s">
        <v>626</v>
      </c>
      <c r="J3" s="56" t="s">
        <v>627</v>
      </c>
      <c r="K3" s="56" t="s">
        <v>628</v>
      </c>
      <c r="L3" s="56" t="s">
        <v>633</v>
      </c>
      <c r="M3" s="56" t="s">
        <v>668</v>
      </c>
    </row>
    <row r="4" spans="1:24" s="104" customFormat="1" ht="64.5" customHeight="1" thickBot="1" x14ac:dyDescent="0.2">
      <c r="A4" s="99" t="s">
        <v>608</v>
      </c>
      <c r="B4" s="92" t="s">
        <v>754</v>
      </c>
      <c r="C4" s="108"/>
      <c r="D4" s="92"/>
      <c r="E4" s="92"/>
      <c r="F4" s="108"/>
      <c r="G4" s="95" t="s">
        <v>616</v>
      </c>
      <c r="H4" s="95" t="s">
        <v>620</v>
      </c>
      <c r="I4" s="94" t="s">
        <v>738</v>
      </c>
      <c r="J4" s="94" t="s">
        <v>739</v>
      </c>
      <c r="K4" s="94" t="s">
        <v>740</v>
      </c>
      <c r="L4" s="94" t="s">
        <v>631</v>
      </c>
      <c r="M4" s="94" t="s">
        <v>751</v>
      </c>
      <c r="N4" s="99"/>
      <c r="O4" s="105"/>
      <c r="Q4" s="105"/>
      <c r="T4" s="105"/>
    </row>
    <row r="5" spans="1:24" x14ac:dyDescent="0.15">
      <c r="A5" s="11">
        <f>B5*10000000+C5*1000000+D5*10000+E5*100+F5</f>
        <v>30010000</v>
      </c>
      <c r="B5" s="17">
        <v>3</v>
      </c>
      <c r="C5" s="109">
        <v>0</v>
      </c>
      <c r="D5" s="17">
        <v>1</v>
      </c>
      <c r="E5" s="17">
        <v>0</v>
      </c>
      <c r="F5" s="109">
        <v>0</v>
      </c>
      <c r="G5" s="10" t="s">
        <v>617</v>
      </c>
      <c r="H5" s="11" t="s">
        <v>618</v>
      </c>
    </row>
    <row r="6" spans="1:24" x14ac:dyDescent="0.15">
      <c r="A6" s="11">
        <f t="shared" ref="A6:A17" si="0">B6*10000000+C6*1000000+D6*10000+E6*100+F6</f>
        <v>30020000</v>
      </c>
      <c r="B6" s="10">
        <v>3</v>
      </c>
      <c r="C6" s="107">
        <v>0</v>
      </c>
      <c r="D6" s="10">
        <v>2</v>
      </c>
      <c r="E6" s="10">
        <v>0</v>
      </c>
      <c r="F6" s="107">
        <v>0</v>
      </c>
      <c r="G6" s="10" t="s">
        <v>624</v>
      </c>
      <c r="H6" s="11" t="s">
        <v>625</v>
      </c>
      <c r="I6" s="56">
        <v>10000000</v>
      </c>
      <c r="J6" s="56">
        <v>60</v>
      </c>
      <c r="O6" s="102"/>
    </row>
    <row r="7" spans="1:24" x14ac:dyDescent="0.15">
      <c r="A7" s="11">
        <f t="shared" si="0"/>
        <v>30030000</v>
      </c>
      <c r="B7" s="10">
        <v>3</v>
      </c>
      <c r="C7" s="107">
        <v>0</v>
      </c>
      <c r="D7" s="10">
        <v>3</v>
      </c>
      <c r="E7" s="10">
        <v>0</v>
      </c>
      <c r="F7" s="107">
        <v>0</v>
      </c>
      <c r="G7" s="10" t="s">
        <v>621</v>
      </c>
      <c r="H7" s="11" t="s">
        <v>632</v>
      </c>
      <c r="I7" s="56">
        <v>1000</v>
      </c>
      <c r="J7" s="56">
        <v>50</v>
      </c>
      <c r="K7" s="56">
        <v>70</v>
      </c>
      <c r="O7" s="102"/>
    </row>
    <row r="8" spans="1:24" x14ac:dyDescent="0.15">
      <c r="A8" s="11">
        <f t="shared" si="0"/>
        <v>30040000</v>
      </c>
      <c r="B8" s="10">
        <v>3</v>
      </c>
      <c r="C8" s="107">
        <v>0</v>
      </c>
      <c r="D8" s="10">
        <v>4</v>
      </c>
      <c r="E8" s="10">
        <v>0</v>
      </c>
      <c r="F8" s="107">
        <v>0</v>
      </c>
      <c r="G8" s="10" t="s">
        <v>619</v>
      </c>
      <c r="H8" s="11" t="s">
        <v>623</v>
      </c>
    </row>
    <row r="9" spans="1:24" x14ac:dyDescent="0.15">
      <c r="A9" s="11">
        <f t="shared" si="0"/>
        <v>30050000</v>
      </c>
      <c r="B9" s="10">
        <v>3</v>
      </c>
      <c r="C9" s="107">
        <v>0</v>
      </c>
      <c r="D9" s="10">
        <v>5</v>
      </c>
      <c r="E9" s="10">
        <v>0</v>
      </c>
      <c r="F9" s="107">
        <v>0</v>
      </c>
      <c r="G9" s="10" t="s">
        <v>622</v>
      </c>
      <c r="H9" s="11" t="s">
        <v>742</v>
      </c>
      <c r="I9" s="56">
        <v>100</v>
      </c>
      <c r="J9" s="56">
        <v>100</v>
      </c>
      <c r="K9" s="56">
        <v>100</v>
      </c>
    </row>
    <row r="10" spans="1:24" x14ac:dyDescent="0.15">
      <c r="A10" s="11">
        <f t="shared" si="0"/>
        <v>30060000</v>
      </c>
      <c r="B10" s="10">
        <v>3</v>
      </c>
      <c r="C10" s="107">
        <v>0</v>
      </c>
      <c r="D10" s="10">
        <v>6</v>
      </c>
      <c r="E10" s="10">
        <v>0</v>
      </c>
      <c r="F10" s="107">
        <v>0</v>
      </c>
      <c r="G10" s="10" t="s">
        <v>759</v>
      </c>
      <c r="H10" s="11" t="s">
        <v>716</v>
      </c>
      <c r="I10" s="56">
        <v>100</v>
      </c>
    </row>
    <row r="11" spans="1:24" x14ac:dyDescent="0.15">
      <c r="A11" s="11">
        <f t="shared" si="0"/>
        <v>30070000</v>
      </c>
      <c r="B11" s="10">
        <v>3</v>
      </c>
      <c r="C11" s="107">
        <v>0</v>
      </c>
      <c r="D11" s="10">
        <v>7</v>
      </c>
      <c r="E11" s="10">
        <v>0</v>
      </c>
      <c r="F11" s="107">
        <v>0</v>
      </c>
      <c r="G11" s="10" t="s">
        <v>733</v>
      </c>
      <c r="H11" s="10" t="s">
        <v>741</v>
      </c>
      <c r="I11" s="56">
        <v>500</v>
      </c>
    </row>
    <row r="12" spans="1:24" x14ac:dyDescent="0.15">
      <c r="A12" s="11">
        <f t="shared" si="0"/>
        <v>30080000</v>
      </c>
      <c r="B12" s="10">
        <v>3</v>
      </c>
      <c r="C12" s="107">
        <v>0</v>
      </c>
      <c r="D12" s="10">
        <v>8</v>
      </c>
      <c r="E12" s="10">
        <v>0</v>
      </c>
      <c r="F12" s="107">
        <v>0</v>
      </c>
      <c r="G12" s="10" t="s">
        <v>734</v>
      </c>
      <c r="H12" s="10" t="s">
        <v>741</v>
      </c>
      <c r="I12" s="56">
        <v>5000</v>
      </c>
    </row>
    <row r="13" spans="1:24" x14ac:dyDescent="0.15">
      <c r="A13" s="11">
        <f t="shared" si="0"/>
        <v>30090000</v>
      </c>
      <c r="B13" s="10">
        <v>3</v>
      </c>
      <c r="C13" s="107">
        <v>0</v>
      </c>
      <c r="D13" s="10">
        <v>9</v>
      </c>
      <c r="E13" s="10">
        <v>0</v>
      </c>
      <c r="F13" s="107">
        <v>0</v>
      </c>
      <c r="G13" s="10" t="s">
        <v>750</v>
      </c>
      <c r="H13" s="10" t="s">
        <v>752</v>
      </c>
      <c r="L13" s="56">
        <v>300</v>
      </c>
    </row>
    <row r="14" spans="1:24" s="106" customFormat="1" x14ac:dyDescent="0.15">
      <c r="A14" s="11">
        <f t="shared" si="0"/>
        <v>30100000</v>
      </c>
      <c r="B14" s="10">
        <v>3</v>
      </c>
      <c r="C14" s="107">
        <v>0</v>
      </c>
      <c r="D14" s="10">
        <v>10</v>
      </c>
      <c r="E14" s="10">
        <v>0</v>
      </c>
      <c r="F14" s="107">
        <v>0</v>
      </c>
      <c r="G14" s="10" t="s">
        <v>756</v>
      </c>
      <c r="H14" s="10" t="s">
        <v>757</v>
      </c>
      <c r="I14" s="56"/>
      <c r="J14" s="56"/>
      <c r="K14" s="56"/>
      <c r="L14" s="56">
        <v>20</v>
      </c>
      <c r="M14" s="56"/>
      <c r="N14" s="11"/>
      <c r="O14" s="101"/>
      <c r="Q14" s="101"/>
      <c r="T14" s="101"/>
    </row>
    <row r="15" spans="1:24" s="106" customFormat="1" x14ac:dyDescent="0.15">
      <c r="A15" s="11">
        <f t="shared" si="0"/>
        <v>30110000</v>
      </c>
      <c r="B15" s="10">
        <v>3</v>
      </c>
      <c r="C15" s="107">
        <v>0</v>
      </c>
      <c r="D15" s="10">
        <v>11</v>
      </c>
      <c r="E15" s="10">
        <v>0</v>
      </c>
      <c r="F15" s="107">
        <v>0</v>
      </c>
      <c r="G15" s="10" t="s">
        <v>761</v>
      </c>
      <c r="H15" s="10" t="s">
        <v>755</v>
      </c>
      <c r="I15" s="56"/>
      <c r="J15" s="56"/>
      <c r="K15" s="56"/>
      <c r="L15" s="56"/>
      <c r="M15" s="56">
        <v>15</v>
      </c>
      <c r="N15" s="11"/>
      <c r="O15" s="101"/>
      <c r="Q15" s="101"/>
      <c r="T15" s="101"/>
    </row>
    <row r="16" spans="1:24" s="106" customFormat="1" x14ac:dyDescent="0.15">
      <c r="A16" s="11">
        <f t="shared" si="0"/>
        <v>30120000</v>
      </c>
      <c r="B16" s="10">
        <v>3</v>
      </c>
      <c r="C16" s="107">
        <v>0</v>
      </c>
      <c r="D16" s="10">
        <v>12</v>
      </c>
      <c r="E16" s="10">
        <v>0</v>
      </c>
      <c r="F16" s="107">
        <v>0</v>
      </c>
      <c r="G16" s="10" t="s">
        <v>762</v>
      </c>
      <c r="H16" s="10" t="s">
        <v>760</v>
      </c>
      <c r="I16" s="56"/>
      <c r="J16" s="56"/>
      <c r="K16" s="56"/>
      <c r="L16" s="56">
        <v>5</v>
      </c>
      <c r="M16" s="56"/>
      <c r="N16" s="11"/>
      <c r="O16" s="101"/>
      <c r="Q16" s="101"/>
      <c r="T16" s="101"/>
    </row>
    <row r="17" spans="1:20" s="106" customFormat="1" x14ac:dyDescent="0.15">
      <c r="A17" s="11">
        <f t="shared" si="0"/>
        <v>30130000</v>
      </c>
      <c r="B17" s="10">
        <v>3</v>
      </c>
      <c r="C17" s="107">
        <v>0</v>
      </c>
      <c r="D17" s="10">
        <v>13</v>
      </c>
      <c r="E17" s="10">
        <v>0</v>
      </c>
      <c r="F17" s="107">
        <v>0</v>
      </c>
      <c r="G17" s="10" t="s">
        <v>763</v>
      </c>
      <c r="H17" s="10" t="s">
        <v>764</v>
      </c>
      <c r="I17" s="56"/>
      <c r="J17" s="56"/>
      <c r="K17" s="56"/>
      <c r="L17" s="56">
        <v>2</v>
      </c>
      <c r="M17" s="56"/>
      <c r="N17" s="11"/>
      <c r="O17" s="101"/>
      <c r="Q17" s="101"/>
      <c r="T17" s="101"/>
    </row>
    <row r="18" spans="1:20" s="106" customFormat="1" x14ac:dyDescent="0.15">
      <c r="A18" s="11"/>
      <c r="B18" s="10"/>
      <c r="C18" s="107"/>
      <c r="D18" s="10"/>
      <c r="E18" s="10"/>
      <c r="F18" s="107"/>
      <c r="G18" s="10"/>
      <c r="H18" s="10"/>
      <c r="I18" s="56"/>
      <c r="J18" s="56"/>
      <c r="K18" s="56"/>
      <c r="L18" s="56"/>
      <c r="M18" s="56"/>
      <c r="N18" s="11"/>
      <c r="O18" s="101"/>
      <c r="Q18" s="101"/>
      <c r="T18" s="101"/>
    </row>
    <row r="19" spans="1:20" s="106" customFormat="1" x14ac:dyDescent="0.15">
      <c r="A19" s="11"/>
      <c r="B19" s="10"/>
      <c r="C19" s="107"/>
      <c r="D19" s="10"/>
      <c r="E19" s="10"/>
      <c r="F19" s="107"/>
      <c r="G19" s="10"/>
      <c r="H19" s="10"/>
      <c r="I19" s="56"/>
      <c r="J19" s="56"/>
      <c r="K19" s="56"/>
      <c r="L19" s="56"/>
      <c r="M19" s="56"/>
      <c r="N19" s="11"/>
      <c r="O19" s="101"/>
      <c r="Q19" s="101"/>
      <c r="T19" s="101"/>
    </row>
    <row r="20" spans="1:20" s="106" customFormat="1" x14ac:dyDescent="0.15">
      <c r="A20" s="11"/>
      <c r="B20" s="10"/>
      <c r="C20" s="107"/>
      <c r="D20" s="10"/>
      <c r="E20" s="10"/>
      <c r="F20" s="107"/>
      <c r="G20" s="10"/>
      <c r="H20" s="10"/>
      <c r="I20" s="56"/>
      <c r="J20" s="56"/>
      <c r="K20" s="56"/>
      <c r="L20" s="56"/>
      <c r="M20" s="56"/>
      <c r="N20" s="11"/>
      <c r="O20" s="101"/>
      <c r="Q20" s="101"/>
      <c r="T20" s="101"/>
    </row>
    <row r="21" spans="1:20" s="106" customFormat="1" x14ac:dyDescent="0.15">
      <c r="A21" s="11"/>
      <c r="B21" s="10"/>
      <c r="C21" s="107"/>
      <c r="D21" s="10"/>
      <c r="E21" s="10"/>
      <c r="F21" s="107"/>
      <c r="G21" s="10"/>
      <c r="H21" s="10"/>
      <c r="I21" s="56"/>
      <c r="J21" s="56"/>
      <c r="K21" s="56"/>
      <c r="L21" s="56"/>
      <c r="M21" s="56"/>
      <c r="N21" s="11"/>
      <c r="O21" s="101"/>
      <c r="Q21" s="101"/>
      <c r="T21" s="101"/>
    </row>
    <row r="22" spans="1:20" s="106" customFormat="1" x14ac:dyDescent="0.15">
      <c r="A22" s="11"/>
      <c r="B22" s="10"/>
      <c r="C22" s="107"/>
      <c r="D22" s="10"/>
      <c r="E22" s="10"/>
      <c r="F22" s="107"/>
      <c r="G22" s="10"/>
      <c r="H22" s="10"/>
      <c r="I22" s="56"/>
      <c r="J22" s="56"/>
      <c r="K22" s="56"/>
      <c r="L22" s="56"/>
      <c r="M22" s="56"/>
      <c r="N22" s="11"/>
      <c r="O22" s="101"/>
      <c r="Q22" s="101"/>
      <c r="T22" s="101"/>
    </row>
    <row r="23" spans="1:20" s="106" customFormat="1" x14ac:dyDescent="0.15">
      <c r="A23" s="11"/>
      <c r="B23" s="10"/>
      <c r="C23" s="107"/>
      <c r="D23" s="10"/>
      <c r="E23" s="10"/>
      <c r="F23" s="107"/>
      <c r="G23" s="10"/>
      <c r="H23" s="10"/>
      <c r="I23" s="56"/>
      <c r="J23" s="56"/>
      <c r="K23" s="56"/>
      <c r="L23" s="56"/>
      <c r="M23" s="56"/>
      <c r="N23" s="11"/>
      <c r="O23" s="101"/>
      <c r="Q23" s="101"/>
      <c r="T23" s="101"/>
    </row>
    <row r="24" spans="1:20" s="106" customFormat="1" x14ac:dyDescent="0.15">
      <c r="A24" s="11"/>
      <c r="B24" s="10"/>
      <c r="C24" s="107"/>
      <c r="D24" s="10"/>
      <c r="E24" s="10"/>
      <c r="F24" s="107"/>
      <c r="G24" s="10"/>
      <c r="H24" s="10"/>
      <c r="I24" s="56"/>
      <c r="J24" s="56"/>
      <c r="K24" s="56"/>
      <c r="L24" s="56"/>
      <c r="M24" s="56"/>
      <c r="N24" s="11"/>
      <c r="O24" s="101"/>
      <c r="Q24" s="101"/>
      <c r="T24" s="101"/>
    </row>
    <row r="25" spans="1:20" s="106" customFormat="1" x14ac:dyDescent="0.15">
      <c r="A25" s="11"/>
      <c r="B25" s="10"/>
      <c r="C25" s="107"/>
      <c r="D25" s="10"/>
      <c r="E25" s="10"/>
      <c r="F25" s="107"/>
      <c r="G25" s="10"/>
      <c r="H25" s="10"/>
      <c r="I25" s="56"/>
      <c r="J25" s="56"/>
      <c r="K25" s="56"/>
      <c r="L25" s="56"/>
      <c r="M25" s="56"/>
      <c r="N25" s="11"/>
      <c r="O25" s="101"/>
      <c r="Q25" s="101"/>
      <c r="T25" s="101"/>
    </row>
    <row r="26" spans="1:20" s="106" customFormat="1" x14ac:dyDescent="0.15">
      <c r="A26" s="11"/>
      <c r="B26" s="10"/>
      <c r="C26" s="107"/>
      <c r="D26" s="10"/>
      <c r="E26" s="10"/>
      <c r="F26" s="107"/>
      <c r="G26" s="10"/>
      <c r="H26" s="10"/>
      <c r="I26" s="56"/>
      <c r="J26" s="56"/>
      <c r="K26" s="56"/>
      <c r="L26" s="56"/>
      <c r="M26" s="56"/>
      <c r="N26" s="11"/>
      <c r="O26" s="101"/>
      <c r="Q26" s="101"/>
      <c r="T26" s="101"/>
    </row>
    <row r="27" spans="1:20" s="106" customFormat="1" x14ac:dyDescent="0.15">
      <c r="A27" s="11"/>
      <c r="B27" s="10"/>
      <c r="C27" s="107"/>
      <c r="D27" s="10"/>
      <c r="E27" s="10"/>
      <c r="F27" s="107"/>
      <c r="G27" s="10"/>
      <c r="H27" s="10"/>
      <c r="I27" s="56"/>
      <c r="J27" s="56"/>
      <c r="K27" s="56"/>
      <c r="L27" s="56"/>
      <c r="M27" s="56"/>
      <c r="N27" s="11"/>
      <c r="O27" s="101"/>
      <c r="Q27" s="101"/>
      <c r="T27" s="101"/>
    </row>
    <row r="28" spans="1:20" s="106" customFormat="1" x14ac:dyDescent="0.15">
      <c r="A28" s="11"/>
      <c r="B28" s="10"/>
      <c r="C28" s="107"/>
      <c r="D28" s="10"/>
      <c r="E28" s="10"/>
      <c r="F28" s="107"/>
      <c r="G28" s="10"/>
      <c r="H28" s="10"/>
      <c r="I28" s="56"/>
      <c r="J28" s="56"/>
      <c r="K28" s="56"/>
      <c r="L28" s="56"/>
      <c r="M28" s="56"/>
      <c r="N28" s="11"/>
      <c r="O28" s="101"/>
      <c r="Q28" s="101"/>
      <c r="T28" s="101"/>
    </row>
    <row r="29" spans="1:20" s="106" customFormat="1" x14ac:dyDescent="0.15">
      <c r="A29" s="11"/>
      <c r="B29" s="10"/>
      <c r="C29" s="107"/>
      <c r="D29" s="10"/>
      <c r="E29" s="10"/>
      <c r="F29" s="107"/>
      <c r="G29" s="10"/>
      <c r="H29" s="10"/>
      <c r="I29" s="56"/>
      <c r="J29" s="56"/>
      <c r="K29" s="56"/>
      <c r="L29" s="56"/>
      <c r="M29" s="56"/>
      <c r="N29" s="11"/>
      <c r="O29" s="101"/>
      <c r="Q29" s="101"/>
      <c r="T29" s="101"/>
    </row>
    <row r="30" spans="1:20" s="106" customFormat="1" x14ac:dyDescent="0.15">
      <c r="A30" s="11"/>
      <c r="B30" s="10"/>
      <c r="C30" s="107"/>
      <c r="D30" s="10"/>
      <c r="E30" s="10"/>
      <c r="F30" s="107"/>
      <c r="G30" s="10"/>
      <c r="H30" s="10"/>
      <c r="I30" s="56"/>
      <c r="J30" s="56"/>
      <c r="K30" s="56"/>
      <c r="L30" s="56"/>
      <c r="M30" s="56"/>
      <c r="N30" s="11"/>
      <c r="O30" s="101"/>
      <c r="Q30" s="101"/>
      <c r="T30" s="101"/>
    </row>
    <row r="31" spans="1:20" s="106" customFormat="1" x14ac:dyDescent="0.15">
      <c r="A31" s="11"/>
      <c r="B31" s="10"/>
      <c r="C31" s="107"/>
      <c r="D31" s="10"/>
      <c r="E31" s="10"/>
      <c r="F31" s="107"/>
      <c r="G31" s="10"/>
      <c r="H31" s="10"/>
      <c r="I31" s="56"/>
      <c r="J31" s="56"/>
      <c r="K31" s="56"/>
      <c r="L31" s="56"/>
      <c r="M31" s="56"/>
      <c r="N31" s="11"/>
      <c r="O31" s="101"/>
      <c r="Q31" s="101"/>
      <c r="T31" s="101"/>
    </row>
    <row r="32" spans="1:20" s="106" customFormat="1" x14ac:dyDescent="0.15">
      <c r="A32" s="11"/>
      <c r="B32" s="10"/>
      <c r="C32" s="107"/>
      <c r="D32" s="10"/>
      <c r="E32" s="10"/>
      <c r="F32" s="107"/>
      <c r="G32" s="10"/>
      <c r="H32" s="10"/>
      <c r="I32" s="56"/>
      <c r="J32" s="56"/>
      <c r="K32" s="56"/>
      <c r="L32" s="56"/>
      <c r="M32" s="56"/>
      <c r="N32" s="11"/>
      <c r="O32" s="101"/>
      <c r="Q32" s="101"/>
      <c r="T32" s="101"/>
    </row>
    <row r="33" spans="1:20" s="106" customFormat="1" x14ac:dyDescent="0.15">
      <c r="A33" s="11"/>
      <c r="B33" s="10"/>
      <c r="C33" s="107"/>
      <c r="D33" s="10"/>
      <c r="E33" s="10"/>
      <c r="F33" s="107"/>
      <c r="G33" s="10"/>
      <c r="H33" s="10"/>
      <c r="I33" s="56"/>
      <c r="J33" s="56"/>
      <c r="K33" s="56"/>
      <c r="L33" s="56"/>
      <c r="M33" s="56"/>
      <c r="N33" s="11"/>
      <c r="O33" s="101"/>
      <c r="Q33" s="101"/>
      <c r="T33" s="101"/>
    </row>
    <row r="34" spans="1:20" s="106" customFormat="1" x14ac:dyDescent="0.15">
      <c r="A34" s="11"/>
      <c r="B34" s="10"/>
      <c r="C34" s="107"/>
      <c r="D34" s="10"/>
      <c r="E34" s="10"/>
      <c r="F34" s="107"/>
      <c r="G34" s="10"/>
      <c r="H34" s="10"/>
      <c r="I34" s="56"/>
      <c r="J34" s="56"/>
      <c r="K34" s="56"/>
      <c r="L34" s="56"/>
      <c r="M34" s="56"/>
      <c r="N34" s="11"/>
      <c r="O34" s="101"/>
      <c r="Q34" s="101"/>
      <c r="T34" s="101"/>
    </row>
    <row r="35" spans="1:20" s="106" customFormat="1" x14ac:dyDescent="0.15">
      <c r="A35" s="11"/>
      <c r="B35" s="10"/>
      <c r="C35" s="107"/>
      <c r="D35" s="10"/>
      <c r="E35" s="10"/>
      <c r="F35" s="107"/>
      <c r="G35" s="10"/>
      <c r="H35" s="10"/>
      <c r="I35" s="56"/>
      <c r="J35" s="56"/>
      <c r="K35" s="56"/>
      <c r="L35" s="56"/>
      <c r="M35" s="56"/>
      <c r="N35" s="11"/>
      <c r="O35" s="101"/>
      <c r="Q35" s="101"/>
      <c r="T35" s="101"/>
    </row>
    <row r="36" spans="1:20" s="106" customFormat="1" x14ac:dyDescent="0.15">
      <c r="A36" s="11"/>
      <c r="B36" s="10"/>
      <c r="C36" s="107"/>
      <c r="D36" s="10"/>
      <c r="E36" s="10"/>
      <c r="F36" s="107"/>
      <c r="G36" s="10"/>
      <c r="H36" s="10"/>
      <c r="I36" s="56"/>
      <c r="J36" s="56"/>
      <c r="K36" s="56"/>
      <c r="L36" s="56"/>
      <c r="M36" s="56"/>
      <c r="N36" s="11"/>
      <c r="O36" s="101"/>
      <c r="Q36" s="101"/>
      <c r="T36" s="101"/>
    </row>
    <row r="37" spans="1:20" s="106" customFormat="1" x14ac:dyDescent="0.15">
      <c r="A37" s="11"/>
      <c r="B37" s="10"/>
      <c r="C37" s="107"/>
      <c r="D37" s="10"/>
      <c r="E37" s="10"/>
      <c r="F37" s="107"/>
      <c r="G37" s="10"/>
      <c r="H37" s="10"/>
      <c r="I37" s="56"/>
      <c r="J37" s="56"/>
      <c r="K37" s="56"/>
      <c r="L37" s="56"/>
      <c r="M37" s="56"/>
      <c r="N37" s="11"/>
      <c r="O37" s="101"/>
      <c r="Q37" s="101"/>
      <c r="T37" s="101"/>
    </row>
    <row r="38" spans="1:20" s="106" customFormat="1" x14ac:dyDescent="0.15">
      <c r="A38" s="11"/>
      <c r="B38" s="10"/>
      <c r="C38" s="107"/>
      <c r="D38" s="10"/>
      <c r="E38" s="10"/>
      <c r="F38" s="107"/>
      <c r="G38" s="10"/>
      <c r="H38" s="10"/>
      <c r="I38" s="56"/>
      <c r="J38" s="56"/>
      <c r="K38" s="56"/>
      <c r="L38" s="56"/>
      <c r="M38" s="56"/>
      <c r="N38" s="11"/>
      <c r="O38" s="101"/>
      <c r="Q38" s="101"/>
      <c r="T38" s="101"/>
    </row>
    <row r="39" spans="1:20" s="106" customFormat="1" x14ac:dyDescent="0.15">
      <c r="A39" s="11"/>
      <c r="B39" s="10"/>
      <c r="C39" s="107"/>
      <c r="D39" s="10"/>
      <c r="E39" s="10"/>
      <c r="F39" s="107"/>
      <c r="G39" s="10"/>
      <c r="H39" s="10"/>
      <c r="I39" s="56"/>
      <c r="J39" s="56"/>
      <c r="K39" s="56"/>
      <c r="L39" s="56"/>
      <c r="M39" s="56"/>
      <c r="N39" s="11"/>
      <c r="O39" s="101"/>
      <c r="Q39" s="101"/>
      <c r="T39" s="101"/>
    </row>
    <row r="40" spans="1:20" s="106" customFormat="1" x14ac:dyDescent="0.15">
      <c r="A40" s="11"/>
      <c r="B40" s="10"/>
      <c r="C40" s="107"/>
      <c r="D40" s="10"/>
      <c r="E40" s="10"/>
      <c r="F40" s="107"/>
      <c r="G40" s="10"/>
      <c r="H40" s="10"/>
      <c r="I40" s="56"/>
      <c r="J40" s="56"/>
      <c r="K40" s="56"/>
      <c r="L40" s="56"/>
      <c r="M40" s="56"/>
      <c r="N40" s="11"/>
      <c r="O40" s="101"/>
      <c r="Q40" s="101"/>
      <c r="T40" s="101"/>
    </row>
    <row r="41" spans="1:20" s="106" customFormat="1" x14ac:dyDescent="0.15">
      <c r="A41" s="11"/>
      <c r="B41" s="10"/>
      <c r="C41" s="107"/>
      <c r="D41" s="10"/>
      <c r="E41" s="10"/>
      <c r="F41" s="107"/>
      <c r="G41" s="10"/>
      <c r="H41" s="10"/>
      <c r="I41" s="56"/>
      <c r="J41" s="56"/>
      <c r="K41" s="56"/>
      <c r="L41" s="56"/>
      <c r="M41" s="56"/>
      <c r="N41" s="11"/>
      <c r="O41" s="101"/>
      <c r="Q41" s="101"/>
      <c r="T41" s="101"/>
    </row>
    <row r="42" spans="1:20" s="106" customFormat="1" x14ac:dyDescent="0.15">
      <c r="A42" s="11"/>
      <c r="B42" s="10"/>
      <c r="C42" s="107"/>
      <c r="D42" s="10"/>
      <c r="E42" s="10"/>
      <c r="F42" s="107"/>
      <c r="G42" s="10"/>
      <c r="H42" s="10"/>
      <c r="I42" s="56"/>
      <c r="J42" s="56"/>
      <c r="K42" s="56"/>
      <c r="L42" s="56"/>
      <c r="M42" s="56"/>
      <c r="N42" s="11"/>
      <c r="O42" s="101"/>
      <c r="Q42" s="101"/>
      <c r="T42" s="101"/>
    </row>
    <row r="43" spans="1:20" s="106" customFormat="1" x14ac:dyDescent="0.15">
      <c r="A43" s="11"/>
      <c r="B43" s="10"/>
      <c r="C43" s="107"/>
      <c r="D43" s="10"/>
      <c r="E43" s="10"/>
      <c r="F43" s="107"/>
      <c r="G43" s="10"/>
      <c r="H43" s="10"/>
      <c r="I43" s="56"/>
      <c r="J43" s="56"/>
      <c r="K43" s="56"/>
      <c r="L43" s="56"/>
      <c r="M43" s="56"/>
      <c r="N43" s="11"/>
      <c r="O43" s="101"/>
      <c r="Q43" s="101"/>
      <c r="T43" s="101"/>
    </row>
    <row r="44" spans="1:20" s="106" customFormat="1" x14ac:dyDescent="0.15">
      <c r="A44" s="11"/>
      <c r="B44" s="10"/>
      <c r="C44" s="107"/>
      <c r="D44" s="10"/>
      <c r="E44" s="10"/>
      <c r="F44" s="107"/>
      <c r="G44" s="10"/>
      <c r="H44" s="10"/>
      <c r="I44" s="56"/>
      <c r="J44" s="56"/>
      <c r="K44" s="56"/>
      <c r="L44" s="56"/>
      <c r="M44" s="56"/>
      <c r="N44" s="11"/>
      <c r="O44" s="101"/>
      <c r="Q44" s="101"/>
      <c r="T44" s="101"/>
    </row>
    <row r="45" spans="1:20" s="106" customFormat="1" x14ac:dyDescent="0.15">
      <c r="A45" s="11"/>
      <c r="B45" s="10"/>
      <c r="C45" s="107"/>
      <c r="D45" s="10"/>
      <c r="E45" s="10"/>
      <c r="F45" s="107"/>
      <c r="G45" s="10"/>
      <c r="H45" s="10"/>
      <c r="I45" s="56"/>
      <c r="J45" s="56"/>
      <c r="K45" s="56"/>
      <c r="L45" s="56"/>
      <c r="M45" s="56"/>
      <c r="N45" s="11"/>
      <c r="O45" s="101"/>
      <c r="Q45" s="101"/>
      <c r="T45" s="101"/>
    </row>
    <row r="46" spans="1:20" s="106" customFormat="1" x14ac:dyDescent="0.15">
      <c r="A46" s="11"/>
      <c r="B46" s="10"/>
      <c r="C46" s="107"/>
      <c r="D46" s="10"/>
      <c r="E46" s="10"/>
      <c r="F46" s="107"/>
      <c r="G46" s="10"/>
      <c r="H46" s="10"/>
      <c r="I46" s="56"/>
      <c r="J46" s="56"/>
      <c r="K46" s="56"/>
      <c r="L46" s="56"/>
      <c r="M46" s="56"/>
      <c r="N46" s="11"/>
      <c r="O46" s="101"/>
      <c r="Q46" s="101"/>
      <c r="T46" s="101"/>
    </row>
    <row r="47" spans="1:20" s="106" customFormat="1" x14ac:dyDescent="0.15">
      <c r="A47" s="11"/>
      <c r="B47" s="10"/>
      <c r="C47" s="107"/>
      <c r="D47" s="10"/>
      <c r="E47" s="10"/>
      <c r="F47" s="107"/>
      <c r="G47" s="10"/>
      <c r="H47" s="10"/>
      <c r="I47" s="56"/>
      <c r="J47" s="56"/>
      <c r="K47" s="56"/>
      <c r="L47" s="56"/>
      <c r="M47" s="56"/>
      <c r="N47" s="11"/>
      <c r="O47" s="101"/>
      <c r="Q47" s="101"/>
      <c r="T47" s="101"/>
    </row>
    <row r="48" spans="1:20" s="106" customFormat="1" x14ac:dyDescent="0.15">
      <c r="A48" s="11"/>
      <c r="B48" s="10"/>
      <c r="C48" s="107"/>
      <c r="D48" s="10"/>
      <c r="E48" s="10"/>
      <c r="F48" s="107"/>
      <c r="G48" s="10"/>
      <c r="H48" s="10"/>
      <c r="I48" s="56"/>
      <c r="J48" s="56"/>
      <c r="K48" s="56"/>
      <c r="L48" s="56"/>
      <c r="M48" s="56"/>
      <c r="N48" s="11"/>
      <c r="O48" s="101"/>
      <c r="Q48" s="101"/>
      <c r="T48" s="101"/>
    </row>
    <row r="49" spans="1:20" s="106" customFormat="1" x14ac:dyDescent="0.15">
      <c r="A49" s="11"/>
      <c r="B49" s="10"/>
      <c r="C49" s="107"/>
      <c r="D49" s="10"/>
      <c r="E49" s="10"/>
      <c r="F49" s="107"/>
      <c r="G49" s="10"/>
      <c r="H49" s="10"/>
      <c r="I49" s="56"/>
      <c r="J49" s="56"/>
      <c r="K49" s="56"/>
      <c r="L49" s="56"/>
      <c r="M49" s="56"/>
      <c r="N49" s="11"/>
      <c r="O49" s="101"/>
      <c r="Q49" s="101"/>
      <c r="T49" s="101"/>
    </row>
    <row r="50" spans="1:20" s="106" customFormat="1" x14ac:dyDescent="0.15">
      <c r="A50" s="11"/>
      <c r="B50" s="10"/>
      <c r="C50" s="107"/>
      <c r="D50" s="10"/>
      <c r="E50" s="10"/>
      <c r="F50" s="107"/>
      <c r="G50" s="10"/>
      <c r="H50" s="10"/>
      <c r="I50" s="56"/>
      <c r="J50" s="56"/>
      <c r="K50" s="56"/>
      <c r="L50" s="56"/>
      <c r="M50" s="56"/>
      <c r="N50" s="11"/>
      <c r="O50" s="101"/>
      <c r="Q50" s="101"/>
      <c r="T50" s="101"/>
    </row>
    <row r="51" spans="1:20" s="106" customFormat="1" x14ac:dyDescent="0.15">
      <c r="A51" s="11"/>
      <c r="B51" s="10"/>
      <c r="C51" s="107"/>
      <c r="D51" s="10"/>
      <c r="E51" s="10"/>
      <c r="F51" s="107"/>
      <c r="G51" s="10"/>
      <c r="H51" s="10"/>
      <c r="I51" s="56"/>
      <c r="J51" s="56"/>
      <c r="K51" s="56"/>
      <c r="L51" s="56"/>
      <c r="M51" s="56"/>
      <c r="N51" s="11"/>
      <c r="O51" s="101"/>
      <c r="Q51" s="101"/>
      <c r="T51" s="101"/>
    </row>
    <row r="52" spans="1:20" s="106" customFormat="1" x14ac:dyDescent="0.15">
      <c r="A52" s="11"/>
      <c r="B52" s="10"/>
      <c r="C52" s="107"/>
      <c r="D52" s="10"/>
      <c r="E52" s="10"/>
      <c r="F52" s="107"/>
      <c r="G52" s="10"/>
      <c r="H52" s="10"/>
      <c r="I52" s="56"/>
      <c r="J52" s="56"/>
      <c r="K52" s="56"/>
      <c r="L52" s="56"/>
      <c r="M52" s="56"/>
      <c r="N52" s="11"/>
      <c r="O52" s="101"/>
      <c r="Q52" s="101"/>
      <c r="T52" s="101"/>
    </row>
    <row r="53" spans="1:20" s="106" customFormat="1" x14ac:dyDescent="0.15">
      <c r="A53" s="11"/>
      <c r="B53" s="10"/>
      <c r="C53" s="107"/>
      <c r="D53" s="10"/>
      <c r="E53" s="10"/>
      <c r="F53" s="107"/>
      <c r="G53" s="10"/>
      <c r="H53" s="10"/>
      <c r="I53" s="56"/>
      <c r="J53" s="56"/>
      <c r="K53" s="56"/>
      <c r="L53" s="56"/>
      <c r="M53" s="56"/>
      <c r="N53" s="11"/>
      <c r="O53" s="101"/>
      <c r="Q53" s="101"/>
      <c r="T53" s="101"/>
    </row>
    <row r="54" spans="1:20" s="106" customFormat="1" x14ac:dyDescent="0.15">
      <c r="A54" s="11"/>
      <c r="B54" s="10"/>
      <c r="C54" s="107"/>
      <c r="D54" s="10"/>
      <c r="E54" s="10"/>
      <c r="F54" s="107"/>
      <c r="G54" s="10"/>
      <c r="H54" s="10"/>
      <c r="I54" s="56"/>
      <c r="J54" s="56"/>
      <c r="K54" s="56"/>
      <c r="L54" s="56"/>
      <c r="M54" s="56"/>
      <c r="N54" s="11"/>
      <c r="O54" s="101"/>
      <c r="Q54" s="101"/>
      <c r="T54" s="101"/>
    </row>
    <row r="55" spans="1:20" s="106" customFormat="1" x14ac:dyDescent="0.15">
      <c r="A55" s="11"/>
      <c r="B55" s="10"/>
      <c r="C55" s="107"/>
      <c r="D55" s="10"/>
      <c r="E55" s="10"/>
      <c r="F55" s="107"/>
      <c r="G55" s="10"/>
      <c r="H55" s="10"/>
      <c r="I55" s="56"/>
      <c r="J55" s="56"/>
      <c r="K55" s="56"/>
      <c r="L55" s="56"/>
      <c r="M55" s="56"/>
      <c r="N55" s="11"/>
      <c r="O55" s="101"/>
      <c r="Q55" s="101"/>
      <c r="T55" s="101"/>
    </row>
    <row r="56" spans="1:20" s="106" customFormat="1" x14ac:dyDescent="0.15">
      <c r="A56" s="11"/>
      <c r="B56" s="10"/>
      <c r="C56" s="107"/>
      <c r="D56" s="10"/>
      <c r="E56" s="10"/>
      <c r="F56" s="107"/>
      <c r="G56" s="10"/>
      <c r="H56" s="10"/>
      <c r="I56" s="56"/>
      <c r="J56" s="56"/>
      <c r="K56" s="56"/>
      <c r="L56" s="56"/>
      <c r="M56" s="56"/>
      <c r="N56" s="11"/>
      <c r="O56" s="101"/>
      <c r="Q56" s="101"/>
      <c r="T56" s="101"/>
    </row>
    <row r="57" spans="1:20" s="106" customFormat="1" x14ac:dyDescent="0.15">
      <c r="A57" s="11"/>
      <c r="B57" s="10"/>
      <c r="C57" s="107"/>
      <c r="D57" s="10"/>
      <c r="E57" s="10"/>
      <c r="F57" s="107"/>
      <c r="G57" s="10"/>
      <c r="H57" s="10"/>
      <c r="I57" s="56"/>
      <c r="J57" s="56"/>
      <c r="K57" s="56"/>
      <c r="L57" s="56"/>
      <c r="M57" s="56"/>
      <c r="N57" s="11"/>
      <c r="O57" s="101"/>
      <c r="Q57" s="101"/>
      <c r="T57" s="101"/>
    </row>
    <row r="58" spans="1:20" s="106" customFormat="1" x14ac:dyDescent="0.15">
      <c r="A58" s="11"/>
      <c r="B58" s="10"/>
      <c r="C58" s="107"/>
      <c r="D58" s="10"/>
      <c r="E58" s="10"/>
      <c r="F58" s="107"/>
      <c r="G58" s="10"/>
      <c r="H58" s="10"/>
      <c r="I58" s="56"/>
      <c r="J58" s="56"/>
      <c r="K58" s="56"/>
      <c r="L58" s="56"/>
      <c r="M58" s="56"/>
      <c r="N58" s="11"/>
      <c r="O58" s="101"/>
      <c r="Q58" s="101"/>
      <c r="T58" s="101"/>
    </row>
    <row r="59" spans="1:20" s="106" customFormat="1" x14ac:dyDescent="0.15">
      <c r="A59" s="11"/>
      <c r="B59" s="10"/>
      <c r="C59" s="107"/>
      <c r="D59" s="10"/>
      <c r="E59" s="10"/>
      <c r="F59" s="107"/>
      <c r="G59" s="10"/>
      <c r="H59" s="10"/>
      <c r="I59" s="56"/>
      <c r="J59" s="56"/>
      <c r="K59" s="56"/>
      <c r="L59" s="56"/>
      <c r="M59" s="56"/>
      <c r="N59" s="11"/>
      <c r="O59" s="101"/>
      <c r="Q59" s="101"/>
      <c r="T59" s="101"/>
    </row>
    <row r="60" spans="1:20" s="106" customFormat="1" x14ac:dyDescent="0.15">
      <c r="A60" s="11"/>
      <c r="B60" s="10"/>
      <c r="C60" s="107"/>
      <c r="D60" s="10"/>
      <c r="E60" s="10"/>
      <c r="F60" s="107"/>
      <c r="G60" s="10"/>
      <c r="H60" s="10"/>
      <c r="I60" s="56"/>
      <c r="J60" s="56"/>
      <c r="K60" s="56"/>
      <c r="L60" s="56"/>
      <c r="M60" s="56"/>
      <c r="N60" s="11"/>
      <c r="O60" s="101"/>
      <c r="Q60" s="101"/>
      <c r="T60" s="101"/>
    </row>
    <row r="61" spans="1:20" s="106" customFormat="1" x14ac:dyDescent="0.15">
      <c r="A61" s="11"/>
      <c r="B61" s="10"/>
      <c r="C61" s="107"/>
      <c r="D61" s="10"/>
      <c r="E61" s="10"/>
      <c r="F61" s="107"/>
      <c r="G61" s="10"/>
      <c r="H61" s="10"/>
      <c r="I61" s="56"/>
      <c r="J61" s="56"/>
      <c r="K61" s="56"/>
      <c r="L61" s="56"/>
      <c r="M61" s="56"/>
      <c r="N61" s="11"/>
      <c r="O61" s="101"/>
      <c r="Q61" s="101"/>
      <c r="T61" s="101"/>
    </row>
    <row r="62" spans="1:20" s="106" customFormat="1" x14ac:dyDescent="0.15">
      <c r="A62" s="11"/>
      <c r="B62" s="10"/>
      <c r="C62" s="107"/>
      <c r="D62" s="10"/>
      <c r="E62" s="10"/>
      <c r="F62" s="107"/>
      <c r="G62" s="10"/>
      <c r="H62" s="10"/>
      <c r="I62" s="56"/>
      <c r="J62" s="56"/>
      <c r="K62" s="56"/>
      <c r="L62" s="56"/>
      <c r="M62" s="56"/>
      <c r="N62" s="11"/>
      <c r="O62" s="101"/>
      <c r="Q62" s="101"/>
      <c r="T62" s="101"/>
    </row>
    <row r="63" spans="1:20" s="106" customFormat="1" x14ac:dyDescent="0.15">
      <c r="A63" s="11"/>
      <c r="B63" s="10"/>
      <c r="C63" s="107"/>
      <c r="D63" s="10"/>
      <c r="E63" s="10"/>
      <c r="F63" s="107"/>
      <c r="G63" s="10"/>
      <c r="H63" s="10"/>
      <c r="I63" s="56"/>
      <c r="J63" s="56"/>
      <c r="K63" s="56"/>
      <c r="L63" s="56"/>
      <c r="M63" s="56"/>
      <c r="N63" s="11"/>
      <c r="O63" s="101"/>
      <c r="Q63" s="101"/>
      <c r="T63" s="101"/>
    </row>
    <row r="64" spans="1:20" s="106" customFormat="1" x14ac:dyDescent="0.15">
      <c r="A64" s="11"/>
      <c r="B64" s="10"/>
      <c r="C64" s="107"/>
      <c r="D64" s="10"/>
      <c r="E64" s="10"/>
      <c r="F64" s="107"/>
      <c r="G64" s="10"/>
      <c r="H64" s="10"/>
      <c r="I64" s="56"/>
      <c r="J64" s="56"/>
      <c r="K64" s="56"/>
      <c r="L64" s="56"/>
      <c r="M64" s="56"/>
      <c r="N64" s="11"/>
      <c r="O64" s="101"/>
      <c r="Q64" s="101"/>
      <c r="T64" s="101"/>
    </row>
    <row r="65" spans="1:20" s="106" customFormat="1" x14ac:dyDescent="0.15">
      <c r="A65" s="11"/>
      <c r="B65" s="10"/>
      <c r="C65" s="107"/>
      <c r="D65" s="10"/>
      <c r="E65" s="10"/>
      <c r="F65" s="107"/>
      <c r="G65" s="10"/>
      <c r="H65" s="10"/>
      <c r="I65" s="56"/>
      <c r="J65" s="56"/>
      <c r="K65" s="56"/>
      <c r="L65" s="56"/>
      <c r="M65" s="56"/>
      <c r="N65" s="11"/>
      <c r="O65" s="101"/>
      <c r="Q65" s="101"/>
      <c r="T65" s="101"/>
    </row>
    <row r="66" spans="1:20" s="106" customFormat="1" x14ac:dyDescent="0.15">
      <c r="A66" s="11"/>
      <c r="B66" s="10"/>
      <c r="C66" s="107"/>
      <c r="D66" s="10"/>
      <c r="E66" s="10"/>
      <c r="F66" s="107"/>
      <c r="G66" s="10"/>
      <c r="H66" s="10"/>
      <c r="I66" s="56"/>
      <c r="J66" s="56"/>
      <c r="K66" s="56"/>
      <c r="L66" s="56"/>
      <c r="M66" s="56"/>
      <c r="N66" s="11"/>
      <c r="O66" s="101"/>
      <c r="Q66" s="101"/>
      <c r="T66" s="101"/>
    </row>
    <row r="67" spans="1:20" s="106" customFormat="1" x14ac:dyDescent="0.15">
      <c r="A67" s="11"/>
      <c r="B67" s="10"/>
      <c r="C67" s="107"/>
      <c r="D67" s="10"/>
      <c r="E67" s="10"/>
      <c r="F67" s="107"/>
      <c r="G67" s="10"/>
      <c r="H67" s="10"/>
      <c r="I67" s="56"/>
      <c r="J67" s="56"/>
      <c r="K67" s="56"/>
      <c r="L67" s="56"/>
      <c r="M67" s="56"/>
      <c r="N67" s="11"/>
      <c r="O67" s="101"/>
      <c r="Q67" s="101"/>
      <c r="T67" s="101"/>
    </row>
    <row r="68" spans="1:20" s="106" customFormat="1" x14ac:dyDescent="0.15">
      <c r="A68" s="11"/>
      <c r="B68" s="10"/>
      <c r="C68" s="107"/>
      <c r="D68" s="10"/>
      <c r="E68" s="10"/>
      <c r="F68" s="107"/>
      <c r="G68" s="10"/>
      <c r="H68" s="10"/>
      <c r="I68" s="56"/>
      <c r="J68" s="56"/>
      <c r="K68" s="56"/>
      <c r="L68" s="56"/>
      <c r="M68" s="56"/>
      <c r="N68" s="11"/>
      <c r="O68" s="101"/>
      <c r="Q68" s="101"/>
      <c r="T68" s="101"/>
    </row>
    <row r="69" spans="1:20" s="106" customFormat="1" x14ac:dyDescent="0.15">
      <c r="A69" s="11"/>
      <c r="B69" s="10"/>
      <c r="C69" s="107"/>
      <c r="D69" s="10"/>
      <c r="E69" s="10"/>
      <c r="F69" s="107"/>
      <c r="G69" s="10"/>
      <c r="H69" s="10"/>
      <c r="I69" s="56"/>
      <c r="J69" s="56"/>
      <c r="K69" s="56"/>
      <c r="L69" s="56"/>
      <c r="M69" s="56"/>
      <c r="N69" s="11"/>
      <c r="O69" s="101"/>
      <c r="Q69" s="101"/>
      <c r="T69" s="101"/>
    </row>
    <row r="70" spans="1:20" s="106" customFormat="1" x14ac:dyDescent="0.15">
      <c r="A70" s="11"/>
      <c r="B70" s="10"/>
      <c r="C70" s="107"/>
      <c r="D70" s="10"/>
      <c r="E70" s="10"/>
      <c r="F70" s="107"/>
      <c r="G70" s="10"/>
      <c r="H70" s="10"/>
      <c r="I70" s="56"/>
      <c r="J70" s="56"/>
      <c r="K70" s="56"/>
      <c r="L70" s="56"/>
      <c r="M70" s="56"/>
      <c r="N70" s="11"/>
      <c r="O70" s="101"/>
      <c r="Q70" s="101"/>
      <c r="T70" s="101"/>
    </row>
    <row r="71" spans="1:20" s="106" customFormat="1" x14ac:dyDescent="0.15">
      <c r="A71" s="11"/>
      <c r="B71" s="10"/>
      <c r="C71" s="107"/>
      <c r="D71" s="10"/>
      <c r="E71" s="10"/>
      <c r="F71" s="107"/>
      <c r="G71" s="10"/>
      <c r="H71" s="10"/>
      <c r="I71" s="56"/>
      <c r="J71" s="56"/>
      <c r="K71" s="56"/>
      <c r="L71" s="56"/>
      <c r="M71" s="56"/>
      <c r="N71" s="11"/>
      <c r="O71" s="101"/>
      <c r="Q71" s="101"/>
      <c r="T71" s="101"/>
    </row>
    <row r="72" spans="1:20" s="106" customFormat="1" x14ac:dyDescent="0.15">
      <c r="A72" s="11"/>
      <c r="B72" s="10"/>
      <c r="C72" s="107"/>
      <c r="D72" s="10"/>
      <c r="E72" s="10"/>
      <c r="F72" s="107"/>
      <c r="G72" s="10"/>
      <c r="H72" s="10"/>
      <c r="I72" s="56"/>
      <c r="J72" s="56"/>
      <c r="K72" s="56"/>
      <c r="L72" s="56"/>
      <c r="M72" s="56"/>
      <c r="N72" s="11"/>
      <c r="O72" s="101"/>
      <c r="Q72" s="101"/>
      <c r="T72" s="101"/>
    </row>
    <row r="73" spans="1:20" s="106" customFormat="1" x14ac:dyDescent="0.15">
      <c r="A73" s="11"/>
      <c r="B73" s="10"/>
      <c r="C73" s="107"/>
      <c r="D73" s="10"/>
      <c r="E73" s="10"/>
      <c r="F73" s="107"/>
      <c r="G73" s="10"/>
      <c r="H73" s="10"/>
      <c r="I73" s="56"/>
      <c r="J73" s="56"/>
      <c r="K73" s="56"/>
      <c r="L73" s="56"/>
      <c r="M73" s="56"/>
      <c r="N73" s="11"/>
      <c r="O73" s="101"/>
      <c r="Q73" s="101"/>
      <c r="T73" s="101"/>
    </row>
    <row r="74" spans="1:20" s="106" customFormat="1" x14ac:dyDescent="0.15">
      <c r="A74" s="11"/>
      <c r="B74" s="10"/>
      <c r="C74" s="107"/>
      <c r="D74" s="10"/>
      <c r="E74" s="10"/>
      <c r="F74" s="107"/>
      <c r="G74" s="10"/>
      <c r="H74" s="10"/>
      <c r="I74" s="56"/>
      <c r="J74" s="56"/>
      <c r="K74" s="56"/>
      <c r="L74" s="56"/>
      <c r="M74" s="56"/>
      <c r="N74" s="11"/>
      <c r="O74" s="101"/>
      <c r="Q74" s="101"/>
      <c r="T74" s="101"/>
    </row>
    <row r="75" spans="1:20" s="106" customFormat="1" x14ac:dyDescent="0.15">
      <c r="A75" s="11"/>
      <c r="B75" s="10"/>
      <c r="C75" s="107"/>
      <c r="D75" s="10"/>
      <c r="E75" s="10"/>
      <c r="F75" s="107"/>
      <c r="G75" s="10"/>
      <c r="H75" s="10"/>
      <c r="I75" s="56"/>
      <c r="J75" s="56"/>
      <c r="K75" s="56"/>
      <c r="L75" s="56"/>
      <c r="M75" s="56"/>
      <c r="N75" s="11"/>
      <c r="O75" s="101"/>
      <c r="Q75" s="101"/>
      <c r="T75" s="101"/>
    </row>
    <row r="76" spans="1:20" s="106" customFormat="1" x14ac:dyDescent="0.15">
      <c r="A76" s="11"/>
      <c r="B76" s="10"/>
      <c r="C76" s="107"/>
      <c r="D76" s="10"/>
      <c r="E76" s="10"/>
      <c r="F76" s="107"/>
      <c r="G76" s="10"/>
      <c r="H76" s="10"/>
      <c r="I76" s="56"/>
      <c r="J76" s="56"/>
      <c r="K76" s="56"/>
      <c r="L76" s="56"/>
      <c r="M76" s="56"/>
      <c r="N76" s="11"/>
      <c r="O76" s="101"/>
      <c r="Q76" s="101"/>
      <c r="T76" s="101"/>
    </row>
    <row r="77" spans="1:20" s="106" customFormat="1" x14ac:dyDescent="0.15">
      <c r="A77" s="11"/>
      <c r="B77" s="10"/>
      <c r="C77" s="107"/>
      <c r="D77" s="10"/>
      <c r="E77" s="10"/>
      <c r="F77" s="107"/>
      <c r="G77" s="10"/>
      <c r="H77" s="10"/>
      <c r="I77" s="56"/>
      <c r="J77" s="56"/>
      <c r="K77" s="56"/>
      <c r="L77" s="56"/>
      <c r="M77" s="56"/>
      <c r="N77" s="11"/>
      <c r="O77" s="101"/>
      <c r="Q77" s="101"/>
      <c r="T77" s="101"/>
    </row>
    <row r="78" spans="1:20" s="106" customFormat="1" x14ac:dyDescent="0.15">
      <c r="A78" s="11"/>
      <c r="B78" s="10"/>
      <c r="C78" s="107"/>
      <c r="D78" s="10"/>
      <c r="E78" s="10"/>
      <c r="F78" s="107"/>
      <c r="G78" s="10"/>
      <c r="H78" s="10"/>
      <c r="I78" s="56"/>
      <c r="J78" s="56"/>
      <c r="K78" s="56"/>
      <c r="L78" s="56"/>
      <c r="M78" s="56"/>
      <c r="N78" s="11"/>
      <c r="O78" s="101"/>
      <c r="Q78" s="101"/>
      <c r="T78" s="101"/>
    </row>
    <row r="79" spans="1:20" s="106" customFormat="1" x14ac:dyDescent="0.15">
      <c r="A79" s="11"/>
      <c r="B79" s="10"/>
      <c r="C79" s="107"/>
      <c r="D79" s="10"/>
      <c r="E79" s="10"/>
      <c r="F79" s="107"/>
      <c r="G79" s="10"/>
      <c r="H79" s="10"/>
      <c r="I79" s="56"/>
      <c r="J79" s="56"/>
      <c r="K79" s="56"/>
      <c r="L79" s="56"/>
      <c r="M79" s="56"/>
      <c r="N79" s="11"/>
      <c r="O79" s="101"/>
      <c r="Q79" s="101"/>
      <c r="T79" s="101"/>
    </row>
    <row r="80" spans="1:20" s="106" customFormat="1" x14ac:dyDescent="0.15">
      <c r="A80" s="11"/>
      <c r="B80" s="10"/>
      <c r="C80" s="107"/>
      <c r="D80" s="10"/>
      <c r="E80" s="10"/>
      <c r="F80" s="107"/>
      <c r="G80" s="10"/>
      <c r="H80" s="10"/>
      <c r="I80" s="56"/>
      <c r="J80" s="56"/>
      <c r="K80" s="56"/>
      <c r="L80" s="56"/>
      <c r="M80" s="56"/>
      <c r="N80" s="11"/>
      <c r="O80" s="101"/>
      <c r="Q80" s="101"/>
      <c r="T80" s="101"/>
    </row>
    <row r="81" spans="1:20" s="106" customFormat="1" x14ac:dyDescent="0.15">
      <c r="A81" s="11"/>
      <c r="B81" s="10"/>
      <c r="C81" s="107"/>
      <c r="D81" s="10"/>
      <c r="E81" s="10"/>
      <c r="F81" s="107"/>
      <c r="G81" s="10"/>
      <c r="H81" s="10"/>
      <c r="I81" s="56"/>
      <c r="J81" s="56"/>
      <c r="K81" s="56"/>
      <c r="L81" s="56"/>
      <c r="M81" s="56"/>
      <c r="N81" s="11"/>
      <c r="O81" s="101"/>
      <c r="Q81" s="101"/>
      <c r="T81" s="101"/>
    </row>
    <row r="82" spans="1:20" s="106" customFormat="1" x14ac:dyDescent="0.15">
      <c r="A82" s="11"/>
      <c r="B82" s="10"/>
      <c r="C82" s="107"/>
      <c r="D82" s="10"/>
      <c r="E82" s="10"/>
      <c r="F82" s="107"/>
      <c r="G82" s="10"/>
      <c r="H82" s="10"/>
      <c r="I82" s="56"/>
      <c r="J82" s="56"/>
      <c r="K82" s="56"/>
      <c r="L82" s="56"/>
      <c r="M82" s="56"/>
      <c r="N82" s="11"/>
      <c r="O82" s="101"/>
      <c r="Q82" s="101"/>
      <c r="T82" s="101"/>
    </row>
    <row r="83" spans="1:20" s="106" customFormat="1" x14ac:dyDescent="0.15">
      <c r="A83" s="11"/>
      <c r="B83" s="10"/>
      <c r="C83" s="107"/>
      <c r="D83" s="10"/>
      <c r="E83" s="10"/>
      <c r="F83" s="107"/>
      <c r="G83" s="10"/>
      <c r="H83" s="10"/>
      <c r="I83" s="56"/>
      <c r="J83" s="56"/>
      <c r="K83" s="56"/>
      <c r="L83" s="56"/>
      <c r="M83" s="56"/>
      <c r="N83" s="11"/>
      <c r="O83" s="101"/>
      <c r="Q83" s="101"/>
      <c r="T83" s="101"/>
    </row>
    <row r="84" spans="1:20" s="106" customFormat="1" x14ac:dyDescent="0.15">
      <c r="A84" s="11"/>
      <c r="B84" s="10"/>
      <c r="C84" s="107"/>
      <c r="D84" s="10"/>
      <c r="E84" s="10"/>
      <c r="F84" s="107"/>
      <c r="G84" s="10"/>
      <c r="H84" s="10"/>
      <c r="I84" s="56"/>
      <c r="J84" s="56"/>
      <c r="K84" s="56"/>
      <c r="L84" s="56"/>
      <c r="M84" s="56"/>
      <c r="N84" s="11"/>
      <c r="O84" s="101"/>
      <c r="Q84" s="101"/>
      <c r="T84" s="101"/>
    </row>
    <row r="85" spans="1:20" s="106" customFormat="1" x14ac:dyDescent="0.15">
      <c r="A85" s="11"/>
      <c r="B85" s="10"/>
      <c r="C85" s="107"/>
      <c r="D85" s="10"/>
      <c r="E85" s="10"/>
      <c r="F85" s="107"/>
      <c r="G85" s="10"/>
      <c r="H85" s="10"/>
      <c r="I85" s="56"/>
      <c r="J85" s="56"/>
      <c r="K85" s="56"/>
      <c r="L85" s="56"/>
      <c r="M85" s="56"/>
      <c r="N85" s="11"/>
      <c r="O85" s="101"/>
      <c r="Q85" s="101"/>
      <c r="T85" s="101"/>
    </row>
    <row r="86" spans="1:20" s="106" customFormat="1" x14ac:dyDescent="0.15">
      <c r="A86" s="11"/>
      <c r="B86" s="10"/>
      <c r="C86" s="107"/>
      <c r="D86" s="10"/>
      <c r="E86" s="10"/>
      <c r="F86" s="107"/>
      <c r="G86" s="10"/>
      <c r="H86" s="10"/>
      <c r="I86" s="56"/>
      <c r="J86" s="56"/>
      <c r="K86" s="56"/>
      <c r="L86" s="56"/>
      <c r="M86" s="56"/>
      <c r="N86" s="11"/>
      <c r="O86" s="101"/>
      <c r="Q86" s="101"/>
      <c r="T86" s="101"/>
    </row>
    <row r="87" spans="1:20" s="106" customFormat="1" x14ac:dyDescent="0.15">
      <c r="A87" s="11"/>
      <c r="B87" s="10"/>
      <c r="C87" s="107"/>
      <c r="D87" s="10"/>
      <c r="E87" s="10"/>
      <c r="F87" s="107"/>
      <c r="G87" s="10"/>
      <c r="H87" s="10"/>
      <c r="I87" s="56"/>
      <c r="J87" s="56"/>
      <c r="K87" s="56"/>
      <c r="L87" s="56"/>
      <c r="M87" s="56"/>
      <c r="N87" s="11"/>
      <c r="O87" s="101"/>
      <c r="Q87" s="101"/>
      <c r="T87" s="101"/>
    </row>
    <row r="88" spans="1:20" s="106" customFormat="1" x14ac:dyDescent="0.15">
      <c r="A88" s="11"/>
      <c r="B88" s="10"/>
      <c r="C88" s="107"/>
      <c r="D88" s="10"/>
      <c r="E88" s="10"/>
      <c r="F88" s="107"/>
      <c r="G88" s="10"/>
      <c r="H88" s="10"/>
      <c r="I88" s="56"/>
      <c r="J88" s="56"/>
      <c r="K88" s="56"/>
      <c r="L88" s="56"/>
      <c r="M88" s="56"/>
      <c r="N88" s="11"/>
      <c r="O88" s="101"/>
      <c r="Q88" s="101"/>
      <c r="T88" s="101"/>
    </row>
    <row r="89" spans="1:20" s="106" customFormat="1" x14ac:dyDescent="0.15">
      <c r="A89" s="11"/>
      <c r="B89" s="10"/>
      <c r="C89" s="107"/>
      <c r="D89" s="10"/>
      <c r="E89" s="10"/>
      <c r="F89" s="107"/>
      <c r="G89" s="10"/>
      <c r="H89" s="10"/>
      <c r="I89" s="56"/>
      <c r="J89" s="56"/>
      <c r="K89" s="56"/>
      <c r="L89" s="56"/>
      <c r="M89" s="56"/>
      <c r="N89" s="11"/>
      <c r="O89" s="101"/>
      <c r="Q89" s="101"/>
      <c r="T89" s="101"/>
    </row>
    <row r="90" spans="1:20" s="106" customFormat="1" x14ac:dyDescent="0.15">
      <c r="A90" s="11"/>
      <c r="B90" s="10"/>
      <c r="C90" s="107"/>
      <c r="D90" s="10"/>
      <c r="E90" s="10"/>
      <c r="F90" s="107"/>
      <c r="G90" s="10"/>
      <c r="H90" s="10"/>
      <c r="I90" s="56"/>
      <c r="J90" s="56"/>
      <c r="K90" s="56"/>
      <c r="L90" s="56"/>
      <c r="M90" s="56"/>
      <c r="N90" s="11"/>
      <c r="O90" s="101"/>
      <c r="Q90" s="101"/>
      <c r="T90" s="101"/>
    </row>
    <row r="91" spans="1:20" s="106" customFormat="1" x14ac:dyDescent="0.15">
      <c r="A91" s="11"/>
      <c r="B91" s="10"/>
      <c r="C91" s="107"/>
      <c r="D91" s="10"/>
      <c r="E91" s="10"/>
      <c r="F91" s="107"/>
      <c r="G91" s="10"/>
      <c r="H91" s="10"/>
      <c r="I91" s="56"/>
      <c r="J91" s="56"/>
      <c r="K91" s="56"/>
      <c r="L91" s="56"/>
      <c r="M91" s="56"/>
      <c r="N91" s="11"/>
      <c r="O91" s="101"/>
      <c r="Q91" s="101"/>
      <c r="T91" s="101"/>
    </row>
    <row r="92" spans="1:20" s="106" customFormat="1" x14ac:dyDescent="0.15">
      <c r="A92" s="11"/>
      <c r="B92" s="10"/>
      <c r="C92" s="107"/>
      <c r="D92" s="10"/>
      <c r="E92" s="10"/>
      <c r="F92" s="107"/>
      <c r="G92" s="10"/>
      <c r="H92" s="10"/>
      <c r="I92" s="56"/>
      <c r="J92" s="56"/>
      <c r="K92" s="56"/>
      <c r="L92" s="56"/>
      <c r="M92" s="56"/>
      <c r="N92" s="11"/>
      <c r="O92" s="101"/>
      <c r="Q92" s="101"/>
      <c r="T92" s="101"/>
    </row>
    <row r="93" spans="1:20" s="106" customFormat="1" x14ac:dyDescent="0.15">
      <c r="A93" s="11"/>
      <c r="B93" s="10"/>
      <c r="C93" s="107"/>
      <c r="D93" s="10"/>
      <c r="E93" s="10"/>
      <c r="F93" s="107"/>
      <c r="G93" s="10"/>
      <c r="H93" s="10"/>
      <c r="I93" s="56"/>
      <c r="J93" s="56"/>
      <c r="K93" s="56"/>
      <c r="L93" s="56"/>
      <c r="M93" s="56"/>
      <c r="N93" s="11"/>
      <c r="O93" s="101"/>
      <c r="Q93" s="101"/>
      <c r="T93" s="101"/>
    </row>
    <row r="94" spans="1:20" s="106" customFormat="1" x14ac:dyDescent="0.15">
      <c r="A94" s="11"/>
      <c r="B94" s="10"/>
      <c r="C94" s="107"/>
      <c r="D94" s="10"/>
      <c r="E94" s="10"/>
      <c r="F94" s="107"/>
      <c r="G94" s="10"/>
      <c r="H94" s="10"/>
      <c r="I94" s="56"/>
      <c r="J94" s="56"/>
      <c r="K94" s="56"/>
      <c r="L94" s="56"/>
      <c r="M94" s="56"/>
      <c r="N94" s="11"/>
      <c r="O94" s="101"/>
      <c r="Q94" s="101"/>
      <c r="T94" s="101"/>
    </row>
    <row r="95" spans="1:20" s="106" customFormat="1" x14ac:dyDescent="0.15">
      <c r="A95" s="11"/>
      <c r="B95" s="10"/>
      <c r="C95" s="107"/>
      <c r="D95" s="10"/>
      <c r="E95" s="10"/>
      <c r="F95" s="107"/>
      <c r="G95" s="10"/>
      <c r="H95" s="10"/>
      <c r="I95" s="56"/>
      <c r="J95" s="56"/>
      <c r="K95" s="56"/>
      <c r="L95" s="56"/>
      <c r="M95" s="56"/>
      <c r="N95" s="11"/>
      <c r="O95" s="101"/>
      <c r="Q95" s="101"/>
      <c r="T95" s="101"/>
    </row>
    <row r="96" spans="1:20" s="106" customFormat="1" x14ac:dyDescent="0.15">
      <c r="A96" s="11"/>
      <c r="B96" s="10"/>
      <c r="C96" s="107"/>
      <c r="D96" s="10"/>
      <c r="E96" s="10"/>
      <c r="F96" s="107"/>
      <c r="G96" s="10"/>
      <c r="H96" s="10"/>
      <c r="I96" s="56"/>
      <c r="J96" s="56"/>
      <c r="K96" s="56"/>
      <c r="L96" s="56"/>
      <c r="M96" s="56"/>
      <c r="N96" s="11"/>
      <c r="O96" s="101"/>
      <c r="Q96" s="101"/>
      <c r="T96" s="101"/>
    </row>
    <row r="97" spans="1:20" s="106" customFormat="1" x14ac:dyDescent="0.15">
      <c r="A97" s="11"/>
      <c r="B97" s="10"/>
      <c r="C97" s="107"/>
      <c r="D97" s="10"/>
      <c r="E97" s="10"/>
      <c r="F97" s="107"/>
      <c r="G97" s="10"/>
      <c r="H97" s="10"/>
      <c r="I97" s="56"/>
      <c r="J97" s="56"/>
      <c r="K97" s="56"/>
      <c r="L97" s="56"/>
      <c r="M97" s="56"/>
      <c r="N97" s="11"/>
      <c r="O97" s="101"/>
      <c r="Q97" s="101"/>
      <c r="T97" s="101"/>
    </row>
    <row r="98" spans="1:20" s="106" customFormat="1" x14ac:dyDescent="0.15">
      <c r="A98" s="11"/>
      <c r="B98" s="10"/>
      <c r="C98" s="107"/>
      <c r="D98" s="10"/>
      <c r="E98" s="10"/>
      <c r="F98" s="107"/>
      <c r="G98" s="10"/>
      <c r="H98" s="10"/>
      <c r="I98" s="56"/>
      <c r="J98" s="56"/>
      <c r="K98" s="56"/>
      <c r="L98" s="56"/>
      <c r="M98" s="56"/>
      <c r="N98" s="11"/>
      <c r="O98" s="101"/>
      <c r="Q98" s="101"/>
      <c r="T98" s="101"/>
    </row>
    <row r="99" spans="1:20" s="106" customFormat="1" x14ac:dyDescent="0.15">
      <c r="A99" s="11"/>
      <c r="B99" s="10"/>
      <c r="C99" s="107"/>
      <c r="D99" s="10"/>
      <c r="E99" s="10"/>
      <c r="F99" s="107"/>
      <c r="G99" s="10"/>
      <c r="H99" s="10"/>
      <c r="I99" s="56"/>
      <c r="J99" s="56"/>
      <c r="K99" s="56"/>
      <c r="L99" s="56"/>
      <c r="M99" s="56"/>
      <c r="N99" s="11"/>
      <c r="O99" s="101"/>
      <c r="Q99" s="101"/>
      <c r="T99" s="101"/>
    </row>
    <row r="100" spans="1:20" s="106" customFormat="1" x14ac:dyDescent="0.15">
      <c r="A100" s="11"/>
      <c r="B100" s="10"/>
      <c r="C100" s="107"/>
      <c r="D100" s="10"/>
      <c r="E100" s="10"/>
      <c r="F100" s="107"/>
      <c r="G100" s="10"/>
      <c r="H100" s="10"/>
      <c r="I100" s="56"/>
      <c r="J100" s="56"/>
      <c r="K100" s="56"/>
      <c r="L100" s="56"/>
      <c r="M100" s="56"/>
      <c r="N100" s="11"/>
      <c r="O100" s="101"/>
      <c r="Q100" s="101"/>
      <c r="T100" s="101"/>
    </row>
    <row r="101" spans="1:20" s="106" customFormat="1" x14ac:dyDescent="0.15">
      <c r="A101" s="11"/>
      <c r="B101" s="10"/>
      <c r="C101" s="107"/>
      <c r="D101" s="10"/>
      <c r="E101" s="10"/>
      <c r="F101" s="107"/>
      <c r="G101" s="10"/>
      <c r="H101" s="10"/>
      <c r="I101" s="56"/>
      <c r="J101" s="56"/>
      <c r="K101" s="56"/>
      <c r="L101" s="56"/>
      <c r="M101" s="56"/>
      <c r="N101" s="11"/>
      <c r="O101" s="101"/>
      <c r="Q101" s="101"/>
      <c r="T101" s="101"/>
    </row>
    <row r="102" spans="1:20" s="106" customFormat="1" x14ac:dyDescent="0.15">
      <c r="A102" s="11"/>
      <c r="B102" s="10"/>
      <c r="C102" s="107"/>
      <c r="D102" s="10"/>
      <c r="E102" s="10"/>
      <c r="F102" s="107"/>
      <c r="G102" s="10"/>
      <c r="H102" s="10"/>
      <c r="I102" s="56"/>
      <c r="J102" s="56"/>
      <c r="K102" s="56"/>
      <c r="L102" s="56"/>
      <c r="M102" s="56"/>
      <c r="N102" s="11"/>
      <c r="O102" s="101"/>
      <c r="Q102" s="101"/>
      <c r="T102" s="101"/>
    </row>
    <row r="103" spans="1:20" s="106" customFormat="1" x14ac:dyDescent="0.15">
      <c r="A103" s="11"/>
      <c r="B103" s="10"/>
      <c r="C103" s="107"/>
      <c r="D103" s="10"/>
      <c r="E103" s="10"/>
      <c r="F103" s="107"/>
      <c r="G103" s="10"/>
      <c r="H103" s="10"/>
      <c r="I103" s="56"/>
      <c r="J103" s="56"/>
      <c r="K103" s="56"/>
      <c r="L103" s="56"/>
      <c r="M103" s="56"/>
      <c r="N103" s="11"/>
      <c r="O103" s="101"/>
      <c r="Q103" s="101"/>
      <c r="T103" s="101"/>
    </row>
    <row r="104" spans="1:20" s="106" customFormat="1" x14ac:dyDescent="0.15">
      <c r="A104" s="11"/>
      <c r="B104" s="10"/>
      <c r="C104" s="107"/>
      <c r="D104" s="10"/>
      <c r="E104" s="10"/>
      <c r="F104" s="107"/>
      <c r="G104" s="10"/>
      <c r="H104" s="10"/>
      <c r="I104" s="56"/>
      <c r="J104" s="56"/>
      <c r="K104" s="56"/>
      <c r="L104" s="56"/>
      <c r="M104" s="56"/>
      <c r="N104" s="11"/>
      <c r="O104" s="101"/>
      <c r="Q104" s="101"/>
      <c r="T104" s="101"/>
    </row>
    <row r="105" spans="1:20" s="106" customFormat="1" x14ac:dyDescent="0.15">
      <c r="A105" s="11"/>
      <c r="B105" s="10"/>
      <c r="C105" s="107"/>
      <c r="D105" s="10"/>
      <c r="E105" s="10"/>
      <c r="F105" s="107"/>
      <c r="G105" s="10"/>
      <c r="H105" s="10"/>
      <c r="I105" s="56"/>
      <c r="J105" s="56"/>
      <c r="K105" s="56"/>
      <c r="L105" s="56"/>
      <c r="M105" s="56"/>
      <c r="N105" s="11"/>
      <c r="O105" s="101"/>
      <c r="Q105" s="101"/>
      <c r="T105" s="101"/>
    </row>
    <row r="106" spans="1:20" s="106" customFormat="1" x14ac:dyDescent="0.15">
      <c r="A106" s="11"/>
      <c r="B106" s="10"/>
      <c r="C106" s="107"/>
      <c r="D106" s="10"/>
      <c r="E106" s="10"/>
      <c r="F106" s="107"/>
      <c r="G106" s="10"/>
      <c r="H106" s="10"/>
      <c r="I106" s="56"/>
      <c r="J106" s="56"/>
      <c r="K106" s="56"/>
      <c r="L106" s="56"/>
      <c r="M106" s="56"/>
      <c r="N106" s="11"/>
      <c r="O106" s="101"/>
      <c r="Q106" s="101"/>
      <c r="T106" s="101"/>
    </row>
    <row r="107" spans="1:20" s="106" customFormat="1" x14ac:dyDescent="0.15">
      <c r="A107" s="11"/>
      <c r="B107" s="10"/>
      <c r="C107" s="107"/>
      <c r="D107" s="10"/>
      <c r="E107" s="10"/>
      <c r="F107" s="107"/>
      <c r="G107" s="10"/>
      <c r="H107" s="10"/>
      <c r="I107" s="56"/>
      <c r="J107" s="56"/>
      <c r="K107" s="56"/>
      <c r="L107" s="56"/>
      <c r="M107" s="56"/>
      <c r="N107" s="11"/>
      <c r="O107" s="101"/>
      <c r="Q107" s="101"/>
      <c r="T107" s="101"/>
    </row>
    <row r="108" spans="1:20" s="106" customFormat="1" x14ac:dyDescent="0.15">
      <c r="A108" s="11"/>
      <c r="B108" s="10"/>
      <c r="C108" s="107"/>
      <c r="D108" s="10"/>
      <c r="E108" s="10"/>
      <c r="F108" s="107"/>
      <c r="G108" s="10"/>
      <c r="H108" s="10"/>
      <c r="I108" s="56"/>
      <c r="J108" s="56"/>
      <c r="K108" s="56"/>
      <c r="L108" s="56"/>
      <c r="M108" s="56"/>
      <c r="N108" s="11"/>
      <c r="O108" s="101"/>
      <c r="Q108" s="101"/>
      <c r="T108" s="101"/>
    </row>
    <row r="109" spans="1:20" s="106" customFormat="1" x14ac:dyDescent="0.15">
      <c r="A109" s="11"/>
      <c r="B109" s="10"/>
      <c r="C109" s="107"/>
      <c r="D109" s="10"/>
      <c r="E109" s="10"/>
      <c r="F109" s="107"/>
      <c r="G109" s="10"/>
      <c r="H109" s="10"/>
      <c r="I109" s="56"/>
      <c r="J109" s="56"/>
      <c r="K109" s="56"/>
      <c r="L109" s="56"/>
      <c r="M109" s="56"/>
      <c r="N109" s="11"/>
      <c r="O109" s="101"/>
      <c r="Q109" s="101"/>
      <c r="T109" s="101"/>
    </row>
    <row r="110" spans="1:20" s="106" customFormat="1" x14ac:dyDescent="0.15">
      <c r="A110" s="11"/>
      <c r="B110" s="10"/>
      <c r="C110" s="107"/>
      <c r="D110" s="10"/>
      <c r="E110" s="10"/>
      <c r="F110" s="107"/>
      <c r="G110" s="10"/>
      <c r="H110" s="10"/>
      <c r="I110" s="56"/>
      <c r="J110" s="56"/>
      <c r="K110" s="56"/>
      <c r="L110" s="56"/>
      <c r="M110" s="56"/>
      <c r="N110" s="11"/>
      <c r="O110" s="101"/>
      <c r="Q110" s="101"/>
      <c r="T110" s="101"/>
    </row>
    <row r="111" spans="1:20" s="106" customFormat="1" x14ac:dyDescent="0.15">
      <c r="A111" s="11"/>
      <c r="B111" s="10"/>
      <c r="C111" s="107"/>
      <c r="D111" s="10"/>
      <c r="E111" s="10"/>
      <c r="F111" s="107"/>
      <c r="G111" s="10"/>
      <c r="H111" s="10"/>
      <c r="I111" s="56"/>
      <c r="J111" s="56"/>
      <c r="K111" s="56"/>
      <c r="L111" s="56"/>
      <c r="M111" s="56"/>
      <c r="N111" s="11"/>
      <c r="O111" s="101"/>
      <c r="Q111" s="101"/>
      <c r="T111" s="101"/>
    </row>
    <row r="112" spans="1:20" s="106" customFormat="1" x14ac:dyDescent="0.15">
      <c r="A112" s="11"/>
      <c r="B112" s="10"/>
      <c r="C112" s="107"/>
      <c r="D112" s="10"/>
      <c r="E112" s="10"/>
      <c r="F112" s="107"/>
      <c r="G112" s="10"/>
      <c r="H112" s="10"/>
      <c r="I112" s="56"/>
      <c r="J112" s="56"/>
      <c r="K112" s="56"/>
      <c r="L112" s="56"/>
      <c r="M112" s="56"/>
      <c r="N112" s="11"/>
      <c r="O112" s="101"/>
      <c r="Q112" s="101"/>
      <c r="T112" s="101"/>
    </row>
    <row r="113" spans="1:20" s="106" customFormat="1" x14ac:dyDescent="0.15">
      <c r="A113" s="11"/>
      <c r="B113" s="10"/>
      <c r="C113" s="107"/>
      <c r="D113" s="10"/>
      <c r="E113" s="10"/>
      <c r="F113" s="107"/>
      <c r="G113" s="10"/>
      <c r="H113" s="10"/>
      <c r="I113" s="56"/>
      <c r="J113" s="56"/>
      <c r="K113" s="56"/>
      <c r="L113" s="56"/>
      <c r="M113" s="56"/>
      <c r="N113" s="11"/>
      <c r="O113" s="101"/>
      <c r="Q113" s="101"/>
      <c r="T113" s="101"/>
    </row>
    <row r="114" spans="1:20" s="106" customFormat="1" x14ac:dyDescent="0.15">
      <c r="A114" s="11"/>
      <c r="B114" s="10"/>
      <c r="C114" s="107"/>
      <c r="D114" s="10"/>
      <c r="E114" s="10"/>
      <c r="F114" s="107"/>
      <c r="G114" s="10"/>
      <c r="H114" s="10"/>
      <c r="I114" s="56"/>
      <c r="J114" s="56"/>
      <c r="K114" s="56"/>
      <c r="L114" s="56"/>
      <c r="M114" s="56"/>
      <c r="N114" s="11"/>
      <c r="O114" s="101"/>
      <c r="Q114" s="101"/>
      <c r="T114" s="101"/>
    </row>
    <row r="115" spans="1:20" s="106" customFormat="1" x14ac:dyDescent="0.15">
      <c r="A115" s="11"/>
      <c r="B115" s="10"/>
      <c r="C115" s="107"/>
      <c r="D115" s="10"/>
      <c r="E115" s="10"/>
      <c r="F115" s="107"/>
      <c r="G115" s="10"/>
      <c r="H115" s="10"/>
      <c r="I115" s="56"/>
      <c r="J115" s="56"/>
      <c r="K115" s="56"/>
      <c r="L115" s="56"/>
      <c r="M115" s="56"/>
      <c r="N115" s="11"/>
      <c r="O115" s="101"/>
      <c r="Q115" s="101"/>
      <c r="T115" s="101"/>
    </row>
    <row r="116" spans="1:20" s="106" customFormat="1" x14ac:dyDescent="0.15">
      <c r="A116" s="11"/>
      <c r="B116" s="10"/>
      <c r="C116" s="107"/>
      <c r="D116" s="10"/>
      <c r="E116" s="10"/>
      <c r="F116" s="107"/>
      <c r="G116" s="10"/>
      <c r="H116" s="10"/>
      <c r="I116" s="56"/>
      <c r="J116" s="56"/>
      <c r="K116" s="56"/>
      <c r="L116" s="56"/>
      <c r="M116" s="56"/>
      <c r="N116" s="11"/>
      <c r="O116" s="101"/>
      <c r="Q116" s="101"/>
      <c r="T116" s="101"/>
    </row>
    <row r="117" spans="1:20" s="106" customFormat="1" x14ac:dyDescent="0.15">
      <c r="A117" s="11"/>
      <c r="B117" s="10"/>
      <c r="C117" s="107"/>
      <c r="D117" s="10"/>
      <c r="E117" s="10"/>
      <c r="F117" s="107"/>
      <c r="G117" s="10"/>
      <c r="H117" s="10"/>
      <c r="I117" s="56"/>
      <c r="J117" s="56"/>
      <c r="K117" s="56"/>
      <c r="L117" s="56"/>
      <c r="M117" s="56"/>
      <c r="N117" s="11"/>
      <c r="O117" s="101"/>
      <c r="Q117" s="101"/>
      <c r="T117" s="101"/>
    </row>
    <row r="118" spans="1:20" s="106" customFormat="1" x14ac:dyDescent="0.15">
      <c r="A118" s="11"/>
      <c r="B118" s="10"/>
      <c r="C118" s="107"/>
      <c r="D118" s="10"/>
      <c r="E118" s="10"/>
      <c r="F118" s="107"/>
      <c r="G118" s="10"/>
      <c r="H118" s="10"/>
      <c r="I118" s="56"/>
      <c r="J118" s="56"/>
      <c r="K118" s="56"/>
      <c r="L118" s="56"/>
      <c r="M118" s="56"/>
      <c r="N118" s="11"/>
      <c r="O118" s="101"/>
      <c r="Q118" s="101"/>
      <c r="T118" s="101"/>
    </row>
    <row r="119" spans="1:20" s="106" customFormat="1" x14ac:dyDescent="0.15">
      <c r="A119" s="11"/>
      <c r="B119" s="10"/>
      <c r="C119" s="107"/>
      <c r="D119" s="10"/>
      <c r="E119" s="10"/>
      <c r="F119" s="107"/>
      <c r="G119" s="10"/>
      <c r="H119" s="10"/>
      <c r="I119" s="56"/>
      <c r="J119" s="56"/>
      <c r="K119" s="56"/>
      <c r="L119" s="56"/>
      <c r="M119" s="56"/>
      <c r="N119" s="11"/>
      <c r="O119" s="101"/>
      <c r="Q119" s="101"/>
      <c r="T119" s="101"/>
    </row>
    <row r="120" spans="1:20" s="106" customFormat="1" x14ac:dyDescent="0.15">
      <c r="A120" s="11"/>
      <c r="B120" s="10"/>
      <c r="C120" s="107"/>
      <c r="D120" s="10"/>
      <c r="E120" s="10"/>
      <c r="F120" s="107"/>
      <c r="G120" s="10"/>
      <c r="H120" s="10"/>
      <c r="I120" s="56"/>
      <c r="J120" s="56"/>
      <c r="K120" s="56"/>
      <c r="L120" s="56"/>
      <c r="M120" s="56"/>
      <c r="N120" s="11"/>
      <c r="O120" s="101"/>
      <c r="Q120" s="101"/>
      <c r="T120" s="101"/>
    </row>
    <row r="121" spans="1:20" s="106" customFormat="1" x14ac:dyDescent="0.15">
      <c r="A121" s="11"/>
      <c r="B121" s="10"/>
      <c r="C121" s="107"/>
      <c r="D121" s="10"/>
      <c r="E121" s="10"/>
      <c r="F121" s="107"/>
      <c r="G121" s="10"/>
      <c r="H121" s="10"/>
      <c r="I121" s="56"/>
      <c r="J121" s="56"/>
      <c r="K121" s="56"/>
      <c r="L121" s="56"/>
      <c r="M121" s="56"/>
      <c r="N121" s="11"/>
      <c r="O121" s="101"/>
      <c r="Q121" s="101"/>
      <c r="T121" s="101"/>
    </row>
    <row r="122" spans="1:20" s="106" customFormat="1" x14ac:dyDescent="0.15">
      <c r="A122" s="11"/>
      <c r="B122" s="10"/>
      <c r="C122" s="107"/>
      <c r="D122" s="10"/>
      <c r="E122" s="10"/>
      <c r="F122" s="107"/>
      <c r="G122" s="10"/>
      <c r="H122" s="10"/>
      <c r="I122" s="56"/>
      <c r="J122" s="56"/>
      <c r="K122" s="56"/>
      <c r="L122" s="56"/>
      <c r="M122" s="56"/>
      <c r="N122" s="11"/>
      <c r="O122" s="101"/>
      <c r="Q122" s="101"/>
      <c r="T122" s="101"/>
    </row>
    <row r="123" spans="1:20" s="106" customFormat="1" x14ac:dyDescent="0.15">
      <c r="A123" s="11"/>
      <c r="B123" s="10"/>
      <c r="C123" s="107"/>
      <c r="D123" s="10"/>
      <c r="E123" s="10"/>
      <c r="F123" s="107"/>
      <c r="G123" s="10"/>
      <c r="H123" s="10"/>
      <c r="I123" s="56"/>
      <c r="J123" s="56"/>
      <c r="K123" s="56"/>
      <c r="L123" s="56"/>
      <c r="M123" s="56"/>
      <c r="N123" s="11"/>
      <c r="O123" s="101"/>
      <c r="Q123" s="101"/>
      <c r="T123" s="101"/>
    </row>
    <row r="124" spans="1:20" s="106" customFormat="1" x14ac:dyDescent="0.15">
      <c r="A124" s="11"/>
      <c r="B124" s="10"/>
      <c r="C124" s="107"/>
      <c r="D124" s="10"/>
      <c r="E124" s="10"/>
      <c r="F124" s="107"/>
      <c r="G124" s="10"/>
      <c r="H124" s="10"/>
      <c r="I124" s="56"/>
      <c r="J124" s="56"/>
      <c r="K124" s="56"/>
      <c r="L124" s="56"/>
      <c r="M124" s="56"/>
      <c r="N124" s="11"/>
      <c r="O124" s="101"/>
      <c r="Q124" s="101"/>
      <c r="T124" s="101"/>
    </row>
    <row r="125" spans="1:20" s="106" customFormat="1" x14ac:dyDescent="0.15">
      <c r="A125" s="11"/>
      <c r="B125" s="10"/>
      <c r="C125" s="107"/>
      <c r="D125" s="10"/>
      <c r="E125" s="10"/>
      <c r="F125" s="107"/>
      <c r="G125" s="10"/>
      <c r="H125" s="10"/>
      <c r="I125" s="56"/>
      <c r="J125" s="56"/>
      <c r="K125" s="56"/>
      <c r="L125" s="56"/>
      <c r="M125" s="56"/>
      <c r="N125" s="11"/>
      <c r="O125" s="101"/>
      <c r="Q125" s="101"/>
      <c r="T125" s="101"/>
    </row>
    <row r="126" spans="1:20" s="106" customFormat="1" x14ac:dyDescent="0.15">
      <c r="A126" s="11"/>
      <c r="B126" s="10"/>
      <c r="C126" s="107"/>
      <c r="D126" s="10"/>
      <c r="E126" s="10"/>
      <c r="F126" s="107"/>
      <c r="G126" s="10"/>
      <c r="H126" s="10"/>
      <c r="I126" s="56"/>
      <c r="J126" s="56"/>
      <c r="K126" s="56"/>
      <c r="L126" s="56"/>
      <c r="M126" s="56"/>
      <c r="N126" s="11"/>
      <c r="O126" s="101"/>
      <c r="Q126" s="101"/>
      <c r="T126" s="101"/>
    </row>
    <row r="127" spans="1:20" s="106" customFormat="1" x14ac:dyDescent="0.15">
      <c r="A127" s="11"/>
      <c r="B127" s="10"/>
      <c r="C127" s="107"/>
      <c r="D127" s="10"/>
      <c r="E127" s="10"/>
      <c r="F127" s="107"/>
      <c r="G127" s="10"/>
      <c r="H127" s="10"/>
      <c r="I127" s="56"/>
      <c r="J127" s="56"/>
      <c r="K127" s="56"/>
      <c r="L127" s="56"/>
      <c r="M127" s="56"/>
      <c r="N127" s="11"/>
      <c r="O127" s="101"/>
      <c r="Q127" s="101"/>
      <c r="T127" s="101"/>
    </row>
    <row r="128" spans="1:20" s="106" customFormat="1" x14ac:dyDescent="0.15">
      <c r="A128" s="11"/>
      <c r="B128" s="10"/>
      <c r="C128" s="107"/>
      <c r="D128" s="10"/>
      <c r="E128" s="10"/>
      <c r="F128" s="107"/>
      <c r="G128" s="10"/>
      <c r="H128" s="10"/>
      <c r="I128" s="56"/>
      <c r="J128" s="56"/>
      <c r="K128" s="56"/>
      <c r="L128" s="56"/>
      <c r="M128" s="56"/>
      <c r="N128" s="11"/>
      <c r="O128" s="101"/>
      <c r="Q128" s="101"/>
      <c r="T128" s="101"/>
    </row>
    <row r="129" spans="1:20" s="106" customFormat="1" x14ac:dyDescent="0.15">
      <c r="A129" s="11"/>
      <c r="B129" s="10"/>
      <c r="C129" s="107"/>
      <c r="D129" s="10"/>
      <c r="E129" s="10"/>
      <c r="F129" s="107"/>
      <c r="G129" s="10"/>
      <c r="H129" s="10"/>
      <c r="I129" s="56"/>
      <c r="J129" s="56"/>
      <c r="K129" s="56"/>
      <c r="L129" s="56"/>
      <c r="M129" s="56"/>
      <c r="N129" s="11"/>
      <c r="O129" s="101"/>
      <c r="Q129" s="101"/>
      <c r="T129" s="101"/>
    </row>
    <row r="130" spans="1:20" s="106" customFormat="1" x14ac:dyDescent="0.15">
      <c r="A130" s="11"/>
      <c r="B130" s="10"/>
      <c r="C130" s="107"/>
      <c r="D130" s="10"/>
      <c r="E130" s="10"/>
      <c r="F130" s="107"/>
      <c r="G130" s="10"/>
      <c r="H130" s="10"/>
      <c r="I130" s="56"/>
      <c r="J130" s="56"/>
      <c r="K130" s="56"/>
      <c r="L130" s="56"/>
      <c r="M130" s="56"/>
      <c r="N130" s="11"/>
      <c r="O130" s="101"/>
      <c r="Q130" s="101"/>
      <c r="T130" s="101"/>
    </row>
    <row r="131" spans="1:20" s="106" customFormat="1" x14ac:dyDescent="0.15">
      <c r="A131" s="11"/>
      <c r="B131" s="10"/>
      <c r="C131" s="107"/>
      <c r="D131" s="10"/>
      <c r="E131" s="10"/>
      <c r="F131" s="107"/>
      <c r="G131" s="10"/>
      <c r="H131" s="10"/>
      <c r="I131" s="56"/>
      <c r="J131" s="56"/>
      <c r="K131" s="56"/>
      <c r="L131" s="56"/>
      <c r="M131" s="56"/>
      <c r="N131" s="11"/>
      <c r="O131" s="101"/>
      <c r="Q131" s="101"/>
      <c r="T131" s="101"/>
    </row>
    <row r="132" spans="1:20" s="106" customFormat="1" x14ac:dyDescent="0.15">
      <c r="A132" s="11"/>
      <c r="B132" s="10"/>
      <c r="C132" s="107"/>
      <c r="D132" s="10"/>
      <c r="E132" s="10"/>
      <c r="F132" s="107"/>
      <c r="G132" s="10"/>
      <c r="H132" s="10"/>
      <c r="I132" s="56"/>
      <c r="J132" s="56"/>
      <c r="K132" s="56"/>
      <c r="L132" s="56"/>
      <c r="M132" s="56"/>
      <c r="N132" s="11"/>
      <c r="O132" s="101"/>
      <c r="Q132" s="101"/>
      <c r="T132" s="101"/>
    </row>
    <row r="133" spans="1:20" s="106" customFormat="1" x14ac:dyDescent="0.15">
      <c r="A133" s="11"/>
      <c r="B133" s="10"/>
      <c r="C133" s="107"/>
      <c r="D133" s="10"/>
      <c r="E133" s="10"/>
      <c r="F133" s="107"/>
      <c r="G133" s="10"/>
      <c r="H133" s="10"/>
      <c r="I133" s="56"/>
      <c r="J133" s="56"/>
      <c r="K133" s="56"/>
      <c r="L133" s="56"/>
      <c r="M133" s="56"/>
      <c r="N133" s="11"/>
      <c r="O133" s="101"/>
      <c r="Q133" s="101"/>
      <c r="T133" s="101"/>
    </row>
    <row r="134" spans="1:20" s="106" customFormat="1" x14ac:dyDescent="0.15">
      <c r="A134" s="11"/>
      <c r="B134" s="10"/>
      <c r="C134" s="107"/>
      <c r="D134" s="10"/>
      <c r="E134" s="10"/>
      <c r="F134" s="107"/>
      <c r="G134" s="10"/>
      <c r="H134" s="10"/>
      <c r="I134" s="56"/>
      <c r="J134" s="56"/>
      <c r="K134" s="56"/>
      <c r="L134" s="56"/>
      <c r="M134" s="56"/>
      <c r="N134" s="11"/>
      <c r="O134" s="101"/>
      <c r="Q134" s="101"/>
      <c r="T134" s="101"/>
    </row>
    <row r="135" spans="1:20" s="106" customFormat="1" x14ac:dyDescent="0.15">
      <c r="A135" s="11"/>
      <c r="B135" s="10"/>
      <c r="C135" s="107"/>
      <c r="D135" s="10"/>
      <c r="E135" s="10"/>
      <c r="F135" s="107"/>
      <c r="G135" s="10"/>
      <c r="H135" s="10"/>
      <c r="I135" s="56"/>
      <c r="J135" s="56"/>
      <c r="K135" s="56"/>
      <c r="L135" s="56"/>
      <c r="M135" s="56"/>
      <c r="N135" s="11"/>
      <c r="O135" s="101"/>
      <c r="Q135" s="101"/>
      <c r="T135" s="101"/>
    </row>
    <row r="136" spans="1:20" s="106" customFormat="1" x14ac:dyDescent="0.15">
      <c r="A136" s="11"/>
      <c r="B136" s="10"/>
      <c r="C136" s="107"/>
      <c r="D136" s="10"/>
      <c r="E136" s="10"/>
      <c r="F136" s="107"/>
      <c r="G136" s="10"/>
      <c r="H136" s="10"/>
      <c r="I136" s="56"/>
      <c r="J136" s="56"/>
      <c r="K136" s="56"/>
      <c r="L136" s="56"/>
      <c r="M136" s="56"/>
      <c r="N136" s="11"/>
      <c r="O136" s="101"/>
      <c r="Q136" s="101"/>
      <c r="T136" s="101"/>
    </row>
    <row r="137" spans="1:20" s="106" customFormat="1" x14ac:dyDescent="0.15">
      <c r="A137" s="11"/>
      <c r="B137" s="10"/>
      <c r="C137" s="107"/>
      <c r="D137" s="10"/>
      <c r="E137" s="10"/>
      <c r="F137" s="107"/>
      <c r="G137" s="10"/>
      <c r="H137" s="10"/>
      <c r="I137" s="56"/>
      <c r="J137" s="56"/>
      <c r="K137" s="56"/>
      <c r="L137" s="56"/>
      <c r="M137" s="56"/>
      <c r="N137" s="11"/>
      <c r="O137" s="101"/>
      <c r="Q137" s="101"/>
      <c r="T137" s="101"/>
    </row>
    <row r="138" spans="1:20" s="106" customFormat="1" x14ac:dyDescent="0.15">
      <c r="A138" s="11"/>
      <c r="B138" s="10"/>
      <c r="C138" s="107"/>
      <c r="D138" s="10"/>
      <c r="E138" s="10"/>
      <c r="F138" s="107"/>
      <c r="G138" s="10"/>
      <c r="H138" s="10"/>
      <c r="I138" s="56"/>
      <c r="J138" s="56"/>
      <c r="K138" s="56"/>
      <c r="L138" s="56"/>
      <c r="M138" s="56"/>
      <c r="N138" s="11"/>
      <c r="O138" s="101"/>
      <c r="Q138" s="101"/>
      <c r="T138" s="101"/>
    </row>
    <row r="139" spans="1:20" s="106" customFormat="1" x14ac:dyDescent="0.15">
      <c r="A139" s="11"/>
      <c r="B139" s="10"/>
      <c r="C139" s="107"/>
      <c r="D139" s="10"/>
      <c r="E139" s="10"/>
      <c r="F139" s="107"/>
      <c r="G139" s="10"/>
      <c r="H139" s="10"/>
      <c r="I139" s="56"/>
      <c r="J139" s="56"/>
      <c r="K139" s="56"/>
      <c r="L139" s="56"/>
      <c r="M139" s="56"/>
      <c r="N139" s="11"/>
      <c r="O139" s="101"/>
      <c r="Q139" s="101"/>
      <c r="T139" s="101"/>
    </row>
    <row r="140" spans="1:20" s="106" customFormat="1" x14ac:dyDescent="0.15">
      <c r="A140" s="11"/>
      <c r="B140" s="10"/>
      <c r="C140" s="107"/>
      <c r="D140" s="10"/>
      <c r="E140" s="10"/>
      <c r="F140" s="107"/>
      <c r="G140" s="10"/>
      <c r="H140" s="10"/>
      <c r="I140" s="56"/>
      <c r="J140" s="56"/>
      <c r="K140" s="56"/>
      <c r="L140" s="56"/>
      <c r="M140" s="56"/>
      <c r="N140" s="11"/>
      <c r="O140" s="101"/>
      <c r="Q140" s="101"/>
      <c r="T140" s="101"/>
    </row>
    <row r="141" spans="1:20" s="106" customFormat="1" x14ac:dyDescent="0.15">
      <c r="A141" s="11"/>
      <c r="B141" s="10"/>
      <c r="C141" s="107"/>
      <c r="D141" s="10"/>
      <c r="E141" s="10"/>
      <c r="F141" s="107"/>
      <c r="G141" s="10"/>
      <c r="H141" s="10"/>
      <c r="I141" s="56"/>
      <c r="J141" s="56"/>
      <c r="K141" s="56"/>
      <c r="L141" s="56"/>
      <c r="M141" s="56"/>
      <c r="N141" s="11"/>
      <c r="O141" s="101"/>
      <c r="Q141" s="101"/>
      <c r="T141" s="101"/>
    </row>
    <row r="142" spans="1:20" s="106" customFormat="1" x14ac:dyDescent="0.15">
      <c r="A142" s="11"/>
      <c r="B142" s="10"/>
      <c r="C142" s="107"/>
      <c r="D142" s="10"/>
      <c r="E142" s="10"/>
      <c r="F142" s="107"/>
      <c r="G142" s="10"/>
      <c r="H142" s="10"/>
      <c r="I142" s="56"/>
      <c r="J142" s="56"/>
      <c r="K142" s="56"/>
      <c r="L142" s="56"/>
      <c r="M142" s="56"/>
      <c r="N142" s="11"/>
      <c r="O142" s="101"/>
      <c r="Q142" s="101"/>
      <c r="T142" s="101"/>
    </row>
    <row r="143" spans="1:20" s="106" customFormat="1" x14ac:dyDescent="0.15">
      <c r="A143" s="11"/>
      <c r="B143" s="10"/>
      <c r="C143" s="107"/>
      <c r="D143" s="10"/>
      <c r="E143" s="10"/>
      <c r="F143" s="107"/>
      <c r="G143" s="10"/>
      <c r="H143" s="10"/>
      <c r="I143" s="56"/>
      <c r="J143" s="56"/>
      <c r="K143" s="56"/>
      <c r="L143" s="56"/>
      <c r="M143" s="56"/>
      <c r="N143" s="11"/>
      <c r="O143" s="101"/>
      <c r="Q143" s="101"/>
      <c r="T143" s="101"/>
    </row>
    <row r="144" spans="1:20" s="106" customFormat="1" x14ac:dyDescent="0.15">
      <c r="A144" s="11"/>
      <c r="B144" s="10"/>
      <c r="C144" s="107"/>
      <c r="D144" s="10"/>
      <c r="E144" s="10"/>
      <c r="F144" s="107"/>
      <c r="G144" s="10"/>
      <c r="H144" s="10"/>
      <c r="I144" s="56"/>
      <c r="J144" s="56"/>
      <c r="K144" s="56"/>
      <c r="L144" s="56"/>
      <c r="M144" s="56"/>
      <c r="N144" s="11"/>
      <c r="O144" s="101"/>
      <c r="Q144" s="101"/>
      <c r="T144" s="101"/>
    </row>
    <row r="145" spans="1:20" s="106" customFormat="1" x14ac:dyDescent="0.15">
      <c r="A145" s="11"/>
      <c r="B145" s="10"/>
      <c r="C145" s="107"/>
      <c r="D145" s="10"/>
      <c r="E145" s="10"/>
      <c r="F145" s="107"/>
      <c r="G145" s="10"/>
      <c r="H145" s="10"/>
      <c r="I145" s="56"/>
      <c r="J145" s="56"/>
      <c r="K145" s="56"/>
      <c r="L145" s="56"/>
      <c r="M145" s="56"/>
      <c r="N145" s="11"/>
      <c r="O145" s="101"/>
      <c r="Q145" s="101"/>
      <c r="T145" s="101"/>
    </row>
    <row r="146" spans="1:20" s="106" customFormat="1" x14ac:dyDescent="0.15">
      <c r="A146" s="11"/>
      <c r="B146" s="10"/>
      <c r="C146" s="107"/>
      <c r="D146" s="10"/>
      <c r="E146" s="10"/>
      <c r="F146" s="107"/>
      <c r="G146" s="10"/>
      <c r="H146" s="10"/>
      <c r="I146" s="56"/>
      <c r="J146" s="56"/>
      <c r="K146" s="56"/>
      <c r="L146" s="56"/>
      <c r="M146" s="56"/>
      <c r="N146" s="11"/>
      <c r="O146" s="101"/>
      <c r="Q146" s="101"/>
      <c r="T146" s="101"/>
    </row>
    <row r="147" spans="1:20" s="106" customFormat="1" x14ac:dyDescent="0.15">
      <c r="A147" s="11"/>
      <c r="B147" s="10"/>
      <c r="C147" s="107"/>
      <c r="D147" s="10"/>
      <c r="E147" s="10"/>
      <c r="F147" s="107"/>
      <c r="G147" s="10"/>
      <c r="H147" s="10"/>
      <c r="I147" s="56"/>
      <c r="J147" s="56"/>
      <c r="K147" s="56"/>
      <c r="L147" s="56"/>
      <c r="M147" s="56"/>
      <c r="N147" s="11"/>
      <c r="O147" s="101"/>
      <c r="Q147" s="101"/>
      <c r="T147" s="101"/>
    </row>
    <row r="148" spans="1:20" s="106" customFormat="1" x14ac:dyDescent="0.15">
      <c r="A148" s="11"/>
      <c r="B148" s="10"/>
      <c r="C148" s="107"/>
      <c r="D148" s="10"/>
      <c r="E148" s="10"/>
      <c r="F148" s="107"/>
      <c r="G148" s="10"/>
      <c r="H148" s="10"/>
      <c r="I148" s="56"/>
      <c r="J148" s="56"/>
      <c r="K148" s="56"/>
      <c r="L148" s="56"/>
      <c r="M148" s="56"/>
      <c r="N148" s="11"/>
      <c r="O148" s="101"/>
      <c r="Q148" s="101"/>
      <c r="T148" s="101"/>
    </row>
    <row r="149" spans="1:20" s="106" customFormat="1" x14ac:dyDescent="0.15">
      <c r="A149" s="11"/>
      <c r="B149" s="10"/>
      <c r="C149" s="107"/>
      <c r="D149" s="10"/>
      <c r="E149" s="10"/>
      <c r="F149" s="107"/>
      <c r="G149" s="10"/>
      <c r="H149" s="10"/>
      <c r="I149" s="56"/>
      <c r="J149" s="56"/>
      <c r="K149" s="56"/>
      <c r="L149" s="56"/>
      <c r="M149" s="56"/>
      <c r="N149" s="11"/>
      <c r="O149" s="101"/>
      <c r="Q149" s="101"/>
      <c r="T149" s="101"/>
    </row>
    <row r="150" spans="1:20" s="106" customFormat="1" x14ac:dyDescent="0.15">
      <c r="A150" s="11"/>
      <c r="B150" s="10"/>
      <c r="C150" s="107"/>
      <c r="D150" s="10"/>
      <c r="E150" s="10"/>
      <c r="F150" s="107"/>
      <c r="G150" s="10"/>
      <c r="H150" s="10"/>
      <c r="I150" s="56"/>
      <c r="J150" s="56"/>
      <c r="K150" s="56"/>
      <c r="L150" s="56"/>
      <c r="M150" s="56"/>
      <c r="N150" s="11"/>
      <c r="O150" s="101"/>
      <c r="Q150" s="101"/>
      <c r="T150" s="101"/>
    </row>
    <row r="151" spans="1:20" s="106" customFormat="1" x14ac:dyDescent="0.15">
      <c r="A151" s="11"/>
      <c r="B151" s="10"/>
      <c r="C151" s="107"/>
      <c r="D151" s="10"/>
      <c r="E151" s="10"/>
      <c r="F151" s="107"/>
      <c r="G151" s="10"/>
      <c r="H151" s="10"/>
      <c r="I151" s="56"/>
      <c r="J151" s="56"/>
      <c r="K151" s="56"/>
      <c r="L151" s="56"/>
      <c r="M151" s="56"/>
      <c r="N151" s="11"/>
      <c r="O151" s="101"/>
      <c r="Q151" s="101"/>
      <c r="T151" s="101"/>
    </row>
    <row r="152" spans="1:20" s="106" customFormat="1" x14ac:dyDescent="0.15">
      <c r="A152" s="11"/>
      <c r="B152" s="10"/>
      <c r="C152" s="107"/>
      <c r="D152" s="10"/>
      <c r="E152" s="10"/>
      <c r="F152" s="107"/>
      <c r="G152" s="10"/>
      <c r="H152" s="10"/>
      <c r="I152" s="56"/>
      <c r="J152" s="56"/>
      <c r="K152" s="56"/>
      <c r="L152" s="56"/>
      <c r="M152" s="56"/>
      <c r="N152" s="11"/>
      <c r="O152" s="101"/>
      <c r="Q152" s="101"/>
      <c r="T152" s="101"/>
    </row>
    <row r="153" spans="1:20" s="106" customFormat="1" x14ac:dyDescent="0.15">
      <c r="A153" s="11"/>
      <c r="B153" s="10"/>
      <c r="C153" s="107"/>
      <c r="D153" s="10"/>
      <c r="E153" s="10"/>
      <c r="F153" s="107"/>
      <c r="G153" s="10"/>
      <c r="H153" s="10"/>
      <c r="I153" s="56"/>
      <c r="J153" s="56"/>
      <c r="K153" s="56"/>
      <c r="L153" s="56"/>
      <c r="M153" s="56"/>
      <c r="N153" s="11"/>
      <c r="O153" s="101"/>
      <c r="Q153" s="101"/>
      <c r="T153" s="101"/>
    </row>
    <row r="154" spans="1:20" s="106" customFormat="1" x14ac:dyDescent="0.15">
      <c r="A154" s="11"/>
      <c r="B154" s="10"/>
      <c r="C154" s="107"/>
      <c r="D154" s="10"/>
      <c r="E154" s="10"/>
      <c r="F154" s="107"/>
      <c r="G154" s="10"/>
      <c r="H154" s="10"/>
      <c r="I154" s="56"/>
      <c r="J154" s="56"/>
      <c r="K154" s="56"/>
      <c r="L154" s="56"/>
      <c r="M154" s="56"/>
      <c r="N154" s="11"/>
      <c r="O154" s="101"/>
      <c r="Q154" s="101"/>
      <c r="T154" s="101"/>
    </row>
    <row r="155" spans="1:20" s="106" customFormat="1" x14ac:dyDescent="0.15">
      <c r="A155" s="11"/>
      <c r="B155" s="10"/>
      <c r="C155" s="107"/>
      <c r="D155" s="10"/>
      <c r="E155" s="10"/>
      <c r="F155" s="107"/>
      <c r="G155" s="10"/>
      <c r="H155" s="10"/>
      <c r="I155" s="56"/>
      <c r="J155" s="56"/>
      <c r="K155" s="56"/>
      <c r="L155" s="56"/>
      <c r="M155" s="56"/>
      <c r="N155" s="11"/>
      <c r="O155" s="101"/>
      <c r="Q155" s="101"/>
      <c r="T155" s="101"/>
    </row>
    <row r="156" spans="1:20" s="106" customFormat="1" x14ac:dyDescent="0.15">
      <c r="A156" s="11"/>
      <c r="B156" s="10"/>
      <c r="C156" s="107"/>
      <c r="D156" s="10"/>
      <c r="E156" s="10"/>
      <c r="F156" s="107"/>
      <c r="G156" s="10"/>
      <c r="H156" s="10"/>
      <c r="I156" s="56"/>
      <c r="J156" s="56"/>
      <c r="K156" s="56"/>
      <c r="L156" s="56"/>
      <c r="M156" s="56"/>
      <c r="N156" s="11"/>
      <c r="O156" s="101"/>
      <c r="Q156" s="101"/>
      <c r="T156" s="101"/>
    </row>
    <row r="157" spans="1:20" s="106" customFormat="1" x14ac:dyDescent="0.15">
      <c r="A157" s="11"/>
      <c r="B157" s="10"/>
      <c r="C157" s="107"/>
      <c r="D157" s="10"/>
      <c r="E157" s="10"/>
      <c r="F157" s="107"/>
      <c r="G157" s="10"/>
      <c r="H157" s="10"/>
      <c r="I157" s="56"/>
      <c r="J157" s="56"/>
      <c r="K157" s="56"/>
      <c r="L157" s="56"/>
      <c r="M157" s="56"/>
      <c r="N157" s="11"/>
      <c r="O157" s="101"/>
      <c r="Q157" s="101"/>
      <c r="T157" s="101"/>
    </row>
    <row r="158" spans="1:20" s="106" customFormat="1" x14ac:dyDescent="0.15">
      <c r="A158" s="11"/>
      <c r="B158" s="10"/>
      <c r="C158" s="107"/>
      <c r="D158" s="10"/>
      <c r="E158" s="10"/>
      <c r="F158" s="107"/>
      <c r="G158" s="10"/>
      <c r="H158" s="10"/>
      <c r="I158" s="56"/>
      <c r="J158" s="56"/>
      <c r="K158" s="56"/>
      <c r="L158" s="56"/>
      <c r="M158" s="56"/>
      <c r="N158" s="11"/>
      <c r="O158" s="101"/>
      <c r="Q158" s="101"/>
      <c r="T158" s="101"/>
    </row>
    <row r="159" spans="1:20" s="106" customFormat="1" x14ac:dyDescent="0.15">
      <c r="A159" s="11"/>
      <c r="B159" s="10"/>
      <c r="C159" s="107"/>
      <c r="D159" s="10"/>
      <c r="E159" s="10"/>
      <c r="F159" s="107"/>
      <c r="G159" s="10"/>
      <c r="H159" s="10"/>
      <c r="I159" s="56"/>
      <c r="J159" s="56"/>
      <c r="K159" s="56"/>
      <c r="L159" s="56"/>
      <c r="M159" s="56"/>
      <c r="N159" s="11"/>
      <c r="O159" s="101"/>
      <c r="Q159" s="101"/>
      <c r="T159" s="101"/>
    </row>
    <row r="160" spans="1:20" s="106" customFormat="1" x14ac:dyDescent="0.15">
      <c r="A160" s="11"/>
      <c r="B160" s="10"/>
      <c r="C160" s="107"/>
      <c r="D160" s="10"/>
      <c r="E160" s="10"/>
      <c r="F160" s="107"/>
      <c r="G160" s="10"/>
      <c r="H160" s="10"/>
      <c r="I160" s="56"/>
      <c r="J160" s="56"/>
      <c r="K160" s="56"/>
      <c r="L160" s="56"/>
      <c r="M160" s="56"/>
      <c r="N160" s="11"/>
      <c r="O160" s="101"/>
      <c r="Q160" s="101"/>
      <c r="T160" s="101"/>
    </row>
    <row r="161" spans="1:20" s="106" customFormat="1" x14ac:dyDescent="0.15">
      <c r="A161" s="11"/>
      <c r="B161" s="10"/>
      <c r="C161" s="107"/>
      <c r="D161" s="10"/>
      <c r="E161" s="10"/>
      <c r="F161" s="107"/>
      <c r="G161" s="10"/>
      <c r="H161" s="10"/>
      <c r="I161" s="56"/>
      <c r="J161" s="56"/>
      <c r="K161" s="56"/>
      <c r="L161" s="56"/>
      <c r="M161" s="56"/>
      <c r="N161" s="11"/>
      <c r="O161" s="101"/>
      <c r="Q161" s="101"/>
      <c r="T161" s="101"/>
    </row>
    <row r="162" spans="1:20" s="106" customFormat="1" x14ac:dyDescent="0.15">
      <c r="A162" s="11"/>
      <c r="B162" s="10"/>
      <c r="C162" s="107"/>
      <c r="D162" s="10"/>
      <c r="E162" s="10"/>
      <c r="F162" s="107"/>
      <c r="G162" s="10"/>
      <c r="H162" s="10"/>
      <c r="I162" s="56"/>
      <c r="J162" s="56"/>
      <c r="K162" s="56"/>
      <c r="L162" s="56"/>
      <c r="M162" s="56"/>
      <c r="N162" s="11"/>
      <c r="O162" s="101"/>
      <c r="Q162" s="101"/>
      <c r="T162" s="101"/>
    </row>
    <row r="163" spans="1:20" s="106" customFormat="1" x14ac:dyDescent="0.15">
      <c r="A163" s="11"/>
      <c r="B163" s="10"/>
      <c r="C163" s="107"/>
      <c r="D163" s="10"/>
      <c r="E163" s="10"/>
      <c r="F163" s="107"/>
      <c r="G163" s="10"/>
      <c r="H163" s="10"/>
      <c r="I163" s="56"/>
      <c r="J163" s="56"/>
      <c r="K163" s="56"/>
      <c r="L163" s="56"/>
      <c r="M163" s="56"/>
      <c r="N163" s="11"/>
      <c r="O163" s="101"/>
      <c r="Q163" s="101"/>
      <c r="T163" s="101"/>
    </row>
    <row r="164" spans="1:20" s="106" customFormat="1" x14ac:dyDescent="0.15">
      <c r="A164" s="11"/>
      <c r="B164" s="10"/>
      <c r="C164" s="107"/>
      <c r="D164" s="10"/>
      <c r="E164" s="10"/>
      <c r="F164" s="107"/>
      <c r="G164" s="10"/>
      <c r="H164" s="10"/>
      <c r="I164" s="56"/>
      <c r="J164" s="56"/>
      <c r="K164" s="56"/>
      <c r="L164" s="56"/>
      <c r="M164" s="56"/>
      <c r="N164" s="11"/>
      <c r="O164" s="101"/>
      <c r="Q164" s="101"/>
      <c r="T164" s="101"/>
    </row>
    <row r="165" spans="1:20" s="106" customFormat="1" x14ac:dyDescent="0.15">
      <c r="A165" s="11"/>
      <c r="B165" s="10"/>
      <c r="C165" s="107"/>
      <c r="D165" s="10"/>
      <c r="E165" s="10"/>
      <c r="F165" s="107"/>
      <c r="G165" s="10"/>
      <c r="H165" s="10"/>
      <c r="I165" s="56"/>
      <c r="J165" s="56"/>
      <c r="K165" s="56"/>
      <c r="L165" s="56"/>
      <c r="M165" s="56"/>
      <c r="N165" s="11"/>
      <c r="O165" s="101"/>
      <c r="Q165" s="101"/>
      <c r="T165" s="101"/>
    </row>
    <row r="166" spans="1:20" s="106" customFormat="1" x14ac:dyDescent="0.15">
      <c r="A166" s="11"/>
      <c r="B166" s="10"/>
      <c r="C166" s="107"/>
      <c r="D166" s="10"/>
      <c r="E166" s="10"/>
      <c r="F166" s="107"/>
      <c r="G166" s="10"/>
      <c r="H166" s="10"/>
      <c r="I166" s="56"/>
      <c r="J166" s="56"/>
      <c r="K166" s="56"/>
      <c r="L166" s="56"/>
      <c r="M166" s="56"/>
      <c r="N166" s="11"/>
      <c r="O166" s="101"/>
      <c r="Q166" s="101"/>
      <c r="T166" s="101"/>
    </row>
    <row r="167" spans="1:20" s="106" customFormat="1" x14ac:dyDescent="0.15">
      <c r="A167" s="11"/>
      <c r="B167" s="10"/>
      <c r="C167" s="107"/>
      <c r="D167" s="10"/>
      <c r="E167" s="10"/>
      <c r="F167" s="107"/>
      <c r="G167" s="10"/>
      <c r="H167" s="10"/>
      <c r="I167" s="56"/>
      <c r="J167" s="56"/>
      <c r="K167" s="56"/>
      <c r="L167" s="56"/>
      <c r="M167" s="56"/>
      <c r="N167" s="11"/>
      <c r="O167" s="101"/>
      <c r="Q167" s="101"/>
      <c r="T167" s="101"/>
    </row>
    <row r="168" spans="1:20" s="106" customFormat="1" x14ac:dyDescent="0.15">
      <c r="A168" s="11"/>
      <c r="B168" s="10"/>
      <c r="C168" s="107"/>
      <c r="D168" s="10"/>
      <c r="E168" s="10"/>
      <c r="F168" s="107"/>
      <c r="G168" s="10"/>
      <c r="H168" s="10"/>
      <c r="I168" s="56"/>
      <c r="J168" s="56"/>
      <c r="K168" s="56"/>
      <c r="L168" s="56"/>
      <c r="M168" s="56"/>
      <c r="N168" s="11"/>
      <c r="O168" s="101"/>
      <c r="Q168" s="101"/>
      <c r="T168" s="101"/>
    </row>
    <row r="169" spans="1:20" s="106" customFormat="1" x14ac:dyDescent="0.15">
      <c r="A169" s="11"/>
      <c r="B169" s="10"/>
      <c r="C169" s="107"/>
      <c r="D169" s="10"/>
      <c r="E169" s="10"/>
      <c r="F169" s="107"/>
      <c r="G169" s="10"/>
      <c r="H169" s="10"/>
      <c r="I169" s="56"/>
      <c r="J169" s="56"/>
      <c r="K169" s="56"/>
      <c r="L169" s="56"/>
      <c r="M169" s="56"/>
      <c r="N169" s="11"/>
      <c r="O169" s="101"/>
      <c r="Q169" s="101"/>
      <c r="T169" s="101"/>
    </row>
    <row r="170" spans="1:20" s="106" customFormat="1" x14ac:dyDescent="0.15">
      <c r="A170" s="11"/>
      <c r="B170" s="10"/>
      <c r="C170" s="107"/>
      <c r="D170" s="10"/>
      <c r="E170" s="10"/>
      <c r="F170" s="107"/>
      <c r="G170" s="10"/>
      <c r="H170" s="10"/>
      <c r="I170" s="56"/>
      <c r="J170" s="56"/>
      <c r="K170" s="56"/>
      <c r="L170" s="56"/>
      <c r="M170" s="56"/>
      <c r="N170" s="11"/>
      <c r="O170" s="101"/>
      <c r="Q170" s="101"/>
      <c r="T170" s="101"/>
    </row>
    <row r="171" spans="1:20" s="106" customFormat="1" x14ac:dyDescent="0.15">
      <c r="A171" s="11"/>
      <c r="B171" s="10"/>
      <c r="C171" s="107"/>
      <c r="D171" s="10"/>
      <c r="E171" s="10"/>
      <c r="F171" s="107"/>
      <c r="G171" s="10"/>
      <c r="H171" s="10"/>
      <c r="I171" s="56"/>
      <c r="J171" s="56"/>
      <c r="K171" s="56"/>
      <c r="L171" s="56"/>
      <c r="M171" s="56"/>
      <c r="N171" s="11"/>
      <c r="O171" s="101"/>
      <c r="Q171" s="101"/>
      <c r="T171" s="101"/>
    </row>
    <row r="172" spans="1:20" s="106" customFormat="1" x14ac:dyDescent="0.15">
      <c r="A172" s="11"/>
      <c r="B172" s="10"/>
      <c r="C172" s="107"/>
      <c r="D172" s="10"/>
      <c r="E172" s="10"/>
      <c r="F172" s="107"/>
      <c r="G172" s="10"/>
      <c r="H172" s="10"/>
      <c r="I172" s="56"/>
      <c r="J172" s="56"/>
      <c r="K172" s="56"/>
      <c r="L172" s="56"/>
      <c r="M172" s="56"/>
      <c r="N172" s="11"/>
      <c r="O172" s="101"/>
      <c r="Q172" s="101"/>
      <c r="T172" s="101"/>
    </row>
    <row r="173" spans="1:20" s="106" customFormat="1" x14ac:dyDescent="0.15">
      <c r="A173" s="11"/>
      <c r="B173" s="10"/>
      <c r="C173" s="107"/>
      <c r="D173" s="10"/>
      <c r="E173" s="10"/>
      <c r="F173" s="107"/>
      <c r="G173" s="10"/>
      <c r="H173" s="10"/>
      <c r="I173" s="56"/>
      <c r="J173" s="56"/>
      <c r="K173" s="56"/>
      <c r="L173" s="56"/>
      <c r="M173" s="56"/>
      <c r="N173" s="11"/>
      <c r="O173" s="101"/>
      <c r="Q173" s="101"/>
      <c r="T173" s="101"/>
    </row>
    <row r="174" spans="1:20" s="106" customFormat="1" x14ac:dyDescent="0.15">
      <c r="A174" s="11"/>
      <c r="B174" s="10"/>
      <c r="C174" s="107"/>
      <c r="D174" s="10"/>
      <c r="E174" s="10"/>
      <c r="F174" s="107"/>
      <c r="G174" s="10"/>
      <c r="H174" s="10"/>
      <c r="I174" s="56"/>
      <c r="J174" s="56"/>
      <c r="K174" s="56"/>
      <c r="L174" s="56"/>
      <c r="M174" s="56"/>
      <c r="N174" s="11"/>
      <c r="O174" s="101"/>
      <c r="Q174" s="101"/>
      <c r="T174" s="101"/>
    </row>
    <row r="175" spans="1:20" s="106" customFormat="1" x14ac:dyDescent="0.15">
      <c r="A175" s="11"/>
      <c r="B175" s="10"/>
      <c r="C175" s="107"/>
      <c r="D175" s="10"/>
      <c r="E175" s="10"/>
      <c r="F175" s="107"/>
      <c r="G175" s="10"/>
      <c r="H175" s="10"/>
      <c r="I175" s="56"/>
      <c r="J175" s="56"/>
      <c r="K175" s="56"/>
      <c r="L175" s="56"/>
      <c r="M175" s="56"/>
      <c r="N175" s="11"/>
      <c r="O175" s="101"/>
      <c r="Q175" s="101"/>
      <c r="T175" s="101"/>
    </row>
    <row r="176" spans="1:20" s="106" customFormat="1" x14ac:dyDescent="0.15">
      <c r="A176" s="11"/>
      <c r="B176" s="10"/>
      <c r="C176" s="107"/>
      <c r="D176" s="10"/>
      <c r="E176" s="10"/>
      <c r="F176" s="107"/>
      <c r="G176" s="10"/>
      <c r="H176" s="10"/>
      <c r="I176" s="56"/>
      <c r="J176" s="56"/>
      <c r="K176" s="56"/>
      <c r="L176" s="56"/>
      <c r="M176" s="56"/>
      <c r="N176" s="11"/>
      <c r="O176" s="101"/>
      <c r="Q176" s="101"/>
      <c r="T176" s="101"/>
    </row>
    <row r="177" spans="1:20" s="106" customFormat="1" x14ac:dyDescent="0.15">
      <c r="A177" s="11"/>
      <c r="B177" s="10"/>
      <c r="C177" s="107"/>
      <c r="D177" s="10"/>
      <c r="E177" s="10"/>
      <c r="F177" s="107"/>
      <c r="G177" s="10"/>
      <c r="H177" s="10"/>
      <c r="I177" s="56"/>
      <c r="J177" s="56"/>
      <c r="K177" s="56"/>
      <c r="L177" s="56"/>
      <c r="M177" s="56"/>
      <c r="N177" s="11"/>
      <c r="O177" s="101"/>
      <c r="Q177" s="101"/>
      <c r="T177" s="101"/>
    </row>
    <row r="178" spans="1:20" s="106" customFormat="1" x14ac:dyDescent="0.15">
      <c r="A178" s="11"/>
      <c r="B178" s="10"/>
      <c r="C178" s="107"/>
      <c r="D178" s="10"/>
      <c r="E178" s="10"/>
      <c r="F178" s="107"/>
      <c r="G178" s="10"/>
      <c r="H178" s="10"/>
      <c r="I178" s="56"/>
      <c r="J178" s="56"/>
      <c r="K178" s="56"/>
      <c r="L178" s="56"/>
      <c r="M178" s="56"/>
      <c r="N178" s="11"/>
      <c r="O178" s="101"/>
      <c r="Q178" s="101"/>
      <c r="T178" s="101"/>
    </row>
    <row r="179" spans="1:20" s="106" customFormat="1" x14ac:dyDescent="0.15">
      <c r="A179" s="11"/>
      <c r="B179" s="10"/>
      <c r="C179" s="107"/>
      <c r="D179" s="10"/>
      <c r="E179" s="10"/>
      <c r="F179" s="107"/>
      <c r="G179" s="10"/>
      <c r="H179" s="10"/>
      <c r="I179" s="56"/>
      <c r="J179" s="56"/>
      <c r="K179" s="56"/>
      <c r="L179" s="56"/>
      <c r="M179" s="56"/>
      <c r="N179" s="11"/>
      <c r="O179" s="101"/>
      <c r="Q179" s="101"/>
      <c r="T179" s="101"/>
    </row>
    <row r="180" spans="1:20" s="106" customFormat="1" x14ac:dyDescent="0.15">
      <c r="A180" s="11"/>
      <c r="B180" s="10"/>
      <c r="C180" s="107"/>
      <c r="D180" s="10"/>
      <c r="E180" s="10"/>
      <c r="F180" s="107"/>
      <c r="G180" s="10"/>
      <c r="H180" s="10"/>
      <c r="I180" s="56"/>
      <c r="J180" s="56"/>
      <c r="K180" s="56"/>
      <c r="L180" s="56"/>
      <c r="M180" s="56"/>
      <c r="N180" s="11"/>
      <c r="O180" s="101"/>
      <c r="Q180" s="101"/>
      <c r="T180" s="101"/>
    </row>
    <row r="181" spans="1:20" s="106" customFormat="1" x14ac:dyDescent="0.15">
      <c r="A181" s="11"/>
      <c r="B181" s="10"/>
      <c r="C181" s="107"/>
      <c r="D181" s="10"/>
      <c r="E181" s="10"/>
      <c r="F181" s="107"/>
      <c r="G181" s="10"/>
      <c r="H181" s="10"/>
      <c r="I181" s="56"/>
      <c r="J181" s="56"/>
      <c r="K181" s="56"/>
      <c r="L181" s="56"/>
      <c r="M181" s="56"/>
      <c r="N181" s="11"/>
      <c r="O181" s="101"/>
      <c r="Q181" s="101"/>
      <c r="T181" s="101"/>
    </row>
    <row r="182" spans="1:20" s="106" customFormat="1" x14ac:dyDescent="0.15">
      <c r="A182" s="11"/>
      <c r="B182" s="10"/>
      <c r="C182" s="107"/>
      <c r="D182" s="10"/>
      <c r="E182" s="10"/>
      <c r="F182" s="107"/>
      <c r="G182" s="10"/>
      <c r="H182" s="10"/>
      <c r="I182" s="56"/>
      <c r="J182" s="56"/>
      <c r="K182" s="56"/>
      <c r="L182" s="56"/>
      <c r="M182" s="56"/>
      <c r="N182" s="11"/>
      <c r="O182" s="101"/>
      <c r="Q182" s="101"/>
      <c r="T182" s="101"/>
    </row>
    <row r="183" spans="1:20" s="106" customFormat="1" x14ac:dyDescent="0.15">
      <c r="A183" s="11"/>
      <c r="B183" s="10"/>
      <c r="C183" s="107"/>
      <c r="D183" s="10"/>
      <c r="E183" s="10"/>
      <c r="F183" s="107"/>
      <c r="G183" s="10"/>
      <c r="H183" s="10"/>
      <c r="I183" s="56"/>
      <c r="J183" s="56"/>
      <c r="K183" s="56"/>
      <c r="L183" s="56"/>
      <c r="M183" s="56"/>
      <c r="N183" s="11"/>
      <c r="O183" s="101"/>
      <c r="Q183" s="101"/>
      <c r="T183" s="101"/>
    </row>
    <row r="184" spans="1:20" s="106" customFormat="1" x14ac:dyDescent="0.15">
      <c r="A184" s="11"/>
      <c r="B184" s="10"/>
      <c r="C184" s="107"/>
      <c r="D184" s="10"/>
      <c r="E184" s="10"/>
      <c r="F184" s="107"/>
      <c r="G184" s="10"/>
      <c r="H184" s="10"/>
      <c r="I184" s="56"/>
      <c r="J184" s="56"/>
      <c r="K184" s="56"/>
      <c r="L184" s="56"/>
      <c r="M184" s="56"/>
      <c r="N184" s="11"/>
      <c r="O184" s="101"/>
      <c r="Q184" s="101"/>
      <c r="T184" s="101"/>
    </row>
    <row r="185" spans="1:20" s="106" customFormat="1" x14ac:dyDescent="0.15">
      <c r="A185" s="11"/>
      <c r="B185" s="10"/>
      <c r="C185" s="107"/>
      <c r="D185" s="10"/>
      <c r="E185" s="10"/>
      <c r="F185" s="107"/>
      <c r="G185" s="10"/>
      <c r="H185" s="10"/>
      <c r="I185" s="56"/>
      <c r="J185" s="56"/>
      <c r="K185" s="56"/>
      <c r="L185" s="56"/>
      <c r="M185" s="56"/>
      <c r="N185" s="11"/>
      <c r="O185" s="101"/>
      <c r="Q185" s="101"/>
      <c r="T185" s="101"/>
    </row>
    <row r="186" spans="1:20" s="106" customFormat="1" x14ac:dyDescent="0.15">
      <c r="A186" s="11"/>
      <c r="B186" s="10"/>
      <c r="C186" s="107"/>
      <c r="D186" s="10"/>
      <c r="E186" s="10"/>
      <c r="F186" s="107"/>
      <c r="G186" s="10"/>
      <c r="H186" s="10"/>
      <c r="I186" s="56"/>
      <c r="J186" s="56"/>
      <c r="K186" s="56"/>
      <c r="L186" s="56"/>
      <c r="M186" s="56"/>
      <c r="N186" s="11"/>
      <c r="O186" s="101"/>
      <c r="Q186" s="101"/>
      <c r="T186" s="101"/>
    </row>
    <row r="187" spans="1:20" s="106" customFormat="1" x14ac:dyDescent="0.15">
      <c r="A187" s="11"/>
      <c r="B187" s="10"/>
      <c r="C187" s="107"/>
      <c r="D187" s="10"/>
      <c r="E187" s="10"/>
      <c r="F187" s="107"/>
      <c r="G187" s="10"/>
      <c r="H187" s="10"/>
      <c r="I187" s="56"/>
      <c r="J187" s="56"/>
      <c r="K187" s="56"/>
      <c r="L187" s="56"/>
      <c r="M187" s="56"/>
      <c r="N187" s="11"/>
      <c r="O187" s="101"/>
      <c r="Q187" s="101"/>
      <c r="T187" s="101"/>
    </row>
    <row r="188" spans="1:20" s="106" customFormat="1" x14ac:dyDescent="0.15">
      <c r="A188" s="11"/>
      <c r="B188" s="10"/>
      <c r="C188" s="107"/>
      <c r="D188" s="10"/>
      <c r="E188" s="10"/>
      <c r="F188" s="107"/>
      <c r="G188" s="10"/>
      <c r="H188" s="10"/>
      <c r="I188" s="56"/>
      <c r="J188" s="56"/>
      <c r="K188" s="56"/>
      <c r="L188" s="56"/>
      <c r="M188" s="56"/>
      <c r="N188" s="11"/>
      <c r="O188" s="101"/>
      <c r="Q188" s="101"/>
      <c r="T188" s="101"/>
    </row>
    <row r="189" spans="1:20" s="106" customFormat="1" x14ac:dyDescent="0.15">
      <c r="A189" s="11"/>
      <c r="B189" s="10"/>
      <c r="C189" s="107"/>
      <c r="D189" s="10"/>
      <c r="E189" s="10"/>
      <c r="F189" s="107"/>
      <c r="G189" s="10"/>
      <c r="H189" s="10"/>
      <c r="I189" s="56"/>
      <c r="J189" s="56"/>
      <c r="K189" s="56"/>
      <c r="L189" s="56"/>
      <c r="M189" s="56"/>
      <c r="N189" s="11"/>
      <c r="O189" s="101"/>
      <c r="Q189" s="101"/>
      <c r="T189" s="101"/>
    </row>
    <row r="190" spans="1:20" s="106" customFormat="1" x14ac:dyDescent="0.15">
      <c r="A190" s="11"/>
      <c r="B190" s="10"/>
      <c r="C190" s="107"/>
      <c r="D190" s="10"/>
      <c r="E190" s="10"/>
      <c r="F190" s="107"/>
      <c r="G190" s="10"/>
      <c r="H190" s="10"/>
      <c r="I190" s="56"/>
      <c r="J190" s="56"/>
      <c r="K190" s="56"/>
      <c r="L190" s="56"/>
      <c r="M190" s="56"/>
      <c r="N190" s="11"/>
      <c r="O190" s="101"/>
      <c r="Q190" s="101"/>
      <c r="T190" s="101"/>
    </row>
    <row r="191" spans="1:20" s="106" customFormat="1" x14ac:dyDescent="0.15">
      <c r="A191" s="11"/>
      <c r="B191" s="10"/>
      <c r="C191" s="107"/>
      <c r="D191" s="10"/>
      <c r="E191" s="10"/>
      <c r="F191" s="107"/>
      <c r="G191" s="10"/>
      <c r="H191" s="10"/>
      <c r="I191" s="56"/>
      <c r="J191" s="56"/>
      <c r="K191" s="56"/>
      <c r="L191" s="56"/>
      <c r="M191" s="56"/>
      <c r="N191" s="11"/>
      <c r="O191" s="101"/>
      <c r="Q191" s="101"/>
      <c r="T191" s="101"/>
    </row>
    <row r="192" spans="1:20" s="106" customFormat="1" x14ac:dyDescent="0.15">
      <c r="A192" s="11"/>
      <c r="B192" s="10"/>
      <c r="C192" s="107"/>
      <c r="D192" s="10"/>
      <c r="E192" s="10"/>
      <c r="F192" s="107"/>
      <c r="G192" s="10"/>
      <c r="H192" s="10"/>
      <c r="I192" s="56"/>
      <c r="J192" s="56"/>
      <c r="K192" s="56"/>
      <c r="L192" s="56"/>
      <c r="M192" s="56"/>
      <c r="N192" s="11"/>
      <c r="O192" s="101"/>
      <c r="Q192" s="101"/>
      <c r="T192" s="101"/>
    </row>
    <row r="193" spans="1:20" s="106" customFormat="1" x14ac:dyDescent="0.15">
      <c r="A193" s="11"/>
      <c r="B193" s="10"/>
      <c r="C193" s="107"/>
      <c r="D193" s="10"/>
      <c r="E193" s="10"/>
      <c r="F193" s="107"/>
      <c r="G193" s="10"/>
      <c r="H193" s="10"/>
      <c r="I193" s="56"/>
      <c r="J193" s="56"/>
      <c r="K193" s="56"/>
      <c r="L193" s="56"/>
      <c r="M193" s="56"/>
      <c r="N193" s="11"/>
      <c r="O193" s="101"/>
      <c r="Q193" s="101"/>
      <c r="T193" s="101"/>
    </row>
    <row r="194" spans="1:20" s="106" customFormat="1" x14ac:dyDescent="0.15">
      <c r="A194" s="11"/>
      <c r="B194" s="10"/>
      <c r="C194" s="107"/>
      <c r="D194" s="10"/>
      <c r="E194" s="10"/>
      <c r="F194" s="107"/>
      <c r="G194" s="10"/>
      <c r="H194" s="10"/>
      <c r="I194" s="56"/>
      <c r="J194" s="56"/>
      <c r="K194" s="56"/>
      <c r="L194" s="56"/>
      <c r="M194" s="56"/>
      <c r="N194" s="11"/>
      <c r="O194" s="101"/>
      <c r="Q194" s="101"/>
      <c r="T194" s="101"/>
    </row>
    <row r="195" spans="1:20" s="106" customFormat="1" x14ac:dyDescent="0.15">
      <c r="A195" s="11"/>
      <c r="B195" s="10"/>
      <c r="C195" s="107"/>
      <c r="D195" s="10"/>
      <c r="E195" s="10"/>
      <c r="F195" s="107"/>
      <c r="G195" s="10"/>
      <c r="H195" s="10"/>
      <c r="I195" s="56"/>
      <c r="J195" s="56"/>
      <c r="K195" s="56"/>
      <c r="L195" s="56"/>
      <c r="M195" s="56"/>
      <c r="N195" s="11"/>
      <c r="O195" s="101"/>
      <c r="Q195" s="101"/>
      <c r="T195" s="101"/>
    </row>
    <row r="196" spans="1:20" s="106" customFormat="1" x14ac:dyDescent="0.15">
      <c r="A196" s="11"/>
      <c r="B196" s="10"/>
      <c r="C196" s="107"/>
      <c r="D196" s="10"/>
      <c r="E196" s="10"/>
      <c r="F196" s="107"/>
      <c r="G196" s="10"/>
      <c r="H196" s="10"/>
      <c r="I196" s="56"/>
      <c r="J196" s="56"/>
      <c r="K196" s="56"/>
      <c r="L196" s="56"/>
      <c r="M196" s="56"/>
      <c r="N196" s="11"/>
      <c r="O196" s="101"/>
      <c r="Q196" s="101"/>
      <c r="T196" s="101"/>
    </row>
    <row r="197" spans="1:20" s="106" customFormat="1" x14ac:dyDescent="0.15">
      <c r="A197" s="11"/>
      <c r="B197" s="10"/>
      <c r="C197" s="107"/>
      <c r="D197" s="10"/>
      <c r="E197" s="10"/>
      <c r="F197" s="107"/>
      <c r="G197" s="10"/>
      <c r="H197" s="10"/>
      <c r="I197" s="56"/>
      <c r="J197" s="56"/>
      <c r="K197" s="56"/>
      <c r="L197" s="56"/>
      <c r="M197" s="56"/>
      <c r="N197" s="11"/>
      <c r="O197" s="101"/>
      <c r="Q197" s="101"/>
      <c r="T197" s="101"/>
    </row>
    <row r="198" spans="1:20" s="106" customFormat="1" x14ac:dyDescent="0.15">
      <c r="A198" s="11"/>
      <c r="B198" s="10"/>
      <c r="C198" s="107"/>
      <c r="D198" s="10"/>
      <c r="E198" s="10"/>
      <c r="F198" s="107"/>
      <c r="G198" s="10"/>
      <c r="H198" s="10"/>
      <c r="I198" s="56"/>
      <c r="J198" s="56"/>
      <c r="K198" s="56"/>
      <c r="L198" s="56"/>
      <c r="M198" s="56"/>
      <c r="N198" s="11"/>
      <c r="O198" s="101"/>
      <c r="Q198" s="101"/>
      <c r="T198" s="101"/>
    </row>
    <row r="199" spans="1:20" s="106" customFormat="1" x14ac:dyDescent="0.15">
      <c r="A199" s="11"/>
      <c r="B199" s="10"/>
      <c r="C199" s="107"/>
      <c r="D199" s="10"/>
      <c r="E199" s="10"/>
      <c r="F199" s="107"/>
      <c r="G199" s="10"/>
      <c r="H199" s="10"/>
      <c r="I199" s="56"/>
      <c r="J199" s="56"/>
      <c r="K199" s="56"/>
      <c r="L199" s="56"/>
      <c r="M199" s="56"/>
      <c r="N199" s="11"/>
      <c r="O199" s="101"/>
      <c r="Q199" s="101"/>
      <c r="T199" s="101"/>
    </row>
    <row r="200" spans="1:20" s="106" customFormat="1" x14ac:dyDescent="0.15">
      <c r="A200" s="11"/>
      <c r="B200" s="10"/>
      <c r="C200" s="107"/>
      <c r="D200" s="10"/>
      <c r="E200" s="10"/>
      <c r="F200" s="107"/>
      <c r="G200" s="10"/>
      <c r="H200" s="10"/>
      <c r="I200" s="56"/>
      <c r="J200" s="56"/>
      <c r="K200" s="56"/>
      <c r="L200" s="56"/>
      <c r="M200" s="56"/>
      <c r="N200" s="11"/>
      <c r="O200" s="101"/>
      <c r="Q200" s="101"/>
      <c r="T200" s="101"/>
    </row>
    <row r="201" spans="1:20" s="106" customFormat="1" x14ac:dyDescent="0.15">
      <c r="A201" s="11"/>
      <c r="B201" s="10"/>
      <c r="C201" s="107"/>
      <c r="D201" s="10"/>
      <c r="E201" s="10"/>
      <c r="F201" s="107"/>
      <c r="G201" s="10"/>
      <c r="H201" s="10"/>
      <c r="I201" s="56"/>
      <c r="J201" s="56"/>
      <c r="K201" s="56"/>
      <c r="L201" s="56"/>
      <c r="M201" s="56"/>
      <c r="N201" s="11"/>
      <c r="O201" s="101"/>
      <c r="Q201" s="101"/>
      <c r="T201" s="101"/>
    </row>
    <row r="202" spans="1:20" s="106" customFormat="1" x14ac:dyDescent="0.15">
      <c r="A202" s="11"/>
      <c r="B202" s="10"/>
      <c r="C202" s="107"/>
      <c r="D202" s="10"/>
      <c r="E202" s="10"/>
      <c r="F202" s="107"/>
      <c r="G202" s="10"/>
      <c r="H202" s="10"/>
      <c r="I202" s="56"/>
      <c r="J202" s="56"/>
      <c r="K202" s="56"/>
      <c r="L202" s="56"/>
      <c r="M202" s="56"/>
      <c r="N202" s="11"/>
      <c r="O202" s="101"/>
      <c r="Q202" s="101"/>
      <c r="T202" s="101"/>
    </row>
    <row r="203" spans="1:20" s="106" customFormat="1" x14ac:dyDescent="0.15">
      <c r="A203" s="11"/>
      <c r="B203" s="10"/>
      <c r="C203" s="107"/>
      <c r="D203" s="10"/>
      <c r="E203" s="10"/>
      <c r="F203" s="107"/>
      <c r="G203" s="10"/>
      <c r="H203" s="10"/>
      <c r="I203" s="56"/>
      <c r="J203" s="56"/>
      <c r="K203" s="56"/>
      <c r="L203" s="56"/>
      <c r="M203" s="56"/>
      <c r="N203" s="11"/>
      <c r="O203" s="101"/>
      <c r="Q203" s="101"/>
      <c r="T203" s="101"/>
    </row>
    <row r="204" spans="1:20" s="106" customFormat="1" x14ac:dyDescent="0.15">
      <c r="A204" s="11"/>
      <c r="B204" s="10"/>
      <c r="C204" s="107"/>
      <c r="D204" s="10"/>
      <c r="E204" s="10"/>
      <c r="F204" s="107"/>
      <c r="G204" s="10"/>
      <c r="H204" s="10"/>
      <c r="I204" s="56"/>
      <c r="J204" s="56"/>
      <c r="K204" s="56"/>
      <c r="L204" s="56"/>
      <c r="M204" s="56"/>
      <c r="N204" s="11"/>
      <c r="O204" s="101"/>
      <c r="Q204" s="101"/>
      <c r="T204" s="101"/>
    </row>
    <row r="205" spans="1:20" s="106" customFormat="1" x14ac:dyDescent="0.15">
      <c r="A205" s="11"/>
      <c r="B205" s="10"/>
      <c r="C205" s="107"/>
      <c r="D205" s="10"/>
      <c r="E205" s="10"/>
      <c r="F205" s="107"/>
      <c r="G205" s="10"/>
      <c r="H205" s="10"/>
      <c r="I205" s="56"/>
      <c r="J205" s="56"/>
      <c r="K205" s="56"/>
      <c r="L205" s="56"/>
      <c r="M205" s="56"/>
      <c r="N205" s="11"/>
      <c r="O205" s="101"/>
      <c r="Q205" s="101"/>
      <c r="T205" s="101"/>
    </row>
    <row r="206" spans="1:20" s="106" customFormat="1" x14ac:dyDescent="0.15">
      <c r="A206" s="11"/>
      <c r="B206" s="10"/>
      <c r="C206" s="107"/>
      <c r="D206" s="10"/>
      <c r="E206" s="10"/>
      <c r="F206" s="107"/>
      <c r="G206" s="10"/>
      <c r="H206" s="10"/>
      <c r="I206" s="56"/>
      <c r="J206" s="56"/>
      <c r="K206" s="56"/>
      <c r="L206" s="56"/>
      <c r="M206" s="56"/>
      <c r="N206" s="11"/>
      <c r="O206" s="101"/>
      <c r="Q206" s="101"/>
      <c r="T206" s="101"/>
    </row>
    <row r="207" spans="1:20" s="106" customFormat="1" x14ac:dyDescent="0.15">
      <c r="A207" s="11"/>
      <c r="B207" s="10"/>
      <c r="C207" s="107"/>
      <c r="D207" s="10"/>
      <c r="E207" s="10"/>
      <c r="F207" s="107"/>
      <c r="G207" s="10"/>
      <c r="H207" s="10"/>
      <c r="I207" s="56"/>
      <c r="J207" s="56"/>
      <c r="K207" s="56"/>
      <c r="L207" s="56"/>
      <c r="M207" s="56"/>
      <c r="N207" s="11"/>
      <c r="O207" s="101"/>
      <c r="Q207" s="101"/>
      <c r="T207" s="101"/>
    </row>
    <row r="208" spans="1:20" s="106" customFormat="1" x14ac:dyDescent="0.15">
      <c r="A208" s="11"/>
      <c r="B208" s="10"/>
      <c r="C208" s="107"/>
      <c r="D208" s="10"/>
      <c r="E208" s="10"/>
      <c r="F208" s="107"/>
      <c r="G208" s="10"/>
      <c r="H208" s="10"/>
      <c r="I208" s="56"/>
      <c r="J208" s="56"/>
      <c r="K208" s="56"/>
      <c r="L208" s="56"/>
      <c r="M208" s="56"/>
      <c r="N208" s="11"/>
      <c r="O208" s="101"/>
      <c r="Q208" s="101"/>
      <c r="T208" s="101"/>
    </row>
    <row r="209" spans="1:20" s="106" customFormat="1" x14ac:dyDescent="0.15">
      <c r="A209" s="11"/>
      <c r="B209" s="10"/>
      <c r="C209" s="107"/>
      <c r="D209" s="10"/>
      <c r="E209" s="10"/>
      <c r="F209" s="107"/>
      <c r="G209" s="10"/>
      <c r="H209" s="10"/>
      <c r="I209" s="56"/>
      <c r="J209" s="56"/>
      <c r="K209" s="56"/>
      <c r="L209" s="56"/>
      <c r="M209" s="56"/>
      <c r="N209" s="11"/>
      <c r="O209" s="101"/>
      <c r="Q209" s="101"/>
      <c r="T209" s="101"/>
    </row>
    <row r="210" spans="1:20" s="106" customFormat="1" x14ac:dyDescent="0.15">
      <c r="A210" s="11"/>
      <c r="B210" s="10"/>
      <c r="C210" s="107"/>
      <c r="D210" s="10"/>
      <c r="E210" s="10"/>
      <c r="F210" s="107"/>
      <c r="G210" s="10"/>
      <c r="H210" s="10"/>
      <c r="I210" s="56"/>
      <c r="J210" s="56"/>
      <c r="K210" s="56"/>
      <c r="L210" s="56"/>
      <c r="M210" s="56"/>
      <c r="N210" s="11"/>
      <c r="O210" s="101"/>
      <c r="Q210" s="101"/>
      <c r="T210" s="101"/>
    </row>
    <row r="211" spans="1:20" s="106" customFormat="1" x14ac:dyDescent="0.15">
      <c r="A211" s="11"/>
      <c r="B211" s="10"/>
      <c r="C211" s="107"/>
      <c r="D211" s="10"/>
      <c r="E211" s="10"/>
      <c r="F211" s="107"/>
      <c r="G211" s="10"/>
      <c r="H211" s="10"/>
      <c r="I211" s="56"/>
      <c r="J211" s="56"/>
      <c r="K211" s="56"/>
      <c r="L211" s="56"/>
      <c r="M211" s="56"/>
      <c r="N211" s="11"/>
      <c r="O211" s="101"/>
      <c r="Q211" s="101"/>
      <c r="T211" s="101"/>
    </row>
    <row r="212" spans="1:20" s="106" customFormat="1" x14ac:dyDescent="0.15">
      <c r="A212" s="11"/>
      <c r="B212" s="10"/>
      <c r="C212" s="107"/>
      <c r="D212" s="10"/>
      <c r="E212" s="10"/>
      <c r="F212" s="107"/>
      <c r="G212" s="10"/>
      <c r="H212" s="10"/>
      <c r="I212" s="56"/>
      <c r="J212" s="56"/>
      <c r="K212" s="56"/>
      <c r="L212" s="56"/>
      <c r="M212" s="56"/>
      <c r="N212" s="11"/>
      <c r="O212" s="101"/>
      <c r="Q212" s="101"/>
      <c r="T212" s="101"/>
    </row>
    <row r="213" spans="1:20" s="106" customFormat="1" x14ac:dyDescent="0.15">
      <c r="A213" s="11"/>
      <c r="B213" s="10"/>
      <c r="C213" s="107"/>
      <c r="D213" s="10"/>
      <c r="E213" s="10"/>
      <c r="F213" s="107"/>
      <c r="G213" s="10"/>
      <c r="H213" s="10"/>
      <c r="I213" s="56"/>
      <c r="J213" s="56"/>
      <c r="K213" s="56"/>
      <c r="L213" s="56"/>
      <c r="M213" s="56"/>
      <c r="N213" s="11"/>
      <c r="O213" s="101"/>
      <c r="Q213" s="101"/>
      <c r="T213" s="101"/>
    </row>
    <row r="214" spans="1:20" s="106" customFormat="1" x14ac:dyDescent="0.15">
      <c r="A214" s="11"/>
      <c r="B214" s="10"/>
      <c r="C214" s="107"/>
      <c r="D214" s="10"/>
      <c r="E214" s="10"/>
      <c r="F214" s="107"/>
      <c r="G214" s="10"/>
      <c r="H214" s="10"/>
      <c r="I214" s="56"/>
      <c r="J214" s="56"/>
      <c r="K214" s="56"/>
      <c r="L214" s="56"/>
      <c r="M214" s="56"/>
      <c r="N214" s="11"/>
      <c r="O214" s="101"/>
      <c r="Q214" s="101"/>
      <c r="T214" s="101"/>
    </row>
    <row r="215" spans="1:20" s="106" customFormat="1" x14ac:dyDescent="0.15">
      <c r="A215" s="11"/>
      <c r="B215" s="10"/>
      <c r="C215" s="107"/>
      <c r="D215" s="10"/>
      <c r="E215" s="10"/>
      <c r="F215" s="107"/>
      <c r="G215" s="10"/>
      <c r="H215" s="10"/>
      <c r="I215" s="56"/>
      <c r="J215" s="56"/>
      <c r="K215" s="56"/>
      <c r="L215" s="56"/>
      <c r="M215" s="56"/>
      <c r="N215" s="11"/>
      <c r="O215" s="101"/>
      <c r="Q215" s="101"/>
      <c r="T215" s="101"/>
    </row>
    <row r="216" spans="1:20" s="106" customFormat="1" x14ac:dyDescent="0.15">
      <c r="A216" s="11"/>
      <c r="B216" s="10"/>
      <c r="C216" s="107"/>
      <c r="D216" s="10"/>
      <c r="E216" s="10"/>
      <c r="F216" s="107"/>
      <c r="G216" s="10"/>
      <c r="H216" s="10"/>
      <c r="I216" s="56"/>
      <c r="J216" s="56"/>
      <c r="K216" s="56"/>
      <c r="L216" s="56"/>
      <c r="M216" s="56"/>
      <c r="N216" s="11"/>
      <c r="O216" s="101"/>
      <c r="Q216" s="101"/>
      <c r="T216" s="101"/>
    </row>
    <row r="217" spans="1:20" s="106" customFormat="1" x14ac:dyDescent="0.15">
      <c r="A217" s="11"/>
      <c r="B217" s="10"/>
      <c r="C217" s="107"/>
      <c r="D217" s="10"/>
      <c r="E217" s="10"/>
      <c r="F217" s="107"/>
      <c r="G217" s="10"/>
      <c r="H217" s="10"/>
      <c r="I217" s="56"/>
      <c r="J217" s="56"/>
      <c r="K217" s="56"/>
      <c r="L217" s="56"/>
      <c r="M217" s="56"/>
      <c r="N217" s="11"/>
      <c r="O217" s="101"/>
      <c r="Q217" s="101"/>
      <c r="T217" s="101"/>
    </row>
    <row r="218" spans="1:20" s="106" customFormat="1" x14ac:dyDescent="0.15">
      <c r="A218" s="11"/>
      <c r="B218" s="10"/>
      <c r="C218" s="107"/>
      <c r="D218" s="10"/>
      <c r="E218" s="10"/>
      <c r="F218" s="107"/>
      <c r="G218" s="10"/>
      <c r="H218" s="10"/>
      <c r="I218" s="56"/>
      <c r="J218" s="56"/>
      <c r="K218" s="56"/>
      <c r="L218" s="56"/>
      <c r="M218" s="56"/>
      <c r="N218" s="11"/>
      <c r="O218" s="101"/>
      <c r="Q218" s="101"/>
      <c r="T218" s="101"/>
    </row>
    <row r="219" spans="1:20" s="106" customFormat="1" x14ac:dyDescent="0.15">
      <c r="A219" s="11"/>
      <c r="B219" s="10"/>
      <c r="C219" s="107"/>
      <c r="D219" s="10"/>
      <c r="E219" s="10"/>
      <c r="F219" s="107"/>
      <c r="G219" s="10"/>
      <c r="H219" s="10"/>
      <c r="I219" s="56"/>
      <c r="J219" s="56"/>
      <c r="K219" s="56"/>
      <c r="L219" s="56"/>
      <c r="M219" s="56"/>
      <c r="N219" s="11"/>
      <c r="O219" s="101"/>
      <c r="Q219" s="101"/>
      <c r="T219" s="101"/>
    </row>
    <row r="220" spans="1:20" s="106" customFormat="1" x14ac:dyDescent="0.15">
      <c r="A220" s="11"/>
      <c r="B220" s="10"/>
      <c r="C220" s="107"/>
      <c r="D220" s="10"/>
      <c r="E220" s="10"/>
      <c r="F220" s="107"/>
      <c r="G220" s="10"/>
      <c r="H220" s="10"/>
      <c r="I220" s="56"/>
      <c r="J220" s="56"/>
      <c r="K220" s="56"/>
      <c r="L220" s="56"/>
      <c r="M220" s="56"/>
      <c r="N220" s="11"/>
      <c r="O220" s="101"/>
      <c r="Q220" s="101"/>
      <c r="T220" s="101"/>
    </row>
    <row r="221" spans="1:20" s="106" customFormat="1" x14ac:dyDescent="0.15">
      <c r="A221" s="11"/>
      <c r="B221" s="10"/>
      <c r="C221" s="107"/>
      <c r="D221" s="10"/>
      <c r="E221" s="10"/>
      <c r="F221" s="107"/>
      <c r="G221" s="10"/>
      <c r="H221" s="10"/>
      <c r="I221" s="56"/>
      <c r="J221" s="56"/>
      <c r="K221" s="56"/>
      <c r="L221" s="56"/>
      <c r="M221" s="56"/>
      <c r="N221" s="11"/>
      <c r="O221" s="101"/>
      <c r="Q221" s="101"/>
      <c r="T221" s="101"/>
    </row>
    <row r="222" spans="1:20" s="106" customFormat="1" x14ac:dyDescent="0.15">
      <c r="A222" s="11"/>
      <c r="B222" s="10"/>
      <c r="C222" s="107"/>
      <c r="D222" s="10"/>
      <c r="E222" s="10"/>
      <c r="F222" s="107"/>
      <c r="G222" s="10"/>
      <c r="H222" s="10"/>
      <c r="I222" s="56"/>
      <c r="J222" s="56"/>
      <c r="K222" s="56"/>
      <c r="L222" s="56"/>
      <c r="M222" s="56"/>
      <c r="N222" s="11"/>
      <c r="O222" s="101"/>
      <c r="Q222" s="101"/>
      <c r="T222" s="101"/>
    </row>
    <row r="223" spans="1:20" s="106" customFormat="1" x14ac:dyDescent="0.15">
      <c r="A223" s="11"/>
      <c r="B223" s="10"/>
      <c r="C223" s="107"/>
      <c r="D223" s="10"/>
      <c r="E223" s="10"/>
      <c r="F223" s="107"/>
      <c r="G223" s="10"/>
      <c r="H223" s="10"/>
      <c r="I223" s="56"/>
      <c r="J223" s="56"/>
      <c r="K223" s="56"/>
      <c r="L223" s="56"/>
      <c r="M223" s="56"/>
      <c r="N223" s="11"/>
      <c r="O223" s="101"/>
      <c r="Q223" s="101"/>
      <c r="T223" s="101"/>
    </row>
    <row r="224" spans="1:20" s="106" customFormat="1" x14ac:dyDescent="0.15">
      <c r="A224" s="11"/>
      <c r="B224" s="10"/>
      <c r="C224" s="107"/>
      <c r="D224" s="10"/>
      <c r="E224" s="10"/>
      <c r="F224" s="107"/>
      <c r="G224" s="10"/>
      <c r="H224" s="10"/>
      <c r="I224" s="56"/>
      <c r="J224" s="56"/>
      <c r="K224" s="56"/>
      <c r="L224" s="56"/>
      <c r="M224" s="56"/>
      <c r="N224" s="11"/>
      <c r="O224" s="101"/>
      <c r="Q224" s="101"/>
      <c r="T224" s="101"/>
    </row>
    <row r="225" spans="1:20" s="106" customFormat="1" x14ac:dyDescent="0.15">
      <c r="A225" s="11"/>
      <c r="B225" s="10"/>
      <c r="C225" s="107"/>
      <c r="D225" s="10"/>
      <c r="E225" s="10"/>
      <c r="F225" s="107"/>
      <c r="G225" s="10"/>
      <c r="H225" s="10"/>
      <c r="I225" s="56"/>
      <c r="J225" s="56"/>
      <c r="K225" s="56"/>
      <c r="L225" s="56"/>
      <c r="M225" s="56"/>
      <c r="N225" s="11"/>
      <c r="O225" s="101"/>
      <c r="Q225" s="101"/>
      <c r="T225" s="101"/>
    </row>
    <row r="226" spans="1:20" s="106" customFormat="1" x14ac:dyDescent="0.15">
      <c r="A226" s="11"/>
      <c r="B226" s="10"/>
      <c r="C226" s="107"/>
      <c r="D226" s="10"/>
      <c r="E226" s="10"/>
      <c r="F226" s="107"/>
      <c r="G226" s="10"/>
      <c r="H226" s="10"/>
      <c r="I226" s="56"/>
      <c r="J226" s="56"/>
      <c r="K226" s="56"/>
      <c r="L226" s="56"/>
      <c r="M226" s="56"/>
      <c r="N226" s="11"/>
      <c r="O226" s="101"/>
      <c r="Q226" s="101"/>
      <c r="T226" s="101"/>
    </row>
    <row r="227" spans="1:20" s="106" customFormat="1" x14ac:dyDescent="0.15">
      <c r="A227" s="11"/>
      <c r="B227" s="10"/>
      <c r="C227" s="107"/>
      <c r="D227" s="10"/>
      <c r="E227" s="10"/>
      <c r="F227" s="107"/>
      <c r="G227" s="10"/>
      <c r="H227" s="10"/>
      <c r="I227" s="56"/>
      <c r="J227" s="56"/>
      <c r="K227" s="56"/>
      <c r="L227" s="56"/>
      <c r="M227" s="56"/>
      <c r="N227" s="11"/>
      <c r="O227" s="101"/>
      <c r="Q227" s="101"/>
      <c r="T227" s="101"/>
    </row>
    <row r="228" spans="1:20" s="106" customFormat="1" x14ac:dyDescent="0.15">
      <c r="A228" s="11"/>
      <c r="B228" s="10"/>
      <c r="C228" s="107"/>
      <c r="D228" s="10"/>
      <c r="E228" s="10"/>
      <c r="F228" s="107"/>
      <c r="G228" s="10"/>
      <c r="H228" s="10"/>
      <c r="I228" s="56"/>
      <c r="J228" s="56"/>
      <c r="K228" s="56"/>
      <c r="L228" s="56"/>
      <c r="M228" s="56"/>
      <c r="N228" s="11"/>
      <c r="O228" s="101"/>
      <c r="Q228" s="101"/>
      <c r="T228" s="101"/>
    </row>
    <row r="229" spans="1:20" s="106" customFormat="1" x14ac:dyDescent="0.15">
      <c r="A229" s="11"/>
      <c r="B229" s="10"/>
      <c r="C229" s="107"/>
      <c r="D229" s="10"/>
      <c r="E229" s="10"/>
      <c r="F229" s="107"/>
      <c r="G229" s="10"/>
      <c r="H229" s="10"/>
      <c r="I229" s="56"/>
      <c r="J229" s="56"/>
      <c r="K229" s="56"/>
      <c r="L229" s="56"/>
      <c r="M229" s="56"/>
      <c r="N229" s="11"/>
      <c r="O229" s="101"/>
      <c r="Q229" s="101"/>
      <c r="T229" s="101"/>
    </row>
    <row r="230" spans="1:20" s="106" customFormat="1" x14ac:dyDescent="0.15">
      <c r="A230" s="11"/>
      <c r="B230" s="10"/>
      <c r="C230" s="107"/>
      <c r="D230" s="10"/>
      <c r="E230" s="10"/>
      <c r="F230" s="107"/>
      <c r="G230" s="10"/>
      <c r="H230" s="10"/>
      <c r="I230" s="56"/>
      <c r="J230" s="56"/>
      <c r="K230" s="56"/>
      <c r="L230" s="56"/>
      <c r="M230" s="56"/>
      <c r="N230" s="11"/>
      <c r="O230" s="101"/>
      <c r="Q230" s="101"/>
      <c r="T230" s="101"/>
    </row>
    <row r="231" spans="1:20" s="106" customFormat="1" x14ac:dyDescent="0.15">
      <c r="A231" s="11"/>
      <c r="B231" s="10"/>
      <c r="C231" s="107"/>
      <c r="D231" s="10"/>
      <c r="E231" s="10"/>
      <c r="F231" s="107"/>
      <c r="G231" s="10"/>
      <c r="H231" s="10"/>
      <c r="I231" s="56"/>
      <c r="J231" s="56"/>
      <c r="K231" s="56"/>
      <c r="L231" s="56"/>
      <c r="M231" s="56"/>
      <c r="N231" s="11"/>
      <c r="O231" s="101"/>
      <c r="Q231" s="101"/>
      <c r="T231" s="101"/>
    </row>
    <row r="232" spans="1:20" s="106" customFormat="1" x14ac:dyDescent="0.15">
      <c r="A232" s="11"/>
      <c r="B232" s="10"/>
      <c r="C232" s="107"/>
      <c r="D232" s="10"/>
      <c r="E232" s="10"/>
      <c r="F232" s="107"/>
      <c r="G232" s="10"/>
      <c r="H232" s="10"/>
      <c r="I232" s="56"/>
      <c r="J232" s="56"/>
      <c r="K232" s="56"/>
      <c r="L232" s="56"/>
      <c r="M232" s="56"/>
      <c r="N232" s="11"/>
      <c r="O232" s="101"/>
      <c r="Q232" s="101"/>
      <c r="T232" s="101"/>
    </row>
    <row r="233" spans="1:20" s="106" customFormat="1" x14ac:dyDescent="0.15">
      <c r="A233" s="11"/>
      <c r="B233" s="10"/>
      <c r="C233" s="107"/>
      <c r="D233" s="10"/>
      <c r="E233" s="10"/>
      <c r="F233" s="107"/>
      <c r="G233" s="10"/>
      <c r="H233" s="10"/>
      <c r="I233" s="56"/>
      <c r="J233" s="56"/>
      <c r="K233" s="56"/>
      <c r="L233" s="56"/>
      <c r="M233" s="56"/>
      <c r="N233" s="11"/>
      <c r="O233" s="101"/>
      <c r="Q233" s="101"/>
      <c r="T233" s="101"/>
    </row>
    <row r="234" spans="1:20" s="106" customFormat="1" x14ac:dyDescent="0.15">
      <c r="A234" s="11"/>
      <c r="B234" s="10"/>
      <c r="C234" s="107"/>
      <c r="D234" s="10"/>
      <c r="E234" s="10"/>
      <c r="F234" s="107"/>
      <c r="G234" s="10"/>
      <c r="H234" s="10"/>
      <c r="I234" s="56"/>
      <c r="J234" s="56"/>
      <c r="K234" s="56"/>
      <c r="L234" s="56"/>
      <c r="M234" s="56"/>
      <c r="N234" s="11"/>
      <c r="O234" s="101"/>
      <c r="Q234" s="101"/>
      <c r="T234" s="101"/>
    </row>
    <row r="235" spans="1:20" s="106" customFormat="1" x14ac:dyDescent="0.15">
      <c r="A235" s="11"/>
      <c r="B235" s="10"/>
      <c r="C235" s="107"/>
      <c r="D235" s="10"/>
      <c r="E235" s="10"/>
      <c r="F235" s="107"/>
      <c r="G235" s="10"/>
      <c r="H235" s="10"/>
      <c r="I235" s="56"/>
      <c r="J235" s="56"/>
      <c r="K235" s="56"/>
      <c r="L235" s="56"/>
      <c r="M235" s="56"/>
      <c r="N235" s="11"/>
      <c r="O235" s="101"/>
      <c r="Q235" s="101"/>
      <c r="T235" s="101"/>
    </row>
    <row r="236" spans="1:20" s="106" customFormat="1" x14ac:dyDescent="0.15">
      <c r="A236" s="11"/>
      <c r="B236" s="10"/>
      <c r="C236" s="107"/>
      <c r="D236" s="10"/>
      <c r="E236" s="10"/>
      <c r="F236" s="107"/>
      <c r="G236" s="10"/>
      <c r="H236" s="10"/>
      <c r="I236" s="56"/>
      <c r="J236" s="56"/>
      <c r="K236" s="56"/>
      <c r="L236" s="56"/>
      <c r="M236" s="56"/>
      <c r="N236" s="11"/>
      <c r="O236" s="101"/>
      <c r="Q236" s="101"/>
      <c r="T236" s="101"/>
    </row>
    <row r="237" spans="1:20" s="106" customFormat="1" x14ac:dyDescent="0.15">
      <c r="A237" s="11"/>
      <c r="B237" s="10"/>
      <c r="C237" s="107"/>
      <c r="D237" s="10"/>
      <c r="E237" s="10"/>
      <c r="F237" s="107"/>
      <c r="G237" s="10"/>
      <c r="H237" s="10"/>
      <c r="I237" s="56"/>
      <c r="J237" s="56"/>
      <c r="K237" s="56"/>
      <c r="L237" s="56"/>
      <c r="M237" s="56"/>
      <c r="N237" s="11"/>
      <c r="O237" s="101"/>
      <c r="Q237" s="101"/>
      <c r="T237" s="101"/>
    </row>
    <row r="238" spans="1:20" s="106" customFormat="1" x14ac:dyDescent="0.15">
      <c r="A238" s="11"/>
      <c r="B238" s="10"/>
      <c r="C238" s="107"/>
      <c r="D238" s="10"/>
      <c r="E238" s="10"/>
      <c r="F238" s="107"/>
      <c r="G238" s="10"/>
      <c r="H238" s="10"/>
      <c r="I238" s="56"/>
      <c r="J238" s="56"/>
      <c r="K238" s="56"/>
      <c r="L238" s="56"/>
      <c r="M238" s="56"/>
      <c r="N238" s="11"/>
      <c r="O238" s="101"/>
      <c r="Q238" s="101"/>
      <c r="T238" s="101"/>
    </row>
    <row r="239" spans="1:20" s="106" customFormat="1" x14ac:dyDescent="0.15">
      <c r="A239" s="11"/>
      <c r="B239" s="10"/>
      <c r="C239" s="107"/>
      <c r="D239" s="10"/>
      <c r="E239" s="10"/>
      <c r="F239" s="107"/>
      <c r="G239" s="10"/>
      <c r="H239" s="10"/>
      <c r="I239" s="56"/>
      <c r="J239" s="56"/>
      <c r="K239" s="56"/>
      <c r="L239" s="56"/>
      <c r="M239" s="56"/>
      <c r="N239" s="11"/>
      <c r="O239" s="101"/>
      <c r="Q239" s="101"/>
      <c r="T239" s="101"/>
    </row>
    <row r="240" spans="1:20" s="106" customFormat="1" x14ac:dyDescent="0.15">
      <c r="A240" s="11"/>
      <c r="B240" s="10"/>
      <c r="C240" s="107"/>
      <c r="D240" s="10"/>
      <c r="E240" s="10"/>
      <c r="F240" s="107"/>
      <c r="G240" s="10"/>
      <c r="H240" s="10"/>
      <c r="I240" s="56"/>
      <c r="J240" s="56"/>
      <c r="K240" s="56"/>
      <c r="L240" s="56"/>
      <c r="M240" s="56"/>
      <c r="N240" s="11"/>
      <c r="O240" s="101"/>
      <c r="Q240" s="101"/>
      <c r="T240" s="101"/>
    </row>
    <row r="241" spans="1:20" s="106" customFormat="1" x14ac:dyDescent="0.15">
      <c r="A241" s="11"/>
      <c r="B241" s="10"/>
      <c r="C241" s="107"/>
      <c r="D241" s="10"/>
      <c r="E241" s="10"/>
      <c r="F241" s="107"/>
      <c r="G241" s="10"/>
      <c r="H241" s="10"/>
      <c r="I241" s="56"/>
      <c r="J241" s="56"/>
      <c r="K241" s="56"/>
      <c r="L241" s="56"/>
      <c r="M241" s="56"/>
      <c r="N241" s="11"/>
      <c r="O241" s="101"/>
      <c r="Q241" s="101"/>
      <c r="T241" s="101"/>
    </row>
    <row r="242" spans="1:20" s="106" customFormat="1" x14ac:dyDescent="0.15">
      <c r="A242" s="11"/>
      <c r="B242" s="10"/>
      <c r="C242" s="107"/>
      <c r="D242" s="10"/>
      <c r="E242" s="10"/>
      <c r="F242" s="107"/>
      <c r="G242" s="10"/>
      <c r="H242" s="10"/>
      <c r="I242" s="56"/>
      <c r="J242" s="56"/>
      <c r="K242" s="56"/>
      <c r="L242" s="56"/>
      <c r="M242" s="56"/>
      <c r="N242" s="11"/>
      <c r="O242" s="101"/>
      <c r="Q242" s="101"/>
      <c r="T242" s="101"/>
    </row>
    <row r="243" spans="1:20" s="106" customFormat="1" x14ac:dyDescent="0.15">
      <c r="A243" s="11"/>
      <c r="B243" s="10"/>
      <c r="C243" s="107"/>
      <c r="D243" s="10"/>
      <c r="E243" s="10"/>
      <c r="F243" s="107"/>
      <c r="G243" s="10"/>
      <c r="H243" s="10"/>
      <c r="I243" s="56"/>
      <c r="J243" s="56"/>
      <c r="K243" s="56"/>
      <c r="L243" s="56"/>
      <c r="M243" s="56"/>
      <c r="N243" s="11"/>
      <c r="O243" s="101"/>
      <c r="Q243" s="101"/>
      <c r="T243" s="101"/>
    </row>
    <row r="244" spans="1:20" s="106" customFormat="1" x14ac:dyDescent="0.15">
      <c r="A244" s="11"/>
      <c r="B244" s="10"/>
      <c r="C244" s="107"/>
      <c r="D244" s="10"/>
      <c r="E244" s="10"/>
      <c r="F244" s="107"/>
      <c r="G244" s="10"/>
      <c r="H244" s="10"/>
      <c r="I244" s="56"/>
      <c r="J244" s="56"/>
      <c r="K244" s="56"/>
      <c r="L244" s="56"/>
      <c r="M244" s="56"/>
      <c r="N244" s="11"/>
      <c r="O244" s="101"/>
      <c r="Q244" s="101"/>
      <c r="T244" s="101"/>
    </row>
    <row r="245" spans="1:20" s="106" customFormat="1" x14ac:dyDescent="0.15">
      <c r="A245" s="11"/>
      <c r="B245" s="10"/>
      <c r="C245" s="107"/>
      <c r="D245" s="10"/>
      <c r="E245" s="10"/>
      <c r="F245" s="107"/>
      <c r="G245" s="10"/>
      <c r="H245" s="10"/>
      <c r="I245" s="56"/>
      <c r="J245" s="56"/>
      <c r="K245" s="56"/>
      <c r="L245" s="56"/>
      <c r="M245" s="56"/>
      <c r="N245" s="11"/>
      <c r="O245" s="101"/>
      <c r="Q245" s="101"/>
      <c r="T245" s="101"/>
    </row>
    <row r="246" spans="1:20" s="106" customFormat="1" x14ac:dyDescent="0.15">
      <c r="A246" s="11"/>
      <c r="B246" s="10"/>
      <c r="C246" s="107"/>
      <c r="D246" s="10"/>
      <c r="E246" s="10"/>
      <c r="F246" s="107"/>
      <c r="G246" s="10"/>
      <c r="H246" s="10"/>
      <c r="I246" s="56"/>
      <c r="J246" s="56"/>
      <c r="K246" s="56"/>
      <c r="L246" s="56"/>
      <c r="M246" s="56"/>
      <c r="N246" s="11"/>
      <c r="O246" s="101"/>
      <c r="Q246" s="101"/>
      <c r="T246" s="101"/>
    </row>
    <row r="247" spans="1:20" s="106" customFormat="1" x14ac:dyDescent="0.15">
      <c r="A247" s="11"/>
      <c r="B247" s="10"/>
      <c r="C247" s="107"/>
      <c r="D247" s="10"/>
      <c r="E247" s="10"/>
      <c r="F247" s="107"/>
      <c r="G247" s="10"/>
      <c r="H247" s="10"/>
      <c r="I247" s="56"/>
      <c r="J247" s="56"/>
      <c r="K247" s="56"/>
      <c r="L247" s="56"/>
      <c r="M247" s="56"/>
      <c r="N247" s="11"/>
      <c r="O247" s="101"/>
      <c r="Q247" s="101"/>
      <c r="T247" s="101"/>
    </row>
    <row r="248" spans="1:20" s="106" customFormat="1" x14ac:dyDescent="0.15">
      <c r="A248" s="11"/>
      <c r="B248" s="10"/>
      <c r="C248" s="107"/>
      <c r="D248" s="10"/>
      <c r="E248" s="10"/>
      <c r="F248" s="107"/>
      <c r="G248" s="10"/>
      <c r="H248" s="10"/>
      <c r="I248" s="56"/>
      <c r="J248" s="56"/>
      <c r="K248" s="56"/>
      <c r="L248" s="56"/>
      <c r="M248" s="56"/>
      <c r="N248" s="11"/>
      <c r="O248" s="101"/>
      <c r="Q248" s="101"/>
      <c r="T248" s="101"/>
    </row>
    <row r="249" spans="1:20" s="106" customFormat="1" x14ac:dyDescent="0.15">
      <c r="A249" s="11"/>
      <c r="B249" s="10"/>
      <c r="C249" s="107"/>
      <c r="D249" s="10"/>
      <c r="E249" s="10"/>
      <c r="F249" s="107"/>
      <c r="G249" s="10"/>
      <c r="H249" s="10"/>
      <c r="I249" s="56"/>
      <c r="J249" s="56"/>
      <c r="K249" s="56"/>
      <c r="L249" s="56"/>
      <c r="M249" s="56"/>
      <c r="N249" s="11"/>
      <c r="O249" s="101"/>
      <c r="Q249" s="101"/>
      <c r="T249" s="101"/>
    </row>
    <row r="250" spans="1:20" s="106" customFormat="1" x14ac:dyDescent="0.15">
      <c r="A250" s="11"/>
      <c r="B250" s="10"/>
      <c r="C250" s="107"/>
      <c r="D250" s="10"/>
      <c r="E250" s="10"/>
      <c r="F250" s="107"/>
      <c r="G250" s="10"/>
      <c r="H250" s="10"/>
      <c r="I250" s="56"/>
      <c r="J250" s="56"/>
      <c r="K250" s="56"/>
      <c r="L250" s="56"/>
      <c r="M250" s="56"/>
      <c r="N250" s="11"/>
      <c r="O250" s="101"/>
      <c r="Q250" s="101"/>
      <c r="T250" s="101"/>
    </row>
    <row r="251" spans="1:20" s="106" customFormat="1" x14ac:dyDescent="0.15">
      <c r="A251" s="11"/>
      <c r="B251" s="10"/>
      <c r="C251" s="107"/>
      <c r="D251" s="10"/>
      <c r="E251" s="10"/>
      <c r="F251" s="107"/>
      <c r="G251" s="10"/>
      <c r="H251" s="10"/>
      <c r="I251" s="56"/>
      <c r="J251" s="56"/>
      <c r="K251" s="56"/>
      <c r="L251" s="56"/>
      <c r="M251" s="56"/>
      <c r="N251" s="11"/>
      <c r="O251" s="101"/>
      <c r="Q251" s="101"/>
      <c r="T251" s="101"/>
    </row>
    <row r="252" spans="1:20" s="106" customFormat="1" x14ac:dyDescent="0.15">
      <c r="A252" s="11"/>
      <c r="B252" s="10"/>
      <c r="C252" s="107"/>
      <c r="D252" s="10"/>
      <c r="E252" s="10"/>
      <c r="F252" s="107"/>
      <c r="G252" s="10"/>
      <c r="H252" s="10"/>
      <c r="I252" s="56"/>
      <c r="J252" s="56"/>
      <c r="K252" s="56"/>
      <c r="L252" s="56"/>
      <c r="M252" s="56"/>
      <c r="N252" s="11"/>
      <c r="O252" s="101"/>
      <c r="Q252" s="101"/>
      <c r="T252" s="101"/>
    </row>
    <row r="253" spans="1:20" s="106" customFormat="1" x14ac:dyDescent="0.15">
      <c r="A253" s="11"/>
      <c r="B253" s="10"/>
      <c r="C253" s="107"/>
      <c r="D253" s="10"/>
      <c r="E253" s="10"/>
      <c r="F253" s="107"/>
      <c r="G253" s="10"/>
      <c r="H253" s="10"/>
      <c r="I253" s="56"/>
      <c r="J253" s="56"/>
      <c r="K253" s="56"/>
      <c r="L253" s="56"/>
      <c r="M253" s="56"/>
      <c r="N253" s="11"/>
      <c r="O253" s="101"/>
      <c r="Q253" s="101"/>
      <c r="T253" s="101"/>
    </row>
    <row r="254" spans="1:20" s="106" customFormat="1" x14ac:dyDescent="0.15">
      <c r="A254" s="11"/>
      <c r="B254" s="10"/>
      <c r="C254" s="107"/>
      <c r="D254" s="10"/>
      <c r="E254" s="10"/>
      <c r="F254" s="107"/>
      <c r="G254" s="10"/>
      <c r="H254" s="10"/>
      <c r="I254" s="56"/>
      <c r="J254" s="56"/>
      <c r="K254" s="56"/>
      <c r="L254" s="56"/>
      <c r="M254" s="56"/>
      <c r="N254" s="11"/>
      <c r="O254" s="101"/>
      <c r="Q254" s="101"/>
      <c r="T254" s="101"/>
    </row>
    <row r="255" spans="1:20" s="106" customFormat="1" x14ac:dyDescent="0.15">
      <c r="A255" s="11"/>
      <c r="B255" s="10"/>
      <c r="C255" s="107"/>
      <c r="D255" s="10"/>
      <c r="E255" s="10"/>
      <c r="F255" s="107"/>
      <c r="G255" s="10"/>
      <c r="H255" s="10"/>
      <c r="I255" s="56"/>
      <c r="J255" s="56"/>
      <c r="K255" s="56"/>
      <c r="L255" s="56"/>
      <c r="M255" s="56"/>
      <c r="N255" s="11"/>
      <c r="O255" s="101"/>
      <c r="Q255" s="101"/>
      <c r="T255" s="101"/>
    </row>
    <row r="256" spans="1:20" s="106" customFormat="1" x14ac:dyDescent="0.15">
      <c r="A256" s="11"/>
      <c r="B256" s="10"/>
      <c r="C256" s="107"/>
      <c r="D256" s="10"/>
      <c r="E256" s="10"/>
      <c r="F256" s="107"/>
      <c r="G256" s="10"/>
      <c r="H256" s="10"/>
      <c r="I256" s="56"/>
      <c r="J256" s="56"/>
      <c r="K256" s="56"/>
      <c r="L256" s="56"/>
      <c r="M256" s="56"/>
      <c r="N256" s="11"/>
      <c r="O256" s="101"/>
      <c r="Q256" s="101"/>
      <c r="T256" s="101"/>
    </row>
    <row r="257" spans="1:20" s="106" customFormat="1" x14ac:dyDescent="0.15">
      <c r="A257" s="11"/>
      <c r="B257" s="10"/>
      <c r="C257" s="107"/>
      <c r="D257" s="10"/>
      <c r="E257" s="10"/>
      <c r="F257" s="107"/>
      <c r="G257" s="10"/>
      <c r="H257" s="10"/>
      <c r="I257" s="56"/>
      <c r="J257" s="56"/>
      <c r="K257" s="56"/>
      <c r="L257" s="56"/>
      <c r="M257" s="56"/>
      <c r="N257" s="11"/>
      <c r="O257" s="101"/>
      <c r="Q257" s="101"/>
      <c r="T257" s="101"/>
    </row>
    <row r="258" spans="1:20" s="106" customFormat="1" x14ac:dyDescent="0.15">
      <c r="A258" s="11"/>
      <c r="B258" s="10"/>
      <c r="C258" s="107"/>
      <c r="D258" s="10"/>
      <c r="E258" s="10"/>
      <c r="F258" s="107"/>
      <c r="G258" s="10"/>
      <c r="H258" s="10"/>
      <c r="I258" s="56"/>
      <c r="J258" s="56"/>
      <c r="K258" s="56"/>
      <c r="L258" s="56"/>
      <c r="M258" s="56"/>
      <c r="N258" s="11"/>
      <c r="O258" s="101"/>
      <c r="Q258" s="101"/>
      <c r="T258" s="101"/>
    </row>
    <row r="259" spans="1:20" s="106" customFormat="1" x14ac:dyDescent="0.15">
      <c r="A259" s="11"/>
      <c r="B259" s="10"/>
      <c r="C259" s="107"/>
      <c r="D259" s="10"/>
      <c r="E259" s="10"/>
      <c r="F259" s="107"/>
      <c r="G259" s="10"/>
      <c r="H259" s="10"/>
      <c r="I259" s="56"/>
      <c r="J259" s="56"/>
      <c r="K259" s="56"/>
      <c r="L259" s="56"/>
      <c r="M259" s="56"/>
      <c r="N259" s="11"/>
      <c r="O259" s="101"/>
      <c r="Q259" s="101"/>
      <c r="T259" s="101"/>
    </row>
    <row r="260" spans="1:20" s="106" customFormat="1" x14ac:dyDescent="0.15">
      <c r="A260" s="11"/>
      <c r="B260" s="10"/>
      <c r="C260" s="107"/>
      <c r="D260" s="10"/>
      <c r="E260" s="10"/>
      <c r="F260" s="107"/>
      <c r="G260" s="10"/>
      <c r="H260" s="10"/>
      <c r="I260" s="56"/>
      <c r="J260" s="56"/>
      <c r="K260" s="56"/>
      <c r="L260" s="56"/>
      <c r="M260" s="56"/>
      <c r="N260" s="11"/>
      <c r="O260" s="101"/>
      <c r="Q260" s="101"/>
      <c r="T260" s="101"/>
    </row>
    <row r="261" spans="1:20" s="106" customFormat="1" x14ac:dyDescent="0.15">
      <c r="A261" s="11"/>
      <c r="B261" s="10"/>
      <c r="C261" s="107"/>
      <c r="D261" s="10"/>
      <c r="E261" s="10"/>
      <c r="F261" s="107"/>
      <c r="G261" s="10"/>
      <c r="H261" s="10"/>
      <c r="I261" s="56"/>
      <c r="J261" s="56"/>
      <c r="K261" s="56"/>
      <c r="L261" s="56"/>
      <c r="M261" s="56"/>
      <c r="N261" s="11"/>
      <c r="O261" s="101"/>
      <c r="Q261" s="101"/>
      <c r="T261" s="101"/>
    </row>
    <row r="262" spans="1:20" s="106" customFormat="1" x14ac:dyDescent="0.15">
      <c r="A262" s="11"/>
      <c r="B262" s="10"/>
      <c r="C262" s="107"/>
      <c r="D262" s="10"/>
      <c r="E262" s="10"/>
      <c r="F262" s="107"/>
      <c r="G262" s="10"/>
      <c r="H262" s="10"/>
      <c r="I262" s="56"/>
      <c r="J262" s="56"/>
      <c r="K262" s="56"/>
      <c r="L262" s="56"/>
      <c r="M262" s="56"/>
      <c r="N262" s="11"/>
      <c r="O262" s="101"/>
      <c r="Q262" s="101"/>
      <c r="T262" s="101"/>
    </row>
    <row r="263" spans="1:20" s="106" customFormat="1" x14ac:dyDescent="0.15">
      <c r="A263" s="11"/>
      <c r="B263" s="10"/>
      <c r="C263" s="107"/>
      <c r="D263" s="10"/>
      <c r="E263" s="10"/>
      <c r="F263" s="107"/>
      <c r="G263" s="10"/>
      <c r="H263" s="10"/>
      <c r="I263" s="56"/>
      <c r="J263" s="56"/>
      <c r="K263" s="56"/>
      <c r="L263" s="56"/>
      <c r="M263" s="56"/>
      <c r="N263" s="11"/>
      <c r="O263" s="101"/>
      <c r="Q263" s="101"/>
      <c r="T263" s="101"/>
    </row>
    <row r="264" spans="1:20" s="106" customFormat="1" x14ac:dyDescent="0.15">
      <c r="A264" s="11"/>
      <c r="B264" s="10"/>
      <c r="C264" s="107"/>
      <c r="D264" s="10"/>
      <c r="E264" s="10"/>
      <c r="F264" s="107"/>
      <c r="G264" s="10"/>
      <c r="H264" s="10"/>
      <c r="I264" s="56"/>
      <c r="J264" s="56"/>
      <c r="K264" s="56"/>
      <c r="L264" s="56"/>
      <c r="M264" s="56"/>
      <c r="N264" s="11"/>
      <c r="O264" s="101"/>
      <c r="Q264" s="101"/>
      <c r="T264" s="101"/>
    </row>
    <row r="265" spans="1:20" s="106" customFormat="1" x14ac:dyDescent="0.15">
      <c r="A265" s="11"/>
      <c r="B265" s="10"/>
      <c r="C265" s="107"/>
      <c r="D265" s="10"/>
      <c r="E265" s="10"/>
      <c r="F265" s="107"/>
      <c r="G265" s="10"/>
      <c r="H265" s="10"/>
      <c r="I265" s="56"/>
      <c r="J265" s="56"/>
      <c r="K265" s="56"/>
      <c r="L265" s="56"/>
      <c r="M265" s="56"/>
      <c r="N265" s="11"/>
      <c r="O265" s="101"/>
      <c r="Q265" s="101"/>
      <c r="T265" s="101"/>
    </row>
    <row r="266" spans="1:20" s="106" customFormat="1" x14ac:dyDescent="0.15">
      <c r="A266" s="11"/>
      <c r="B266" s="10"/>
      <c r="C266" s="107"/>
      <c r="D266" s="10"/>
      <c r="E266" s="10"/>
      <c r="F266" s="107"/>
      <c r="G266" s="10"/>
      <c r="H266" s="10"/>
      <c r="I266" s="56"/>
      <c r="J266" s="56"/>
      <c r="K266" s="56"/>
      <c r="L266" s="56"/>
      <c r="M266" s="56"/>
      <c r="N266" s="11"/>
      <c r="O266" s="101"/>
      <c r="Q266" s="101"/>
      <c r="T266" s="101"/>
    </row>
    <row r="267" spans="1:20" s="106" customFormat="1" x14ac:dyDescent="0.15">
      <c r="A267" s="11"/>
      <c r="B267" s="10"/>
      <c r="C267" s="107"/>
      <c r="D267" s="10"/>
      <c r="E267" s="10"/>
      <c r="F267" s="107"/>
      <c r="G267" s="10"/>
      <c r="H267" s="10"/>
      <c r="I267" s="56"/>
      <c r="J267" s="56"/>
      <c r="K267" s="56"/>
      <c r="L267" s="56"/>
      <c r="M267" s="56"/>
      <c r="N267" s="11"/>
      <c r="O267" s="101"/>
      <c r="Q267" s="101"/>
      <c r="T267" s="101"/>
    </row>
    <row r="268" spans="1:20" s="106" customFormat="1" x14ac:dyDescent="0.15">
      <c r="A268" s="11"/>
      <c r="B268" s="10"/>
      <c r="C268" s="107"/>
      <c r="D268" s="10"/>
      <c r="E268" s="10"/>
      <c r="F268" s="107"/>
      <c r="G268" s="10"/>
      <c r="H268" s="10"/>
      <c r="I268" s="56"/>
      <c r="J268" s="56"/>
      <c r="K268" s="56"/>
      <c r="L268" s="56"/>
      <c r="M268" s="56"/>
      <c r="N268" s="11"/>
      <c r="O268" s="101"/>
      <c r="Q268" s="101"/>
      <c r="T268" s="101"/>
    </row>
    <row r="269" spans="1:20" s="106" customFormat="1" x14ac:dyDescent="0.15">
      <c r="A269" s="11"/>
      <c r="B269" s="10"/>
      <c r="C269" s="107"/>
      <c r="D269" s="10"/>
      <c r="E269" s="10"/>
      <c r="F269" s="107"/>
      <c r="G269" s="10"/>
      <c r="H269" s="10"/>
      <c r="I269" s="56"/>
      <c r="J269" s="56"/>
      <c r="K269" s="56"/>
      <c r="L269" s="56"/>
      <c r="M269" s="56"/>
      <c r="N269" s="11"/>
      <c r="O269" s="101"/>
      <c r="Q269" s="101"/>
      <c r="T269" s="101"/>
    </row>
    <row r="270" spans="1:20" s="106" customFormat="1" x14ac:dyDescent="0.15">
      <c r="A270" s="11"/>
      <c r="B270" s="10"/>
      <c r="C270" s="107"/>
      <c r="D270" s="10"/>
      <c r="E270" s="10"/>
      <c r="F270" s="107"/>
      <c r="G270" s="10"/>
      <c r="H270" s="10"/>
      <c r="I270" s="56"/>
      <c r="J270" s="56"/>
      <c r="K270" s="56"/>
      <c r="L270" s="56"/>
      <c r="M270" s="56"/>
      <c r="N270" s="11"/>
      <c r="O270" s="101"/>
      <c r="Q270" s="101"/>
      <c r="T270" s="101"/>
    </row>
    <row r="271" spans="1:20" s="106" customFormat="1" x14ac:dyDescent="0.15">
      <c r="A271" s="11"/>
      <c r="B271" s="10"/>
      <c r="C271" s="107"/>
      <c r="D271" s="10"/>
      <c r="E271" s="10"/>
      <c r="F271" s="107"/>
      <c r="G271" s="10"/>
      <c r="H271" s="10"/>
      <c r="I271" s="56"/>
      <c r="J271" s="56"/>
      <c r="K271" s="56"/>
      <c r="L271" s="56"/>
      <c r="M271" s="56"/>
      <c r="N271" s="11"/>
      <c r="O271" s="101"/>
      <c r="Q271" s="101"/>
      <c r="T271" s="101"/>
    </row>
    <row r="272" spans="1:20" s="106" customFormat="1" x14ac:dyDescent="0.15">
      <c r="A272" s="11"/>
      <c r="B272" s="10"/>
      <c r="C272" s="107"/>
      <c r="D272" s="10"/>
      <c r="E272" s="10"/>
      <c r="F272" s="107"/>
      <c r="G272" s="10"/>
      <c r="H272" s="10"/>
      <c r="I272" s="56"/>
      <c r="J272" s="56"/>
      <c r="K272" s="56"/>
      <c r="L272" s="56"/>
      <c r="M272" s="56"/>
      <c r="N272" s="11"/>
      <c r="O272" s="101"/>
      <c r="Q272" s="101"/>
      <c r="T272" s="101"/>
    </row>
    <row r="273" spans="1:20" s="106" customFormat="1" x14ac:dyDescent="0.15">
      <c r="A273" s="11"/>
      <c r="B273" s="10"/>
      <c r="C273" s="107"/>
      <c r="D273" s="10"/>
      <c r="E273" s="10"/>
      <c r="F273" s="107"/>
      <c r="G273" s="10"/>
      <c r="H273" s="10"/>
      <c r="I273" s="56"/>
      <c r="J273" s="56"/>
      <c r="K273" s="56"/>
      <c r="L273" s="56"/>
      <c r="M273" s="56"/>
      <c r="N273" s="11"/>
      <c r="O273" s="101"/>
      <c r="Q273" s="101"/>
      <c r="T273" s="101"/>
    </row>
    <row r="274" spans="1:20" s="106" customFormat="1" x14ac:dyDescent="0.15">
      <c r="A274" s="11"/>
      <c r="B274" s="10"/>
      <c r="C274" s="107"/>
      <c r="D274" s="10"/>
      <c r="E274" s="10"/>
      <c r="F274" s="107"/>
      <c r="G274" s="10"/>
      <c r="H274" s="10"/>
      <c r="I274" s="56"/>
      <c r="J274" s="56"/>
      <c r="K274" s="56"/>
      <c r="L274" s="56"/>
      <c r="M274" s="56"/>
      <c r="N274" s="11"/>
      <c r="O274" s="101"/>
      <c r="Q274" s="101"/>
      <c r="T274" s="101"/>
    </row>
    <row r="275" spans="1:20" s="106" customFormat="1" x14ac:dyDescent="0.15">
      <c r="A275" s="11"/>
      <c r="B275" s="10"/>
      <c r="C275" s="107"/>
      <c r="D275" s="10"/>
      <c r="E275" s="10"/>
      <c r="F275" s="107"/>
      <c r="G275" s="10"/>
      <c r="H275" s="10"/>
      <c r="I275" s="56"/>
      <c r="J275" s="56"/>
      <c r="K275" s="56"/>
      <c r="L275" s="56"/>
      <c r="M275" s="56"/>
      <c r="N275" s="11"/>
      <c r="O275" s="101"/>
      <c r="Q275" s="101"/>
      <c r="T275" s="101"/>
    </row>
    <row r="276" spans="1:20" s="106" customFormat="1" x14ac:dyDescent="0.15">
      <c r="A276" s="11"/>
      <c r="B276" s="10"/>
      <c r="C276" s="107"/>
      <c r="D276" s="10"/>
      <c r="E276" s="10"/>
      <c r="F276" s="107"/>
      <c r="G276" s="10"/>
      <c r="H276" s="10"/>
      <c r="I276" s="56"/>
      <c r="J276" s="56"/>
      <c r="K276" s="56"/>
      <c r="L276" s="56"/>
      <c r="M276" s="56"/>
      <c r="N276" s="11"/>
      <c r="O276" s="101"/>
      <c r="Q276" s="101"/>
      <c r="T276" s="101"/>
    </row>
    <row r="277" spans="1:20" s="106" customFormat="1" x14ac:dyDescent="0.15">
      <c r="A277" s="11"/>
      <c r="B277" s="10"/>
      <c r="C277" s="107"/>
      <c r="D277" s="10"/>
      <c r="E277" s="10"/>
      <c r="F277" s="107"/>
      <c r="G277" s="10"/>
      <c r="H277" s="10"/>
      <c r="I277" s="56"/>
      <c r="J277" s="56"/>
      <c r="K277" s="56"/>
      <c r="L277" s="56"/>
      <c r="M277" s="56"/>
      <c r="N277" s="11"/>
      <c r="O277" s="101"/>
      <c r="Q277" s="101"/>
      <c r="T277" s="101"/>
    </row>
    <row r="278" spans="1:20" s="106" customFormat="1" x14ac:dyDescent="0.15">
      <c r="A278" s="11"/>
      <c r="B278" s="10"/>
      <c r="C278" s="107"/>
      <c r="D278" s="10"/>
      <c r="E278" s="10"/>
      <c r="F278" s="107"/>
      <c r="G278" s="10"/>
      <c r="H278" s="10"/>
      <c r="I278" s="56"/>
      <c r="J278" s="56"/>
      <c r="K278" s="56"/>
      <c r="L278" s="56"/>
      <c r="M278" s="56"/>
      <c r="N278" s="11"/>
      <c r="O278" s="101"/>
      <c r="Q278" s="101"/>
      <c r="T278" s="101"/>
    </row>
    <row r="279" spans="1:20" s="106" customFormat="1" x14ac:dyDescent="0.15">
      <c r="A279" s="11"/>
      <c r="B279" s="10"/>
      <c r="C279" s="107"/>
      <c r="D279" s="10"/>
      <c r="E279" s="10"/>
      <c r="F279" s="107"/>
      <c r="G279" s="10"/>
      <c r="H279" s="10"/>
      <c r="I279" s="56"/>
      <c r="J279" s="56"/>
      <c r="K279" s="56"/>
      <c r="L279" s="56"/>
      <c r="M279" s="56"/>
      <c r="N279" s="11"/>
      <c r="O279" s="101"/>
      <c r="Q279" s="101"/>
      <c r="T279" s="101"/>
    </row>
    <row r="280" spans="1:20" s="106" customFormat="1" x14ac:dyDescent="0.15">
      <c r="A280" s="11"/>
      <c r="B280" s="10"/>
      <c r="C280" s="107"/>
      <c r="D280" s="10"/>
      <c r="E280" s="10"/>
      <c r="F280" s="107"/>
      <c r="G280" s="10"/>
      <c r="H280" s="10"/>
      <c r="I280" s="56"/>
      <c r="J280" s="56"/>
      <c r="K280" s="56"/>
      <c r="L280" s="56"/>
      <c r="M280" s="56"/>
      <c r="N280" s="11"/>
      <c r="O280" s="101"/>
      <c r="Q280" s="101"/>
      <c r="T280" s="101"/>
    </row>
    <row r="281" spans="1:20" s="106" customFormat="1" x14ac:dyDescent="0.15">
      <c r="A281" s="11"/>
      <c r="B281" s="10"/>
      <c r="C281" s="107"/>
      <c r="D281" s="10"/>
      <c r="E281" s="10"/>
      <c r="F281" s="107"/>
      <c r="G281" s="10"/>
      <c r="H281" s="10"/>
      <c r="I281" s="56"/>
      <c r="J281" s="56"/>
      <c r="K281" s="56"/>
      <c r="L281" s="56"/>
      <c r="M281" s="56"/>
      <c r="N281" s="11"/>
      <c r="O281" s="101"/>
      <c r="Q281" s="101"/>
      <c r="T281" s="101"/>
    </row>
    <row r="282" spans="1:20" s="106" customFormat="1" x14ac:dyDescent="0.15">
      <c r="A282" s="11"/>
      <c r="B282" s="10"/>
      <c r="C282" s="107"/>
      <c r="D282" s="10"/>
      <c r="E282" s="10"/>
      <c r="F282" s="107"/>
      <c r="G282" s="10"/>
      <c r="H282" s="10"/>
      <c r="I282" s="56"/>
      <c r="J282" s="56"/>
      <c r="K282" s="56"/>
      <c r="L282" s="56"/>
      <c r="M282" s="56"/>
      <c r="N282" s="11"/>
      <c r="O282" s="101"/>
      <c r="Q282" s="101"/>
      <c r="T282" s="101"/>
    </row>
    <row r="283" spans="1:20" s="106" customFormat="1" x14ac:dyDescent="0.15">
      <c r="A283" s="11"/>
      <c r="B283" s="10"/>
      <c r="C283" s="107"/>
      <c r="D283" s="10"/>
      <c r="E283" s="10"/>
      <c r="F283" s="107"/>
      <c r="G283" s="10"/>
      <c r="H283" s="10"/>
      <c r="I283" s="56"/>
      <c r="J283" s="56"/>
      <c r="K283" s="56"/>
      <c r="L283" s="56"/>
      <c r="M283" s="56"/>
      <c r="N283" s="11"/>
      <c r="O283" s="101"/>
      <c r="Q283" s="101"/>
      <c r="T283" s="101"/>
    </row>
    <row r="284" spans="1:20" s="106" customFormat="1" x14ac:dyDescent="0.15">
      <c r="A284" s="11"/>
      <c r="B284" s="10"/>
      <c r="C284" s="107"/>
      <c r="D284" s="10"/>
      <c r="E284" s="10"/>
      <c r="F284" s="107"/>
      <c r="G284" s="10"/>
      <c r="H284" s="10"/>
      <c r="I284" s="56"/>
      <c r="J284" s="56"/>
      <c r="K284" s="56"/>
      <c r="L284" s="56"/>
      <c r="M284" s="56"/>
      <c r="N284" s="11"/>
      <c r="O284" s="101"/>
      <c r="Q284" s="101"/>
      <c r="T284" s="101"/>
    </row>
    <row r="285" spans="1:20" s="106" customFormat="1" x14ac:dyDescent="0.15">
      <c r="A285" s="11"/>
      <c r="B285" s="10"/>
      <c r="C285" s="107"/>
      <c r="D285" s="10"/>
      <c r="E285" s="10"/>
      <c r="F285" s="107"/>
      <c r="G285" s="10"/>
      <c r="H285" s="10"/>
      <c r="I285" s="56"/>
      <c r="J285" s="56"/>
      <c r="K285" s="56"/>
      <c r="L285" s="56"/>
      <c r="M285" s="56"/>
      <c r="N285" s="11"/>
      <c r="O285" s="101"/>
      <c r="Q285" s="101"/>
      <c r="T285" s="101"/>
    </row>
    <row r="286" spans="1:20" s="106" customFormat="1" x14ac:dyDescent="0.15">
      <c r="A286" s="11"/>
      <c r="B286" s="10"/>
      <c r="C286" s="107"/>
      <c r="D286" s="10"/>
      <c r="E286" s="10"/>
      <c r="F286" s="107"/>
      <c r="G286" s="10"/>
      <c r="H286" s="10"/>
      <c r="I286" s="56"/>
      <c r="J286" s="56"/>
      <c r="K286" s="56"/>
      <c r="L286" s="56"/>
      <c r="M286" s="56"/>
      <c r="N286" s="11"/>
      <c r="O286" s="101"/>
      <c r="Q286" s="101"/>
      <c r="T286" s="101"/>
    </row>
    <row r="287" spans="1:20" s="106" customFormat="1" x14ac:dyDescent="0.15">
      <c r="A287" s="11"/>
      <c r="B287" s="10"/>
      <c r="C287" s="107"/>
      <c r="D287" s="10"/>
      <c r="E287" s="10"/>
      <c r="F287" s="107"/>
      <c r="G287" s="10"/>
      <c r="H287" s="10"/>
      <c r="I287" s="56"/>
      <c r="J287" s="56"/>
      <c r="K287" s="56"/>
      <c r="L287" s="56"/>
      <c r="M287" s="56"/>
      <c r="N287" s="11"/>
      <c r="O287" s="101"/>
      <c r="Q287" s="101"/>
      <c r="T287" s="101"/>
    </row>
    <row r="288" spans="1:20" s="106" customFormat="1" x14ac:dyDescent="0.15">
      <c r="A288" s="11"/>
      <c r="B288" s="10"/>
      <c r="C288" s="107"/>
      <c r="D288" s="10"/>
      <c r="E288" s="10"/>
      <c r="F288" s="107"/>
      <c r="G288" s="10"/>
      <c r="H288" s="10"/>
      <c r="I288" s="56"/>
      <c r="J288" s="56"/>
      <c r="K288" s="56"/>
      <c r="L288" s="56"/>
      <c r="M288" s="56"/>
      <c r="N288" s="11"/>
      <c r="O288" s="101"/>
      <c r="Q288" s="101"/>
      <c r="T288" s="101"/>
    </row>
    <row r="289" spans="1:20" s="106" customFormat="1" x14ac:dyDescent="0.15">
      <c r="A289" s="11"/>
      <c r="B289" s="10"/>
      <c r="C289" s="107"/>
      <c r="D289" s="10"/>
      <c r="E289" s="10"/>
      <c r="F289" s="107"/>
      <c r="G289" s="10"/>
      <c r="H289" s="10"/>
      <c r="I289" s="56"/>
      <c r="J289" s="56"/>
      <c r="K289" s="56"/>
      <c r="L289" s="56"/>
      <c r="M289" s="56"/>
      <c r="N289" s="11"/>
      <c r="O289" s="101"/>
      <c r="Q289" s="101"/>
      <c r="T289" s="101"/>
    </row>
    <row r="290" spans="1:20" s="106" customFormat="1" x14ac:dyDescent="0.15">
      <c r="A290" s="11"/>
      <c r="B290" s="10"/>
      <c r="C290" s="107"/>
      <c r="D290" s="10"/>
      <c r="E290" s="10"/>
      <c r="F290" s="107"/>
      <c r="G290" s="10"/>
      <c r="H290" s="10"/>
      <c r="I290" s="56"/>
      <c r="J290" s="56"/>
      <c r="K290" s="56"/>
      <c r="L290" s="56"/>
      <c r="M290" s="56"/>
      <c r="N290" s="11"/>
      <c r="O290" s="101"/>
      <c r="Q290" s="101"/>
      <c r="T290" s="101"/>
    </row>
    <row r="291" spans="1:20" s="106" customFormat="1" x14ac:dyDescent="0.15">
      <c r="A291" s="11"/>
      <c r="B291" s="10"/>
      <c r="C291" s="107"/>
      <c r="D291" s="10"/>
      <c r="E291" s="10"/>
      <c r="F291" s="107"/>
      <c r="G291" s="10"/>
      <c r="H291" s="10"/>
      <c r="I291" s="56"/>
      <c r="J291" s="56"/>
      <c r="K291" s="56"/>
      <c r="L291" s="56"/>
      <c r="M291" s="56"/>
      <c r="N291" s="11"/>
      <c r="O291" s="101"/>
      <c r="Q291" s="101"/>
      <c r="T291" s="101"/>
    </row>
    <row r="292" spans="1:20" s="106" customFormat="1" x14ac:dyDescent="0.15">
      <c r="A292" s="11"/>
      <c r="B292" s="10"/>
      <c r="C292" s="107"/>
      <c r="D292" s="10"/>
      <c r="E292" s="10"/>
      <c r="F292" s="107"/>
      <c r="G292" s="10"/>
      <c r="H292" s="10"/>
      <c r="I292" s="56"/>
      <c r="J292" s="56"/>
      <c r="K292" s="56"/>
      <c r="L292" s="56"/>
      <c r="M292" s="56"/>
      <c r="N292" s="11"/>
      <c r="O292" s="101"/>
      <c r="Q292" s="101"/>
      <c r="T292" s="101"/>
    </row>
    <row r="293" spans="1:20" s="106" customFormat="1" x14ac:dyDescent="0.15">
      <c r="A293" s="11"/>
      <c r="B293" s="10"/>
      <c r="C293" s="107"/>
      <c r="D293" s="10"/>
      <c r="E293" s="10"/>
      <c r="F293" s="107"/>
      <c r="G293" s="10"/>
      <c r="H293" s="10"/>
      <c r="I293" s="56"/>
      <c r="J293" s="56"/>
      <c r="K293" s="56"/>
      <c r="L293" s="56"/>
      <c r="M293" s="56"/>
      <c r="N293" s="11"/>
      <c r="O293" s="101"/>
      <c r="Q293" s="101"/>
      <c r="T293" s="101"/>
    </row>
    <row r="294" spans="1:20" s="106" customFormat="1" x14ac:dyDescent="0.15">
      <c r="A294" s="11"/>
      <c r="B294" s="10"/>
      <c r="C294" s="107"/>
      <c r="D294" s="10"/>
      <c r="E294" s="10"/>
      <c r="F294" s="107"/>
      <c r="G294" s="10"/>
      <c r="H294" s="10"/>
      <c r="I294" s="56"/>
      <c r="J294" s="56"/>
      <c r="K294" s="56"/>
      <c r="L294" s="56"/>
      <c r="M294" s="56"/>
      <c r="N294" s="11"/>
      <c r="O294" s="101"/>
      <c r="Q294" s="101"/>
      <c r="T294" s="101"/>
    </row>
    <row r="295" spans="1:20" s="106" customFormat="1" x14ac:dyDescent="0.15">
      <c r="A295" s="11"/>
      <c r="B295" s="10"/>
      <c r="C295" s="107"/>
      <c r="D295" s="10"/>
      <c r="E295" s="10"/>
      <c r="F295" s="107"/>
      <c r="G295" s="10"/>
      <c r="H295" s="10"/>
      <c r="I295" s="56"/>
      <c r="J295" s="56"/>
      <c r="K295" s="56"/>
      <c r="L295" s="56"/>
      <c r="M295" s="56"/>
      <c r="N295" s="11"/>
      <c r="O295" s="101"/>
      <c r="Q295" s="101"/>
      <c r="T295" s="101"/>
    </row>
    <row r="296" spans="1:20" s="106" customFormat="1" x14ac:dyDescent="0.15">
      <c r="A296" s="11"/>
      <c r="B296" s="10"/>
      <c r="C296" s="107"/>
      <c r="D296" s="10"/>
      <c r="E296" s="10"/>
      <c r="F296" s="107"/>
      <c r="G296" s="10"/>
      <c r="H296" s="10"/>
      <c r="I296" s="56"/>
      <c r="J296" s="56"/>
      <c r="K296" s="56"/>
      <c r="L296" s="56"/>
      <c r="M296" s="56"/>
      <c r="N296" s="11"/>
      <c r="O296" s="101"/>
      <c r="Q296" s="101"/>
      <c r="T296" s="101"/>
    </row>
    <row r="297" spans="1:20" s="106" customFormat="1" x14ac:dyDescent="0.15">
      <c r="A297" s="11"/>
      <c r="B297" s="10"/>
      <c r="C297" s="107"/>
      <c r="D297" s="10"/>
      <c r="E297" s="10"/>
      <c r="F297" s="107"/>
      <c r="G297" s="10"/>
      <c r="H297" s="10"/>
      <c r="I297" s="56"/>
      <c r="J297" s="56"/>
      <c r="K297" s="56"/>
      <c r="L297" s="56"/>
      <c r="M297" s="56"/>
      <c r="N297" s="11"/>
      <c r="O297" s="101"/>
      <c r="Q297" s="101"/>
      <c r="T297" s="101"/>
    </row>
    <row r="298" spans="1:20" s="106" customFormat="1" x14ac:dyDescent="0.15">
      <c r="A298" s="11"/>
      <c r="B298" s="10"/>
      <c r="C298" s="107"/>
      <c r="D298" s="10"/>
      <c r="E298" s="10"/>
      <c r="F298" s="107"/>
      <c r="G298" s="10"/>
      <c r="H298" s="10"/>
      <c r="I298" s="56"/>
      <c r="J298" s="56"/>
      <c r="K298" s="56"/>
      <c r="L298" s="56"/>
      <c r="M298" s="56"/>
      <c r="N298" s="11"/>
      <c r="O298" s="101"/>
      <c r="Q298" s="101"/>
      <c r="T298" s="101"/>
    </row>
    <row r="299" spans="1:20" s="106" customFormat="1" x14ac:dyDescent="0.15">
      <c r="A299" s="11"/>
      <c r="B299" s="10"/>
      <c r="C299" s="107"/>
      <c r="D299" s="10"/>
      <c r="E299" s="10"/>
      <c r="F299" s="107"/>
      <c r="G299" s="10"/>
      <c r="H299" s="10"/>
      <c r="I299" s="56"/>
      <c r="J299" s="56"/>
      <c r="K299" s="56"/>
      <c r="L299" s="56"/>
      <c r="M299" s="56"/>
      <c r="N299" s="11"/>
      <c r="O299" s="101"/>
      <c r="Q299" s="101"/>
      <c r="T299" s="101"/>
    </row>
    <row r="300" spans="1:20" s="106" customFormat="1" x14ac:dyDescent="0.15">
      <c r="A300" s="11"/>
      <c r="B300" s="10"/>
      <c r="C300" s="107"/>
      <c r="D300" s="10"/>
      <c r="E300" s="10"/>
      <c r="F300" s="107"/>
      <c r="G300" s="10"/>
      <c r="H300" s="10"/>
      <c r="I300" s="56"/>
      <c r="J300" s="56"/>
      <c r="K300" s="56"/>
      <c r="L300" s="56"/>
      <c r="M300" s="56"/>
      <c r="N300" s="11"/>
      <c r="O300" s="101"/>
      <c r="Q300" s="101"/>
      <c r="T300" s="101"/>
    </row>
    <row r="301" spans="1:20" s="106" customFormat="1" x14ac:dyDescent="0.15">
      <c r="A301" s="11"/>
      <c r="B301" s="10"/>
      <c r="C301" s="107"/>
      <c r="D301" s="10"/>
      <c r="E301" s="10"/>
      <c r="F301" s="107"/>
      <c r="G301" s="10"/>
      <c r="H301" s="10"/>
      <c r="I301" s="56"/>
      <c r="J301" s="56"/>
      <c r="K301" s="56"/>
      <c r="L301" s="56"/>
      <c r="M301" s="56"/>
      <c r="N301" s="11"/>
      <c r="O301" s="101"/>
      <c r="Q301" s="101"/>
      <c r="T301" s="101"/>
    </row>
    <row r="302" spans="1:20" s="106" customFormat="1" x14ac:dyDescent="0.15">
      <c r="A302" s="11"/>
      <c r="B302" s="10"/>
      <c r="C302" s="107"/>
      <c r="D302" s="10"/>
      <c r="E302" s="10"/>
      <c r="F302" s="107"/>
      <c r="G302" s="10"/>
      <c r="H302" s="10"/>
      <c r="I302" s="56"/>
      <c r="J302" s="56"/>
      <c r="K302" s="56"/>
      <c r="L302" s="56"/>
      <c r="M302" s="56"/>
      <c r="N302" s="11"/>
      <c r="O302" s="101"/>
      <c r="Q302" s="101"/>
      <c r="T302" s="101"/>
    </row>
    <row r="303" spans="1:20" s="106" customFormat="1" x14ac:dyDescent="0.15">
      <c r="A303" s="11"/>
      <c r="B303" s="10"/>
      <c r="C303" s="107"/>
      <c r="D303" s="10"/>
      <c r="E303" s="10"/>
      <c r="F303" s="107"/>
      <c r="G303" s="10"/>
      <c r="H303" s="10"/>
      <c r="I303" s="56"/>
      <c r="J303" s="56"/>
      <c r="K303" s="56"/>
      <c r="L303" s="56"/>
      <c r="M303" s="56"/>
      <c r="N303" s="11"/>
      <c r="O303" s="101"/>
      <c r="Q303" s="101"/>
      <c r="T303" s="101"/>
    </row>
    <row r="304" spans="1:20" s="106" customFormat="1" x14ac:dyDescent="0.15">
      <c r="A304" s="11"/>
      <c r="B304" s="10"/>
      <c r="C304" s="107"/>
      <c r="D304" s="10"/>
      <c r="E304" s="10"/>
      <c r="F304" s="107"/>
      <c r="G304" s="10"/>
      <c r="H304" s="10"/>
      <c r="I304" s="56"/>
      <c r="J304" s="56"/>
      <c r="K304" s="56"/>
      <c r="L304" s="56"/>
      <c r="M304" s="56"/>
      <c r="N304" s="11"/>
      <c r="O304" s="101"/>
      <c r="Q304" s="101"/>
      <c r="T304" s="101"/>
    </row>
    <row r="305" spans="1:20" s="106" customFormat="1" x14ac:dyDescent="0.15">
      <c r="A305" s="11"/>
      <c r="B305" s="10"/>
      <c r="C305" s="107"/>
      <c r="D305" s="10"/>
      <c r="E305" s="10"/>
      <c r="F305" s="107"/>
      <c r="G305" s="10"/>
      <c r="H305" s="10"/>
      <c r="I305" s="56"/>
      <c r="J305" s="56"/>
      <c r="K305" s="56"/>
      <c r="L305" s="56"/>
      <c r="M305" s="56"/>
      <c r="N305" s="11"/>
      <c r="O305" s="101"/>
      <c r="Q305" s="101"/>
      <c r="T305" s="101"/>
    </row>
    <row r="306" spans="1:20" s="106" customFormat="1" x14ac:dyDescent="0.15">
      <c r="A306" s="11"/>
      <c r="B306" s="10"/>
      <c r="C306" s="107"/>
      <c r="D306" s="10"/>
      <c r="E306" s="10"/>
      <c r="F306" s="107"/>
      <c r="G306" s="10"/>
      <c r="H306" s="10"/>
      <c r="I306" s="56"/>
      <c r="J306" s="56"/>
      <c r="K306" s="56"/>
      <c r="L306" s="56"/>
      <c r="M306" s="56"/>
      <c r="N306" s="11"/>
      <c r="O306" s="101"/>
      <c r="Q306" s="101"/>
      <c r="T306" s="101"/>
    </row>
    <row r="307" spans="1:20" s="106" customFormat="1" x14ac:dyDescent="0.15">
      <c r="A307" s="11"/>
      <c r="B307" s="10"/>
      <c r="C307" s="107"/>
      <c r="D307" s="10"/>
      <c r="E307" s="10"/>
      <c r="F307" s="107"/>
      <c r="G307" s="10"/>
      <c r="H307" s="10"/>
      <c r="I307" s="56"/>
      <c r="J307" s="56"/>
      <c r="K307" s="56"/>
      <c r="L307" s="56"/>
      <c r="M307" s="56"/>
      <c r="N307" s="11"/>
      <c r="O307" s="101"/>
      <c r="Q307" s="101"/>
      <c r="T307" s="101"/>
    </row>
    <row r="308" spans="1:20" s="106" customFormat="1" x14ac:dyDescent="0.15">
      <c r="A308" s="11"/>
      <c r="B308" s="10"/>
      <c r="C308" s="107"/>
      <c r="D308" s="10"/>
      <c r="E308" s="10"/>
      <c r="F308" s="107"/>
      <c r="G308" s="10"/>
      <c r="H308" s="10"/>
      <c r="I308" s="56"/>
      <c r="J308" s="56"/>
      <c r="K308" s="56"/>
      <c r="L308" s="56"/>
      <c r="M308" s="56"/>
      <c r="N308" s="11"/>
      <c r="O308" s="101"/>
      <c r="Q308" s="101"/>
      <c r="T308" s="101"/>
    </row>
    <row r="309" spans="1:20" s="106" customFormat="1" x14ac:dyDescent="0.15">
      <c r="A309" s="11"/>
      <c r="B309" s="10"/>
      <c r="C309" s="107"/>
      <c r="D309" s="10"/>
      <c r="E309" s="10"/>
      <c r="F309" s="107"/>
      <c r="G309" s="10"/>
      <c r="H309" s="10"/>
      <c r="I309" s="56"/>
      <c r="J309" s="56"/>
      <c r="K309" s="56"/>
      <c r="L309" s="56"/>
      <c r="M309" s="56"/>
      <c r="N309" s="11"/>
      <c r="O309" s="101"/>
      <c r="Q309" s="101"/>
      <c r="T309" s="101"/>
    </row>
    <row r="310" spans="1:20" s="106" customFormat="1" x14ac:dyDescent="0.15">
      <c r="A310" s="11"/>
      <c r="B310" s="10"/>
      <c r="C310" s="107"/>
      <c r="D310" s="10"/>
      <c r="E310" s="10"/>
      <c r="F310" s="107"/>
      <c r="G310" s="10"/>
      <c r="H310" s="10"/>
      <c r="I310" s="56"/>
      <c r="J310" s="56"/>
      <c r="K310" s="56"/>
      <c r="L310" s="56"/>
      <c r="M310" s="56"/>
      <c r="N310" s="11"/>
      <c r="O310" s="101"/>
      <c r="Q310" s="101"/>
      <c r="T310" s="101"/>
    </row>
    <row r="311" spans="1:20" s="106" customFormat="1" x14ac:dyDescent="0.15">
      <c r="A311" s="11"/>
      <c r="B311" s="10"/>
      <c r="C311" s="107"/>
      <c r="D311" s="10"/>
      <c r="E311" s="10"/>
      <c r="F311" s="107"/>
      <c r="G311" s="10"/>
      <c r="H311" s="10"/>
      <c r="I311" s="56"/>
      <c r="J311" s="56"/>
      <c r="K311" s="56"/>
      <c r="L311" s="56"/>
      <c r="M311" s="56"/>
      <c r="N311" s="11"/>
      <c r="O311" s="101"/>
      <c r="Q311" s="101"/>
      <c r="T311" s="101"/>
    </row>
    <row r="312" spans="1:20" s="106" customFormat="1" x14ac:dyDescent="0.15">
      <c r="A312" s="11"/>
      <c r="B312" s="10"/>
      <c r="C312" s="107"/>
      <c r="D312" s="10"/>
      <c r="E312" s="10"/>
      <c r="F312" s="107"/>
      <c r="G312" s="10"/>
      <c r="H312" s="10"/>
      <c r="I312" s="56"/>
      <c r="J312" s="56"/>
      <c r="K312" s="56"/>
      <c r="L312" s="56"/>
      <c r="M312" s="56"/>
      <c r="N312" s="11"/>
      <c r="O312" s="101"/>
      <c r="Q312" s="101"/>
      <c r="T312" s="101"/>
    </row>
    <row r="313" spans="1:20" s="106" customFormat="1" x14ac:dyDescent="0.15">
      <c r="A313" s="11"/>
      <c r="B313" s="10"/>
      <c r="C313" s="107"/>
      <c r="D313" s="10"/>
      <c r="E313" s="10"/>
      <c r="F313" s="107"/>
      <c r="G313" s="10"/>
      <c r="H313" s="10"/>
      <c r="I313" s="56"/>
      <c r="J313" s="56"/>
      <c r="K313" s="56"/>
      <c r="L313" s="56"/>
      <c r="M313" s="56"/>
      <c r="N313" s="11"/>
      <c r="O313" s="101"/>
      <c r="Q313" s="101"/>
      <c r="T313" s="101"/>
    </row>
    <row r="314" spans="1:20" s="106" customFormat="1" x14ac:dyDescent="0.15">
      <c r="A314" s="11"/>
      <c r="B314" s="10"/>
      <c r="C314" s="107"/>
      <c r="D314" s="10"/>
      <c r="E314" s="10"/>
      <c r="F314" s="107"/>
      <c r="G314" s="10"/>
      <c r="H314" s="10"/>
      <c r="I314" s="56"/>
      <c r="J314" s="56"/>
      <c r="K314" s="56"/>
      <c r="L314" s="56"/>
      <c r="M314" s="56"/>
      <c r="N314" s="11"/>
      <c r="O314" s="101"/>
      <c r="Q314" s="101"/>
      <c r="T314" s="101"/>
    </row>
    <row r="315" spans="1:20" s="106" customFormat="1" x14ac:dyDescent="0.15">
      <c r="A315" s="11"/>
      <c r="B315" s="10"/>
      <c r="C315" s="107"/>
      <c r="D315" s="10"/>
      <c r="E315" s="10"/>
      <c r="F315" s="107"/>
      <c r="G315" s="10"/>
      <c r="H315" s="10"/>
      <c r="I315" s="56"/>
      <c r="J315" s="56"/>
      <c r="K315" s="56"/>
      <c r="L315" s="56"/>
      <c r="M315" s="56"/>
      <c r="N315" s="11"/>
      <c r="O315" s="101"/>
      <c r="Q315" s="101"/>
      <c r="T315" s="101"/>
    </row>
    <row r="316" spans="1:20" s="106" customFormat="1" x14ac:dyDescent="0.15">
      <c r="A316" s="11"/>
      <c r="B316" s="10"/>
      <c r="C316" s="107"/>
      <c r="D316" s="10"/>
      <c r="E316" s="10"/>
      <c r="F316" s="107"/>
      <c r="G316" s="10"/>
      <c r="H316" s="10"/>
      <c r="I316" s="56"/>
      <c r="J316" s="56"/>
      <c r="K316" s="56"/>
      <c r="L316" s="56"/>
      <c r="M316" s="56"/>
      <c r="N316" s="11"/>
      <c r="O316" s="101"/>
      <c r="Q316" s="101"/>
      <c r="T316" s="101"/>
    </row>
    <row r="317" spans="1:20" s="106" customFormat="1" x14ac:dyDescent="0.15">
      <c r="A317" s="11"/>
      <c r="B317" s="10"/>
      <c r="C317" s="107"/>
      <c r="D317" s="10"/>
      <c r="E317" s="10"/>
      <c r="F317" s="107"/>
      <c r="G317" s="10"/>
      <c r="H317" s="10"/>
      <c r="I317" s="56"/>
      <c r="J317" s="56"/>
      <c r="K317" s="56"/>
      <c r="L317" s="56"/>
      <c r="M317" s="56"/>
      <c r="N317" s="11"/>
      <c r="O317" s="101"/>
      <c r="Q317" s="101"/>
      <c r="T317" s="101"/>
    </row>
    <row r="318" spans="1:20" s="106" customFormat="1" x14ac:dyDescent="0.15">
      <c r="A318" s="11"/>
      <c r="B318" s="10"/>
      <c r="C318" s="107"/>
      <c r="D318" s="10"/>
      <c r="E318" s="10"/>
      <c r="F318" s="107"/>
      <c r="G318" s="10"/>
      <c r="H318" s="10"/>
      <c r="I318" s="56"/>
      <c r="J318" s="56"/>
      <c r="K318" s="56"/>
      <c r="L318" s="56"/>
      <c r="M318" s="56"/>
      <c r="N318" s="11"/>
      <c r="O318" s="101"/>
      <c r="Q318" s="101"/>
      <c r="T318" s="101"/>
    </row>
    <row r="319" spans="1:20" s="106" customFormat="1" x14ac:dyDescent="0.15">
      <c r="A319" s="11"/>
      <c r="B319" s="10"/>
      <c r="C319" s="107"/>
      <c r="D319" s="10"/>
      <c r="E319" s="10"/>
      <c r="F319" s="107"/>
      <c r="G319" s="10"/>
      <c r="H319" s="10"/>
      <c r="I319" s="56"/>
      <c r="J319" s="56"/>
      <c r="K319" s="56"/>
      <c r="L319" s="56"/>
      <c r="M319" s="56"/>
      <c r="N319" s="11"/>
      <c r="O319" s="101"/>
      <c r="Q319" s="101"/>
      <c r="T319" s="101"/>
    </row>
    <row r="320" spans="1:20" s="106" customFormat="1" x14ac:dyDescent="0.15">
      <c r="A320" s="11"/>
      <c r="B320" s="10"/>
      <c r="C320" s="107"/>
      <c r="D320" s="10"/>
      <c r="E320" s="10"/>
      <c r="F320" s="107"/>
      <c r="G320" s="10"/>
      <c r="H320" s="10"/>
      <c r="I320" s="56"/>
      <c r="J320" s="56"/>
      <c r="K320" s="56"/>
      <c r="L320" s="56"/>
      <c r="M320" s="56"/>
      <c r="N320" s="11"/>
      <c r="O320" s="101"/>
      <c r="Q320" s="101"/>
      <c r="T320" s="101"/>
    </row>
    <row r="321" spans="1:20" s="106" customFormat="1" x14ac:dyDescent="0.15">
      <c r="A321" s="11"/>
      <c r="B321" s="10"/>
      <c r="C321" s="107"/>
      <c r="D321" s="10"/>
      <c r="E321" s="10"/>
      <c r="F321" s="107"/>
      <c r="G321" s="10"/>
      <c r="H321" s="10"/>
      <c r="I321" s="56"/>
      <c r="J321" s="56"/>
      <c r="K321" s="56"/>
      <c r="L321" s="56"/>
      <c r="M321" s="56"/>
      <c r="N321" s="11"/>
      <c r="O321" s="101"/>
      <c r="Q321" s="101"/>
      <c r="T321" s="101"/>
    </row>
    <row r="322" spans="1:20" s="106" customFormat="1" x14ac:dyDescent="0.15">
      <c r="A322" s="11"/>
      <c r="B322" s="10"/>
      <c r="C322" s="107"/>
      <c r="D322" s="10"/>
      <c r="E322" s="10"/>
      <c r="F322" s="107"/>
      <c r="G322" s="10"/>
      <c r="H322" s="10"/>
      <c r="I322" s="56"/>
      <c r="J322" s="56"/>
      <c r="K322" s="56"/>
      <c r="L322" s="56"/>
      <c r="M322" s="56"/>
      <c r="N322" s="11"/>
      <c r="O322" s="101"/>
      <c r="Q322" s="101"/>
      <c r="T322" s="101"/>
    </row>
    <row r="323" spans="1:20" s="106" customFormat="1" x14ac:dyDescent="0.15">
      <c r="A323" s="11"/>
      <c r="B323" s="10"/>
      <c r="C323" s="107"/>
      <c r="D323" s="10"/>
      <c r="E323" s="10"/>
      <c r="F323" s="107"/>
      <c r="G323" s="10"/>
      <c r="H323" s="10"/>
      <c r="I323" s="56"/>
      <c r="J323" s="56"/>
      <c r="K323" s="56"/>
      <c r="L323" s="56"/>
      <c r="M323" s="56"/>
      <c r="N323" s="11"/>
      <c r="O323" s="101"/>
      <c r="Q323" s="101"/>
      <c r="T323" s="101"/>
    </row>
    <row r="324" spans="1:20" s="106" customFormat="1" x14ac:dyDescent="0.15">
      <c r="A324" s="11"/>
      <c r="B324" s="10"/>
      <c r="C324" s="107"/>
      <c r="D324" s="10"/>
      <c r="E324" s="10"/>
      <c r="F324" s="107"/>
      <c r="G324" s="10"/>
      <c r="H324" s="10"/>
      <c r="I324" s="56"/>
      <c r="J324" s="56"/>
      <c r="K324" s="56"/>
      <c r="L324" s="56"/>
      <c r="M324" s="56"/>
      <c r="N324" s="11"/>
      <c r="O324" s="101"/>
      <c r="Q324" s="101"/>
      <c r="T324" s="101"/>
    </row>
    <row r="325" spans="1:20" s="106" customFormat="1" x14ac:dyDescent="0.15">
      <c r="A325" s="11"/>
      <c r="B325" s="10"/>
      <c r="C325" s="107"/>
      <c r="D325" s="10"/>
      <c r="E325" s="10"/>
      <c r="F325" s="107"/>
      <c r="G325" s="10"/>
      <c r="H325" s="10"/>
      <c r="I325" s="56"/>
      <c r="J325" s="56"/>
      <c r="K325" s="56"/>
      <c r="L325" s="56"/>
      <c r="M325" s="56"/>
      <c r="N325" s="11"/>
      <c r="O325" s="101"/>
      <c r="Q325" s="101"/>
      <c r="T325" s="101"/>
    </row>
    <row r="326" spans="1:20" s="106" customFormat="1" x14ac:dyDescent="0.15">
      <c r="A326" s="11"/>
      <c r="B326" s="10"/>
      <c r="C326" s="107"/>
      <c r="D326" s="10"/>
      <c r="E326" s="10"/>
      <c r="F326" s="107"/>
      <c r="G326" s="10"/>
      <c r="H326" s="10"/>
      <c r="I326" s="56"/>
      <c r="J326" s="56"/>
      <c r="K326" s="56"/>
      <c r="L326" s="56"/>
      <c r="M326" s="56"/>
      <c r="N326" s="11"/>
      <c r="O326" s="101"/>
      <c r="Q326" s="101"/>
      <c r="T326" s="101"/>
    </row>
    <row r="327" spans="1:20" s="106" customFormat="1" x14ac:dyDescent="0.15">
      <c r="A327" s="11"/>
      <c r="B327" s="10"/>
      <c r="C327" s="107"/>
      <c r="D327" s="10"/>
      <c r="E327" s="10"/>
      <c r="F327" s="107"/>
      <c r="G327" s="10"/>
      <c r="H327" s="10"/>
      <c r="I327" s="56"/>
      <c r="J327" s="56"/>
      <c r="K327" s="56"/>
      <c r="L327" s="56"/>
      <c r="M327" s="56"/>
      <c r="N327" s="11"/>
      <c r="O327" s="101"/>
      <c r="Q327" s="101"/>
      <c r="T327" s="101"/>
    </row>
    <row r="328" spans="1:20" s="106" customFormat="1" x14ac:dyDescent="0.15">
      <c r="A328" s="11"/>
      <c r="B328" s="10"/>
      <c r="C328" s="107"/>
      <c r="D328" s="10"/>
      <c r="E328" s="10"/>
      <c r="F328" s="107"/>
      <c r="G328" s="10"/>
      <c r="H328" s="10"/>
      <c r="I328" s="56"/>
      <c r="J328" s="56"/>
      <c r="K328" s="56"/>
      <c r="L328" s="56"/>
      <c r="M328" s="56"/>
      <c r="N328" s="11"/>
      <c r="O328" s="101"/>
      <c r="Q328" s="101"/>
      <c r="T328" s="101"/>
    </row>
    <row r="329" spans="1:20" s="106" customFormat="1" x14ac:dyDescent="0.15">
      <c r="A329" s="11"/>
      <c r="B329" s="10"/>
      <c r="C329" s="107"/>
      <c r="D329" s="10"/>
      <c r="E329" s="10"/>
      <c r="F329" s="107"/>
      <c r="G329" s="10"/>
      <c r="H329" s="10"/>
      <c r="I329" s="56"/>
      <c r="J329" s="56"/>
      <c r="K329" s="56"/>
      <c r="L329" s="56"/>
      <c r="M329" s="56"/>
      <c r="N329" s="11"/>
      <c r="O329" s="101"/>
      <c r="Q329" s="101"/>
      <c r="T329" s="101"/>
    </row>
    <row r="330" spans="1:20" s="106" customFormat="1" x14ac:dyDescent="0.15">
      <c r="A330" s="11"/>
      <c r="B330" s="10"/>
      <c r="C330" s="107"/>
      <c r="D330" s="10"/>
      <c r="E330" s="10"/>
      <c r="F330" s="107"/>
      <c r="G330" s="10"/>
      <c r="H330" s="10"/>
      <c r="I330" s="56"/>
      <c r="J330" s="56"/>
      <c r="K330" s="56"/>
      <c r="L330" s="56"/>
      <c r="M330" s="56"/>
      <c r="N330" s="11"/>
      <c r="O330" s="101"/>
      <c r="Q330" s="101"/>
      <c r="T330" s="101"/>
    </row>
    <row r="331" spans="1:20" s="106" customFormat="1" x14ac:dyDescent="0.15">
      <c r="A331" s="11"/>
      <c r="B331" s="10"/>
      <c r="C331" s="107"/>
      <c r="D331" s="10"/>
      <c r="E331" s="10"/>
      <c r="F331" s="107"/>
      <c r="G331" s="10"/>
      <c r="H331" s="10"/>
      <c r="I331" s="56"/>
      <c r="J331" s="56"/>
      <c r="K331" s="56"/>
      <c r="L331" s="56"/>
      <c r="M331" s="56"/>
      <c r="N331" s="11"/>
      <c r="O331" s="101"/>
      <c r="Q331" s="101"/>
      <c r="T331" s="101"/>
    </row>
    <row r="332" spans="1:20" s="106" customFormat="1" x14ac:dyDescent="0.15">
      <c r="A332" s="11"/>
      <c r="B332" s="10"/>
      <c r="C332" s="107"/>
      <c r="D332" s="10"/>
      <c r="E332" s="10"/>
      <c r="F332" s="107"/>
      <c r="G332" s="10"/>
      <c r="H332" s="10"/>
      <c r="I332" s="56"/>
      <c r="J332" s="56"/>
      <c r="K332" s="56"/>
      <c r="L332" s="56"/>
      <c r="M332" s="56"/>
      <c r="N332" s="11"/>
      <c r="O332" s="101"/>
      <c r="Q332" s="101"/>
      <c r="T332" s="101"/>
    </row>
    <row r="333" spans="1:20" s="106" customFormat="1" x14ac:dyDescent="0.15">
      <c r="A333" s="11"/>
      <c r="B333" s="10"/>
      <c r="C333" s="107"/>
      <c r="D333" s="10"/>
      <c r="E333" s="10"/>
      <c r="F333" s="107"/>
      <c r="G333" s="10"/>
      <c r="H333" s="10"/>
      <c r="I333" s="56"/>
      <c r="J333" s="56"/>
      <c r="K333" s="56"/>
      <c r="L333" s="56"/>
      <c r="M333" s="56"/>
      <c r="N333" s="11"/>
      <c r="O333" s="101"/>
      <c r="Q333" s="101"/>
      <c r="T333" s="101"/>
    </row>
    <row r="334" spans="1:20" s="106" customFormat="1" x14ac:dyDescent="0.15">
      <c r="A334" s="11"/>
      <c r="B334" s="10"/>
      <c r="C334" s="107"/>
      <c r="D334" s="10"/>
      <c r="E334" s="10"/>
      <c r="F334" s="107"/>
      <c r="G334" s="10"/>
      <c r="H334" s="10"/>
      <c r="I334" s="56"/>
      <c r="J334" s="56"/>
      <c r="K334" s="56"/>
      <c r="L334" s="56"/>
      <c r="M334" s="56"/>
      <c r="N334" s="11"/>
      <c r="O334" s="101"/>
      <c r="Q334" s="101"/>
      <c r="T334" s="101"/>
    </row>
    <row r="335" spans="1:20" s="106" customFormat="1" x14ac:dyDescent="0.15">
      <c r="A335" s="11"/>
      <c r="B335" s="10"/>
      <c r="C335" s="107"/>
      <c r="D335" s="10"/>
      <c r="E335" s="10"/>
      <c r="F335" s="107"/>
      <c r="G335" s="10"/>
      <c r="H335" s="10"/>
      <c r="I335" s="56"/>
      <c r="J335" s="56"/>
      <c r="K335" s="56"/>
      <c r="L335" s="56"/>
      <c r="M335" s="56"/>
      <c r="N335" s="11"/>
      <c r="O335" s="101"/>
      <c r="Q335" s="101"/>
      <c r="T335" s="101"/>
    </row>
    <row r="336" spans="1:20" s="106" customFormat="1" x14ac:dyDescent="0.15">
      <c r="A336" s="11"/>
      <c r="B336" s="10"/>
      <c r="C336" s="107"/>
      <c r="D336" s="10"/>
      <c r="E336" s="10"/>
      <c r="F336" s="107"/>
      <c r="G336" s="10"/>
      <c r="H336" s="10"/>
      <c r="I336" s="56"/>
      <c r="J336" s="56"/>
      <c r="K336" s="56"/>
      <c r="L336" s="56"/>
      <c r="M336" s="56"/>
      <c r="N336" s="11"/>
      <c r="O336" s="101"/>
      <c r="Q336" s="101"/>
      <c r="T336" s="101"/>
    </row>
    <row r="337" spans="1:20" s="106" customFormat="1" x14ac:dyDescent="0.15">
      <c r="A337" s="11"/>
      <c r="B337" s="10"/>
      <c r="C337" s="107"/>
      <c r="D337" s="10"/>
      <c r="E337" s="10"/>
      <c r="F337" s="107"/>
      <c r="G337" s="10"/>
      <c r="H337" s="10"/>
      <c r="I337" s="56"/>
      <c r="J337" s="56"/>
      <c r="K337" s="56"/>
      <c r="L337" s="56"/>
      <c r="M337" s="56"/>
      <c r="N337" s="11"/>
      <c r="O337" s="101"/>
      <c r="Q337" s="101"/>
      <c r="T337" s="101"/>
    </row>
    <row r="338" spans="1:20" s="106" customFormat="1" x14ac:dyDescent="0.15">
      <c r="A338" s="11"/>
      <c r="B338" s="10"/>
      <c r="C338" s="107"/>
      <c r="D338" s="10"/>
      <c r="E338" s="10"/>
      <c r="F338" s="107"/>
      <c r="G338" s="10"/>
      <c r="H338" s="10"/>
      <c r="I338" s="56"/>
      <c r="J338" s="56"/>
      <c r="K338" s="56"/>
      <c r="L338" s="56"/>
      <c r="M338" s="56"/>
      <c r="N338" s="11"/>
      <c r="O338" s="101"/>
      <c r="Q338" s="101"/>
      <c r="T338" s="101"/>
    </row>
    <row r="339" spans="1:20" s="106" customFormat="1" x14ac:dyDescent="0.15">
      <c r="A339" s="11"/>
      <c r="B339" s="10"/>
      <c r="C339" s="107"/>
      <c r="D339" s="10"/>
      <c r="E339" s="10"/>
      <c r="F339" s="107"/>
      <c r="G339" s="10"/>
      <c r="H339" s="10"/>
      <c r="I339" s="56"/>
      <c r="J339" s="56"/>
      <c r="K339" s="56"/>
      <c r="L339" s="56"/>
      <c r="M339" s="56"/>
      <c r="N339" s="11"/>
      <c r="O339" s="101"/>
      <c r="Q339" s="101"/>
      <c r="T339" s="101"/>
    </row>
    <row r="340" spans="1:20" s="106" customFormat="1" x14ac:dyDescent="0.15">
      <c r="A340" s="11"/>
      <c r="B340" s="10"/>
      <c r="C340" s="107"/>
      <c r="D340" s="10"/>
      <c r="E340" s="10"/>
      <c r="F340" s="107"/>
      <c r="G340" s="10"/>
      <c r="H340" s="10"/>
      <c r="I340" s="56"/>
      <c r="J340" s="56"/>
      <c r="K340" s="56"/>
      <c r="L340" s="56"/>
      <c r="M340" s="56"/>
      <c r="N340" s="11"/>
      <c r="O340" s="101"/>
      <c r="Q340" s="101"/>
      <c r="T340" s="101"/>
    </row>
    <row r="341" spans="1:20" s="106" customFormat="1" x14ac:dyDescent="0.15">
      <c r="A341" s="11"/>
      <c r="B341" s="10"/>
      <c r="C341" s="107"/>
      <c r="D341" s="10"/>
      <c r="E341" s="10"/>
      <c r="F341" s="107"/>
      <c r="G341" s="10"/>
      <c r="H341" s="10"/>
      <c r="I341" s="56"/>
      <c r="J341" s="56"/>
      <c r="K341" s="56"/>
      <c r="L341" s="56"/>
      <c r="M341" s="56"/>
      <c r="N341" s="11"/>
      <c r="O341" s="101"/>
      <c r="Q341" s="101"/>
      <c r="T341" s="101"/>
    </row>
    <row r="342" spans="1:20" s="106" customFormat="1" x14ac:dyDescent="0.15">
      <c r="A342" s="11"/>
      <c r="B342" s="10"/>
      <c r="C342" s="107"/>
      <c r="D342" s="10"/>
      <c r="E342" s="10"/>
      <c r="F342" s="107"/>
      <c r="G342" s="10"/>
      <c r="H342" s="10"/>
      <c r="I342" s="56"/>
      <c r="J342" s="56"/>
      <c r="K342" s="56"/>
      <c r="L342" s="56"/>
      <c r="M342" s="56"/>
      <c r="N342" s="11"/>
      <c r="O342" s="101"/>
      <c r="Q342" s="101"/>
      <c r="T342" s="101"/>
    </row>
    <row r="343" spans="1:20" s="106" customFormat="1" x14ac:dyDescent="0.15">
      <c r="A343" s="11"/>
      <c r="B343" s="10"/>
      <c r="C343" s="107"/>
      <c r="D343" s="10"/>
      <c r="E343" s="10"/>
      <c r="F343" s="107"/>
      <c r="G343" s="10"/>
      <c r="H343" s="10"/>
      <c r="I343" s="56"/>
      <c r="J343" s="56"/>
      <c r="K343" s="56"/>
      <c r="L343" s="56"/>
      <c r="M343" s="56"/>
      <c r="N343" s="11"/>
      <c r="O343" s="101"/>
      <c r="Q343" s="101"/>
      <c r="T343" s="101"/>
    </row>
    <row r="344" spans="1:20" s="106" customFormat="1" x14ac:dyDescent="0.15">
      <c r="A344" s="11"/>
      <c r="B344" s="10"/>
      <c r="C344" s="107"/>
      <c r="D344" s="10"/>
      <c r="E344" s="10"/>
      <c r="F344" s="107"/>
      <c r="G344" s="10"/>
      <c r="H344" s="10"/>
      <c r="I344" s="56"/>
      <c r="J344" s="56"/>
      <c r="K344" s="56"/>
      <c r="L344" s="56"/>
      <c r="M344" s="56"/>
      <c r="N344" s="11"/>
      <c r="O344" s="101"/>
      <c r="Q344" s="101"/>
      <c r="T344" s="101"/>
    </row>
    <row r="345" spans="1:20" s="106" customFormat="1" x14ac:dyDescent="0.15">
      <c r="A345" s="11"/>
      <c r="B345" s="10"/>
      <c r="C345" s="107"/>
      <c r="D345" s="10"/>
      <c r="E345" s="10"/>
      <c r="F345" s="107"/>
      <c r="G345" s="10"/>
      <c r="H345" s="10"/>
      <c r="I345" s="56"/>
      <c r="J345" s="56"/>
      <c r="K345" s="56"/>
      <c r="L345" s="56"/>
      <c r="M345" s="56"/>
      <c r="N345" s="11"/>
      <c r="O345" s="101"/>
      <c r="Q345" s="101"/>
      <c r="T345" s="101"/>
    </row>
    <row r="346" spans="1:20" s="106" customFormat="1" x14ac:dyDescent="0.15">
      <c r="A346" s="11"/>
      <c r="B346" s="10"/>
      <c r="C346" s="107"/>
      <c r="D346" s="10"/>
      <c r="E346" s="10"/>
      <c r="F346" s="107"/>
      <c r="G346" s="10"/>
      <c r="H346" s="10"/>
      <c r="I346" s="56"/>
      <c r="J346" s="56"/>
      <c r="K346" s="56"/>
      <c r="L346" s="56"/>
      <c r="M346" s="56"/>
      <c r="N346" s="11"/>
      <c r="O346" s="101"/>
      <c r="Q346" s="101"/>
      <c r="T346" s="101"/>
    </row>
    <row r="347" spans="1:20" s="106" customFormat="1" x14ac:dyDescent="0.15">
      <c r="A347" s="11"/>
      <c r="B347" s="10"/>
      <c r="C347" s="107"/>
      <c r="D347" s="10"/>
      <c r="E347" s="10"/>
      <c r="F347" s="107"/>
      <c r="G347" s="10"/>
      <c r="H347" s="10"/>
      <c r="I347" s="56"/>
      <c r="J347" s="56"/>
      <c r="K347" s="56"/>
      <c r="L347" s="56"/>
      <c r="M347" s="56"/>
      <c r="N347" s="11"/>
      <c r="O347" s="101"/>
      <c r="Q347" s="101"/>
      <c r="T347" s="101"/>
    </row>
    <row r="348" spans="1:20" s="106" customFormat="1" x14ac:dyDescent="0.15">
      <c r="A348" s="11"/>
      <c r="B348" s="10"/>
      <c r="C348" s="107"/>
      <c r="D348" s="10"/>
      <c r="E348" s="10"/>
      <c r="F348" s="107"/>
      <c r="G348" s="10"/>
      <c r="H348" s="10"/>
      <c r="I348" s="56"/>
      <c r="J348" s="56"/>
      <c r="K348" s="56"/>
      <c r="L348" s="56"/>
      <c r="M348" s="56"/>
      <c r="N348" s="11"/>
      <c r="O348" s="101"/>
      <c r="Q348" s="101"/>
      <c r="T348" s="101"/>
    </row>
    <row r="349" spans="1:20" s="106" customFormat="1" x14ac:dyDescent="0.15">
      <c r="A349" s="11"/>
      <c r="B349" s="10"/>
      <c r="C349" s="107"/>
      <c r="D349" s="10"/>
      <c r="E349" s="10"/>
      <c r="F349" s="107"/>
      <c r="G349" s="10"/>
      <c r="H349" s="10"/>
      <c r="I349" s="56"/>
      <c r="J349" s="56"/>
      <c r="K349" s="56"/>
      <c r="L349" s="56"/>
      <c r="M349" s="56"/>
      <c r="N349" s="11"/>
      <c r="O349" s="101"/>
      <c r="Q349" s="101"/>
      <c r="T349" s="101"/>
    </row>
    <row r="350" spans="1:20" s="106" customFormat="1" x14ac:dyDescent="0.15">
      <c r="A350" s="11"/>
      <c r="B350" s="10"/>
      <c r="C350" s="107"/>
      <c r="D350" s="10"/>
      <c r="E350" s="10"/>
      <c r="F350" s="107"/>
      <c r="G350" s="10"/>
      <c r="H350" s="10"/>
      <c r="I350" s="56"/>
      <c r="J350" s="56"/>
      <c r="K350" s="56"/>
      <c r="L350" s="56"/>
      <c r="M350" s="56"/>
      <c r="N350" s="11"/>
      <c r="O350" s="101"/>
      <c r="Q350" s="101"/>
      <c r="T350" s="101"/>
    </row>
    <row r="351" spans="1:20" s="106" customFormat="1" x14ac:dyDescent="0.15">
      <c r="A351" s="11"/>
      <c r="B351" s="10"/>
      <c r="C351" s="107"/>
      <c r="D351" s="10"/>
      <c r="E351" s="10"/>
      <c r="F351" s="107"/>
      <c r="G351" s="10"/>
      <c r="H351" s="10"/>
      <c r="I351" s="56"/>
      <c r="J351" s="56"/>
      <c r="K351" s="56"/>
      <c r="L351" s="56"/>
      <c r="M351" s="56"/>
      <c r="N351" s="11"/>
      <c r="O351" s="101"/>
      <c r="Q351" s="101"/>
      <c r="T351" s="101"/>
    </row>
    <row r="352" spans="1:20" s="106" customFormat="1" x14ac:dyDescent="0.15">
      <c r="A352" s="11"/>
      <c r="B352" s="10"/>
      <c r="C352" s="107"/>
      <c r="D352" s="10"/>
      <c r="E352" s="10"/>
      <c r="F352" s="107"/>
      <c r="G352" s="10"/>
      <c r="H352" s="10"/>
      <c r="I352" s="56"/>
      <c r="J352" s="56"/>
      <c r="K352" s="56"/>
      <c r="L352" s="56"/>
      <c r="M352" s="56"/>
      <c r="N352" s="11"/>
      <c r="O352" s="101"/>
      <c r="Q352" s="101"/>
      <c r="T352" s="101"/>
    </row>
    <row r="353" spans="1:20" s="106" customFormat="1" x14ac:dyDescent="0.15">
      <c r="A353" s="11"/>
      <c r="B353" s="10"/>
      <c r="C353" s="107"/>
      <c r="D353" s="10"/>
      <c r="E353" s="10"/>
      <c r="F353" s="107"/>
      <c r="G353" s="10"/>
      <c r="H353" s="10"/>
      <c r="I353" s="56"/>
      <c r="J353" s="56"/>
      <c r="K353" s="56"/>
      <c r="L353" s="56"/>
      <c r="M353" s="56"/>
      <c r="N353" s="11"/>
      <c r="O353" s="101"/>
      <c r="Q353" s="101"/>
      <c r="T353" s="101"/>
    </row>
    <row r="354" spans="1:20" s="106" customFormat="1" x14ac:dyDescent="0.15">
      <c r="A354" s="11"/>
      <c r="B354" s="10"/>
      <c r="C354" s="107"/>
      <c r="D354" s="10"/>
      <c r="E354" s="10"/>
      <c r="F354" s="107"/>
      <c r="G354" s="10"/>
      <c r="H354" s="10"/>
      <c r="I354" s="56"/>
      <c r="J354" s="56"/>
      <c r="K354" s="56"/>
      <c r="L354" s="56"/>
      <c r="M354" s="56"/>
      <c r="N354" s="11"/>
      <c r="O354" s="101"/>
      <c r="Q354" s="101"/>
      <c r="T354" s="101"/>
    </row>
    <row r="355" spans="1:20" s="106" customFormat="1" x14ac:dyDescent="0.15">
      <c r="A355" s="11"/>
      <c r="B355" s="10"/>
      <c r="C355" s="107"/>
      <c r="D355" s="10"/>
      <c r="E355" s="10"/>
      <c r="F355" s="107"/>
      <c r="G355" s="10"/>
      <c r="H355" s="10"/>
      <c r="I355" s="56"/>
      <c r="J355" s="56"/>
      <c r="K355" s="56"/>
      <c r="L355" s="56"/>
      <c r="M355" s="56"/>
      <c r="N355" s="11"/>
      <c r="O355" s="101"/>
      <c r="Q355" s="101"/>
      <c r="T355" s="101"/>
    </row>
    <row r="356" spans="1:20" s="106" customFormat="1" x14ac:dyDescent="0.15">
      <c r="A356" s="11"/>
      <c r="B356" s="10"/>
      <c r="C356" s="107"/>
      <c r="D356" s="10"/>
      <c r="E356" s="10"/>
      <c r="F356" s="107"/>
      <c r="G356" s="10"/>
      <c r="H356" s="10"/>
      <c r="I356" s="56"/>
      <c r="J356" s="56"/>
      <c r="K356" s="56"/>
      <c r="L356" s="56"/>
      <c r="M356" s="56"/>
      <c r="N356" s="11"/>
      <c r="O356" s="101"/>
      <c r="Q356" s="101"/>
      <c r="T356" s="101"/>
    </row>
    <row r="357" spans="1:20" s="106" customFormat="1" x14ac:dyDescent="0.15">
      <c r="A357" s="11"/>
      <c r="B357" s="10"/>
      <c r="C357" s="107"/>
      <c r="D357" s="10"/>
      <c r="E357" s="10"/>
      <c r="F357" s="107"/>
      <c r="G357" s="10"/>
      <c r="H357" s="10"/>
      <c r="I357" s="56"/>
      <c r="J357" s="56"/>
      <c r="K357" s="56"/>
      <c r="L357" s="56"/>
      <c r="M357" s="56"/>
      <c r="N357" s="11"/>
      <c r="O357" s="101"/>
      <c r="Q357" s="101"/>
      <c r="T357" s="101"/>
    </row>
    <row r="358" spans="1:20" s="106" customFormat="1" x14ac:dyDescent="0.15">
      <c r="A358" s="11"/>
      <c r="B358" s="10"/>
      <c r="C358" s="107"/>
      <c r="D358" s="10"/>
      <c r="E358" s="10"/>
      <c r="F358" s="107"/>
      <c r="G358" s="10"/>
      <c r="H358" s="10"/>
      <c r="I358" s="56"/>
      <c r="J358" s="56"/>
      <c r="K358" s="56"/>
      <c r="L358" s="56"/>
      <c r="M358" s="56"/>
      <c r="N358" s="11"/>
      <c r="O358" s="101"/>
      <c r="Q358" s="101"/>
      <c r="T358" s="101"/>
    </row>
    <row r="359" spans="1:20" s="106" customFormat="1" x14ac:dyDescent="0.15">
      <c r="A359" s="11"/>
      <c r="B359" s="10"/>
      <c r="C359" s="107"/>
      <c r="D359" s="10"/>
      <c r="E359" s="10"/>
      <c r="F359" s="107"/>
      <c r="G359" s="10"/>
      <c r="H359" s="10"/>
      <c r="I359" s="56"/>
      <c r="J359" s="56"/>
      <c r="K359" s="56"/>
      <c r="L359" s="56"/>
      <c r="M359" s="56"/>
      <c r="N359" s="11"/>
      <c r="O359" s="101"/>
      <c r="Q359" s="101"/>
      <c r="T359" s="101"/>
    </row>
    <row r="360" spans="1:20" s="106" customFormat="1" x14ac:dyDescent="0.15">
      <c r="A360" s="11"/>
      <c r="B360" s="10"/>
      <c r="C360" s="107"/>
      <c r="D360" s="10"/>
      <c r="E360" s="10"/>
      <c r="F360" s="107"/>
      <c r="G360" s="10"/>
      <c r="H360" s="10"/>
      <c r="I360" s="56"/>
      <c r="J360" s="56"/>
      <c r="K360" s="56"/>
      <c r="L360" s="56"/>
      <c r="M360" s="56"/>
      <c r="N360" s="11"/>
      <c r="O360" s="101"/>
      <c r="Q360" s="101"/>
      <c r="T360" s="101"/>
    </row>
    <row r="361" spans="1:20" s="106" customFormat="1" x14ac:dyDescent="0.15">
      <c r="A361" s="11"/>
      <c r="B361" s="10"/>
      <c r="C361" s="107"/>
      <c r="D361" s="10"/>
      <c r="E361" s="10"/>
      <c r="F361" s="107"/>
      <c r="G361" s="10"/>
      <c r="H361" s="10"/>
      <c r="I361" s="56"/>
      <c r="J361" s="56"/>
      <c r="K361" s="56"/>
      <c r="L361" s="56"/>
      <c r="M361" s="56"/>
      <c r="N361" s="11"/>
      <c r="O361" s="101"/>
      <c r="Q361" s="101"/>
      <c r="T361" s="101"/>
    </row>
    <row r="362" spans="1:20" s="106" customFormat="1" x14ac:dyDescent="0.15">
      <c r="A362" s="11"/>
      <c r="B362" s="10"/>
      <c r="C362" s="107"/>
      <c r="D362" s="10"/>
      <c r="E362" s="10"/>
      <c r="F362" s="107"/>
      <c r="G362" s="10"/>
      <c r="H362" s="10"/>
      <c r="I362" s="56"/>
      <c r="J362" s="56"/>
      <c r="K362" s="56"/>
      <c r="L362" s="56"/>
      <c r="M362" s="56"/>
      <c r="N362" s="11"/>
      <c r="O362" s="101"/>
      <c r="Q362" s="101"/>
      <c r="T362" s="101"/>
    </row>
    <row r="363" spans="1:20" s="106" customFormat="1" x14ac:dyDescent="0.15">
      <c r="A363" s="11"/>
      <c r="B363" s="10"/>
      <c r="C363" s="107"/>
      <c r="D363" s="10"/>
      <c r="E363" s="10"/>
      <c r="F363" s="107"/>
      <c r="G363" s="10"/>
      <c r="H363" s="10"/>
      <c r="I363" s="56"/>
      <c r="J363" s="56"/>
      <c r="K363" s="56"/>
      <c r="L363" s="56"/>
      <c r="M363" s="56"/>
      <c r="N363" s="11"/>
      <c r="O363" s="101"/>
      <c r="Q363" s="101"/>
      <c r="T363" s="101"/>
    </row>
    <row r="364" spans="1:20" s="106" customFormat="1" x14ac:dyDescent="0.15">
      <c r="A364" s="11"/>
      <c r="B364" s="10"/>
      <c r="C364" s="107"/>
      <c r="D364" s="10"/>
      <c r="E364" s="10"/>
      <c r="F364" s="107"/>
      <c r="G364" s="10"/>
      <c r="H364" s="10"/>
      <c r="I364" s="56"/>
      <c r="J364" s="56"/>
      <c r="K364" s="56"/>
      <c r="L364" s="56"/>
      <c r="M364" s="56"/>
      <c r="N364" s="11"/>
      <c r="O364" s="101"/>
      <c r="Q364" s="101"/>
      <c r="T364" s="101"/>
    </row>
    <row r="365" spans="1:20" s="106" customFormat="1" x14ac:dyDescent="0.15">
      <c r="A365" s="11"/>
      <c r="B365" s="10"/>
      <c r="C365" s="107"/>
      <c r="D365" s="10"/>
      <c r="E365" s="10"/>
      <c r="F365" s="107"/>
      <c r="G365" s="10"/>
      <c r="H365" s="10"/>
      <c r="I365" s="56"/>
      <c r="J365" s="56"/>
      <c r="K365" s="56"/>
      <c r="L365" s="56"/>
      <c r="M365" s="56"/>
      <c r="N365" s="11"/>
      <c r="O365" s="101"/>
      <c r="Q365" s="101"/>
      <c r="T365" s="101"/>
    </row>
    <row r="366" spans="1:20" s="106" customFormat="1" x14ac:dyDescent="0.15">
      <c r="A366" s="11"/>
      <c r="B366" s="10"/>
      <c r="C366" s="107"/>
      <c r="D366" s="10"/>
      <c r="E366" s="10"/>
      <c r="F366" s="107"/>
      <c r="G366" s="10"/>
      <c r="H366" s="10"/>
      <c r="I366" s="56"/>
      <c r="J366" s="56"/>
      <c r="K366" s="56"/>
      <c r="L366" s="56"/>
      <c r="M366" s="56"/>
      <c r="N366" s="11"/>
      <c r="O366" s="101"/>
      <c r="Q366" s="101"/>
      <c r="T366" s="101"/>
    </row>
    <row r="367" spans="1:20" s="106" customFormat="1" x14ac:dyDescent="0.15">
      <c r="A367" s="11"/>
      <c r="B367" s="10"/>
      <c r="C367" s="107"/>
      <c r="D367" s="10"/>
      <c r="E367" s="10"/>
      <c r="F367" s="107"/>
      <c r="G367" s="10"/>
      <c r="H367" s="10"/>
      <c r="I367" s="56"/>
      <c r="J367" s="56"/>
      <c r="K367" s="56"/>
      <c r="L367" s="56"/>
      <c r="M367" s="56"/>
      <c r="N367" s="11"/>
      <c r="O367" s="101"/>
      <c r="Q367" s="101"/>
      <c r="T367" s="101"/>
    </row>
    <row r="368" spans="1:20" s="106" customFormat="1" x14ac:dyDescent="0.15">
      <c r="A368" s="11"/>
      <c r="B368" s="10"/>
      <c r="C368" s="107"/>
      <c r="D368" s="10"/>
      <c r="E368" s="10"/>
      <c r="F368" s="107"/>
      <c r="G368" s="10"/>
      <c r="H368" s="10"/>
      <c r="I368" s="56"/>
      <c r="J368" s="56"/>
      <c r="K368" s="56"/>
      <c r="L368" s="56"/>
      <c r="M368" s="56"/>
      <c r="N368" s="11"/>
      <c r="O368" s="101"/>
      <c r="Q368" s="101"/>
      <c r="T368" s="101"/>
    </row>
    <row r="369" spans="1:20" s="106" customFormat="1" x14ac:dyDescent="0.15">
      <c r="A369" s="11"/>
      <c r="B369" s="10"/>
      <c r="C369" s="107"/>
      <c r="D369" s="10"/>
      <c r="E369" s="10"/>
      <c r="F369" s="107"/>
      <c r="G369" s="10"/>
      <c r="H369" s="10"/>
      <c r="I369" s="56"/>
      <c r="J369" s="56"/>
      <c r="K369" s="56"/>
      <c r="L369" s="56"/>
      <c r="M369" s="56"/>
      <c r="N369" s="11"/>
      <c r="O369" s="101"/>
      <c r="Q369" s="101"/>
      <c r="T369" s="101"/>
    </row>
    <row r="370" spans="1:20" s="106" customFormat="1" x14ac:dyDescent="0.15">
      <c r="A370" s="11"/>
      <c r="B370" s="10"/>
      <c r="C370" s="107"/>
      <c r="D370" s="10"/>
      <c r="E370" s="10"/>
      <c r="F370" s="107"/>
      <c r="G370" s="10"/>
      <c r="H370" s="10"/>
      <c r="I370" s="56"/>
      <c r="J370" s="56"/>
      <c r="K370" s="56"/>
      <c r="L370" s="56"/>
      <c r="M370" s="56"/>
      <c r="N370" s="11"/>
      <c r="O370" s="101"/>
      <c r="Q370" s="101"/>
      <c r="T370" s="101"/>
    </row>
    <row r="371" spans="1:20" s="106" customFormat="1" x14ac:dyDescent="0.15">
      <c r="A371" s="11"/>
      <c r="B371" s="10"/>
      <c r="C371" s="107"/>
      <c r="D371" s="10"/>
      <c r="E371" s="10"/>
      <c r="F371" s="107"/>
      <c r="G371" s="10"/>
      <c r="H371" s="10"/>
      <c r="I371" s="56"/>
      <c r="J371" s="56"/>
      <c r="K371" s="56"/>
      <c r="L371" s="56"/>
      <c r="M371" s="56"/>
      <c r="N371" s="11"/>
      <c r="O371" s="101"/>
      <c r="Q371" s="101"/>
      <c r="T371" s="101"/>
    </row>
    <row r="372" spans="1:20" s="106" customFormat="1" x14ac:dyDescent="0.15">
      <c r="A372" s="11"/>
      <c r="B372" s="10"/>
      <c r="C372" s="107"/>
      <c r="D372" s="10"/>
      <c r="E372" s="10"/>
      <c r="F372" s="107"/>
      <c r="G372" s="10"/>
      <c r="H372" s="10"/>
      <c r="I372" s="56"/>
      <c r="J372" s="56"/>
      <c r="K372" s="56"/>
      <c r="L372" s="56"/>
      <c r="M372" s="56"/>
      <c r="N372" s="11"/>
      <c r="O372" s="101"/>
      <c r="Q372" s="101"/>
      <c r="T372" s="101"/>
    </row>
    <row r="373" spans="1:20" s="106" customFormat="1" x14ac:dyDescent="0.15">
      <c r="A373" s="11"/>
      <c r="B373" s="10"/>
      <c r="C373" s="107"/>
      <c r="D373" s="10"/>
      <c r="E373" s="10"/>
      <c r="F373" s="107"/>
      <c r="G373" s="10"/>
      <c r="H373" s="10"/>
      <c r="I373" s="56"/>
      <c r="J373" s="56"/>
      <c r="K373" s="56"/>
      <c r="L373" s="56"/>
      <c r="M373" s="56"/>
      <c r="N373" s="11"/>
      <c r="O373" s="101"/>
      <c r="Q373" s="101"/>
      <c r="T373" s="101"/>
    </row>
    <row r="374" spans="1:20" s="106" customFormat="1" x14ac:dyDescent="0.15">
      <c r="A374" s="11"/>
      <c r="B374" s="10"/>
      <c r="C374" s="107"/>
      <c r="D374" s="10"/>
      <c r="E374" s="10"/>
      <c r="F374" s="107"/>
      <c r="G374" s="10"/>
      <c r="H374" s="10"/>
      <c r="I374" s="56"/>
      <c r="J374" s="56"/>
      <c r="K374" s="56"/>
      <c r="L374" s="56"/>
      <c r="M374" s="56"/>
      <c r="N374" s="11"/>
      <c r="O374" s="101"/>
      <c r="Q374" s="101"/>
      <c r="T374" s="101"/>
    </row>
    <row r="375" spans="1:20" s="106" customFormat="1" x14ac:dyDescent="0.15">
      <c r="A375" s="11"/>
      <c r="B375" s="10"/>
      <c r="C375" s="107"/>
      <c r="D375" s="10"/>
      <c r="E375" s="10"/>
      <c r="F375" s="107"/>
      <c r="G375" s="10"/>
      <c r="H375" s="10"/>
      <c r="I375" s="56"/>
      <c r="J375" s="56"/>
      <c r="K375" s="56"/>
      <c r="L375" s="56"/>
      <c r="M375" s="56"/>
      <c r="N375" s="11"/>
      <c r="O375" s="101"/>
      <c r="Q375" s="101"/>
      <c r="T375" s="101"/>
    </row>
    <row r="376" spans="1:20" s="106" customFormat="1" x14ac:dyDescent="0.15">
      <c r="A376" s="11"/>
      <c r="B376" s="10"/>
      <c r="C376" s="107"/>
      <c r="D376" s="10"/>
      <c r="E376" s="10"/>
      <c r="F376" s="107"/>
      <c r="G376" s="10"/>
      <c r="H376" s="10"/>
      <c r="I376" s="56"/>
      <c r="J376" s="56"/>
      <c r="K376" s="56"/>
      <c r="L376" s="56"/>
      <c r="M376" s="56"/>
      <c r="N376" s="11"/>
      <c r="O376" s="101"/>
      <c r="Q376" s="101"/>
      <c r="T376" s="101"/>
    </row>
    <row r="377" spans="1:20" s="106" customFormat="1" x14ac:dyDescent="0.15">
      <c r="A377" s="11"/>
      <c r="B377" s="10"/>
      <c r="C377" s="107"/>
      <c r="D377" s="10"/>
      <c r="E377" s="10"/>
      <c r="F377" s="107"/>
      <c r="G377" s="10"/>
      <c r="H377" s="10"/>
      <c r="I377" s="56"/>
      <c r="J377" s="56"/>
      <c r="K377" s="56"/>
      <c r="L377" s="56"/>
      <c r="M377" s="56"/>
      <c r="N377" s="11"/>
      <c r="O377" s="101"/>
      <c r="Q377" s="101"/>
      <c r="T377" s="101"/>
    </row>
    <row r="378" spans="1:20" s="106" customFormat="1" x14ac:dyDescent="0.15">
      <c r="A378" s="11"/>
      <c r="B378" s="10"/>
      <c r="C378" s="107"/>
      <c r="D378" s="10"/>
      <c r="E378" s="10"/>
      <c r="F378" s="107"/>
      <c r="G378" s="10"/>
      <c r="H378" s="10"/>
      <c r="I378" s="56"/>
      <c r="J378" s="56"/>
      <c r="K378" s="56"/>
      <c r="L378" s="56"/>
      <c r="M378" s="56"/>
      <c r="N378" s="11"/>
      <c r="O378" s="101"/>
      <c r="Q378" s="101"/>
      <c r="T378" s="101"/>
    </row>
    <row r="379" spans="1:20" s="106" customFormat="1" x14ac:dyDescent="0.15">
      <c r="A379" s="11"/>
      <c r="B379" s="10"/>
      <c r="C379" s="107"/>
      <c r="D379" s="10"/>
      <c r="E379" s="10"/>
      <c r="F379" s="107"/>
      <c r="G379" s="10"/>
      <c r="H379" s="10"/>
      <c r="I379" s="56"/>
      <c r="J379" s="56"/>
      <c r="K379" s="56"/>
      <c r="L379" s="56"/>
      <c r="M379" s="56"/>
      <c r="N379" s="11"/>
      <c r="O379" s="101"/>
      <c r="Q379" s="101"/>
      <c r="T379" s="101"/>
    </row>
    <row r="380" spans="1:20" s="106" customFormat="1" x14ac:dyDescent="0.15">
      <c r="A380" s="11"/>
      <c r="B380" s="10"/>
      <c r="C380" s="107"/>
      <c r="D380" s="10"/>
      <c r="E380" s="10"/>
      <c r="F380" s="107"/>
      <c r="G380" s="10"/>
      <c r="H380" s="10"/>
      <c r="I380" s="56"/>
      <c r="J380" s="56"/>
      <c r="K380" s="56"/>
      <c r="L380" s="56"/>
      <c r="M380" s="56"/>
      <c r="N380" s="11"/>
      <c r="O380" s="101"/>
      <c r="Q380" s="101"/>
      <c r="T380" s="101"/>
    </row>
    <row r="381" spans="1:20" s="106" customFormat="1" x14ac:dyDescent="0.15">
      <c r="A381" s="11"/>
      <c r="B381" s="10"/>
      <c r="C381" s="107"/>
      <c r="D381" s="10"/>
      <c r="E381" s="10"/>
      <c r="F381" s="107"/>
      <c r="G381" s="10"/>
      <c r="H381" s="10"/>
      <c r="I381" s="56"/>
      <c r="J381" s="56"/>
      <c r="K381" s="56"/>
      <c r="L381" s="56"/>
      <c r="M381" s="56"/>
      <c r="N381" s="11"/>
      <c r="O381" s="101"/>
      <c r="Q381" s="101"/>
      <c r="T381" s="101"/>
    </row>
    <row r="382" spans="1:20" s="106" customFormat="1" x14ac:dyDescent="0.15">
      <c r="A382" s="11"/>
      <c r="B382" s="10"/>
      <c r="C382" s="107"/>
      <c r="D382" s="10"/>
      <c r="E382" s="10"/>
      <c r="F382" s="107"/>
      <c r="G382" s="10"/>
      <c r="H382" s="10"/>
      <c r="I382" s="56"/>
      <c r="J382" s="56"/>
      <c r="K382" s="56"/>
      <c r="L382" s="56"/>
      <c r="M382" s="56"/>
      <c r="N382" s="11"/>
      <c r="O382" s="101"/>
      <c r="Q382" s="101"/>
      <c r="T382" s="101"/>
    </row>
    <row r="383" spans="1:20" s="106" customFormat="1" x14ac:dyDescent="0.15">
      <c r="A383" s="11"/>
      <c r="B383" s="10"/>
      <c r="C383" s="107"/>
      <c r="D383" s="10"/>
      <c r="E383" s="10"/>
      <c r="F383" s="107"/>
      <c r="G383" s="10"/>
      <c r="H383" s="10"/>
      <c r="I383" s="56"/>
      <c r="J383" s="56"/>
      <c r="K383" s="56"/>
      <c r="L383" s="56"/>
      <c r="M383" s="56"/>
      <c r="N383" s="11"/>
      <c r="O383" s="101"/>
      <c r="Q383" s="101"/>
      <c r="T383" s="101"/>
    </row>
    <row r="384" spans="1:20" s="106" customFormat="1" x14ac:dyDescent="0.15">
      <c r="A384" s="11"/>
      <c r="B384" s="10"/>
      <c r="C384" s="107"/>
      <c r="D384" s="10"/>
      <c r="E384" s="10"/>
      <c r="F384" s="107"/>
      <c r="G384" s="10"/>
      <c r="H384" s="10"/>
      <c r="I384" s="56"/>
      <c r="J384" s="56"/>
      <c r="K384" s="56"/>
      <c r="L384" s="56"/>
      <c r="M384" s="56"/>
      <c r="N384" s="11"/>
      <c r="O384" s="101"/>
      <c r="Q384" s="101"/>
      <c r="T384" s="101"/>
    </row>
    <row r="385" spans="1:20" s="106" customFormat="1" x14ac:dyDescent="0.15">
      <c r="A385" s="11"/>
      <c r="B385" s="10"/>
      <c r="C385" s="107"/>
      <c r="D385" s="10"/>
      <c r="E385" s="10"/>
      <c r="F385" s="107"/>
      <c r="G385" s="10"/>
      <c r="H385" s="10"/>
      <c r="I385" s="56"/>
      <c r="J385" s="56"/>
      <c r="K385" s="56"/>
      <c r="L385" s="56"/>
      <c r="M385" s="56"/>
      <c r="N385" s="11"/>
      <c r="O385" s="101"/>
      <c r="Q385" s="101"/>
      <c r="T385" s="101"/>
    </row>
    <row r="386" spans="1:20" s="106" customFormat="1" x14ac:dyDescent="0.15">
      <c r="A386" s="11"/>
      <c r="B386" s="10"/>
      <c r="C386" s="107"/>
      <c r="D386" s="10"/>
      <c r="E386" s="10"/>
      <c r="F386" s="107"/>
      <c r="G386" s="10"/>
      <c r="H386" s="10"/>
      <c r="I386" s="56"/>
      <c r="J386" s="56"/>
      <c r="K386" s="56"/>
      <c r="L386" s="56"/>
      <c r="M386" s="56"/>
      <c r="N386" s="11"/>
      <c r="O386" s="101"/>
      <c r="Q386" s="101"/>
      <c r="T386" s="101"/>
    </row>
    <row r="387" spans="1:20" s="106" customFormat="1" x14ac:dyDescent="0.15">
      <c r="A387" s="11"/>
      <c r="B387" s="10"/>
      <c r="C387" s="107"/>
      <c r="D387" s="10"/>
      <c r="E387" s="10"/>
      <c r="F387" s="107"/>
      <c r="G387" s="10"/>
      <c r="H387" s="10"/>
      <c r="I387" s="56"/>
      <c r="J387" s="56"/>
      <c r="K387" s="56"/>
      <c r="L387" s="56"/>
      <c r="M387" s="56"/>
      <c r="N387" s="11"/>
      <c r="O387" s="101"/>
      <c r="Q387" s="101"/>
      <c r="T387" s="101"/>
    </row>
    <row r="388" spans="1:20" s="106" customFormat="1" x14ac:dyDescent="0.15">
      <c r="A388" s="11"/>
      <c r="B388" s="10"/>
      <c r="C388" s="107"/>
      <c r="D388" s="10"/>
      <c r="E388" s="10"/>
      <c r="F388" s="107"/>
      <c r="G388" s="10"/>
      <c r="H388" s="10"/>
      <c r="I388" s="56"/>
      <c r="J388" s="56"/>
      <c r="K388" s="56"/>
      <c r="L388" s="56"/>
      <c r="M388" s="56"/>
      <c r="N388" s="11"/>
      <c r="O388" s="101"/>
      <c r="Q388" s="101"/>
      <c r="T388" s="101"/>
    </row>
    <row r="389" spans="1:20" s="106" customFormat="1" x14ac:dyDescent="0.15">
      <c r="A389" s="11"/>
      <c r="B389" s="10"/>
      <c r="C389" s="107"/>
      <c r="D389" s="10"/>
      <c r="E389" s="10"/>
      <c r="F389" s="107"/>
      <c r="G389" s="10"/>
      <c r="H389" s="10"/>
      <c r="I389" s="56"/>
      <c r="J389" s="56"/>
      <c r="K389" s="56"/>
      <c r="L389" s="56"/>
      <c r="M389" s="56"/>
      <c r="N389" s="11"/>
      <c r="O389" s="101"/>
      <c r="Q389" s="101"/>
      <c r="T389" s="101"/>
    </row>
    <row r="390" spans="1:20" s="106" customFormat="1" x14ac:dyDescent="0.15">
      <c r="A390" s="11"/>
      <c r="B390" s="10"/>
      <c r="C390" s="107"/>
      <c r="D390" s="10"/>
      <c r="E390" s="10"/>
      <c r="F390" s="107"/>
      <c r="G390" s="10"/>
      <c r="H390" s="10"/>
      <c r="I390" s="56"/>
      <c r="J390" s="56"/>
      <c r="K390" s="56"/>
      <c r="L390" s="56"/>
      <c r="M390" s="56"/>
      <c r="N390" s="11"/>
      <c r="O390" s="101"/>
      <c r="Q390" s="101"/>
      <c r="T390" s="101"/>
    </row>
    <row r="391" spans="1:20" s="106" customFormat="1" x14ac:dyDescent="0.15">
      <c r="A391" s="11"/>
      <c r="B391" s="10"/>
      <c r="C391" s="107"/>
      <c r="D391" s="10"/>
      <c r="E391" s="10"/>
      <c r="F391" s="107"/>
      <c r="G391" s="10"/>
      <c r="H391" s="10"/>
      <c r="I391" s="56"/>
      <c r="J391" s="56"/>
      <c r="K391" s="56"/>
      <c r="L391" s="56"/>
      <c r="M391" s="56"/>
      <c r="N391" s="11"/>
      <c r="O391" s="101"/>
      <c r="Q391" s="101"/>
      <c r="T391" s="101"/>
    </row>
    <row r="392" spans="1:20" s="106" customFormat="1" x14ac:dyDescent="0.15">
      <c r="A392" s="11"/>
      <c r="B392" s="10"/>
      <c r="C392" s="107"/>
      <c r="D392" s="10"/>
      <c r="E392" s="10"/>
      <c r="F392" s="107"/>
      <c r="G392" s="10"/>
      <c r="H392" s="10"/>
      <c r="I392" s="56"/>
      <c r="J392" s="56"/>
      <c r="K392" s="56"/>
      <c r="L392" s="56"/>
      <c r="M392" s="56"/>
      <c r="N392" s="11"/>
      <c r="O392" s="101"/>
      <c r="Q392" s="101"/>
      <c r="T392" s="101"/>
    </row>
    <row r="393" spans="1:20" s="106" customFormat="1" x14ac:dyDescent="0.15">
      <c r="A393" s="11"/>
      <c r="B393" s="10"/>
      <c r="C393" s="107"/>
      <c r="D393" s="10"/>
      <c r="E393" s="10"/>
      <c r="F393" s="107"/>
      <c r="G393" s="10"/>
      <c r="H393" s="10"/>
      <c r="I393" s="56"/>
      <c r="J393" s="56"/>
      <c r="K393" s="56"/>
      <c r="L393" s="56"/>
      <c r="M393" s="56"/>
      <c r="N393" s="11"/>
      <c r="O393" s="101"/>
      <c r="Q393" s="101"/>
      <c r="T393" s="101"/>
    </row>
    <row r="394" spans="1:20" s="106" customFormat="1" x14ac:dyDescent="0.15">
      <c r="A394" s="11"/>
      <c r="B394" s="10"/>
      <c r="C394" s="107"/>
      <c r="D394" s="10"/>
      <c r="E394" s="10"/>
      <c r="F394" s="107"/>
      <c r="G394" s="10"/>
      <c r="H394" s="10"/>
      <c r="I394" s="56"/>
      <c r="J394" s="56"/>
      <c r="K394" s="56"/>
      <c r="L394" s="56"/>
      <c r="M394" s="56"/>
      <c r="N394" s="11"/>
      <c r="O394" s="101"/>
      <c r="Q394" s="101"/>
      <c r="T394" s="101"/>
    </row>
    <row r="395" spans="1:20" s="106" customFormat="1" x14ac:dyDescent="0.15">
      <c r="A395" s="11"/>
      <c r="B395" s="10"/>
      <c r="C395" s="107"/>
      <c r="D395" s="10"/>
      <c r="E395" s="10"/>
      <c r="F395" s="107"/>
      <c r="G395" s="10"/>
      <c r="H395" s="10"/>
      <c r="I395" s="56"/>
      <c r="J395" s="56"/>
      <c r="K395" s="56"/>
      <c r="L395" s="56"/>
      <c r="M395" s="56"/>
      <c r="N395" s="11"/>
      <c r="O395" s="101"/>
      <c r="Q395" s="101"/>
      <c r="T395" s="101"/>
    </row>
    <row r="396" spans="1:20" s="106" customFormat="1" x14ac:dyDescent="0.15">
      <c r="A396" s="11"/>
      <c r="B396" s="10"/>
      <c r="C396" s="107"/>
      <c r="D396" s="10"/>
      <c r="E396" s="10"/>
      <c r="F396" s="107"/>
      <c r="G396" s="10"/>
      <c r="H396" s="10"/>
      <c r="I396" s="56"/>
      <c r="J396" s="56"/>
      <c r="K396" s="56"/>
      <c r="L396" s="56"/>
      <c r="M396" s="56"/>
      <c r="N396" s="11"/>
      <c r="O396" s="101"/>
      <c r="Q396" s="101"/>
      <c r="T396" s="101"/>
    </row>
    <row r="397" spans="1:20" s="106" customFormat="1" x14ac:dyDescent="0.15">
      <c r="A397" s="11"/>
      <c r="B397" s="10"/>
      <c r="C397" s="107"/>
      <c r="D397" s="10"/>
      <c r="E397" s="10"/>
      <c r="F397" s="107"/>
      <c r="G397" s="10"/>
      <c r="H397" s="10"/>
      <c r="I397" s="56"/>
      <c r="J397" s="56"/>
      <c r="K397" s="56"/>
      <c r="L397" s="56"/>
      <c r="M397" s="56"/>
      <c r="N397" s="11"/>
      <c r="O397" s="101"/>
      <c r="Q397" s="101"/>
      <c r="T397" s="101"/>
    </row>
    <row r="398" spans="1:20" s="106" customFormat="1" x14ac:dyDescent="0.15">
      <c r="A398" s="11"/>
      <c r="B398" s="10"/>
      <c r="C398" s="107"/>
      <c r="D398" s="10"/>
      <c r="E398" s="10"/>
      <c r="F398" s="107"/>
      <c r="G398" s="10"/>
      <c r="H398" s="10"/>
      <c r="I398" s="56"/>
      <c r="J398" s="56"/>
      <c r="K398" s="56"/>
      <c r="L398" s="56"/>
      <c r="M398" s="56"/>
      <c r="N398" s="11"/>
      <c r="O398" s="101"/>
      <c r="Q398" s="101"/>
      <c r="T398" s="101"/>
    </row>
    <row r="399" spans="1:20" s="106" customFormat="1" x14ac:dyDescent="0.15">
      <c r="A399" s="11"/>
      <c r="B399" s="10"/>
      <c r="C399" s="107"/>
      <c r="D399" s="10"/>
      <c r="E399" s="10"/>
      <c r="F399" s="107"/>
      <c r="G399" s="10"/>
      <c r="H399" s="10"/>
      <c r="I399" s="56"/>
      <c r="J399" s="56"/>
      <c r="K399" s="56"/>
      <c r="L399" s="56"/>
      <c r="M399" s="56"/>
      <c r="N399" s="11"/>
      <c r="O399" s="101"/>
      <c r="Q399" s="101"/>
      <c r="T399" s="101"/>
    </row>
    <row r="400" spans="1:20" s="106" customFormat="1" x14ac:dyDescent="0.15">
      <c r="A400" s="11"/>
      <c r="B400" s="10"/>
      <c r="C400" s="107"/>
      <c r="D400" s="10"/>
      <c r="E400" s="10"/>
      <c r="F400" s="107"/>
      <c r="G400" s="10"/>
      <c r="H400" s="10"/>
      <c r="I400" s="56"/>
      <c r="J400" s="56"/>
      <c r="K400" s="56"/>
      <c r="L400" s="56"/>
      <c r="M400" s="56"/>
      <c r="N400" s="11"/>
      <c r="O400" s="101"/>
      <c r="Q400" s="101"/>
      <c r="T400" s="101"/>
    </row>
    <row r="401" spans="1:20" s="106" customFormat="1" x14ac:dyDescent="0.15">
      <c r="A401" s="11"/>
      <c r="B401" s="10"/>
      <c r="C401" s="107"/>
      <c r="D401" s="10"/>
      <c r="E401" s="10"/>
      <c r="F401" s="107"/>
      <c r="G401" s="10"/>
      <c r="H401" s="10"/>
      <c r="I401" s="56"/>
      <c r="J401" s="56"/>
      <c r="K401" s="56"/>
      <c r="L401" s="56"/>
      <c r="M401" s="56"/>
      <c r="N401" s="11"/>
      <c r="O401" s="101"/>
      <c r="Q401" s="101"/>
      <c r="T401" s="101"/>
    </row>
    <row r="402" spans="1:20" s="106" customFormat="1" x14ac:dyDescent="0.15">
      <c r="A402" s="11"/>
      <c r="B402" s="10"/>
      <c r="C402" s="107"/>
      <c r="D402" s="10"/>
      <c r="E402" s="10"/>
      <c r="F402" s="107"/>
      <c r="G402" s="10"/>
      <c r="H402" s="10"/>
      <c r="I402" s="56"/>
      <c r="J402" s="56"/>
      <c r="K402" s="56"/>
      <c r="L402" s="56"/>
      <c r="M402" s="56"/>
      <c r="N402" s="11"/>
      <c r="O402" s="101"/>
      <c r="Q402" s="101"/>
      <c r="T402" s="101"/>
    </row>
    <row r="403" spans="1:20" s="106" customFormat="1" x14ac:dyDescent="0.15">
      <c r="A403" s="11"/>
      <c r="B403" s="10"/>
      <c r="C403" s="107"/>
      <c r="D403" s="10"/>
      <c r="E403" s="10"/>
      <c r="F403" s="107"/>
      <c r="G403" s="10"/>
      <c r="H403" s="10"/>
      <c r="I403" s="56"/>
      <c r="J403" s="56"/>
      <c r="K403" s="56"/>
      <c r="L403" s="56"/>
      <c r="M403" s="56"/>
      <c r="N403" s="11"/>
      <c r="O403" s="101"/>
      <c r="Q403" s="101"/>
      <c r="T403" s="101"/>
    </row>
    <row r="404" spans="1:20" s="106" customFormat="1" x14ac:dyDescent="0.15">
      <c r="A404" s="11"/>
      <c r="B404" s="10"/>
      <c r="C404" s="107"/>
      <c r="D404" s="10"/>
      <c r="E404" s="10"/>
      <c r="F404" s="107"/>
      <c r="G404" s="10"/>
      <c r="H404" s="10"/>
      <c r="I404" s="56"/>
      <c r="J404" s="56"/>
      <c r="K404" s="56"/>
      <c r="L404" s="56"/>
      <c r="M404" s="56"/>
      <c r="N404" s="11"/>
      <c r="O404" s="101"/>
      <c r="Q404" s="101"/>
      <c r="T404" s="101"/>
    </row>
    <row r="405" spans="1:20" s="106" customFormat="1" x14ac:dyDescent="0.15">
      <c r="A405" s="11"/>
      <c r="B405" s="10"/>
      <c r="C405" s="107"/>
      <c r="D405" s="10"/>
      <c r="E405" s="10"/>
      <c r="F405" s="107"/>
      <c r="G405" s="10"/>
      <c r="H405" s="10"/>
      <c r="I405" s="56"/>
      <c r="J405" s="56"/>
      <c r="K405" s="56"/>
      <c r="L405" s="56"/>
      <c r="M405" s="56"/>
      <c r="N405" s="11"/>
      <c r="O405" s="101"/>
      <c r="Q405" s="101"/>
      <c r="T405" s="101"/>
    </row>
    <row r="406" spans="1:20" s="106" customFormat="1" x14ac:dyDescent="0.15">
      <c r="A406" s="11"/>
      <c r="B406" s="10"/>
      <c r="C406" s="107"/>
      <c r="D406" s="10"/>
      <c r="E406" s="10"/>
      <c r="F406" s="107"/>
      <c r="G406" s="10"/>
      <c r="H406" s="10"/>
      <c r="I406" s="56"/>
      <c r="J406" s="56"/>
      <c r="K406" s="56"/>
      <c r="L406" s="56"/>
      <c r="M406" s="56"/>
      <c r="N406" s="11"/>
      <c r="O406" s="101"/>
      <c r="Q406" s="101"/>
      <c r="T406" s="101"/>
    </row>
    <row r="407" spans="1:20" s="106" customFormat="1" x14ac:dyDescent="0.15">
      <c r="A407" s="11"/>
      <c r="B407" s="10"/>
      <c r="C407" s="107"/>
      <c r="D407" s="10"/>
      <c r="E407" s="10"/>
      <c r="F407" s="107"/>
      <c r="G407" s="10"/>
      <c r="H407" s="10"/>
      <c r="I407" s="56"/>
      <c r="J407" s="56"/>
      <c r="K407" s="56"/>
      <c r="L407" s="56"/>
      <c r="M407" s="56"/>
      <c r="N407" s="11"/>
      <c r="O407" s="101"/>
      <c r="Q407" s="101"/>
      <c r="T407" s="101"/>
    </row>
    <row r="408" spans="1:20" s="106" customFormat="1" x14ac:dyDescent="0.15">
      <c r="A408" s="11"/>
      <c r="B408" s="10"/>
      <c r="C408" s="107"/>
      <c r="D408" s="10"/>
      <c r="E408" s="10"/>
      <c r="F408" s="107"/>
      <c r="G408" s="10"/>
      <c r="H408" s="10"/>
      <c r="I408" s="56"/>
      <c r="J408" s="56"/>
      <c r="K408" s="56"/>
      <c r="L408" s="56"/>
      <c r="M408" s="56"/>
      <c r="N408" s="11"/>
      <c r="O408" s="101"/>
      <c r="Q408" s="101"/>
      <c r="T408" s="101"/>
    </row>
    <row r="409" spans="1:20" s="106" customFormat="1" x14ac:dyDescent="0.15">
      <c r="A409" s="11"/>
      <c r="B409" s="10"/>
      <c r="C409" s="107"/>
      <c r="D409" s="10"/>
      <c r="E409" s="10"/>
      <c r="F409" s="107"/>
      <c r="G409" s="10"/>
      <c r="H409" s="10"/>
      <c r="I409" s="56"/>
      <c r="J409" s="56"/>
      <c r="K409" s="56"/>
      <c r="L409" s="56"/>
      <c r="M409" s="56"/>
      <c r="N409" s="11"/>
      <c r="O409" s="101"/>
      <c r="Q409" s="101"/>
      <c r="T409" s="101"/>
    </row>
    <row r="410" spans="1:20" s="106" customFormat="1" x14ac:dyDescent="0.15">
      <c r="A410" s="11"/>
      <c r="B410" s="10"/>
      <c r="C410" s="107"/>
      <c r="D410" s="10"/>
      <c r="E410" s="10"/>
      <c r="F410" s="107"/>
      <c r="G410" s="10"/>
      <c r="H410" s="10"/>
      <c r="I410" s="56"/>
      <c r="J410" s="56"/>
      <c r="K410" s="56"/>
      <c r="L410" s="56"/>
      <c r="M410" s="56"/>
      <c r="N410" s="11"/>
      <c r="O410" s="101"/>
      <c r="Q410" s="101"/>
      <c r="T410" s="101"/>
    </row>
    <row r="411" spans="1:20" s="106" customFormat="1" x14ac:dyDescent="0.15">
      <c r="A411" s="11"/>
      <c r="B411" s="10"/>
      <c r="C411" s="107"/>
      <c r="D411" s="10"/>
      <c r="E411" s="10"/>
      <c r="F411" s="107"/>
      <c r="G411" s="10"/>
      <c r="H411" s="10"/>
      <c r="I411" s="56"/>
      <c r="J411" s="56"/>
      <c r="K411" s="56"/>
      <c r="L411" s="56"/>
      <c r="M411" s="56"/>
      <c r="N411" s="11"/>
      <c r="O411" s="101"/>
      <c r="Q411" s="101"/>
      <c r="T411" s="101"/>
    </row>
    <row r="412" spans="1:20" s="106" customFormat="1" x14ac:dyDescent="0.15">
      <c r="A412" s="11"/>
      <c r="B412" s="10"/>
      <c r="C412" s="107"/>
      <c r="D412" s="10"/>
      <c r="E412" s="10"/>
      <c r="F412" s="107"/>
      <c r="G412" s="10"/>
      <c r="H412" s="10"/>
      <c r="I412" s="56"/>
      <c r="J412" s="56"/>
      <c r="K412" s="56"/>
      <c r="L412" s="56"/>
      <c r="M412" s="56"/>
      <c r="N412" s="11"/>
      <c r="O412" s="101"/>
      <c r="Q412" s="101"/>
      <c r="T412" s="101"/>
    </row>
    <row r="413" spans="1:20" s="106" customFormat="1" x14ac:dyDescent="0.15">
      <c r="A413" s="11"/>
      <c r="B413" s="10"/>
      <c r="C413" s="107"/>
      <c r="D413" s="10"/>
      <c r="E413" s="10"/>
      <c r="F413" s="107"/>
      <c r="G413" s="10"/>
      <c r="H413" s="10"/>
      <c r="I413" s="56"/>
      <c r="J413" s="56"/>
      <c r="K413" s="56"/>
      <c r="L413" s="56"/>
      <c r="M413" s="56"/>
      <c r="N413" s="11"/>
      <c r="O413" s="101"/>
      <c r="Q413" s="101"/>
      <c r="T413" s="101"/>
    </row>
    <row r="414" spans="1:20" s="106" customFormat="1" x14ac:dyDescent="0.15">
      <c r="A414" s="11"/>
      <c r="B414" s="10"/>
      <c r="C414" s="107"/>
      <c r="D414" s="10"/>
      <c r="E414" s="10"/>
      <c r="F414" s="107"/>
      <c r="G414" s="10"/>
      <c r="H414" s="10"/>
      <c r="I414" s="56"/>
      <c r="J414" s="56"/>
      <c r="K414" s="56"/>
      <c r="L414" s="56"/>
      <c r="M414" s="56"/>
      <c r="N414" s="11"/>
      <c r="O414" s="101"/>
      <c r="Q414" s="101"/>
      <c r="T414" s="101"/>
    </row>
    <row r="415" spans="1:20" s="106" customFormat="1" x14ac:dyDescent="0.15">
      <c r="A415" s="11"/>
      <c r="B415" s="10"/>
      <c r="C415" s="107"/>
      <c r="D415" s="10"/>
      <c r="E415" s="10"/>
      <c r="F415" s="107"/>
      <c r="G415" s="10"/>
      <c r="H415" s="10"/>
      <c r="I415" s="56"/>
      <c r="J415" s="56"/>
      <c r="K415" s="56"/>
      <c r="L415" s="56"/>
      <c r="M415" s="56"/>
      <c r="N415" s="11"/>
      <c r="O415" s="101"/>
      <c r="Q415" s="101"/>
      <c r="T415" s="101"/>
    </row>
    <row r="416" spans="1:20" s="106" customFormat="1" x14ac:dyDescent="0.15">
      <c r="A416" s="11"/>
      <c r="B416" s="10"/>
      <c r="C416" s="107"/>
      <c r="D416" s="10"/>
      <c r="E416" s="10"/>
      <c r="F416" s="107"/>
      <c r="G416" s="10"/>
      <c r="H416" s="10"/>
      <c r="I416" s="56"/>
      <c r="J416" s="56"/>
      <c r="K416" s="56"/>
      <c r="L416" s="56"/>
      <c r="M416" s="56"/>
      <c r="N416" s="11"/>
      <c r="O416" s="101"/>
      <c r="Q416" s="101"/>
      <c r="T416" s="101"/>
    </row>
    <row r="417" spans="1:20" s="106" customFormat="1" x14ac:dyDescent="0.15">
      <c r="A417" s="11"/>
      <c r="B417" s="10"/>
      <c r="C417" s="107"/>
      <c r="D417" s="10"/>
      <c r="E417" s="10"/>
      <c r="F417" s="107"/>
      <c r="G417" s="10"/>
      <c r="H417" s="10"/>
      <c r="I417" s="56"/>
      <c r="J417" s="56"/>
      <c r="K417" s="56"/>
      <c r="L417" s="56"/>
      <c r="M417" s="56"/>
      <c r="N417" s="11"/>
      <c r="O417" s="101"/>
      <c r="Q417" s="101"/>
      <c r="T417" s="101"/>
    </row>
    <row r="418" spans="1:20" s="106" customFormat="1" x14ac:dyDescent="0.15">
      <c r="A418" s="11"/>
      <c r="B418" s="10"/>
      <c r="C418" s="107"/>
      <c r="D418" s="10"/>
      <c r="E418" s="10"/>
      <c r="F418" s="107"/>
      <c r="G418" s="10"/>
      <c r="H418" s="10"/>
      <c r="I418" s="56"/>
      <c r="J418" s="56"/>
      <c r="K418" s="56"/>
      <c r="L418" s="56"/>
      <c r="M418" s="56"/>
      <c r="N418" s="11"/>
      <c r="O418" s="101"/>
      <c r="Q418" s="101"/>
      <c r="T418" s="101"/>
    </row>
    <row r="419" spans="1:20" s="106" customFormat="1" x14ac:dyDescent="0.15">
      <c r="A419" s="11"/>
      <c r="B419" s="10"/>
      <c r="C419" s="107"/>
      <c r="D419" s="10"/>
      <c r="E419" s="10"/>
      <c r="F419" s="107"/>
      <c r="G419" s="10"/>
      <c r="H419" s="10"/>
      <c r="I419" s="56"/>
      <c r="J419" s="56"/>
      <c r="K419" s="56"/>
      <c r="L419" s="56"/>
      <c r="M419" s="56"/>
      <c r="N419" s="11"/>
      <c r="O419" s="101"/>
      <c r="Q419" s="101"/>
      <c r="T419" s="101"/>
    </row>
    <row r="420" spans="1:20" s="106" customFormat="1" x14ac:dyDescent="0.15">
      <c r="A420" s="11"/>
      <c r="B420" s="10"/>
      <c r="C420" s="107"/>
      <c r="D420" s="10"/>
      <c r="E420" s="10"/>
      <c r="F420" s="107"/>
      <c r="G420" s="10"/>
      <c r="H420" s="10"/>
      <c r="I420" s="56"/>
      <c r="J420" s="56"/>
      <c r="K420" s="56"/>
      <c r="L420" s="56"/>
      <c r="M420" s="56"/>
      <c r="N420" s="11"/>
      <c r="O420" s="101"/>
      <c r="Q420" s="101"/>
      <c r="T420" s="101"/>
    </row>
    <row r="421" spans="1:20" s="106" customFormat="1" x14ac:dyDescent="0.15">
      <c r="A421" s="11"/>
      <c r="B421" s="10"/>
      <c r="C421" s="107"/>
      <c r="D421" s="10"/>
      <c r="E421" s="10"/>
      <c r="F421" s="107"/>
      <c r="G421" s="10"/>
      <c r="H421" s="10"/>
      <c r="I421" s="56"/>
      <c r="J421" s="56"/>
      <c r="K421" s="56"/>
      <c r="L421" s="56"/>
      <c r="M421" s="56"/>
      <c r="N421" s="11"/>
      <c r="O421" s="101"/>
      <c r="Q421" s="101"/>
      <c r="T421" s="101"/>
    </row>
    <row r="422" spans="1:20" s="106" customFormat="1" x14ac:dyDescent="0.15">
      <c r="A422" s="11"/>
      <c r="B422" s="10"/>
      <c r="C422" s="107"/>
      <c r="D422" s="10"/>
      <c r="E422" s="10"/>
      <c r="F422" s="107"/>
      <c r="G422" s="10"/>
      <c r="H422" s="10"/>
      <c r="I422" s="56"/>
      <c r="J422" s="56"/>
      <c r="K422" s="56"/>
      <c r="L422" s="56"/>
      <c r="M422" s="56"/>
      <c r="N422" s="11"/>
      <c r="O422" s="101"/>
      <c r="Q422" s="101"/>
      <c r="T422" s="101"/>
    </row>
    <row r="423" spans="1:20" s="106" customFormat="1" x14ac:dyDescent="0.15">
      <c r="A423" s="11"/>
      <c r="B423" s="10"/>
      <c r="C423" s="107"/>
      <c r="D423" s="10"/>
      <c r="E423" s="10"/>
      <c r="F423" s="107"/>
      <c r="G423" s="10"/>
      <c r="H423" s="10"/>
      <c r="I423" s="56"/>
      <c r="J423" s="56"/>
      <c r="K423" s="56"/>
      <c r="L423" s="56"/>
      <c r="M423" s="56"/>
      <c r="N423" s="11"/>
      <c r="O423" s="101"/>
      <c r="Q423" s="101"/>
      <c r="T423" s="101"/>
    </row>
    <row r="424" spans="1:20" s="106" customFormat="1" x14ac:dyDescent="0.15">
      <c r="A424" s="11"/>
      <c r="B424" s="10"/>
      <c r="C424" s="107"/>
      <c r="D424" s="10"/>
      <c r="E424" s="10"/>
      <c r="F424" s="107"/>
      <c r="G424" s="10"/>
      <c r="H424" s="10"/>
      <c r="I424" s="56"/>
      <c r="J424" s="56"/>
      <c r="K424" s="56"/>
      <c r="L424" s="56"/>
      <c r="M424" s="56"/>
      <c r="N424" s="11"/>
      <c r="O424" s="101"/>
      <c r="Q424" s="101"/>
      <c r="T424" s="101"/>
    </row>
    <row r="425" spans="1:20" s="106" customFormat="1" x14ac:dyDescent="0.15">
      <c r="A425" s="11"/>
      <c r="B425" s="10"/>
      <c r="C425" s="107"/>
      <c r="D425" s="10"/>
      <c r="E425" s="10"/>
      <c r="F425" s="107"/>
      <c r="G425" s="10"/>
      <c r="H425" s="10"/>
      <c r="I425" s="56"/>
      <c r="J425" s="56"/>
      <c r="K425" s="56"/>
      <c r="L425" s="56"/>
      <c r="M425" s="56"/>
      <c r="N425" s="11"/>
      <c r="O425" s="101"/>
      <c r="Q425" s="101"/>
      <c r="T425" s="101"/>
    </row>
    <row r="426" spans="1:20" s="106" customFormat="1" x14ac:dyDescent="0.15">
      <c r="A426" s="11"/>
      <c r="B426" s="10"/>
      <c r="C426" s="107"/>
      <c r="D426" s="10"/>
      <c r="E426" s="10"/>
      <c r="F426" s="107"/>
      <c r="G426" s="10"/>
      <c r="H426" s="10"/>
      <c r="I426" s="56"/>
      <c r="J426" s="56"/>
      <c r="K426" s="56"/>
      <c r="L426" s="56"/>
      <c r="M426" s="56"/>
      <c r="N426" s="11"/>
      <c r="O426" s="101"/>
      <c r="Q426" s="101"/>
      <c r="T426" s="101"/>
    </row>
    <row r="427" spans="1:20" s="106" customFormat="1" x14ac:dyDescent="0.15">
      <c r="A427" s="11"/>
      <c r="B427" s="10"/>
      <c r="C427" s="107"/>
      <c r="D427" s="10"/>
      <c r="E427" s="10"/>
      <c r="F427" s="107"/>
      <c r="G427" s="10"/>
      <c r="H427" s="10"/>
      <c r="I427" s="56"/>
      <c r="J427" s="56"/>
      <c r="K427" s="56"/>
      <c r="L427" s="56"/>
      <c r="M427" s="56"/>
      <c r="N427" s="11"/>
      <c r="O427" s="101"/>
      <c r="Q427" s="101"/>
      <c r="T427" s="101"/>
    </row>
    <row r="428" spans="1:20" s="106" customFormat="1" x14ac:dyDescent="0.15">
      <c r="A428" s="11"/>
      <c r="B428" s="10"/>
      <c r="C428" s="107"/>
      <c r="D428" s="10"/>
      <c r="E428" s="10"/>
      <c r="F428" s="107"/>
      <c r="G428" s="10"/>
      <c r="H428" s="10"/>
      <c r="I428" s="56"/>
      <c r="J428" s="56"/>
      <c r="K428" s="56"/>
      <c r="L428" s="56"/>
      <c r="M428" s="56"/>
      <c r="N428" s="11"/>
      <c r="O428" s="101"/>
      <c r="Q428" s="101"/>
      <c r="T428" s="101"/>
    </row>
    <row r="429" spans="1:20" s="106" customFormat="1" x14ac:dyDescent="0.15">
      <c r="A429" s="11"/>
      <c r="B429" s="10"/>
      <c r="C429" s="107"/>
      <c r="D429" s="10"/>
      <c r="E429" s="10"/>
      <c r="F429" s="107"/>
      <c r="G429" s="10"/>
      <c r="H429" s="10"/>
      <c r="I429" s="56"/>
      <c r="J429" s="56"/>
      <c r="K429" s="56"/>
      <c r="L429" s="56"/>
      <c r="M429" s="56"/>
      <c r="N429" s="11"/>
      <c r="O429" s="101"/>
      <c r="Q429" s="101"/>
      <c r="T429" s="101"/>
    </row>
    <row r="430" spans="1:20" s="106" customFormat="1" x14ac:dyDescent="0.15">
      <c r="A430" s="11"/>
      <c r="B430" s="10"/>
      <c r="C430" s="107"/>
      <c r="D430" s="10"/>
      <c r="E430" s="10"/>
      <c r="F430" s="107"/>
      <c r="G430" s="10"/>
      <c r="H430" s="10"/>
      <c r="I430" s="56"/>
      <c r="J430" s="56"/>
      <c r="K430" s="56"/>
      <c r="L430" s="56"/>
      <c r="M430" s="56"/>
      <c r="N430" s="11"/>
      <c r="O430" s="101"/>
      <c r="Q430" s="101"/>
      <c r="T430" s="101"/>
    </row>
    <row r="431" spans="1:20" s="106" customFormat="1" x14ac:dyDescent="0.15">
      <c r="A431" s="11"/>
      <c r="B431" s="10"/>
      <c r="C431" s="107"/>
      <c r="D431" s="10"/>
      <c r="E431" s="10"/>
      <c r="F431" s="107"/>
      <c r="G431" s="10"/>
      <c r="H431" s="10"/>
      <c r="I431" s="56"/>
      <c r="J431" s="56"/>
      <c r="K431" s="56"/>
      <c r="L431" s="56"/>
      <c r="M431" s="56"/>
      <c r="N431" s="11"/>
      <c r="O431" s="101"/>
      <c r="Q431" s="101"/>
      <c r="T431" s="101"/>
    </row>
    <row r="432" spans="1:20" s="106" customFormat="1" x14ac:dyDescent="0.15">
      <c r="A432" s="11"/>
      <c r="B432" s="10"/>
      <c r="C432" s="107"/>
      <c r="D432" s="10"/>
      <c r="E432" s="10"/>
      <c r="F432" s="107"/>
      <c r="G432" s="10"/>
      <c r="H432" s="10"/>
      <c r="I432" s="56"/>
      <c r="J432" s="56"/>
      <c r="K432" s="56"/>
      <c r="L432" s="56"/>
      <c r="M432" s="56"/>
      <c r="N432" s="11"/>
      <c r="O432" s="101"/>
      <c r="Q432" s="101"/>
      <c r="T432" s="101"/>
    </row>
    <row r="433" spans="1:20" s="106" customFormat="1" x14ac:dyDescent="0.15">
      <c r="A433" s="11"/>
      <c r="B433" s="10"/>
      <c r="C433" s="107"/>
      <c r="D433" s="10"/>
      <c r="E433" s="10"/>
      <c r="F433" s="107"/>
      <c r="G433" s="10"/>
      <c r="H433" s="10"/>
      <c r="I433" s="56"/>
      <c r="J433" s="56"/>
      <c r="K433" s="56"/>
      <c r="L433" s="56"/>
      <c r="M433" s="56"/>
      <c r="N433" s="11"/>
      <c r="O433" s="101"/>
      <c r="Q433" s="101"/>
      <c r="T433" s="101"/>
    </row>
    <row r="434" spans="1:20" s="106" customFormat="1" x14ac:dyDescent="0.15">
      <c r="A434" s="11"/>
      <c r="B434" s="10"/>
      <c r="C434" s="107"/>
      <c r="D434" s="10"/>
      <c r="E434" s="10"/>
      <c r="F434" s="107"/>
      <c r="G434" s="10"/>
      <c r="H434" s="10"/>
      <c r="I434" s="56"/>
      <c r="J434" s="56"/>
      <c r="K434" s="56"/>
      <c r="L434" s="56"/>
      <c r="M434" s="56"/>
      <c r="N434" s="11"/>
      <c r="O434" s="101"/>
      <c r="Q434" s="101"/>
      <c r="T434" s="101"/>
    </row>
    <row r="435" spans="1:20" s="106" customFormat="1" x14ac:dyDescent="0.15">
      <c r="A435" s="11"/>
      <c r="B435" s="10"/>
      <c r="C435" s="107"/>
      <c r="D435" s="10"/>
      <c r="E435" s="10"/>
      <c r="F435" s="107"/>
      <c r="G435" s="10"/>
      <c r="H435" s="10"/>
      <c r="I435" s="56"/>
      <c r="J435" s="56"/>
      <c r="K435" s="56"/>
      <c r="L435" s="56"/>
      <c r="M435" s="56"/>
      <c r="N435" s="11"/>
      <c r="O435" s="101"/>
      <c r="Q435" s="101"/>
      <c r="T435" s="101"/>
    </row>
    <row r="436" spans="1:20" s="106" customFormat="1" x14ac:dyDescent="0.15">
      <c r="A436" s="11"/>
      <c r="B436" s="10"/>
      <c r="C436" s="107"/>
      <c r="D436" s="10"/>
      <c r="E436" s="10"/>
      <c r="F436" s="107"/>
      <c r="G436" s="10"/>
      <c r="H436" s="10"/>
      <c r="I436" s="56"/>
      <c r="J436" s="56"/>
      <c r="K436" s="56"/>
      <c r="L436" s="56"/>
      <c r="M436" s="56"/>
      <c r="N436" s="11"/>
      <c r="O436" s="101"/>
      <c r="Q436" s="101"/>
      <c r="T436" s="101"/>
    </row>
    <row r="437" spans="1:20" s="106" customFormat="1" x14ac:dyDescent="0.15">
      <c r="A437" s="11"/>
      <c r="B437" s="10"/>
      <c r="C437" s="107"/>
      <c r="D437" s="10"/>
      <c r="E437" s="10"/>
      <c r="F437" s="107"/>
      <c r="G437" s="10"/>
      <c r="H437" s="10"/>
      <c r="I437" s="56"/>
      <c r="J437" s="56"/>
      <c r="K437" s="56"/>
      <c r="L437" s="56"/>
      <c r="M437" s="56"/>
      <c r="N437" s="11"/>
      <c r="O437" s="101"/>
      <c r="Q437" s="101"/>
      <c r="T437" s="101"/>
    </row>
    <row r="438" spans="1:20" s="106" customFormat="1" x14ac:dyDescent="0.15">
      <c r="A438" s="11"/>
      <c r="B438" s="10"/>
      <c r="C438" s="107"/>
      <c r="D438" s="10"/>
      <c r="E438" s="10"/>
      <c r="F438" s="107"/>
      <c r="G438" s="10"/>
      <c r="H438" s="10"/>
      <c r="I438" s="56"/>
      <c r="J438" s="56"/>
      <c r="K438" s="56"/>
      <c r="L438" s="56"/>
      <c r="M438" s="56"/>
      <c r="N438" s="11"/>
      <c r="O438" s="101"/>
      <c r="Q438" s="101"/>
      <c r="T438" s="101"/>
    </row>
    <row r="439" spans="1:20" s="106" customFormat="1" x14ac:dyDescent="0.15">
      <c r="A439" s="11"/>
      <c r="B439" s="10"/>
      <c r="C439" s="107"/>
      <c r="D439" s="10"/>
      <c r="E439" s="10"/>
      <c r="F439" s="107"/>
      <c r="G439" s="10"/>
      <c r="H439" s="10"/>
      <c r="I439" s="56"/>
      <c r="J439" s="56"/>
      <c r="K439" s="56"/>
      <c r="L439" s="56"/>
      <c r="M439" s="56"/>
      <c r="N439" s="11"/>
      <c r="O439" s="101"/>
      <c r="Q439" s="101"/>
      <c r="T439" s="101"/>
    </row>
    <row r="440" spans="1:20" s="106" customFormat="1" x14ac:dyDescent="0.15">
      <c r="A440" s="11"/>
      <c r="B440" s="10"/>
      <c r="C440" s="107"/>
      <c r="D440" s="10"/>
      <c r="E440" s="10"/>
      <c r="F440" s="107"/>
      <c r="G440" s="10"/>
      <c r="H440" s="10"/>
      <c r="I440" s="56"/>
      <c r="J440" s="56"/>
      <c r="K440" s="56"/>
      <c r="L440" s="56"/>
      <c r="M440" s="56"/>
      <c r="N440" s="11"/>
      <c r="O440" s="101"/>
      <c r="Q440" s="101"/>
      <c r="T440" s="101"/>
    </row>
    <row r="441" spans="1:20" s="106" customFormat="1" x14ac:dyDescent="0.15">
      <c r="A441" s="11"/>
      <c r="B441" s="10"/>
      <c r="C441" s="107"/>
      <c r="D441" s="10"/>
      <c r="E441" s="10"/>
      <c r="F441" s="107"/>
      <c r="G441" s="10"/>
      <c r="H441" s="10"/>
      <c r="I441" s="56"/>
      <c r="J441" s="56"/>
      <c r="K441" s="56"/>
      <c r="L441" s="56"/>
      <c r="M441" s="56"/>
      <c r="N441" s="11"/>
      <c r="O441" s="101"/>
      <c r="Q441" s="101"/>
      <c r="T441" s="101"/>
    </row>
    <row r="442" spans="1:20" s="106" customFormat="1" x14ac:dyDescent="0.15">
      <c r="A442" s="11"/>
      <c r="B442" s="10"/>
      <c r="C442" s="107"/>
      <c r="D442" s="10"/>
      <c r="E442" s="10"/>
      <c r="F442" s="107"/>
      <c r="G442" s="10"/>
      <c r="H442" s="10"/>
      <c r="I442" s="56"/>
      <c r="J442" s="56"/>
      <c r="K442" s="56"/>
      <c r="L442" s="56"/>
      <c r="M442" s="56"/>
      <c r="N442" s="11"/>
      <c r="O442" s="101"/>
      <c r="Q442" s="101"/>
      <c r="T442" s="101"/>
    </row>
    <row r="443" spans="1:20" s="106" customFormat="1" x14ac:dyDescent="0.15">
      <c r="A443" s="11"/>
      <c r="B443" s="10"/>
      <c r="C443" s="107"/>
      <c r="D443" s="10"/>
      <c r="E443" s="10"/>
      <c r="F443" s="107"/>
      <c r="G443" s="10"/>
      <c r="H443" s="10"/>
      <c r="I443" s="56"/>
      <c r="J443" s="56"/>
      <c r="K443" s="56"/>
      <c r="L443" s="56"/>
      <c r="M443" s="56"/>
      <c r="N443" s="11"/>
      <c r="O443" s="101"/>
      <c r="Q443" s="101"/>
      <c r="T443" s="101"/>
    </row>
    <row r="444" spans="1:20" s="106" customFormat="1" x14ac:dyDescent="0.15">
      <c r="A444" s="11"/>
      <c r="B444" s="10"/>
      <c r="C444" s="107"/>
      <c r="D444" s="10"/>
      <c r="E444" s="10"/>
      <c r="F444" s="107"/>
      <c r="G444" s="10"/>
      <c r="H444" s="10"/>
      <c r="I444" s="56"/>
      <c r="J444" s="56"/>
      <c r="K444" s="56"/>
      <c r="L444" s="56"/>
      <c r="M444" s="56"/>
      <c r="N444" s="11"/>
      <c r="O444" s="101"/>
      <c r="Q444" s="101"/>
      <c r="T444" s="101"/>
    </row>
    <row r="445" spans="1:20" s="106" customFormat="1" x14ac:dyDescent="0.15">
      <c r="A445" s="11"/>
      <c r="B445" s="10"/>
      <c r="C445" s="107"/>
      <c r="D445" s="10"/>
      <c r="E445" s="10"/>
      <c r="F445" s="107"/>
      <c r="G445" s="10"/>
      <c r="H445" s="10"/>
      <c r="I445" s="56"/>
      <c r="J445" s="56"/>
      <c r="K445" s="56"/>
      <c r="L445" s="56"/>
      <c r="M445" s="56"/>
      <c r="N445" s="11"/>
      <c r="O445" s="101"/>
      <c r="Q445" s="101"/>
      <c r="T445" s="101"/>
    </row>
    <row r="446" spans="1:20" s="106" customFormat="1" x14ac:dyDescent="0.15">
      <c r="A446" s="11"/>
      <c r="B446" s="10"/>
      <c r="C446" s="107"/>
      <c r="D446" s="10"/>
      <c r="E446" s="10"/>
      <c r="F446" s="107"/>
      <c r="G446" s="10"/>
      <c r="H446" s="10"/>
      <c r="I446" s="56"/>
      <c r="J446" s="56"/>
      <c r="K446" s="56"/>
      <c r="L446" s="56"/>
      <c r="M446" s="56"/>
      <c r="N446" s="11"/>
      <c r="O446" s="101"/>
      <c r="Q446" s="101"/>
      <c r="T446" s="101"/>
    </row>
    <row r="447" spans="1:20" s="106" customFormat="1" x14ac:dyDescent="0.15">
      <c r="A447" s="11"/>
      <c r="B447" s="10"/>
      <c r="C447" s="107"/>
      <c r="D447" s="10"/>
      <c r="E447" s="10"/>
      <c r="F447" s="107"/>
      <c r="G447" s="10"/>
      <c r="H447" s="10"/>
      <c r="I447" s="56"/>
      <c r="J447" s="56"/>
      <c r="K447" s="56"/>
      <c r="L447" s="56"/>
      <c r="M447" s="56"/>
      <c r="N447" s="11"/>
      <c r="O447" s="101"/>
      <c r="Q447" s="101"/>
      <c r="T447" s="101"/>
    </row>
    <row r="448" spans="1:20" s="106" customFormat="1" x14ac:dyDescent="0.15">
      <c r="A448" s="11"/>
      <c r="B448" s="10"/>
      <c r="C448" s="107"/>
      <c r="D448" s="10"/>
      <c r="E448" s="10"/>
      <c r="F448" s="107"/>
      <c r="G448" s="10"/>
      <c r="H448" s="10"/>
      <c r="I448" s="56"/>
      <c r="J448" s="56"/>
      <c r="K448" s="56"/>
      <c r="L448" s="56"/>
      <c r="M448" s="56"/>
      <c r="N448" s="11"/>
      <c r="O448" s="101"/>
      <c r="Q448" s="101"/>
      <c r="T448" s="101"/>
    </row>
    <row r="449" spans="1:20" s="106" customFormat="1" x14ac:dyDescent="0.15">
      <c r="A449" s="11"/>
      <c r="B449" s="10"/>
      <c r="C449" s="107"/>
      <c r="D449" s="10"/>
      <c r="E449" s="10"/>
      <c r="F449" s="107"/>
      <c r="G449" s="10"/>
      <c r="H449" s="10"/>
      <c r="I449" s="56"/>
      <c r="J449" s="56"/>
      <c r="K449" s="56"/>
      <c r="L449" s="56"/>
      <c r="M449" s="56"/>
      <c r="N449" s="11"/>
      <c r="O449" s="101"/>
      <c r="Q449" s="101"/>
      <c r="T449" s="101"/>
    </row>
    <row r="450" spans="1:20" s="106" customFormat="1" x14ac:dyDescent="0.15">
      <c r="A450" s="11"/>
      <c r="B450" s="10"/>
      <c r="C450" s="107"/>
      <c r="D450" s="10"/>
      <c r="E450" s="10"/>
      <c r="F450" s="107"/>
      <c r="G450" s="10"/>
      <c r="H450" s="10"/>
      <c r="I450" s="56"/>
      <c r="J450" s="56"/>
      <c r="K450" s="56"/>
      <c r="L450" s="56"/>
      <c r="M450" s="56"/>
      <c r="N450" s="11"/>
      <c r="O450" s="101"/>
      <c r="Q450" s="101"/>
      <c r="T450" s="101"/>
    </row>
    <row r="451" spans="1:20" s="106" customFormat="1" x14ac:dyDescent="0.15">
      <c r="A451" s="11"/>
      <c r="B451" s="10"/>
      <c r="C451" s="107"/>
      <c r="D451" s="10"/>
      <c r="E451" s="10"/>
      <c r="F451" s="107"/>
      <c r="G451" s="10"/>
      <c r="H451" s="10"/>
      <c r="I451" s="56"/>
      <c r="J451" s="56"/>
      <c r="K451" s="56"/>
      <c r="L451" s="56"/>
      <c r="M451" s="56"/>
      <c r="N451" s="11"/>
      <c r="O451" s="101"/>
      <c r="Q451" s="101"/>
      <c r="T451" s="101"/>
    </row>
    <row r="452" spans="1:20" s="106" customFormat="1" x14ac:dyDescent="0.15">
      <c r="A452" s="11"/>
      <c r="B452" s="10"/>
      <c r="C452" s="107"/>
      <c r="D452" s="10"/>
      <c r="E452" s="10"/>
      <c r="F452" s="107"/>
      <c r="G452" s="10"/>
      <c r="H452" s="10"/>
      <c r="I452" s="56"/>
      <c r="J452" s="56"/>
      <c r="K452" s="56"/>
      <c r="L452" s="56"/>
      <c r="M452" s="56"/>
      <c r="N452" s="11"/>
      <c r="O452" s="101"/>
      <c r="Q452" s="101"/>
      <c r="T452" s="101"/>
    </row>
    <row r="453" spans="1:20" s="106" customFormat="1" x14ac:dyDescent="0.15">
      <c r="A453" s="11"/>
      <c r="B453" s="10"/>
      <c r="C453" s="107"/>
      <c r="D453" s="10"/>
      <c r="E453" s="10"/>
      <c r="F453" s="107"/>
      <c r="G453" s="10"/>
      <c r="H453" s="10"/>
      <c r="I453" s="56"/>
      <c r="J453" s="56"/>
      <c r="K453" s="56"/>
      <c r="L453" s="56"/>
      <c r="M453" s="56"/>
      <c r="N453" s="11"/>
      <c r="O453" s="101"/>
      <c r="Q453" s="101"/>
      <c r="T453" s="101"/>
    </row>
    <row r="454" spans="1:20" s="106" customFormat="1" x14ac:dyDescent="0.15">
      <c r="A454" s="11"/>
      <c r="B454" s="10"/>
      <c r="C454" s="107"/>
      <c r="D454" s="10"/>
      <c r="E454" s="10"/>
      <c r="F454" s="107"/>
      <c r="G454" s="10"/>
      <c r="H454" s="10"/>
      <c r="I454" s="56"/>
      <c r="J454" s="56"/>
      <c r="K454" s="56"/>
      <c r="L454" s="56"/>
      <c r="M454" s="56"/>
      <c r="N454" s="11"/>
      <c r="O454" s="101"/>
      <c r="Q454" s="101"/>
      <c r="T454" s="101"/>
    </row>
    <row r="455" spans="1:20" s="106" customFormat="1" x14ac:dyDescent="0.15">
      <c r="A455" s="11"/>
      <c r="B455" s="10"/>
      <c r="C455" s="107"/>
      <c r="D455" s="10"/>
      <c r="E455" s="10"/>
      <c r="F455" s="107"/>
      <c r="G455" s="10"/>
      <c r="H455" s="10"/>
      <c r="I455" s="56"/>
      <c r="J455" s="56"/>
      <c r="K455" s="56"/>
      <c r="L455" s="56"/>
      <c r="M455" s="56"/>
      <c r="N455" s="11"/>
      <c r="O455" s="101"/>
      <c r="Q455" s="101"/>
      <c r="T455" s="101"/>
    </row>
    <row r="456" spans="1:20" s="106" customFormat="1" x14ac:dyDescent="0.15">
      <c r="A456" s="11"/>
      <c r="B456" s="10"/>
      <c r="C456" s="107"/>
      <c r="D456" s="10"/>
      <c r="E456" s="10"/>
      <c r="F456" s="107"/>
      <c r="G456" s="10"/>
      <c r="H456" s="10"/>
      <c r="I456" s="56"/>
      <c r="J456" s="56"/>
      <c r="K456" s="56"/>
      <c r="L456" s="56"/>
      <c r="M456" s="56"/>
      <c r="N456" s="11"/>
      <c r="O456" s="101"/>
      <c r="Q456" s="101"/>
      <c r="T456" s="101"/>
    </row>
    <row r="457" spans="1:20" s="106" customFormat="1" x14ac:dyDescent="0.15">
      <c r="A457" s="11"/>
      <c r="B457" s="10"/>
      <c r="C457" s="107"/>
      <c r="D457" s="10"/>
      <c r="E457" s="10"/>
      <c r="F457" s="107"/>
      <c r="G457" s="10"/>
      <c r="H457" s="10"/>
      <c r="I457" s="56"/>
      <c r="J457" s="56"/>
      <c r="K457" s="56"/>
      <c r="L457" s="56"/>
      <c r="M457" s="56"/>
      <c r="N457" s="11"/>
      <c r="O457" s="101"/>
      <c r="Q457" s="101"/>
      <c r="T457" s="101"/>
    </row>
    <row r="458" spans="1:20" s="106" customFormat="1" x14ac:dyDescent="0.15">
      <c r="A458" s="11"/>
      <c r="B458" s="10"/>
      <c r="C458" s="107"/>
      <c r="D458" s="10"/>
      <c r="E458" s="10"/>
      <c r="F458" s="107"/>
      <c r="G458" s="10"/>
      <c r="H458" s="10"/>
      <c r="I458" s="56"/>
      <c r="J458" s="56"/>
      <c r="K458" s="56"/>
      <c r="L458" s="56"/>
      <c r="M458" s="56"/>
      <c r="N458" s="11"/>
      <c r="O458" s="101"/>
      <c r="Q458" s="101"/>
      <c r="T458" s="101"/>
    </row>
    <row r="459" spans="1:20" s="106" customFormat="1" x14ac:dyDescent="0.15">
      <c r="A459" s="11"/>
      <c r="B459" s="10"/>
      <c r="C459" s="107"/>
      <c r="D459" s="10"/>
      <c r="E459" s="10"/>
      <c r="F459" s="107"/>
      <c r="G459" s="10"/>
      <c r="H459" s="10"/>
      <c r="I459" s="56"/>
      <c r="J459" s="56"/>
      <c r="K459" s="56"/>
      <c r="L459" s="56"/>
      <c r="M459" s="56"/>
      <c r="N459" s="11"/>
      <c r="O459" s="101"/>
      <c r="Q459" s="101"/>
      <c r="T459" s="101"/>
    </row>
    <row r="460" spans="1:20" s="106" customFormat="1" x14ac:dyDescent="0.15">
      <c r="A460" s="11"/>
      <c r="B460" s="10"/>
      <c r="C460" s="107"/>
      <c r="D460" s="10"/>
      <c r="E460" s="10"/>
      <c r="F460" s="107"/>
      <c r="G460" s="10"/>
      <c r="H460" s="10"/>
      <c r="I460" s="56"/>
      <c r="J460" s="56"/>
      <c r="K460" s="56"/>
      <c r="L460" s="56"/>
      <c r="M460" s="56"/>
      <c r="N460" s="11"/>
      <c r="O460" s="101"/>
      <c r="Q460" s="101"/>
      <c r="T460" s="101"/>
    </row>
    <row r="461" spans="1:20" s="106" customFormat="1" x14ac:dyDescent="0.15">
      <c r="A461" s="11"/>
      <c r="B461" s="10"/>
      <c r="C461" s="107"/>
      <c r="D461" s="10"/>
      <c r="E461" s="10"/>
      <c r="F461" s="107"/>
      <c r="G461" s="10"/>
      <c r="H461" s="10"/>
      <c r="I461" s="56"/>
      <c r="J461" s="56"/>
      <c r="K461" s="56"/>
      <c r="L461" s="56"/>
      <c r="M461" s="56"/>
      <c r="N461" s="11"/>
      <c r="O461" s="101"/>
      <c r="Q461" s="101"/>
      <c r="T461" s="101"/>
    </row>
    <row r="462" spans="1:20" s="106" customFormat="1" x14ac:dyDescent="0.15">
      <c r="A462" s="11"/>
      <c r="B462" s="10"/>
      <c r="C462" s="107"/>
      <c r="D462" s="10"/>
      <c r="E462" s="10"/>
      <c r="F462" s="107"/>
      <c r="G462" s="10"/>
      <c r="H462" s="10"/>
      <c r="I462" s="56"/>
      <c r="J462" s="56"/>
      <c r="K462" s="56"/>
      <c r="L462" s="56"/>
      <c r="M462" s="56"/>
      <c r="N462" s="11"/>
      <c r="O462" s="101"/>
      <c r="Q462" s="101"/>
      <c r="T462" s="101"/>
    </row>
    <row r="463" spans="1:20" s="106" customFormat="1" x14ac:dyDescent="0.15">
      <c r="A463" s="11"/>
      <c r="B463" s="10"/>
      <c r="C463" s="107"/>
      <c r="D463" s="10"/>
      <c r="E463" s="10"/>
      <c r="F463" s="107"/>
      <c r="G463" s="10"/>
      <c r="H463" s="10"/>
      <c r="I463" s="56"/>
      <c r="J463" s="56"/>
      <c r="K463" s="56"/>
      <c r="L463" s="56"/>
      <c r="M463" s="56"/>
      <c r="N463" s="11"/>
      <c r="O463" s="101"/>
      <c r="Q463" s="101"/>
      <c r="T463" s="101"/>
    </row>
    <row r="464" spans="1:20" s="106" customFormat="1" x14ac:dyDescent="0.15">
      <c r="A464" s="11"/>
      <c r="B464" s="10"/>
      <c r="C464" s="107"/>
      <c r="D464" s="10"/>
      <c r="E464" s="10"/>
      <c r="F464" s="107"/>
      <c r="G464" s="10"/>
      <c r="H464" s="10"/>
      <c r="I464" s="56"/>
      <c r="J464" s="56"/>
      <c r="K464" s="56"/>
      <c r="L464" s="56"/>
      <c r="M464" s="56"/>
      <c r="N464" s="11"/>
      <c r="O464" s="101"/>
      <c r="Q464" s="101"/>
      <c r="T464" s="101"/>
    </row>
    <row r="465" spans="1:20" s="106" customFormat="1" x14ac:dyDescent="0.15">
      <c r="A465" s="11"/>
      <c r="B465" s="10"/>
      <c r="C465" s="107"/>
      <c r="D465" s="10"/>
      <c r="E465" s="10"/>
      <c r="F465" s="107"/>
      <c r="G465" s="10"/>
      <c r="H465" s="10"/>
      <c r="I465" s="56"/>
      <c r="J465" s="56"/>
      <c r="K465" s="56"/>
      <c r="L465" s="56"/>
      <c r="M465" s="56"/>
      <c r="N465" s="11"/>
      <c r="O465" s="101"/>
      <c r="Q465" s="101"/>
      <c r="T465" s="101"/>
    </row>
    <row r="466" spans="1:20" s="106" customFormat="1" x14ac:dyDescent="0.15">
      <c r="A466" s="11"/>
      <c r="B466" s="10"/>
      <c r="C466" s="107"/>
      <c r="D466" s="10"/>
      <c r="E466" s="10"/>
      <c r="F466" s="107"/>
      <c r="G466" s="10"/>
      <c r="H466" s="10"/>
      <c r="I466" s="56"/>
      <c r="J466" s="56"/>
      <c r="K466" s="56"/>
      <c r="L466" s="56"/>
      <c r="M466" s="56"/>
      <c r="N466" s="11"/>
      <c r="O466" s="101"/>
      <c r="Q466" s="101"/>
      <c r="T466" s="101"/>
    </row>
    <row r="467" spans="1:20" s="106" customFormat="1" x14ac:dyDescent="0.15">
      <c r="A467" s="11"/>
      <c r="B467" s="10"/>
      <c r="C467" s="107"/>
      <c r="D467" s="10"/>
      <c r="E467" s="10"/>
      <c r="F467" s="107"/>
      <c r="G467" s="10"/>
      <c r="H467" s="10"/>
      <c r="I467" s="56"/>
      <c r="J467" s="56"/>
      <c r="K467" s="56"/>
      <c r="L467" s="56"/>
      <c r="M467" s="56"/>
      <c r="N467" s="11"/>
      <c r="O467" s="101"/>
      <c r="Q467" s="101"/>
      <c r="T467" s="101"/>
    </row>
    <row r="468" spans="1:20" s="106" customFormat="1" x14ac:dyDescent="0.15">
      <c r="A468" s="11"/>
      <c r="B468" s="10"/>
      <c r="C468" s="107"/>
      <c r="D468" s="10"/>
      <c r="E468" s="10"/>
      <c r="F468" s="107"/>
      <c r="G468" s="10"/>
      <c r="H468" s="10"/>
      <c r="I468" s="56"/>
      <c r="J468" s="56"/>
      <c r="K468" s="56"/>
      <c r="L468" s="56"/>
      <c r="M468" s="56"/>
      <c r="N468" s="11"/>
      <c r="O468" s="101"/>
      <c r="Q468" s="101"/>
      <c r="T468" s="101"/>
    </row>
    <row r="469" spans="1:20" s="106" customFormat="1" x14ac:dyDescent="0.15">
      <c r="A469" s="11"/>
      <c r="B469" s="10"/>
      <c r="C469" s="107"/>
      <c r="D469" s="10"/>
      <c r="E469" s="10"/>
      <c r="F469" s="107"/>
      <c r="G469" s="10"/>
      <c r="H469" s="10"/>
      <c r="I469" s="56"/>
      <c r="J469" s="56"/>
      <c r="K469" s="56"/>
      <c r="L469" s="56"/>
      <c r="M469" s="56"/>
      <c r="N469" s="11"/>
      <c r="O469" s="101"/>
      <c r="Q469" s="101"/>
      <c r="T469" s="101"/>
    </row>
    <row r="470" spans="1:20" s="106" customFormat="1" x14ac:dyDescent="0.15">
      <c r="A470" s="11"/>
      <c r="B470" s="10"/>
      <c r="C470" s="107"/>
      <c r="D470" s="10"/>
      <c r="E470" s="10"/>
      <c r="F470" s="107"/>
      <c r="G470" s="10"/>
      <c r="H470" s="10"/>
      <c r="I470" s="56"/>
      <c r="J470" s="56"/>
      <c r="K470" s="56"/>
      <c r="L470" s="56"/>
      <c r="M470" s="56"/>
      <c r="N470" s="11"/>
      <c r="O470" s="101"/>
      <c r="Q470" s="101"/>
      <c r="T470" s="101"/>
    </row>
    <row r="471" spans="1:20" s="106" customFormat="1" x14ac:dyDescent="0.15">
      <c r="A471" s="11"/>
      <c r="B471" s="10"/>
      <c r="C471" s="107"/>
      <c r="D471" s="10"/>
      <c r="E471" s="10"/>
      <c r="F471" s="107"/>
      <c r="G471" s="10"/>
      <c r="H471" s="10"/>
      <c r="I471" s="56"/>
      <c r="J471" s="56"/>
      <c r="K471" s="56"/>
      <c r="L471" s="56"/>
      <c r="M471" s="56"/>
      <c r="N471" s="11"/>
      <c r="O471" s="101"/>
      <c r="Q471" s="101"/>
      <c r="T471" s="101"/>
    </row>
    <row r="472" spans="1:20" s="106" customFormat="1" x14ac:dyDescent="0.15">
      <c r="A472" s="11"/>
      <c r="B472" s="10"/>
      <c r="C472" s="107"/>
      <c r="D472" s="10"/>
      <c r="E472" s="10"/>
      <c r="F472" s="107"/>
      <c r="G472" s="10"/>
      <c r="H472" s="10"/>
      <c r="I472" s="56"/>
      <c r="J472" s="56"/>
      <c r="K472" s="56"/>
      <c r="L472" s="56"/>
      <c r="M472" s="56"/>
      <c r="N472" s="11"/>
      <c r="O472" s="101"/>
      <c r="Q472" s="101"/>
      <c r="T472" s="101"/>
    </row>
    <row r="473" spans="1:20" s="106" customFormat="1" x14ac:dyDescent="0.15">
      <c r="A473" s="11"/>
      <c r="B473" s="10"/>
      <c r="C473" s="107"/>
      <c r="D473" s="10"/>
      <c r="E473" s="10"/>
      <c r="F473" s="107"/>
      <c r="G473" s="10"/>
      <c r="H473" s="10"/>
      <c r="I473" s="56"/>
      <c r="J473" s="56"/>
      <c r="K473" s="56"/>
      <c r="L473" s="56"/>
      <c r="M473" s="56"/>
      <c r="N473" s="11"/>
      <c r="O473" s="101"/>
      <c r="Q473" s="101"/>
      <c r="T473" s="101"/>
    </row>
    <row r="474" spans="1:20" s="106" customFormat="1" x14ac:dyDescent="0.15">
      <c r="A474" s="11"/>
      <c r="B474" s="10"/>
      <c r="C474" s="107"/>
      <c r="D474" s="10"/>
      <c r="E474" s="10"/>
      <c r="F474" s="107"/>
      <c r="G474" s="10"/>
      <c r="H474" s="10"/>
      <c r="I474" s="56"/>
      <c r="J474" s="56"/>
      <c r="K474" s="56"/>
      <c r="L474" s="56"/>
      <c r="M474" s="56"/>
      <c r="N474" s="11"/>
      <c r="O474" s="101"/>
      <c r="Q474" s="101"/>
      <c r="T474" s="101"/>
    </row>
    <row r="475" spans="1:20" s="106" customFormat="1" x14ac:dyDescent="0.15">
      <c r="A475" s="11"/>
      <c r="B475" s="10"/>
      <c r="C475" s="107"/>
      <c r="D475" s="10"/>
      <c r="E475" s="10"/>
      <c r="F475" s="107"/>
      <c r="G475" s="10"/>
      <c r="H475" s="10"/>
      <c r="I475" s="56"/>
      <c r="J475" s="56"/>
      <c r="K475" s="56"/>
      <c r="L475" s="56"/>
      <c r="M475" s="56"/>
      <c r="N475" s="11"/>
      <c r="O475" s="101"/>
      <c r="Q475" s="101"/>
      <c r="T475" s="101"/>
    </row>
    <row r="476" spans="1:20" s="106" customFormat="1" x14ac:dyDescent="0.15">
      <c r="A476" s="11"/>
      <c r="B476" s="10"/>
      <c r="C476" s="107"/>
      <c r="D476" s="10"/>
      <c r="E476" s="10"/>
      <c r="F476" s="107"/>
      <c r="G476" s="10"/>
      <c r="H476" s="10"/>
      <c r="I476" s="56"/>
      <c r="J476" s="56"/>
      <c r="K476" s="56"/>
      <c r="L476" s="56"/>
      <c r="M476" s="56"/>
      <c r="N476" s="11"/>
      <c r="O476" s="101"/>
      <c r="Q476" s="101"/>
      <c r="T476" s="101"/>
    </row>
    <row r="477" spans="1:20" s="106" customFormat="1" x14ac:dyDescent="0.15">
      <c r="A477" s="11"/>
      <c r="B477" s="10"/>
      <c r="C477" s="107"/>
      <c r="D477" s="10"/>
      <c r="E477" s="10"/>
      <c r="F477" s="107"/>
      <c r="G477" s="10"/>
      <c r="H477" s="10"/>
      <c r="I477" s="56"/>
      <c r="J477" s="56"/>
      <c r="K477" s="56"/>
      <c r="L477" s="56"/>
      <c r="M477" s="56"/>
      <c r="N477" s="11"/>
      <c r="O477" s="101"/>
      <c r="Q477" s="101"/>
      <c r="T477" s="101"/>
    </row>
    <row r="478" spans="1:20" s="106" customFormat="1" x14ac:dyDescent="0.15">
      <c r="A478" s="11"/>
      <c r="B478" s="10"/>
      <c r="C478" s="107"/>
      <c r="D478" s="10"/>
      <c r="E478" s="10"/>
      <c r="F478" s="107"/>
      <c r="G478" s="10"/>
      <c r="H478" s="10"/>
      <c r="I478" s="56"/>
      <c r="J478" s="56"/>
      <c r="K478" s="56"/>
      <c r="L478" s="56"/>
      <c r="M478" s="56"/>
      <c r="N478" s="11"/>
      <c r="O478" s="101"/>
      <c r="Q478" s="101"/>
      <c r="T478" s="101"/>
    </row>
    <row r="479" spans="1:20" s="106" customFormat="1" x14ac:dyDescent="0.15">
      <c r="A479" s="11"/>
      <c r="B479" s="10"/>
      <c r="C479" s="107"/>
      <c r="D479" s="10"/>
      <c r="E479" s="10"/>
      <c r="F479" s="107"/>
      <c r="G479" s="10"/>
      <c r="H479" s="10"/>
      <c r="I479" s="56"/>
      <c r="J479" s="56"/>
      <c r="K479" s="56"/>
      <c r="L479" s="56"/>
      <c r="M479" s="56"/>
      <c r="N479" s="11"/>
      <c r="O479" s="101"/>
      <c r="Q479" s="101"/>
      <c r="T479" s="101"/>
    </row>
    <row r="480" spans="1:20" s="106" customFormat="1" x14ac:dyDescent="0.15">
      <c r="A480" s="11"/>
      <c r="B480" s="10"/>
      <c r="C480" s="107"/>
      <c r="D480" s="10"/>
      <c r="E480" s="10"/>
      <c r="F480" s="107"/>
      <c r="G480" s="10"/>
      <c r="H480" s="10"/>
      <c r="I480" s="56"/>
      <c r="J480" s="56"/>
      <c r="K480" s="56"/>
      <c r="L480" s="56"/>
      <c r="M480" s="56"/>
      <c r="N480" s="11"/>
      <c r="O480" s="101"/>
      <c r="Q480" s="101"/>
      <c r="T480" s="101"/>
    </row>
    <row r="481" spans="1:20" s="106" customFormat="1" x14ac:dyDescent="0.15">
      <c r="A481" s="11"/>
      <c r="B481" s="10"/>
      <c r="C481" s="107"/>
      <c r="D481" s="10"/>
      <c r="E481" s="10"/>
      <c r="F481" s="107"/>
      <c r="G481" s="10"/>
      <c r="H481" s="10"/>
      <c r="I481" s="56"/>
      <c r="J481" s="56"/>
      <c r="K481" s="56"/>
      <c r="L481" s="56"/>
      <c r="M481" s="56"/>
      <c r="N481" s="11"/>
      <c r="O481" s="101"/>
      <c r="Q481" s="101"/>
      <c r="T481" s="101"/>
    </row>
    <row r="482" spans="1:20" s="106" customFormat="1" x14ac:dyDescent="0.15">
      <c r="A482" s="11"/>
      <c r="B482" s="10"/>
      <c r="C482" s="107"/>
      <c r="D482" s="10"/>
      <c r="E482" s="10"/>
      <c r="F482" s="107"/>
      <c r="G482" s="10"/>
      <c r="H482" s="10"/>
      <c r="I482" s="56"/>
      <c r="J482" s="56"/>
      <c r="K482" s="56"/>
      <c r="L482" s="56"/>
      <c r="M482" s="56"/>
      <c r="N482" s="11"/>
      <c r="O482" s="101"/>
      <c r="Q482" s="101"/>
      <c r="T482" s="101"/>
    </row>
    <row r="483" spans="1:20" s="106" customFormat="1" x14ac:dyDescent="0.15">
      <c r="A483" s="11"/>
      <c r="B483" s="10"/>
      <c r="C483" s="107"/>
      <c r="D483" s="10"/>
      <c r="E483" s="10"/>
      <c r="F483" s="107"/>
      <c r="G483" s="10"/>
      <c r="H483" s="10"/>
      <c r="I483" s="56"/>
      <c r="J483" s="56"/>
      <c r="K483" s="56"/>
      <c r="L483" s="56"/>
      <c r="M483" s="56"/>
      <c r="N483" s="11"/>
      <c r="O483" s="101"/>
      <c r="Q483" s="101"/>
      <c r="T483" s="101"/>
    </row>
    <row r="484" spans="1:20" s="106" customFormat="1" x14ac:dyDescent="0.15">
      <c r="A484" s="11"/>
      <c r="B484" s="10"/>
      <c r="C484" s="107"/>
      <c r="D484" s="10"/>
      <c r="E484" s="10"/>
      <c r="F484" s="107"/>
      <c r="G484" s="10"/>
      <c r="H484" s="10"/>
      <c r="I484" s="56"/>
      <c r="J484" s="56"/>
      <c r="K484" s="56"/>
      <c r="L484" s="56"/>
      <c r="M484" s="56"/>
      <c r="N484" s="11"/>
      <c r="O484" s="101"/>
      <c r="Q484" s="101"/>
      <c r="T484" s="101"/>
    </row>
    <row r="485" spans="1:20" s="106" customFormat="1" x14ac:dyDescent="0.15">
      <c r="A485" s="11"/>
      <c r="B485" s="10"/>
      <c r="C485" s="107"/>
      <c r="D485" s="10"/>
      <c r="E485" s="10"/>
      <c r="F485" s="107"/>
      <c r="G485" s="10"/>
      <c r="H485" s="10"/>
      <c r="I485" s="56"/>
      <c r="J485" s="56"/>
      <c r="K485" s="56"/>
      <c r="L485" s="56"/>
      <c r="M485" s="56"/>
      <c r="N485" s="11"/>
      <c r="O485" s="101"/>
      <c r="Q485" s="101"/>
      <c r="T485" s="101"/>
    </row>
    <row r="486" spans="1:20" s="106" customFormat="1" x14ac:dyDescent="0.15">
      <c r="A486" s="11"/>
      <c r="B486" s="10"/>
      <c r="C486" s="107"/>
      <c r="D486" s="10"/>
      <c r="E486" s="10"/>
      <c r="F486" s="107"/>
      <c r="G486" s="10"/>
      <c r="H486" s="10"/>
      <c r="I486" s="56"/>
      <c r="J486" s="56"/>
      <c r="K486" s="56"/>
      <c r="L486" s="56"/>
      <c r="M486" s="56"/>
      <c r="N486" s="11"/>
      <c r="O486" s="101"/>
      <c r="Q486" s="101"/>
      <c r="T486" s="101"/>
    </row>
    <row r="487" spans="1:20" s="106" customFormat="1" x14ac:dyDescent="0.15">
      <c r="A487" s="11"/>
      <c r="B487" s="10"/>
      <c r="C487" s="107"/>
      <c r="D487" s="10"/>
      <c r="E487" s="10"/>
      <c r="F487" s="107"/>
      <c r="G487" s="10"/>
      <c r="H487" s="10"/>
      <c r="I487" s="56"/>
      <c r="J487" s="56"/>
      <c r="K487" s="56"/>
      <c r="L487" s="56"/>
      <c r="M487" s="56"/>
      <c r="N487" s="11"/>
      <c r="O487" s="101"/>
      <c r="Q487" s="101"/>
      <c r="T487" s="101"/>
    </row>
    <row r="488" spans="1:20" s="106" customFormat="1" x14ac:dyDescent="0.15">
      <c r="A488" s="11"/>
      <c r="B488" s="10"/>
      <c r="C488" s="107"/>
      <c r="D488" s="10"/>
      <c r="E488" s="10"/>
      <c r="F488" s="107"/>
      <c r="G488" s="10"/>
      <c r="H488" s="10"/>
      <c r="I488" s="56"/>
      <c r="J488" s="56"/>
      <c r="K488" s="56"/>
      <c r="L488" s="56"/>
      <c r="M488" s="56"/>
      <c r="N488" s="11"/>
      <c r="O488" s="101"/>
      <c r="Q488" s="101"/>
      <c r="T488" s="101"/>
    </row>
    <row r="489" spans="1:20" s="106" customFormat="1" x14ac:dyDescent="0.15">
      <c r="A489" s="11"/>
      <c r="B489" s="10"/>
      <c r="C489" s="107"/>
      <c r="D489" s="10"/>
      <c r="E489" s="10"/>
      <c r="F489" s="107"/>
      <c r="G489" s="10"/>
      <c r="H489" s="10"/>
      <c r="I489" s="56"/>
      <c r="J489" s="56"/>
      <c r="K489" s="56"/>
      <c r="L489" s="56"/>
      <c r="M489" s="56"/>
      <c r="N489" s="11"/>
      <c r="O489" s="101"/>
      <c r="Q489" s="101"/>
      <c r="T489" s="101"/>
    </row>
    <row r="490" spans="1:20" s="106" customFormat="1" x14ac:dyDescent="0.15">
      <c r="A490" s="11"/>
      <c r="B490" s="10"/>
      <c r="C490" s="107"/>
      <c r="D490" s="10"/>
      <c r="E490" s="10"/>
      <c r="F490" s="107"/>
      <c r="G490" s="10"/>
      <c r="H490" s="10"/>
      <c r="I490" s="56"/>
      <c r="J490" s="56"/>
      <c r="K490" s="56"/>
      <c r="L490" s="56"/>
      <c r="M490" s="56"/>
      <c r="N490" s="11"/>
      <c r="O490" s="101"/>
      <c r="Q490" s="101"/>
      <c r="T490" s="101"/>
    </row>
    <row r="491" spans="1:20" s="106" customFormat="1" x14ac:dyDescent="0.15">
      <c r="A491" s="11"/>
      <c r="B491" s="10"/>
      <c r="C491" s="107"/>
      <c r="D491" s="10"/>
      <c r="E491" s="10"/>
      <c r="F491" s="107"/>
      <c r="G491" s="10"/>
      <c r="H491" s="10"/>
      <c r="I491" s="56"/>
      <c r="J491" s="56"/>
      <c r="K491" s="56"/>
      <c r="L491" s="56"/>
      <c r="M491" s="56"/>
      <c r="N491" s="11"/>
      <c r="O491" s="101"/>
      <c r="Q491" s="101"/>
      <c r="T491" s="101"/>
    </row>
    <row r="492" spans="1:20" s="106" customFormat="1" x14ac:dyDescent="0.15">
      <c r="A492" s="11"/>
      <c r="B492" s="10"/>
      <c r="C492" s="107"/>
      <c r="D492" s="10"/>
      <c r="E492" s="10"/>
      <c r="F492" s="107"/>
      <c r="G492" s="10"/>
      <c r="H492" s="10"/>
      <c r="I492" s="56"/>
      <c r="J492" s="56"/>
      <c r="K492" s="56"/>
      <c r="L492" s="56"/>
      <c r="M492" s="56"/>
      <c r="N492" s="11"/>
      <c r="O492" s="101"/>
      <c r="Q492" s="101"/>
      <c r="T492" s="101"/>
    </row>
    <row r="493" spans="1:20" s="106" customFormat="1" x14ac:dyDescent="0.15">
      <c r="A493" s="11"/>
      <c r="B493" s="10"/>
      <c r="C493" s="107"/>
      <c r="D493" s="10"/>
      <c r="E493" s="10"/>
      <c r="F493" s="107"/>
      <c r="G493" s="10"/>
      <c r="H493" s="10"/>
      <c r="I493" s="56"/>
      <c r="J493" s="56"/>
      <c r="K493" s="56"/>
      <c r="L493" s="56"/>
      <c r="M493" s="56"/>
      <c r="N493" s="11"/>
      <c r="O493" s="101"/>
      <c r="Q493" s="101"/>
      <c r="T493" s="101"/>
    </row>
    <row r="494" spans="1:20" s="106" customFormat="1" x14ac:dyDescent="0.15">
      <c r="A494" s="11"/>
      <c r="B494" s="10"/>
      <c r="C494" s="107"/>
      <c r="D494" s="10"/>
      <c r="E494" s="10"/>
      <c r="F494" s="107"/>
      <c r="G494" s="10"/>
      <c r="H494" s="10"/>
      <c r="I494" s="56"/>
      <c r="J494" s="56"/>
      <c r="K494" s="56"/>
      <c r="L494" s="56"/>
      <c r="M494" s="56"/>
      <c r="N494" s="11"/>
      <c r="O494" s="101"/>
      <c r="Q494" s="101"/>
      <c r="T494" s="101"/>
    </row>
    <row r="495" spans="1:20" s="106" customFormat="1" x14ac:dyDescent="0.15">
      <c r="A495" s="11"/>
      <c r="B495" s="10"/>
      <c r="C495" s="107"/>
      <c r="D495" s="10"/>
      <c r="E495" s="10"/>
      <c r="F495" s="107"/>
      <c r="G495" s="10"/>
      <c r="H495" s="10"/>
      <c r="I495" s="56"/>
      <c r="J495" s="56"/>
      <c r="K495" s="56"/>
      <c r="L495" s="56"/>
      <c r="M495" s="56"/>
      <c r="N495" s="11"/>
      <c r="O495" s="101"/>
      <c r="Q495" s="101"/>
      <c r="T495" s="101"/>
    </row>
    <row r="496" spans="1:20" s="106" customFormat="1" x14ac:dyDescent="0.15">
      <c r="A496" s="11"/>
      <c r="B496" s="10"/>
      <c r="C496" s="107"/>
      <c r="D496" s="10"/>
      <c r="E496" s="10"/>
      <c r="F496" s="107"/>
      <c r="G496" s="10"/>
      <c r="H496" s="10"/>
      <c r="I496" s="56"/>
      <c r="J496" s="56"/>
      <c r="K496" s="56"/>
      <c r="L496" s="56"/>
      <c r="M496" s="56"/>
      <c r="N496" s="11"/>
      <c r="O496" s="101"/>
      <c r="Q496" s="101"/>
      <c r="T496" s="101"/>
    </row>
    <row r="497" spans="1:20" s="106" customFormat="1" x14ac:dyDescent="0.15">
      <c r="A497" s="11"/>
      <c r="B497" s="10"/>
      <c r="C497" s="107"/>
      <c r="D497" s="10"/>
      <c r="E497" s="10"/>
      <c r="F497" s="107"/>
      <c r="G497" s="10"/>
      <c r="H497" s="10"/>
      <c r="I497" s="56"/>
      <c r="J497" s="56"/>
      <c r="K497" s="56"/>
      <c r="L497" s="56"/>
      <c r="M497" s="56"/>
      <c r="N497" s="11"/>
      <c r="O497" s="101"/>
      <c r="Q497" s="101"/>
      <c r="T497" s="101"/>
    </row>
    <row r="498" spans="1:20" s="106" customFormat="1" x14ac:dyDescent="0.15">
      <c r="A498" s="11"/>
      <c r="B498" s="10"/>
      <c r="C498" s="107"/>
      <c r="D498" s="10"/>
      <c r="E498" s="10"/>
      <c r="F498" s="107"/>
      <c r="G498" s="10"/>
      <c r="H498" s="10"/>
      <c r="I498" s="56"/>
      <c r="J498" s="56"/>
      <c r="K498" s="56"/>
      <c r="L498" s="56"/>
      <c r="M498" s="56"/>
      <c r="N498" s="11"/>
      <c r="O498" s="101"/>
      <c r="Q498" s="101"/>
      <c r="T498" s="101"/>
    </row>
    <row r="499" spans="1:20" s="106" customFormat="1" x14ac:dyDescent="0.15">
      <c r="A499" s="11"/>
      <c r="B499" s="10"/>
      <c r="C499" s="107"/>
      <c r="D499" s="10"/>
      <c r="E499" s="10"/>
      <c r="F499" s="107"/>
      <c r="G499" s="10"/>
      <c r="H499" s="10"/>
      <c r="I499" s="56"/>
      <c r="J499" s="56"/>
      <c r="K499" s="56"/>
      <c r="L499" s="56"/>
      <c r="M499" s="56"/>
      <c r="N499" s="11"/>
      <c r="O499" s="101"/>
      <c r="Q499" s="101"/>
      <c r="T499" s="101"/>
    </row>
    <row r="500" spans="1:20" s="106" customFormat="1" x14ac:dyDescent="0.15">
      <c r="A500" s="11"/>
      <c r="B500" s="10"/>
      <c r="C500" s="107"/>
      <c r="D500" s="10"/>
      <c r="E500" s="10"/>
      <c r="F500" s="107"/>
      <c r="G500" s="10"/>
      <c r="H500" s="10"/>
      <c r="I500" s="56"/>
      <c r="J500" s="56"/>
      <c r="K500" s="56"/>
      <c r="L500" s="56"/>
      <c r="M500" s="56"/>
      <c r="N500" s="11"/>
      <c r="O500" s="101"/>
      <c r="Q500" s="101"/>
      <c r="T500" s="101"/>
    </row>
    <row r="501" spans="1:20" s="106" customFormat="1" x14ac:dyDescent="0.15">
      <c r="A501" s="11"/>
      <c r="B501" s="10"/>
      <c r="C501" s="107"/>
      <c r="D501" s="10"/>
      <c r="E501" s="10"/>
      <c r="F501" s="107"/>
      <c r="G501" s="10"/>
      <c r="H501" s="10"/>
      <c r="I501" s="56"/>
      <c r="J501" s="56"/>
      <c r="K501" s="56"/>
      <c r="L501" s="56"/>
      <c r="M501" s="56"/>
      <c r="N501" s="11"/>
      <c r="O501" s="101"/>
      <c r="Q501" s="101"/>
      <c r="T501" s="101"/>
    </row>
    <row r="502" spans="1:20" s="106" customFormat="1" x14ac:dyDescent="0.15">
      <c r="A502" s="11"/>
      <c r="B502" s="10"/>
      <c r="C502" s="107"/>
      <c r="D502" s="10"/>
      <c r="E502" s="10"/>
      <c r="F502" s="107"/>
      <c r="G502" s="10"/>
      <c r="H502" s="10"/>
      <c r="I502" s="56"/>
      <c r="J502" s="56"/>
      <c r="K502" s="56"/>
      <c r="L502" s="56"/>
      <c r="M502" s="56"/>
      <c r="N502" s="11"/>
      <c r="O502" s="101"/>
      <c r="Q502" s="101"/>
      <c r="T502" s="101"/>
    </row>
    <row r="503" spans="1:20" s="106" customFormat="1" x14ac:dyDescent="0.15">
      <c r="A503" s="11"/>
      <c r="B503" s="10"/>
      <c r="C503" s="107"/>
      <c r="D503" s="10"/>
      <c r="E503" s="10"/>
      <c r="F503" s="107"/>
      <c r="G503" s="10"/>
      <c r="H503" s="10"/>
      <c r="I503" s="56"/>
      <c r="J503" s="56"/>
      <c r="K503" s="56"/>
      <c r="L503" s="56"/>
      <c r="M503" s="56"/>
      <c r="N503" s="11"/>
      <c r="O503" s="101"/>
      <c r="Q503" s="101"/>
      <c r="T503" s="101"/>
    </row>
    <row r="504" spans="1:20" s="106" customFormat="1" x14ac:dyDescent="0.15">
      <c r="A504" s="11"/>
      <c r="B504" s="10"/>
      <c r="C504" s="107"/>
      <c r="D504" s="10"/>
      <c r="E504" s="10"/>
      <c r="F504" s="107"/>
      <c r="G504" s="10"/>
      <c r="H504" s="10"/>
      <c r="I504" s="56"/>
      <c r="J504" s="56"/>
      <c r="K504" s="56"/>
      <c r="L504" s="56"/>
      <c r="M504" s="56"/>
      <c r="N504" s="11"/>
      <c r="O504" s="101"/>
      <c r="Q504" s="101"/>
      <c r="T504" s="101"/>
    </row>
    <row r="505" spans="1:20" s="106" customFormat="1" x14ac:dyDescent="0.15">
      <c r="A505" s="11"/>
      <c r="B505" s="10"/>
      <c r="C505" s="107"/>
      <c r="D505" s="10"/>
      <c r="E505" s="10"/>
      <c r="F505" s="107"/>
      <c r="G505" s="10"/>
      <c r="H505" s="10"/>
      <c r="I505" s="56"/>
      <c r="J505" s="56"/>
      <c r="K505" s="56"/>
      <c r="L505" s="56"/>
      <c r="M505" s="56"/>
      <c r="N505" s="11"/>
      <c r="O505" s="101"/>
      <c r="Q505" s="101"/>
      <c r="T505" s="101"/>
    </row>
    <row r="506" spans="1:20" s="106" customFormat="1" x14ac:dyDescent="0.15">
      <c r="A506" s="11"/>
      <c r="B506" s="10"/>
      <c r="C506" s="107"/>
      <c r="D506" s="10"/>
      <c r="E506" s="10"/>
      <c r="F506" s="107"/>
      <c r="G506" s="10"/>
      <c r="H506" s="10"/>
      <c r="I506" s="56"/>
      <c r="J506" s="56"/>
      <c r="K506" s="56"/>
      <c r="L506" s="56"/>
      <c r="M506" s="56"/>
      <c r="N506" s="11"/>
      <c r="O506" s="101"/>
      <c r="Q506" s="101"/>
      <c r="T506" s="101"/>
    </row>
    <row r="507" spans="1:20" s="106" customFormat="1" x14ac:dyDescent="0.15">
      <c r="A507" s="11"/>
      <c r="B507" s="10"/>
      <c r="C507" s="107"/>
      <c r="D507" s="10"/>
      <c r="E507" s="10"/>
      <c r="F507" s="107"/>
      <c r="G507" s="10"/>
      <c r="H507" s="10"/>
      <c r="I507" s="56"/>
      <c r="J507" s="56"/>
      <c r="K507" s="56"/>
      <c r="L507" s="56"/>
      <c r="M507" s="56"/>
      <c r="N507" s="11"/>
      <c r="O507" s="101"/>
      <c r="Q507" s="101"/>
      <c r="T507" s="101"/>
    </row>
    <row r="508" spans="1:20" s="106" customFormat="1" x14ac:dyDescent="0.15">
      <c r="A508" s="11"/>
      <c r="B508" s="10"/>
      <c r="C508" s="107"/>
      <c r="D508" s="10"/>
      <c r="E508" s="10"/>
      <c r="F508" s="107"/>
      <c r="G508" s="10"/>
      <c r="H508" s="10"/>
      <c r="I508" s="56"/>
      <c r="J508" s="56"/>
      <c r="K508" s="56"/>
      <c r="L508" s="56"/>
      <c r="M508" s="56"/>
      <c r="N508" s="11"/>
      <c r="O508" s="101"/>
      <c r="Q508" s="101"/>
      <c r="T508" s="101"/>
    </row>
    <row r="509" spans="1:20" s="106" customFormat="1" x14ac:dyDescent="0.15">
      <c r="A509" s="11"/>
      <c r="B509" s="10"/>
      <c r="C509" s="107"/>
      <c r="D509" s="10"/>
      <c r="E509" s="10"/>
      <c r="F509" s="107"/>
      <c r="G509" s="10"/>
      <c r="H509" s="10"/>
      <c r="I509" s="56"/>
      <c r="J509" s="56"/>
      <c r="K509" s="56"/>
      <c r="L509" s="56"/>
      <c r="M509" s="56"/>
      <c r="N509" s="11"/>
      <c r="O509" s="101"/>
      <c r="Q509" s="101"/>
      <c r="T509" s="101"/>
    </row>
    <row r="510" spans="1:20" s="106" customFormat="1" x14ac:dyDescent="0.15">
      <c r="A510" s="11"/>
      <c r="B510" s="10"/>
      <c r="C510" s="107"/>
      <c r="D510" s="10"/>
      <c r="E510" s="10"/>
      <c r="F510" s="107"/>
      <c r="G510" s="10"/>
      <c r="H510" s="10"/>
      <c r="I510" s="56"/>
      <c r="J510" s="56"/>
      <c r="K510" s="56"/>
      <c r="L510" s="56"/>
      <c r="M510" s="56"/>
      <c r="N510" s="11"/>
      <c r="O510" s="101"/>
      <c r="Q510" s="101"/>
      <c r="T510" s="101"/>
    </row>
    <row r="511" spans="1:20" s="106" customFormat="1" x14ac:dyDescent="0.15">
      <c r="A511" s="11"/>
      <c r="B511" s="10"/>
      <c r="C511" s="107"/>
      <c r="D511" s="10"/>
      <c r="E511" s="10"/>
      <c r="F511" s="107"/>
      <c r="G511" s="10"/>
      <c r="H511" s="10"/>
      <c r="I511" s="56"/>
      <c r="J511" s="56"/>
      <c r="K511" s="56"/>
      <c r="L511" s="56"/>
      <c r="M511" s="56"/>
      <c r="N511" s="11"/>
      <c r="O511" s="101"/>
      <c r="Q511" s="101"/>
      <c r="T511" s="101"/>
    </row>
    <row r="512" spans="1:20" s="106" customFormat="1" x14ac:dyDescent="0.15">
      <c r="A512" s="11"/>
      <c r="B512" s="10"/>
      <c r="C512" s="107"/>
      <c r="D512" s="10"/>
      <c r="E512" s="10"/>
      <c r="F512" s="107"/>
      <c r="G512" s="10"/>
      <c r="H512" s="10"/>
      <c r="I512" s="56"/>
      <c r="J512" s="56"/>
      <c r="K512" s="56"/>
      <c r="L512" s="56"/>
      <c r="M512" s="56"/>
      <c r="N512" s="11"/>
      <c r="O512" s="101"/>
      <c r="Q512" s="101"/>
      <c r="T512" s="101"/>
    </row>
    <row r="513" spans="1:20" s="106" customFormat="1" x14ac:dyDescent="0.15">
      <c r="A513" s="11"/>
      <c r="B513" s="10"/>
      <c r="C513" s="107"/>
      <c r="D513" s="10"/>
      <c r="E513" s="10"/>
      <c r="F513" s="107"/>
      <c r="G513" s="10"/>
      <c r="H513" s="10"/>
      <c r="I513" s="56"/>
      <c r="J513" s="56"/>
      <c r="K513" s="56"/>
      <c r="L513" s="56"/>
      <c r="M513" s="56"/>
      <c r="N513" s="11"/>
      <c r="O513" s="101"/>
      <c r="Q513" s="101"/>
      <c r="T513" s="101"/>
    </row>
    <row r="514" spans="1:20" s="106" customFormat="1" x14ac:dyDescent="0.15">
      <c r="A514" s="11"/>
      <c r="B514" s="10"/>
      <c r="C514" s="107"/>
      <c r="D514" s="10"/>
      <c r="E514" s="10"/>
      <c r="F514" s="107"/>
      <c r="G514" s="10"/>
      <c r="H514" s="10"/>
      <c r="I514" s="56"/>
      <c r="J514" s="56"/>
      <c r="K514" s="56"/>
      <c r="L514" s="56"/>
      <c r="M514" s="56"/>
      <c r="N514" s="11"/>
      <c r="O514" s="101"/>
      <c r="Q514" s="101"/>
      <c r="T514" s="101"/>
    </row>
    <row r="515" spans="1:20" s="106" customFormat="1" x14ac:dyDescent="0.15">
      <c r="A515" s="11"/>
      <c r="B515" s="10"/>
      <c r="C515" s="107"/>
      <c r="D515" s="10"/>
      <c r="E515" s="10"/>
      <c r="F515" s="107"/>
      <c r="G515" s="10"/>
      <c r="H515" s="10"/>
      <c r="I515" s="56"/>
      <c r="J515" s="56"/>
      <c r="K515" s="56"/>
      <c r="L515" s="56"/>
      <c r="M515" s="56"/>
      <c r="N515" s="11"/>
      <c r="O515" s="101"/>
      <c r="Q515" s="101"/>
      <c r="T515" s="101"/>
    </row>
    <row r="516" spans="1:20" s="106" customFormat="1" x14ac:dyDescent="0.15">
      <c r="A516" s="11"/>
      <c r="B516" s="10"/>
      <c r="C516" s="107"/>
      <c r="D516" s="10"/>
      <c r="E516" s="10"/>
      <c r="F516" s="107"/>
      <c r="G516" s="10"/>
      <c r="H516" s="10"/>
      <c r="I516" s="56"/>
      <c r="J516" s="56"/>
      <c r="K516" s="56"/>
      <c r="L516" s="56"/>
      <c r="M516" s="56"/>
      <c r="N516" s="11"/>
      <c r="O516" s="101"/>
      <c r="Q516" s="101"/>
      <c r="T516" s="101"/>
    </row>
    <row r="517" spans="1:20" s="106" customFormat="1" x14ac:dyDescent="0.15">
      <c r="A517" s="11"/>
      <c r="B517" s="10"/>
      <c r="C517" s="107"/>
      <c r="D517" s="10"/>
      <c r="E517" s="10"/>
      <c r="F517" s="107"/>
      <c r="G517" s="10"/>
      <c r="H517" s="10"/>
      <c r="I517" s="56"/>
      <c r="J517" s="56"/>
      <c r="K517" s="56"/>
      <c r="L517" s="56"/>
      <c r="M517" s="56"/>
      <c r="N517" s="11"/>
      <c r="O517" s="101"/>
      <c r="Q517" s="101"/>
      <c r="T517" s="101"/>
    </row>
    <row r="518" spans="1:20" s="106" customFormat="1" x14ac:dyDescent="0.15">
      <c r="A518" s="11"/>
      <c r="B518" s="10"/>
      <c r="C518" s="107"/>
      <c r="D518" s="10"/>
      <c r="E518" s="10"/>
      <c r="F518" s="107"/>
      <c r="G518" s="10"/>
      <c r="H518" s="10"/>
      <c r="I518" s="56"/>
      <c r="J518" s="56"/>
      <c r="K518" s="56"/>
      <c r="L518" s="56"/>
      <c r="M518" s="56"/>
      <c r="N518" s="11"/>
      <c r="O518" s="101"/>
      <c r="Q518" s="101"/>
      <c r="T518" s="101"/>
    </row>
    <row r="519" spans="1:20" s="106" customFormat="1" x14ac:dyDescent="0.15">
      <c r="A519" s="11"/>
      <c r="B519" s="10"/>
      <c r="C519" s="107"/>
      <c r="D519" s="10"/>
      <c r="E519" s="10"/>
      <c r="F519" s="107"/>
      <c r="G519" s="10"/>
      <c r="H519" s="10"/>
      <c r="I519" s="56"/>
      <c r="J519" s="56"/>
      <c r="K519" s="56"/>
      <c r="L519" s="56"/>
      <c r="M519" s="56"/>
      <c r="N519" s="11"/>
      <c r="O519" s="101"/>
      <c r="Q519" s="101"/>
      <c r="T519" s="101"/>
    </row>
    <row r="520" spans="1:20" s="106" customFormat="1" x14ac:dyDescent="0.15">
      <c r="A520" s="11"/>
      <c r="B520" s="10"/>
      <c r="C520" s="107"/>
      <c r="D520" s="10"/>
      <c r="E520" s="10"/>
      <c r="F520" s="107"/>
      <c r="G520" s="10"/>
      <c r="H520" s="10"/>
      <c r="I520" s="56"/>
      <c r="J520" s="56"/>
      <c r="K520" s="56"/>
      <c r="L520" s="56"/>
      <c r="M520" s="56"/>
      <c r="N520" s="11"/>
      <c r="O520" s="101"/>
      <c r="Q520" s="101"/>
      <c r="T520" s="101"/>
    </row>
    <row r="521" spans="1:20" s="106" customFormat="1" x14ac:dyDescent="0.15">
      <c r="A521" s="11"/>
      <c r="B521" s="10"/>
      <c r="C521" s="107"/>
      <c r="D521" s="10"/>
      <c r="E521" s="10"/>
      <c r="F521" s="107"/>
      <c r="G521" s="10"/>
      <c r="H521" s="10"/>
      <c r="I521" s="56"/>
      <c r="J521" s="56"/>
      <c r="K521" s="56"/>
      <c r="L521" s="56"/>
      <c r="M521" s="56"/>
      <c r="N521" s="11"/>
      <c r="O521" s="101"/>
      <c r="Q521" s="101"/>
      <c r="T521" s="101"/>
    </row>
    <row r="522" spans="1:20" s="106" customFormat="1" x14ac:dyDescent="0.15">
      <c r="A522" s="11"/>
      <c r="B522" s="10"/>
      <c r="C522" s="107"/>
      <c r="D522" s="10"/>
      <c r="E522" s="10"/>
      <c r="F522" s="107"/>
      <c r="G522" s="10"/>
      <c r="H522" s="10"/>
      <c r="I522" s="56"/>
      <c r="J522" s="56"/>
      <c r="K522" s="56"/>
      <c r="L522" s="56"/>
      <c r="M522" s="56"/>
      <c r="N522" s="11"/>
      <c r="O522" s="101"/>
      <c r="Q522" s="101"/>
      <c r="T522" s="101"/>
    </row>
    <row r="523" spans="1:20" s="106" customFormat="1" x14ac:dyDescent="0.15">
      <c r="A523" s="11"/>
      <c r="B523" s="10"/>
      <c r="C523" s="107"/>
      <c r="D523" s="10"/>
      <c r="E523" s="10"/>
      <c r="F523" s="107"/>
      <c r="G523" s="10"/>
      <c r="H523" s="10"/>
      <c r="I523" s="56"/>
      <c r="J523" s="56"/>
      <c r="K523" s="56"/>
      <c r="L523" s="56"/>
      <c r="M523" s="56"/>
      <c r="N523" s="11"/>
      <c r="O523" s="101"/>
      <c r="Q523" s="101"/>
      <c r="T523" s="101"/>
    </row>
    <row r="524" spans="1:20" s="106" customFormat="1" x14ac:dyDescent="0.15">
      <c r="A524" s="11"/>
      <c r="B524" s="10"/>
      <c r="C524" s="107"/>
      <c r="D524" s="10"/>
      <c r="E524" s="10"/>
      <c r="F524" s="107"/>
      <c r="G524" s="10"/>
      <c r="H524" s="10"/>
      <c r="I524" s="56"/>
      <c r="J524" s="56"/>
      <c r="K524" s="56"/>
      <c r="L524" s="56"/>
      <c r="M524" s="56"/>
      <c r="N524" s="11"/>
      <c r="O524" s="101"/>
      <c r="Q524" s="101"/>
      <c r="T524" s="101"/>
    </row>
    <row r="525" spans="1:20" s="106" customFormat="1" x14ac:dyDescent="0.15">
      <c r="A525" s="11"/>
      <c r="B525" s="10"/>
      <c r="C525" s="107"/>
      <c r="D525" s="10"/>
      <c r="E525" s="10"/>
      <c r="F525" s="107"/>
      <c r="G525" s="10"/>
      <c r="H525" s="10"/>
      <c r="I525" s="56"/>
      <c r="J525" s="56"/>
      <c r="K525" s="56"/>
      <c r="L525" s="56"/>
      <c r="M525" s="56"/>
      <c r="N525" s="11"/>
      <c r="O525" s="101"/>
      <c r="Q525" s="101"/>
      <c r="T525" s="101"/>
    </row>
    <row r="526" spans="1:20" s="106" customFormat="1" x14ac:dyDescent="0.15">
      <c r="A526" s="11"/>
      <c r="B526" s="10"/>
      <c r="C526" s="107"/>
      <c r="D526" s="10"/>
      <c r="E526" s="10"/>
      <c r="F526" s="107"/>
      <c r="G526" s="10"/>
      <c r="H526" s="10"/>
      <c r="I526" s="56"/>
      <c r="J526" s="56"/>
      <c r="K526" s="56"/>
      <c r="L526" s="56"/>
      <c r="M526" s="56"/>
      <c r="N526" s="11"/>
      <c r="O526" s="101"/>
      <c r="Q526" s="101"/>
      <c r="T526" s="101"/>
    </row>
    <row r="527" spans="1:20" s="106" customFormat="1" x14ac:dyDescent="0.15">
      <c r="A527" s="11"/>
      <c r="B527" s="10"/>
      <c r="C527" s="107"/>
      <c r="D527" s="10"/>
      <c r="E527" s="10"/>
      <c r="F527" s="107"/>
      <c r="G527" s="10"/>
      <c r="H527" s="10"/>
      <c r="I527" s="56"/>
      <c r="J527" s="56"/>
      <c r="K527" s="56"/>
      <c r="L527" s="56"/>
      <c r="M527" s="56"/>
      <c r="N527" s="11"/>
      <c r="O527" s="101"/>
      <c r="Q527" s="101"/>
      <c r="T527" s="101"/>
    </row>
    <row r="528" spans="1:20" s="106" customFormat="1" x14ac:dyDescent="0.15">
      <c r="A528" s="11"/>
      <c r="B528" s="10"/>
      <c r="C528" s="107"/>
      <c r="D528" s="10"/>
      <c r="E528" s="10"/>
      <c r="F528" s="107"/>
      <c r="G528" s="10"/>
      <c r="H528" s="10"/>
      <c r="I528" s="56"/>
      <c r="J528" s="56"/>
      <c r="K528" s="56"/>
      <c r="L528" s="56"/>
      <c r="M528" s="56"/>
      <c r="N528" s="11"/>
      <c r="O528" s="101"/>
      <c r="Q528" s="101"/>
      <c r="T528" s="101"/>
    </row>
    <row r="529" spans="1:20" s="106" customFormat="1" x14ac:dyDescent="0.15">
      <c r="A529" s="11"/>
      <c r="B529" s="10"/>
      <c r="C529" s="107"/>
      <c r="D529" s="10"/>
      <c r="E529" s="10"/>
      <c r="F529" s="107"/>
      <c r="G529" s="10"/>
      <c r="H529" s="10"/>
      <c r="I529" s="56"/>
      <c r="J529" s="56"/>
      <c r="K529" s="56"/>
      <c r="L529" s="56"/>
      <c r="M529" s="56"/>
      <c r="N529" s="11"/>
      <c r="O529" s="101"/>
      <c r="Q529" s="101"/>
      <c r="T529" s="101"/>
    </row>
    <row r="530" spans="1:20" s="106" customFormat="1" x14ac:dyDescent="0.15">
      <c r="A530" s="11"/>
      <c r="B530" s="10"/>
      <c r="C530" s="107"/>
      <c r="D530" s="10"/>
      <c r="E530" s="10"/>
      <c r="F530" s="107"/>
      <c r="G530" s="10"/>
      <c r="H530" s="10"/>
      <c r="I530" s="56"/>
      <c r="J530" s="56"/>
      <c r="K530" s="56"/>
      <c r="L530" s="56"/>
      <c r="M530" s="56"/>
      <c r="N530" s="11"/>
      <c r="O530" s="101"/>
      <c r="Q530" s="101"/>
      <c r="T530" s="101"/>
    </row>
    <row r="531" spans="1:20" s="106" customFormat="1" x14ac:dyDescent="0.15">
      <c r="A531" s="11"/>
      <c r="B531" s="10"/>
      <c r="C531" s="107"/>
      <c r="D531" s="10"/>
      <c r="E531" s="10"/>
      <c r="F531" s="107"/>
      <c r="G531" s="10"/>
      <c r="H531" s="10"/>
      <c r="I531" s="56"/>
      <c r="J531" s="56"/>
      <c r="K531" s="56"/>
      <c r="L531" s="56"/>
      <c r="M531" s="56"/>
      <c r="N531" s="11"/>
      <c r="O531" s="101"/>
      <c r="Q531" s="101"/>
      <c r="T531" s="101"/>
    </row>
    <row r="532" spans="1:20" s="106" customFormat="1" x14ac:dyDescent="0.15">
      <c r="A532" s="11"/>
      <c r="B532" s="10"/>
      <c r="C532" s="107"/>
      <c r="D532" s="10"/>
      <c r="E532" s="10"/>
      <c r="F532" s="107"/>
      <c r="G532" s="10"/>
      <c r="H532" s="10"/>
      <c r="I532" s="56"/>
      <c r="J532" s="56"/>
      <c r="K532" s="56"/>
      <c r="L532" s="56"/>
      <c r="M532" s="56"/>
      <c r="N532" s="11"/>
      <c r="O532" s="101"/>
      <c r="Q532" s="101"/>
      <c r="T532" s="101"/>
    </row>
    <row r="533" spans="1:20" s="106" customFormat="1" x14ac:dyDescent="0.15">
      <c r="A533" s="11"/>
      <c r="B533" s="10"/>
      <c r="C533" s="107"/>
      <c r="D533" s="10"/>
      <c r="E533" s="10"/>
      <c r="F533" s="107"/>
      <c r="G533" s="10"/>
      <c r="H533" s="10"/>
      <c r="I533" s="56"/>
      <c r="J533" s="56"/>
      <c r="K533" s="56"/>
      <c r="L533" s="56"/>
      <c r="M533" s="56"/>
      <c r="N533" s="11"/>
      <c r="O533" s="101"/>
      <c r="Q533" s="101"/>
      <c r="T533" s="101"/>
    </row>
    <row r="534" spans="1:20" s="106" customFormat="1" x14ac:dyDescent="0.15">
      <c r="A534" s="11"/>
      <c r="B534" s="10"/>
      <c r="C534" s="107"/>
      <c r="D534" s="10"/>
      <c r="E534" s="10"/>
      <c r="F534" s="107"/>
      <c r="G534" s="10"/>
      <c r="H534" s="10"/>
      <c r="I534" s="56"/>
      <c r="J534" s="56"/>
      <c r="K534" s="56"/>
      <c r="L534" s="56"/>
      <c r="M534" s="56"/>
      <c r="N534" s="11"/>
      <c r="O534" s="101"/>
      <c r="Q534" s="101"/>
      <c r="T534" s="101"/>
    </row>
    <row r="535" spans="1:20" s="106" customFormat="1" x14ac:dyDescent="0.15">
      <c r="A535" s="11"/>
      <c r="B535" s="10"/>
      <c r="C535" s="107"/>
      <c r="D535" s="10"/>
      <c r="E535" s="10"/>
      <c r="F535" s="107"/>
      <c r="G535" s="10"/>
      <c r="H535" s="10"/>
      <c r="I535" s="56"/>
      <c r="J535" s="56"/>
      <c r="K535" s="56"/>
      <c r="L535" s="56"/>
      <c r="M535" s="56"/>
      <c r="N535" s="11"/>
      <c r="O535" s="101"/>
      <c r="Q535" s="101"/>
      <c r="T535" s="101"/>
    </row>
    <row r="536" spans="1:20" s="106" customFormat="1" x14ac:dyDescent="0.15">
      <c r="A536" s="11"/>
      <c r="B536" s="10"/>
      <c r="C536" s="107"/>
      <c r="D536" s="10"/>
      <c r="E536" s="10"/>
      <c r="F536" s="107"/>
      <c r="G536" s="10"/>
      <c r="H536" s="10"/>
      <c r="I536" s="56"/>
      <c r="J536" s="56"/>
      <c r="K536" s="56"/>
      <c r="L536" s="56"/>
      <c r="M536" s="56"/>
      <c r="N536" s="11"/>
      <c r="O536" s="101"/>
      <c r="Q536" s="101"/>
      <c r="T536" s="101"/>
    </row>
    <row r="537" spans="1:20" s="106" customFormat="1" x14ac:dyDescent="0.15">
      <c r="A537" s="11"/>
      <c r="B537" s="10"/>
      <c r="C537" s="107"/>
      <c r="D537" s="10"/>
      <c r="E537" s="10"/>
      <c r="F537" s="107"/>
      <c r="G537" s="10"/>
      <c r="H537" s="10"/>
      <c r="I537" s="56"/>
      <c r="J537" s="56"/>
      <c r="K537" s="56"/>
      <c r="L537" s="56"/>
      <c r="M537" s="56"/>
      <c r="N537" s="11"/>
      <c r="O537" s="101"/>
      <c r="Q537" s="101"/>
      <c r="T537" s="101"/>
    </row>
    <row r="538" spans="1:20" s="106" customFormat="1" x14ac:dyDescent="0.15">
      <c r="A538" s="11"/>
      <c r="B538" s="10"/>
      <c r="C538" s="107"/>
      <c r="D538" s="10"/>
      <c r="E538" s="10"/>
      <c r="F538" s="107"/>
      <c r="G538" s="10"/>
      <c r="H538" s="10"/>
      <c r="I538" s="56"/>
      <c r="J538" s="56"/>
      <c r="K538" s="56"/>
      <c r="L538" s="56"/>
      <c r="M538" s="56"/>
      <c r="N538" s="11"/>
      <c r="O538" s="101"/>
      <c r="Q538" s="101"/>
      <c r="T538" s="101"/>
    </row>
    <row r="539" spans="1:20" s="106" customFormat="1" x14ac:dyDescent="0.15">
      <c r="A539" s="11"/>
      <c r="B539" s="10"/>
      <c r="C539" s="107"/>
      <c r="D539" s="10"/>
      <c r="E539" s="10"/>
      <c r="F539" s="107"/>
      <c r="G539" s="10"/>
      <c r="H539" s="10"/>
      <c r="I539" s="56"/>
      <c r="J539" s="56"/>
      <c r="K539" s="56"/>
      <c r="L539" s="56"/>
      <c r="M539" s="56"/>
      <c r="N539" s="11"/>
      <c r="O539" s="101"/>
      <c r="Q539" s="101"/>
      <c r="T539" s="101"/>
    </row>
    <row r="540" spans="1:20" s="106" customFormat="1" x14ac:dyDescent="0.15">
      <c r="A540" s="11"/>
      <c r="B540" s="10"/>
      <c r="C540" s="107"/>
      <c r="D540" s="10"/>
      <c r="E540" s="10"/>
      <c r="F540" s="107"/>
      <c r="G540" s="10"/>
      <c r="H540" s="10"/>
      <c r="I540" s="56"/>
      <c r="J540" s="56"/>
      <c r="K540" s="56"/>
      <c r="L540" s="56"/>
      <c r="M540" s="56"/>
      <c r="N540" s="11"/>
      <c r="O540" s="101"/>
      <c r="Q540" s="101"/>
      <c r="T540" s="101"/>
    </row>
    <row r="541" spans="1:20" s="106" customFormat="1" x14ac:dyDescent="0.15">
      <c r="A541" s="11"/>
      <c r="B541" s="10"/>
      <c r="C541" s="107"/>
      <c r="D541" s="10"/>
      <c r="E541" s="10"/>
      <c r="F541" s="107"/>
      <c r="G541" s="10"/>
      <c r="H541" s="10"/>
      <c r="I541" s="56"/>
      <c r="J541" s="56"/>
      <c r="K541" s="56"/>
      <c r="L541" s="56"/>
      <c r="M541" s="56"/>
      <c r="N541" s="11"/>
      <c r="O541" s="101"/>
      <c r="Q541" s="101"/>
      <c r="T541" s="101"/>
    </row>
    <row r="542" spans="1:20" s="106" customFormat="1" x14ac:dyDescent="0.15">
      <c r="A542" s="11"/>
      <c r="B542" s="10"/>
      <c r="C542" s="107"/>
      <c r="D542" s="10"/>
      <c r="E542" s="10"/>
      <c r="F542" s="107"/>
      <c r="G542" s="10"/>
      <c r="H542" s="10"/>
      <c r="I542" s="56"/>
      <c r="J542" s="56"/>
      <c r="K542" s="56"/>
      <c r="L542" s="56"/>
      <c r="M542" s="56"/>
      <c r="N542" s="11"/>
      <c r="O542" s="101"/>
      <c r="Q542" s="101"/>
      <c r="T542" s="101"/>
    </row>
    <row r="543" spans="1:20" s="106" customFormat="1" x14ac:dyDescent="0.15">
      <c r="A543" s="11"/>
      <c r="B543" s="10"/>
      <c r="C543" s="107"/>
      <c r="D543" s="10"/>
      <c r="E543" s="10"/>
      <c r="F543" s="107"/>
      <c r="G543" s="10"/>
      <c r="H543" s="10"/>
      <c r="I543" s="56"/>
      <c r="J543" s="56"/>
      <c r="K543" s="56"/>
      <c r="L543" s="56"/>
      <c r="M543" s="56"/>
      <c r="N543" s="11"/>
      <c r="O543" s="101"/>
      <c r="Q543" s="101"/>
      <c r="T543" s="101"/>
    </row>
    <row r="544" spans="1:20" s="106" customFormat="1" x14ac:dyDescent="0.15">
      <c r="A544" s="11"/>
      <c r="B544" s="10"/>
      <c r="C544" s="107"/>
      <c r="D544" s="10"/>
      <c r="E544" s="10"/>
      <c r="F544" s="107"/>
      <c r="G544" s="10"/>
      <c r="H544" s="10"/>
      <c r="I544" s="56"/>
      <c r="J544" s="56"/>
      <c r="K544" s="56"/>
      <c r="L544" s="56"/>
      <c r="M544" s="56"/>
      <c r="N544" s="11"/>
      <c r="O544" s="101"/>
      <c r="Q544" s="101"/>
      <c r="T544" s="101"/>
    </row>
    <row r="545" spans="1:20" s="106" customFormat="1" x14ac:dyDescent="0.15">
      <c r="A545" s="11"/>
      <c r="B545" s="10"/>
      <c r="C545" s="107"/>
      <c r="D545" s="10"/>
      <c r="E545" s="10"/>
      <c r="F545" s="107"/>
      <c r="G545" s="10"/>
      <c r="H545" s="10"/>
      <c r="I545" s="56"/>
      <c r="J545" s="56"/>
      <c r="K545" s="56"/>
      <c r="L545" s="56"/>
      <c r="M545" s="56"/>
      <c r="N545" s="11"/>
      <c r="O545" s="101"/>
      <c r="Q545" s="101"/>
      <c r="T545" s="101"/>
    </row>
    <row r="546" spans="1:20" s="106" customFormat="1" x14ac:dyDescent="0.15">
      <c r="A546" s="11"/>
      <c r="B546" s="10"/>
      <c r="C546" s="107"/>
      <c r="D546" s="10"/>
      <c r="E546" s="10"/>
      <c r="F546" s="107"/>
      <c r="G546" s="10"/>
      <c r="H546" s="10"/>
      <c r="I546" s="56"/>
      <c r="J546" s="56"/>
      <c r="K546" s="56"/>
      <c r="L546" s="56"/>
      <c r="M546" s="56"/>
      <c r="N546" s="11"/>
      <c r="O546" s="101"/>
      <c r="Q546" s="101"/>
      <c r="T546" s="101"/>
    </row>
    <row r="547" spans="1:20" s="106" customFormat="1" x14ac:dyDescent="0.15">
      <c r="A547" s="11"/>
      <c r="B547" s="10"/>
      <c r="C547" s="107"/>
      <c r="D547" s="10"/>
      <c r="E547" s="10"/>
      <c r="F547" s="107"/>
      <c r="G547" s="10"/>
      <c r="H547" s="10"/>
      <c r="I547" s="56"/>
      <c r="J547" s="56"/>
      <c r="K547" s="56"/>
      <c r="L547" s="56"/>
      <c r="M547" s="56"/>
      <c r="N547" s="11"/>
      <c r="O547" s="101"/>
      <c r="Q547" s="101"/>
      <c r="T547" s="101"/>
    </row>
    <row r="548" spans="1:20" s="106" customFormat="1" x14ac:dyDescent="0.15">
      <c r="A548" s="11"/>
      <c r="B548" s="10"/>
      <c r="C548" s="107"/>
      <c r="D548" s="10"/>
      <c r="E548" s="10"/>
      <c r="F548" s="107"/>
      <c r="G548" s="10"/>
      <c r="H548" s="10"/>
      <c r="I548" s="56"/>
      <c r="J548" s="56"/>
      <c r="K548" s="56"/>
      <c r="L548" s="56"/>
      <c r="M548" s="56"/>
      <c r="N548" s="11"/>
      <c r="O548" s="101"/>
      <c r="Q548" s="101"/>
      <c r="T548" s="101"/>
    </row>
    <row r="549" spans="1:20" s="106" customFormat="1" x14ac:dyDescent="0.15">
      <c r="A549" s="11"/>
      <c r="B549" s="10"/>
      <c r="C549" s="107"/>
      <c r="D549" s="10"/>
      <c r="E549" s="10"/>
      <c r="F549" s="107"/>
      <c r="G549" s="10"/>
      <c r="H549" s="10"/>
      <c r="I549" s="56"/>
      <c r="J549" s="56"/>
      <c r="K549" s="56"/>
      <c r="L549" s="56"/>
      <c r="M549" s="56"/>
      <c r="N549" s="11"/>
      <c r="O549" s="101"/>
      <c r="Q549" s="101"/>
      <c r="T549" s="101"/>
    </row>
    <row r="550" spans="1:20" s="106" customFormat="1" x14ac:dyDescent="0.15">
      <c r="A550" s="11"/>
      <c r="B550" s="10"/>
      <c r="C550" s="107"/>
      <c r="D550" s="10"/>
      <c r="E550" s="10"/>
      <c r="F550" s="107"/>
      <c r="G550" s="10"/>
      <c r="H550" s="10"/>
      <c r="I550" s="56"/>
      <c r="J550" s="56"/>
      <c r="K550" s="56"/>
      <c r="L550" s="56"/>
      <c r="M550" s="56"/>
      <c r="N550" s="11"/>
      <c r="O550" s="101"/>
      <c r="Q550" s="101"/>
      <c r="T550" s="101"/>
    </row>
    <row r="551" spans="1:20" s="106" customFormat="1" x14ac:dyDescent="0.15">
      <c r="A551" s="11"/>
      <c r="B551" s="10"/>
      <c r="C551" s="107"/>
      <c r="D551" s="10"/>
      <c r="E551" s="10"/>
      <c r="F551" s="107"/>
      <c r="G551" s="10"/>
      <c r="H551" s="10"/>
      <c r="I551" s="56"/>
      <c r="J551" s="56"/>
      <c r="K551" s="56"/>
      <c r="L551" s="56"/>
      <c r="M551" s="56"/>
      <c r="N551" s="11"/>
      <c r="O551" s="101"/>
      <c r="Q551" s="101"/>
      <c r="T551" s="101"/>
    </row>
    <row r="552" spans="1:20" s="106" customFormat="1" x14ac:dyDescent="0.15">
      <c r="A552" s="11"/>
      <c r="B552" s="10"/>
      <c r="C552" s="107"/>
      <c r="D552" s="10"/>
      <c r="E552" s="10"/>
      <c r="F552" s="107"/>
      <c r="G552" s="10"/>
      <c r="H552" s="10"/>
      <c r="I552" s="56"/>
      <c r="J552" s="56"/>
      <c r="K552" s="56"/>
      <c r="L552" s="56"/>
      <c r="M552" s="56"/>
      <c r="N552" s="11"/>
      <c r="O552" s="101"/>
      <c r="Q552" s="101"/>
      <c r="T552" s="101"/>
    </row>
    <row r="553" spans="1:20" s="106" customFormat="1" x14ac:dyDescent="0.15">
      <c r="A553" s="11"/>
      <c r="B553" s="10"/>
      <c r="C553" s="107"/>
      <c r="D553" s="10"/>
      <c r="E553" s="10"/>
      <c r="F553" s="107"/>
      <c r="G553" s="10"/>
      <c r="H553" s="10"/>
      <c r="I553" s="56"/>
      <c r="J553" s="56"/>
      <c r="K553" s="56"/>
      <c r="L553" s="56"/>
      <c r="M553" s="56"/>
      <c r="N553" s="11"/>
      <c r="O553" s="101"/>
      <c r="Q553" s="101"/>
      <c r="T553" s="101"/>
    </row>
    <row r="554" spans="1:20" s="106" customFormat="1" x14ac:dyDescent="0.15">
      <c r="A554" s="11"/>
      <c r="B554" s="10"/>
      <c r="C554" s="107"/>
      <c r="D554" s="10"/>
      <c r="E554" s="10"/>
      <c r="F554" s="107"/>
      <c r="G554" s="10"/>
      <c r="H554" s="10"/>
      <c r="I554" s="56"/>
      <c r="J554" s="56"/>
      <c r="K554" s="56"/>
      <c r="L554" s="56"/>
      <c r="M554" s="56"/>
      <c r="N554" s="11"/>
      <c r="O554" s="101"/>
      <c r="Q554" s="101"/>
      <c r="T554" s="101"/>
    </row>
    <row r="555" spans="1:20" s="106" customFormat="1" x14ac:dyDescent="0.15">
      <c r="A555" s="11"/>
      <c r="B555" s="10"/>
      <c r="C555" s="107"/>
      <c r="D555" s="10"/>
      <c r="E555" s="10"/>
      <c r="F555" s="107"/>
      <c r="G555" s="10"/>
      <c r="H555" s="10"/>
      <c r="I555" s="56"/>
      <c r="J555" s="56"/>
      <c r="K555" s="56"/>
      <c r="L555" s="56"/>
      <c r="M555" s="56"/>
      <c r="N555" s="11"/>
      <c r="O555" s="101"/>
      <c r="Q555" s="101"/>
      <c r="T555" s="101"/>
    </row>
    <row r="556" spans="1:20" s="106" customFormat="1" x14ac:dyDescent="0.15">
      <c r="A556" s="11"/>
      <c r="B556" s="10"/>
      <c r="C556" s="107"/>
      <c r="D556" s="10"/>
      <c r="E556" s="10"/>
      <c r="F556" s="107"/>
      <c r="G556" s="10"/>
      <c r="H556" s="10"/>
      <c r="I556" s="56"/>
      <c r="J556" s="56"/>
      <c r="K556" s="56"/>
      <c r="L556" s="56"/>
      <c r="M556" s="56"/>
      <c r="N556" s="11"/>
      <c r="O556" s="101"/>
      <c r="Q556" s="101"/>
      <c r="T556" s="101"/>
    </row>
    <row r="557" spans="1:20" s="106" customFormat="1" x14ac:dyDescent="0.15">
      <c r="A557" s="11"/>
      <c r="B557" s="10"/>
      <c r="C557" s="107"/>
      <c r="D557" s="10"/>
      <c r="E557" s="10"/>
      <c r="F557" s="107"/>
      <c r="G557" s="10"/>
      <c r="H557" s="10"/>
      <c r="I557" s="56"/>
      <c r="J557" s="56"/>
      <c r="K557" s="56"/>
      <c r="L557" s="56"/>
      <c r="M557" s="56"/>
      <c r="N557" s="11"/>
      <c r="O557" s="101"/>
      <c r="Q557" s="101"/>
      <c r="T557" s="101"/>
    </row>
    <row r="558" spans="1:20" s="106" customFormat="1" x14ac:dyDescent="0.15">
      <c r="A558" s="11"/>
      <c r="B558" s="10"/>
      <c r="C558" s="107"/>
      <c r="D558" s="10"/>
      <c r="E558" s="10"/>
      <c r="F558" s="107"/>
      <c r="G558" s="10"/>
      <c r="H558" s="10"/>
      <c r="I558" s="56"/>
      <c r="J558" s="56"/>
      <c r="K558" s="56"/>
      <c r="L558" s="56"/>
      <c r="M558" s="56"/>
      <c r="N558" s="11"/>
      <c r="O558" s="101"/>
      <c r="Q558" s="101"/>
      <c r="T558" s="101"/>
    </row>
    <row r="559" spans="1:20" s="106" customFormat="1" x14ac:dyDescent="0.15">
      <c r="A559" s="11"/>
      <c r="B559" s="10"/>
      <c r="C559" s="107"/>
      <c r="D559" s="10"/>
      <c r="E559" s="10"/>
      <c r="F559" s="107"/>
      <c r="G559" s="10"/>
      <c r="H559" s="10"/>
      <c r="I559" s="56"/>
      <c r="J559" s="56"/>
      <c r="K559" s="56"/>
      <c r="L559" s="56"/>
      <c r="M559" s="56"/>
      <c r="N559" s="11"/>
      <c r="O559" s="101"/>
      <c r="Q559" s="101"/>
      <c r="T559" s="101"/>
    </row>
    <row r="560" spans="1:20" s="106" customFormat="1" x14ac:dyDescent="0.15">
      <c r="A560" s="11"/>
      <c r="B560" s="10"/>
      <c r="C560" s="107"/>
      <c r="D560" s="10"/>
      <c r="E560" s="10"/>
      <c r="F560" s="107"/>
      <c r="G560" s="10"/>
      <c r="H560" s="10"/>
      <c r="I560" s="56"/>
      <c r="J560" s="56"/>
      <c r="K560" s="56"/>
      <c r="L560" s="56"/>
      <c r="M560" s="56"/>
      <c r="N560" s="11"/>
      <c r="O560" s="101"/>
      <c r="Q560" s="101"/>
      <c r="T560" s="101"/>
    </row>
    <row r="561" spans="1:20" s="106" customFormat="1" x14ac:dyDescent="0.15">
      <c r="A561" s="11"/>
      <c r="B561" s="10"/>
      <c r="C561" s="107"/>
      <c r="D561" s="10"/>
      <c r="E561" s="10"/>
      <c r="F561" s="107"/>
      <c r="G561" s="10"/>
      <c r="H561" s="10"/>
      <c r="I561" s="56"/>
      <c r="J561" s="56"/>
      <c r="K561" s="56"/>
      <c r="L561" s="56"/>
      <c r="M561" s="56"/>
      <c r="N561" s="11"/>
      <c r="O561" s="101"/>
      <c r="Q561" s="101"/>
      <c r="T561" s="101"/>
    </row>
    <row r="562" spans="1:20" s="106" customFormat="1" x14ac:dyDescent="0.15">
      <c r="A562" s="11"/>
      <c r="B562" s="10"/>
      <c r="C562" s="107"/>
      <c r="D562" s="10"/>
      <c r="E562" s="10"/>
      <c r="F562" s="107"/>
      <c r="G562" s="10"/>
      <c r="H562" s="10"/>
      <c r="I562" s="56"/>
      <c r="J562" s="56"/>
      <c r="K562" s="56"/>
      <c r="L562" s="56"/>
      <c r="M562" s="56"/>
      <c r="N562" s="11"/>
      <c r="O562" s="101"/>
      <c r="Q562" s="101"/>
      <c r="T562" s="101"/>
    </row>
    <row r="563" spans="1:20" s="106" customFormat="1" x14ac:dyDescent="0.15">
      <c r="A563" s="11"/>
      <c r="B563" s="10"/>
      <c r="C563" s="107"/>
      <c r="D563" s="10"/>
      <c r="E563" s="10"/>
      <c r="F563" s="107"/>
      <c r="G563" s="10"/>
      <c r="H563" s="10"/>
      <c r="I563" s="56"/>
      <c r="J563" s="56"/>
      <c r="K563" s="56"/>
      <c r="L563" s="56"/>
      <c r="M563" s="56"/>
      <c r="N563" s="11"/>
      <c r="O563" s="101"/>
      <c r="Q563" s="101"/>
      <c r="T563" s="101"/>
    </row>
    <row r="564" spans="1:20" s="106" customFormat="1" x14ac:dyDescent="0.15">
      <c r="A564" s="11"/>
      <c r="B564" s="10"/>
      <c r="C564" s="107"/>
      <c r="D564" s="10"/>
      <c r="E564" s="10"/>
      <c r="F564" s="107"/>
      <c r="G564" s="10"/>
      <c r="H564" s="10"/>
      <c r="I564" s="56"/>
      <c r="J564" s="56"/>
      <c r="K564" s="56"/>
      <c r="L564" s="56"/>
      <c r="M564" s="56"/>
      <c r="N564" s="11"/>
      <c r="O564" s="101"/>
      <c r="Q564" s="101"/>
      <c r="T564" s="101"/>
    </row>
    <row r="565" spans="1:20" s="106" customFormat="1" x14ac:dyDescent="0.15">
      <c r="A565" s="11"/>
      <c r="B565" s="10"/>
      <c r="C565" s="107"/>
      <c r="D565" s="10"/>
      <c r="E565" s="10"/>
      <c r="F565" s="107"/>
      <c r="G565" s="10"/>
      <c r="H565" s="10"/>
      <c r="I565" s="56"/>
      <c r="J565" s="56"/>
      <c r="K565" s="56"/>
      <c r="L565" s="56"/>
      <c r="M565" s="56"/>
      <c r="N565" s="11"/>
      <c r="O565" s="101"/>
      <c r="Q565" s="101"/>
      <c r="T565" s="101"/>
    </row>
    <row r="566" spans="1:20" s="106" customFormat="1" x14ac:dyDescent="0.15">
      <c r="A566" s="11"/>
      <c r="B566" s="10"/>
      <c r="C566" s="107"/>
      <c r="D566" s="10"/>
      <c r="E566" s="10"/>
      <c r="F566" s="107"/>
      <c r="G566" s="10"/>
      <c r="H566" s="10"/>
      <c r="I566" s="56"/>
      <c r="J566" s="56"/>
      <c r="K566" s="56"/>
      <c r="L566" s="56"/>
      <c r="M566" s="56"/>
      <c r="N566" s="11"/>
      <c r="O566" s="101"/>
      <c r="Q566" s="101"/>
      <c r="T566" s="101"/>
    </row>
    <row r="567" spans="1:20" s="106" customFormat="1" x14ac:dyDescent="0.15">
      <c r="A567" s="11"/>
      <c r="B567" s="10"/>
      <c r="C567" s="107"/>
      <c r="D567" s="10"/>
      <c r="E567" s="10"/>
      <c r="F567" s="107"/>
      <c r="G567" s="10"/>
      <c r="H567" s="10"/>
      <c r="I567" s="56"/>
      <c r="J567" s="56"/>
      <c r="K567" s="56"/>
      <c r="L567" s="56"/>
      <c r="M567" s="56"/>
      <c r="N567" s="11"/>
      <c r="O567" s="101"/>
      <c r="Q567" s="101"/>
      <c r="T567" s="101"/>
    </row>
    <row r="568" spans="1:20" s="106" customFormat="1" x14ac:dyDescent="0.15">
      <c r="A568" s="11"/>
      <c r="B568" s="10"/>
      <c r="C568" s="107"/>
      <c r="D568" s="10"/>
      <c r="E568" s="10"/>
      <c r="F568" s="107"/>
      <c r="G568" s="10"/>
      <c r="H568" s="10"/>
      <c r="I568" s="56"/>
      <c r="J568" s="56"/>
      <c r="K568" s="56"/>
      <c r="L568" s="56"/>
      <c r="M568" s="56"/>
      <c r="N568" s="11"/>
      <c r="O568" s="101"/>
      <c r="Q568" s="101"/>
      <c r="T568" s="101"/>
    </row>
    <row r="569" spans="1:20" s="106" customFormat="1" x14ac:dyDescent="0.15">
      <c r="A569" s="11"/>
      <c r="B569" s="10"/>
      <c r="C569" s="107"/>
      <c r="D569" s="10"/>
      <c r="E569" s="10"/>
      <c r="F569" s="107"/>
      <c r="G569" s="10"/>
      <c r="H569" s="10"/>
      <c r="I569" s="56"/>
      <c r="J569" s="56"/>
      <c r="K569" s="56"/>
      <c r="L569" s="56"/>
      <c r="M569" s="56"/>
      <c r="N569" s="11"/>
      <c r="O569" s="101"/>
      <c r="Q569" s="101"/>
      <c r="T569" s="101"/>
    </row>
    <row r="570" spans="1:20" s="106" customFormat="1" x14ac:dyDescent="0.15">
      <c r="A570" s="11"/>
      <c r="B570" s="10"/>
      <c r="C570" s="107"/>
      <c r="D570" s="10"/>
      <c r="E570" s="10"/>
      <c r="F570" s="107"/>
      <c r="G570" s="10"/>
      <c r="H570" s="10"/>
      <c r="I570" s="56"/>
      <c r="J570" s="56"/>
      <c r="K570" s="56"/>
      <c r="L570" s="56"/>
      <c r="M570" s="56"/>
      <c r="N570" s="11"/>
      <c r="O570" s="101"/>
      <c r="Q570" s="101"/>
      <c r="T570" s="101"/>
    </row>
    <row r="571" spans="1:20" s="106" customFormat="1" x14ac:dyDescent="0.15">
      <c r="A571" s="11"/>
      <c r="B571" s="10"/>
      <c r="C571" s="107"/>
      <c r="D571" s="10"/>
      <c r="E571" s="10"/>
      <c r="F571" s="107"/>
      <c r="G571" s="10"/>
      <c r="H571" s="10"/>
      <c r="I571" s="56"/>
      <c r="J571" s="56"/>
      <c r="K571" s="56"/>
      <c r="L571" s="56"/>
      <c r="M571" s="56"/>
      <c r="N571" s="11"/>
      <c r="O571" s="101"/>
      <c r="Q571" s="101"/>
      <c r="T571" s="101"/>
    </row>
    <row r="572" spans="1:20" s="106" customFormat="1" x14ac:dyDescent="0.15">
      <c r="A572" s="11"/>
      <c r="B572" s="10"/>
      <c r="C572" s="107"/>
      <c r="D572" s="10"/>
      <c r="E572" s="10"/>
      <c r="F572" s="107"/>
      <c r="G572" s="10"/>
      <c r="H572" s="10"/>
      <c r="I572" s="56"/>
      <c r="J572" s="56"/>
      <c r="K572" s="56"/>
      <c r="L572" s="56"/>
      <c r="M572" s="56"/>
      <c r="N572" s="11"/>
      <c r="O572" s="101"/>
      <c r="Q572" s="101"/>
      <c r="T572" s="101"/>
    </row>
    <row r="573" spans="1:20" s="106" customFormat="1" x14ac:dyDescent="0.15">
      <c r="A573" s="11"/>
      <c r="B573" s="10"/>
      <c r="C573" s="107"/>
      <c r="D573" s="10"/>
      <c r="E573" s="10"/>
      <c r="F573" s="107"/>
      <c r="G573" s="10"/>
      <c r="H573" s="10"/>
      <c r="I573" s="56"/>
      <c r="J573" s="56"/>
      <c r="K573" s="56"/>
      <c r="L573" s="56"/>
      <c r="M573" s="56"/>
      <c r="N573" s="11"/>
      <c r="O573" s="101"/>
      <c r="Q573" s="101"/>
      <c r="T573" s="101"/>
    </row>
    <row r="574" spans="1:20" s="106" customFormat="1" x14ac:dyDescent="0.15">
      <c r="A574" s="11"/>
      <c r="B574" s="10"/>
      <c r="C574" s="107"/>
      <c r="D574" s="10"/>
      <c r="E574" s="10"/>
      <c r="F574" s="107"/>
      <c r="G574" s="10"/>
      <c r="H574" s="10"/>
      <c r="I574" s="56"/>
      <c r="J574" s="56"/>
      <c r="K574" s="56"/>
      <c r="L574" s="56"/>
      <c r="M574" s="56"/>
      <c r="N574" s="11"/>
      <c r="O574" s="101"/>
      <c r="Q574" s="101"/>
      <c r="T574" s="101"/>
    </row>
    <row r="575" spans="1:20" s="106" customFormat="1" x14ac:dyDescent="0.15">
      <c r="A575" s="11"/>
      <c r="B575" s="10"/>
      <c r="C575" s="107"/>
      <c r="D575" s="10"/>
      <c r="E575" s="10"/>
      <c r="F575" s="107"/>
      <c r="G575" s="10"/>
      <c r="H575" s="10"/>
      <c r="I575" s="56"/>
      <c r="J575" s="56"/>
      <c r="K575" s="56"/>
      <c r="L575" s="56"/>
      <c r="M575" s="56"/>
      <c r="N575" s="11"/>
      <c r="O575" s="101"/>
      <c r="Q575" s="101"/>
      <c r="T575" s="101"/>
    </row>
    <row r="576" spans="1:20" s="106" customFormat="1" x14ac:dyDescent="0.15">
      <c r="A576" s="11"/>
      <c r="B576" s="10"/>
      <c r="C576" s="107"/>
      <c r="D576" s="10"/>
      <c r="E576" s="10"/>
      <c r="F576" s="107"/>
      <c r="G576" s="10"/>
      <c r="H576" s="10"/>
      <c r="I576" s="56"/>
      <c r="J576" s="56"/>
      <c r="K576" s="56"/>
      <c r="L576" s="56"/>
      <c r="M576" s="56"/>
      <c r="N576" s="11"/>
      <c r="O576" s="101"/>
      <c r="Q576" s="101"/>
      <c r="T576" s="101"/>
    </row>
    <row r="577" spans="1:20" s="106" customFormat="1" x14ac:dyDescent="0.15">
      <c r="A577" s="11"/>
      <c r="B577" s="10"/>
      <c r="C577" s="107"/>
      <c r="D577" s="10"/>
      <c r="E577" s="10"/>
      <c r="F577" s="107"/>
      <c r="G577" s="10"/>
      <c r="H577" s="10"/>
      <c r="I577" s="56"/>
      <c r="J577" s="56"/>
      <c r="K577" s="56"/>
      <c r="L577" s="56"/>
      <c r="M577" s="56"/>
      <c r="N577" s="11"/>
      <c r="O577" s="101"/>
      <c r="Q577" s="101"/>
      <c r="T577" s="101"/>
    </row>
    <row r="578" spans="1:20" s="106" customFormat="1" x14ac:dyDescent="0.15">
      <c r="A578" s="11"/>
      <c r="B578" s="10"/>
      <c r="C578" s="107"/>
      <c r="D578" s="10"/>
      <c r="E578" s="10"/>
      <c r="F578" s="107"/>
      <c r="G578" s="10"/>
      <c r="H578" s="10"/>
      <c r="I578" s="56"/>
      <c r="J578" s="56"/>
      <c r="K578" s="56"/>
      <c r="L578" s="56"/>
      <c r="M578" s="56"/>
      <c r="N578" s="11"/>
      <c r="O578" s="101"/>
      <c r="Q578" s="101"/>
      <c r="T578" s="101"/>
    </row>
    <row r="579" spans="1:20" s="106" customFormat="1" x14ac:dyDescent="0.15">
      <c r="A579" s="11"/>
      <c r="B579" s="10"/>
      <c r="C579" s="107"/>
      <c r="D579" s="10"/>
      <c r="E579" s="10"/>
      <c r="F579" s="107"/>
      <c r="G579" s="10"/>
      <c r="H579" s="10"/>
      <c r="I579" s="56"/>
      <c r="J579" s="56"/>
      <c r="K579" s="56"/>
      <c r="L579" s="56"/>
      <c r="M579" s="56"/>
      <c r="N579" s="11"/>
      <c r="O579" s="101"/>
      <c r="Q579" s="101"/>
      <c r="T579" s="101"/>
    </row>
    <row r="580" spans="1:20" s="106" customFormat="1" x14ac:dyDescent="0.15">
      <c r="A580" s="11"/>
      <c r="B580" s="10"/>
      <c r="C580" s="107"/>
      <c r="D580" s="10"/>
      <c r="E580" s="10"/>
      <c r="F580" s="107"/>
      <c r="G580" s="10"/>
      <c r="H580" s="10"/>
      <c r="I580" s="56"/>
      <c r="J580" s="56"/>
      <c r="K580" s="56"/>
      <c r="L580" s="56"/>
      <c r="M580" s="56"/>
      <c r="N580" s="11"/>
      <c r="O580" s="101"/>
      <c r="Q580" s="101"/>
      <c r="T580" s="101"/>
    </row>
    <row r="581" spans="1:20" s="106" customFormat="1" x14ac:dyDescent="0.15">
      <c r="A581" s="11"/>
      <c r="B581" s="10"/>
      <c r="C581" s="107"/>
      <c r="D581" s="10"/>
      <c r="E581" s="10"/>
      <c r="F581" s="107"/>
      <c r="G581" s="10"/>
      <c r="H581" s="10"/>
      <c r="I581" s="56"/>
      <c r="J581" s="56"/>
      <c r="K581" s="56"/>
      <c r="L581" s="56"/>
      <c r="M581" s="56"/>
      <c r="N581" s="11"/>
      <c r="O581" s="101"/>
      <c r="Q581" s="101"/>
      <c r="T581" s="101"/>
    </row>
    <row r="582" spans="1:20" s="106" customFormat="1" x14ac:dyDescent="0.15">
      <c r="A582" s="11"/>
      <c r="B582" s="10"/>
      <c r="C582" s="107"/>
      <c r="D582" s="10"/>
      <c r="E582" s="10"/>
      <c r="F582" s="107"/>
      <c r="G582" s="10"/>
      <c r="H582" s="10"/>
      <c r="I582" s="56"/>
      <c r="J582" s="56"/>
      <c r="K582" s="56"/>
      <c r="L582" s="56"/>
      <c r="M582" s="56"/>
      <c r="N582" s="11"/>
      <c r="O582" s="101"/>
      <c r="Q582" s="101"/>
      <c r="T582" s="101"/>
    </row>
    <row r="583" spans="1:20" s="106" customFormat="1" x14ac:dyDescent="0.15">
      <c r="A583" s="11"/>
      <c r="B583" s="10"/>
      <c r="C583" s="107"/>
      <c r="D583" s="10"/>
      <c r="E583" s="10"/>
      <c r="F583" s="107"/>
      <c r="G583" s="10"/>
      <c r="H583" s="10"/>
      <c r="I583" s="56"/>
      <c r="J583" s="56"/>
      <c r="K583" s="56"/>
      <c r="L583" s="56"/>
      <c r="M583" s="56"/>
      <c r="N583" s="11"/>
      <c r="O583" s="101"/>
      <c r="Q583" s="101"/>
      <c r="T583" s="101"/>
    </row>
    <row r="584" spans="1:20" s="106" customFormat="1" x14ac:dyDescent="0.15">
      <c r="A584" s="11"/>
      <c r="B584" s="10"/>
      <c r="C584" s="107"/>
      <c r="D584" s="10"/>
      <c r="E584" s="10"/>
      <c r="F584" s="107"/>
      <c r="G584" s="10"/>
      <c r="H584" s="10"/>
      <c r="I584" s="56"/>
      <c r="J584" s="56"/>
      <c r="K584" s="56"/>
      <c r="L584" s="56"/>
      <c r="M584" s="56"/>
      <c r="N584" s="11"/>
      <c r="O584" s="101"/>
      <c r="Q584" s="101"/>
      <c r="T584" s="101"/>
    </row>
    <row r="585" spans="1:20" s="106" customFormat="1" x14ac:dyDescent="0.15">
      <c r="A585" s="11"/>
      <c r="B585" s="10"/>
      <c r="C585" s="107"/>
      <c r="D585" s="10"/>
      <c r="E585" s="10"/>
      <c r="F585" s="107"/>
      <c r="G585" s="10"/>
      <c r="H585" s="10"/>
      <c r="I585" s="56"/>
      <c r="J585" s="56"/>
      <c r="K585" s="56"/>
      <c r="L585" s="56"/>
      <c r="M585" s="56"/>
      <c r="N585" s="11"/>
      <c r="O585" s="101"/>
      <c r="Q585" s="101"/>
      <c r="T585" s="101"/>
    </row>
    <row r="586" spans="1:20" s="106" customFormat="1" x14ac:dyDescent="0.15">
      <c r="A586" s="11"/>
      <c r="B586" s="10"/>
      <c r="C586" s="107"/>
      <c r="D586" s="10"/>
      <c r="E586" s="10"/>
      <c r="F586" s="107"/>
      <c r="G586" s="10"/>
      <c r="H586" s="10"/>
      <c r="I586" s="56"/>
      <c r="J586" s="56"/>
      <c r="K586" s="56"/>
      <c r="L586" s="56"/>
      <c r="M586" s="56"/>
      <c r="N586" s="11"/>
      <c r="O586" s="101"/>
      <c r="Q586" s="101"/>
      <c r="T586" s="101"/>
    </row>
    <row r="587" spans="1:20" s="106" customFormat="1" x14ac:dyDescent="0.15">
      <c r="A587" s="11"/>
      <c r="B587" s="10"/>
      <c r="C587" s="107"/>
      <c r="D587" s="10"/>
      <c r="E587" s="10"/>
      <c r="F587" s="107"/>
      <c r="G587" s="10"/>
      <c r="H587" s="10"/>
      <c r="I587" s="56"/>
      <c r="J587" s="56"/>
      <c r="K587" s="56"/>
      <c r="L587" s="56"/>
      <c r="M587" s="56"/>
      <c r="N587" s="11"/>
      <c r="O587" s="101"/>
      <c r="Q587" s="101"/>
      <c r="T587" s="101"/>
    </row>
    <row r="588" spans="1:20" s="106" customFormat="1" x14ac:dyDescent="0.15">
      <c r="A588" s="11"/>
      <c r="B588" s="10"/>
      <c r="C588" s="107"/>
      <c r="D588" s="10"/>
      <c r="E588" s="10"/>
      <c r="F588" s="107"/>
      <c r="G588" s="10"/>
      <c r="H588" s="10"/>
      <c r="I588" s="56"/>
      <c r="J588" s="56"/>
      <c r="K588" s="56"/>
      <c r="L588" s="56"/>
      <c r="M588" s="56"/>
      <c r="N588" s="11"/>
      <c r="O588" s="101"/>
      <c r="Q588" s="101"/>
      <c r="T588" s="101"/>
    </row>
    <row r="589" spans="1:20" s="106" customFormat="1" x14ac:dyDescent="0.15">
      <c r="A589" s="11"/>
      <c r="B589" s="10"/>
      <c r="C589" s="107"/>
      <c r="D589" s="10"/>
      <c r="E589" s="10"/>
      <c r="F589" s="107"/>
      <c r="G589" s="10"/>
      <c r="H589" s="10"/>
      <c r="I589" s="56"/>
      <c r="J589" s="56"/>
      <c r="K589" s="56"/>
      <c r="L589" s="56"/>
      <c r="M589" s="56"/>
      <c r="N589" s="11"/>
      <c r="O589" s="101"/>
      <c r="Q589" s="101"/>
      <c r="T589" s="101"/>
    </row>
    <row r="590" spans="1:20" s="106" customFormat="1" x14ac:dyDescent="0.15">
      <c r="A590" s="11"/>
      <c r="B590" s="10"/>
      <c r="C590" s="107"/>
      <c r="D590" s="10"/>
      <c r="E590" s="10"/>
      <c r="F590" s="107"/>
      <c r="G590" s="10"/>
      <c r="H590" s="10"/>
      <c r="I590" s="56"/>
      <c r="J590" s="56"/>
      <c r="K590" s="56"/>
      <c r="L590" s="56"/>
      <c r="M590" s="56"/>
      <c r="N590" s="11"/>
      <c r="O590" s="101"/>
      <c r="Q590" s="101"/>
      <c r="T590" s="101"/>
    </row>
    <row r="591" spans="1:20" s="106" customFormat="1" x14ac:dyDescent="0.15">
      <c r="A591" s="11"/>
      <c r="B591" s="10"/>
      <c r="C591" s="107"/>
      <c r="D591" s="10"/>
      <c r="E591" s="10"/>
      <c r="F591" s="107"/>
      <c r="G591" s="10"/>
      <c r="H591" s="10"/>
      <c r="I591" s="56"/>
      <c r="J591" s="56"/>
      <c r="K591" s="56"/>
      <c r="L591" s="56"/>
      <c r="M591" s="56"/>
      <c r="N591" s="11"/>
      <c r="O591" s="101"/>
      <c r="Q591" s="101"/>
      <c r="T591" s="101"/>
    </row>
    <row r="592" spans="1:20" s="106" customFormat="1" x14ac:dyDescent="0.15">
      <c r="A592" s="11"/>
      <c r="B592" s="10"/>
      <c r="C592" s="107"/>
      <c r="D592" s="10"/>
      <c r="E592" s="10"/>
      <c r="F592" s="107"/>
      <c r="G592" s="10"/>
      <c r="H592" s="10"/>
      <c r="I592" s="56"/>
      <c r="J592" s="56"/>
      <c r="K592" s="56"/>
      <c r="L592" s="56"/>
      <c r="M592" s="56"/>
      <c r="N592" s="11"/>
      <c r="O592" s="101"/>
      <c r="Q592" s="101"/>
      <c r="T592" s="101"/>
    </row>
    <row r="593" spans="1:20" s="106" customFormat="1" x14ac:dyDescent="0.15">
      <c r="A593" s="11"/>
      <c r="B593" s="10"/>
      <c r="C593" s="107"/>
      <c r="D593" s="10"/>
      <c r="E593" s="10"/>
      <c r="F593" s="107"/>
      <c r="G593" s="10"/>
      <c r="H593" s="10"/>
      <c r="I593" s="56"/>
      <c r="J593" s="56"/>
      <c r="K593" s="56"/>
      <c r="L593" s="56"/>
      <c r="M593" s="56"/>
      <c r="N593" s="11"/>
      <c r="O593" s="101"/>
      <c r="Q593" s="101"/>
      <c r="T593" s="101"/>
    </row>
    <row r="594" spans="1:20" s="106" customFormat="1" ht="19.5" customHeight="1" x14ac:dyDescent="0.15">
      <c r="A594" s="11"/>
      <c r="B594" s="10"/>
      <c r="C594" s="107"/>
      <c r="D594" s="10"/>
      <c r="E594" s="10"/>
      <c r="F594" s="107"/>
      <c r="G594" s="10"/>
      <c r="H594" s="10"/>
      <c r="I594" s="56"/>
      <c r="J594" s="56"/>
      <c r="K594" s="56"/>
      <c r="L594" s="56"/>
      <c r="M594" s="56"/>
      <c r="N594" s="11"/>
      <c r="O594" s="101"/>
      <c r="Q594" s="101"/>
      <c r="T594" s="101"/>
    </row>
  </sheetData>
  <phoneticPr fontId="1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舰队构成规则</vt:lpstr>
      <vt:lpstr>静态数据ID规则</vt:lpstr>
      <vt:lpstr>命名说明</vt:lpstr>
      <vt:lpstr>BUILDING</vt:lpstr>
      <vt:lpstr>ITEM_RES</vt:lpstr>
      <vt:lpstr>PLAYER_LEVEL</vt:lpstr>
      <vt:lpstr>MANOR_LEVEL</vt:lpstr>
      <vt:lpstr>ROB_PROPORTION</vt:lpstr>
      <vt:lpstr>PLAYER_ATTR</vt:lpstr>
      <vt:lpstr>ZOMBIE_ATTR</vt:lpstr>
      <vt:lpstr>WORLD_EVENTS</vt:lpstr>
      <vt:lpstr>ARITHMETIC_COEFFICIENT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dyy</dc:creator>
  <cp:lastModifiedBy>90km</cp:lastModifiedBy>
  <dcterms:created xsi:type="dcterms:W3CDTF">2018-04-19T07:38:00Z</dcterms:created>
  <dcterms:modified xsi:type="dcterms:W3CDTF">2018-08-26T13:12:08Z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31348207-790a-43f7-aa06-6623c6e5170a</vt:lpwstr>
  </property>
  <property fmtid="{D5CDD505-2E9C-101B-9397-08002B2CF9AE}" pid="3" name="KSOProductBuildVer">
    <vt:lpwstr>2052-10.1.0.7311</vt:lpwstr>
  </property>
</Properties>
</file>