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P195" i="64" l="1"/>
  <c r="P185" i="64"/>
  <c r="P175" i="64"/>
  <c r="P165" i="64"/>
  <c r="P155" i="64"/>
  <c r="P145" i="64"/>
  <c r="P135" i="64"/>
  <c r="P125" i="64"/>
  <c r="P115" i="64"/>
  <c r="P105" i="64"/>
  <c r="P95" i="64"/>
  <c r="P85" i="64"/>
  <c r="P75" i="64"/>
  <c r="P65" i="64"/>
  <c r="P55" i="64"/>
  <c r="P45" i="64"/>
  <c r="P35" i="64"/>
  <c r="P25" i="64"/>
  <c r="P15" i="64"/>
  <c r="P5" i="64"/>
  <c r="O195" i="64"/>
  <c r="O185" i="64"/>
  <c r="O175" i="64"/>
  <c r="O165" i="64"/>
  <c r="O155" i="64"/>
  <c r="O145" i="64"/>
  <c r="O135" i="64"/>
  <c r="O125" i="64"/>
  <c r="O115" i="64"/>
  <c r="O105" i="64"/>
  <c r="O95" i="64"/>
  <c r="O85" i="64"/>
  <c r="O75" i="64"/>
  <c r="O65" i="64"/>
  <c r="O55" i="64"/>
  <c r="O45" i="64"/>
  <c r="O35" i="64"/>
  <c r="O25" i="64"/>
  <c r="O15" i="64"/>
  <c r="O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114" i="64"/>
  <c r="N115" i="64"/>
  <c r="N116" i="64"/>
  <c r="N117" i="64"/>
  <c r="N118" i="64"/>
  <c r="N119" i="64"/>
  <c r="N120" i="64"/>
  <c r="N121" i="64"/>
  <c r="N122" i="64"/>
  <c r="N123" i="64"/>
  <c r="N124" i="64"/>
  <c r="N125" i="64"/>
  <c r="N126" i="64"/>
  <c r="N127" i="64"/>
  <c r="N128" i="64"/>
  <c r="N129" i="64"/>
  <c r="N130" i="64"/>
  <c r="N131" i="64"/>
  <c r="N132" i="64"/>
  <c r="N133" i="64"/>
  <c r="N134" i="64"/>
  <c r="N135" i="64"/>
  <c r="N136" i="64"/>
  <c r="N137" i="64"/>
  <c r="N138" i="64"/>
  <c r="N139" i="64"/>
  <c r="N140" i="64"/>
  <c r="N141" i="64"/>
  <c r="N142" i="64"/>
  <c r="N143" i="64"/>
  <c r="N144" i="64"/>
  <c r="N145" i="64"/>
  <c r="N146" i="64"/>
  <c r="N147" i="64"/>
  <c r="N148" i="64"/>
  <c r="N149" i="64"/>
  <c r="N150" i="64"/>
  <c r="N151" i="64"/>
  <c r="N152" i="64"/>
  <c r="N153" i="64"/>
  <c r="N154" i="64"/>
  <c r="N155" i="64"/>
  <c r="N156" i="64"/>
  <c r="N157" i="64"/>
  <c r="N158" i="64"/>
  <c r="N159" i="64"/>
  <c r="N160" i="64"/>
  <c r="N161" i="64"/>
  <c r="N162" i="64"/>
  <c r="N163" i="64"/>
  <c r="N164" i="64"/>
  <c r="N165" i="64"/>
  <c r="N166" i="64"/>
  <c r="N167" i="64"/>
  <c r="N168" i="64"/>
  <c r="N169" i="64"/>
  <c r="N170" i="64"/>
  <c r="N171" i="64"/>
  <c r="N172" i="64"/>
  <c r="N173" i="64"/>
  <c r="N174" i="64"/>
  <c r="N175" i="64"/>
  <c r="N176" i="64"/>
  <c r="N177" i="64"/>
  <c r="N178" i="64"/>
  <c r="N179" i="64"/>
  <c r="N180" i="64"/>
  <c r="N181" i="64"/>
  <c r="N182" i="64"/>
  <c r="N183" i="64"/>
  <c r="N184" i="64"/>
  <c r="N185" i="64"/>
  <c r="N186" i="64"/>
  <c r="N187" i="64"/>
  <c r="N188" i="64"/>
  <c r="N189" i="64"/>
  <c r="N190" i="64"/>
  <c r="N191" i="64"/>
  <c r="N192" i="64"/>
  <c r="N193" i="64"/>
  <c r="N194" i="64"/>
  <c r="N195" i="64"/>
  <c r="N196" i="64"/>
  <c r="N197" i="64"/>
  <c r="N198" i="64"/>
  <c r="N199" i="64"/>
  <c r="N200" i="64"/>
  <c r="N201" i="64"/>
  <c r="N202" i="64"/>
  <c r="N203" i="64"/>
  <c r="N204" i="64"/>
  <c r="N5" i="64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<sst xmlns="http://schemas.openxmlformats.org/spreadsheetml/2006/main" count="5507" uniqueCount="1463">
  <si>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</si>
  <si>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</si>
  <si>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</si>
  <si>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</si>
  <si>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</si>
  <si>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</si>
  <si>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</si>
  <si>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</si>
  <si>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</si>
  <si>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</si>
  <si>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</si>
  <si>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</si>
  <si>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</si>
  <si>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</si>
  <si>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</si>
  <si>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</si>
  <si>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</si>
  <si>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</si>
  <si>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</si>
  <si>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</si>
  <si>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</si>
  <si>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</si>
  <si>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</si>
  <si>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</si>
  <si>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</si>
  <si>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</si>
  <si>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</si>
  <si>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</si>
  <si>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</si>
  <si>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</si>
  <si>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</si>
  <si>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</si>
  <si>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</si>
  <si>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</si>
  <si>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</si>
  <si>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</si>
  <si>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</si>
  <si>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</si>
  <si>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</si>
  <si>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</si>
  <si>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</si>
  <si>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</si>
  <si>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</si>
  <si>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</si>
  <si>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</si>
  <si>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</si>
  <si>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</si>
  <si>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</si>
  <si>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</si>
  <si>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</si>
  <si>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</si>
  <si>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</si>
  <si>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</si>
  <si>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</si>
  <si>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</si>
  <si>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</si>
  <si>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</si>
  <si>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</si>
  <si>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</si>
  <si>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</si>
  <si>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</si>
  <si>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</si>
  <si>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</si>
  <si>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</si>
  <si>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</si>
  <si>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</si>
  <si>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</si>
  <si>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</si>
  <si>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</si>
  <si>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</si>
  <si>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</si>
  <si>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</si>
  <si>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</si>
  <si>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</si>
  <si>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</si>
  <si>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</si>
  <si>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</si>
  <si>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</si>
  <si>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</si>
  <si>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</si>
  <si>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</si>
  <si>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</si>
  <si>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</si>
  <si>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</si>
  <si>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</si>
  <si>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</si>
  <si>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</si>
  <si>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</si>
  <si>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</si>
  <si>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</si>
  <si>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</si>
  <si>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</si>
  <si>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</si>
  <si>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</si>
  <si>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</si>
  <si>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</si>
  <si>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</si>
  <si>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</si>
  <si>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</si>
  <si>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</si>
  <si>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</si>
  <si>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</si>
  <si>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</si>
  <si>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</si>
  <si>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</si>
  <si>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</si>
  <si>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</si>
  <si>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</si>
  <si>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</si>
  <si>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</si>
  <si>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</si>
  <si>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</si>
  <si>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</si>
  <si>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</si>
  <si>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</si>
  <si>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</si>
  <si>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</si>
  <si>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</si>
  <si>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</si>
  <si>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</si>
  <si>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</si>
  <si>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</si>
  <si>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</si>
  <si>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</si>
  <si>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</si>
  <si>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</si>
  <si>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</si>
  <si>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</si>
  <si>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</si>
  <si>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</si>
  <si>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</si>
  <si>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</si>
  <si>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</si>
  <si>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</si>
  <si>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</si>
  <si>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</si>
  <si>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</si>
  <si>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</si>
  <si>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</si>
  <si>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</si>
  <si>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</si>
  <si>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</si>
  <si>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</si>
  <si>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</si>
  <si>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</si>
  <si>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</si>
  <si>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</si>
  <si>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</si>
  <si>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</si>
  <si>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</si>
  <si>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</si>
  <si>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</si>
  <si>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</si>
  <si>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</si>
  <si>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</si>
  <si>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</si>
  <si>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</si>
  <si>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</si>
  <si>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</si>
  <si>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</si>
  <si>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</si>
  <si>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</si>
  <si>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</si>
  <si>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</si>
  <si>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</si>
  <si>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</si>
  <si>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</si>
  <si>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</si>
  <si>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</si>
  <si>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</si>
  <si>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</si>
  <si>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</si>
  <si>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</si>
  <si>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</si>
  <si>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</si>
  <si>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</si>
  <si>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</si>
  <si>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</si>
  <si>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</si>
  <si>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</si>
  <si>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</si>
  <si>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</si>
  <si>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</si>
  <si>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</si>
  <si>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</si>
  <si>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</si>
  <si>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</si>
  <si>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</si>
  <si>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</si>
  <si>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</si>
  <si>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</si>
  <si>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</si>
  <si>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</si>
  <si>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</si>
  <si>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</si>
  <si>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</si>
  <si>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</si>
  <si>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</si>
  <si>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</si>
  <si>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</si>
  <si>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</si>
  <si>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</si>
  <si>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</si>
  <si>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</si>
  <si>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</si>
  <si>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</si>
  <si>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</si>
  <si>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</si>
  <si>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</si>
  <si>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</si>
  <si>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</si>
  <si>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</si>
  <si>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</si>
  <si>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</si>
  <si>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</si>
  <si>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</si>
  <si>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</si>
  <si>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</si>
  <si>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</si>
  <si>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</si>
  <si>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</si>
  <si>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</si>
  <si>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</si>
  <si>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</si>
  <si>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</si>
  <si>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</si>
  <si>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</si>
  <si>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</si>
  <si>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</si>
  <si>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</si>
  <si>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</si>
  <si>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</si>
  <si>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</si>
  <si>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</si>
  <si>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</si>
  <si>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</si>
  <si>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</si>
  <si>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</si>
  <si>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</si>
  <si>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</si>
  <si>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</si>
  <si>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</si>
  <si>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</si>
  <si>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</si>
  <si>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</si>
  <si>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</si>
  <si>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</si>
  <si>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</si>
  <si>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</si>
  <si>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</si>
  <si>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</si>
  <si>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</si>
  <si>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</si>
  <si>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</si>
  <si>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</si>
  <si>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</si>
  <si>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</si>
  <si>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</si>
  <si>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</si>
  <si>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</si>
  <si>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</si>
  <si>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</si>
  <si>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</si>
  <si>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</si>
  <si>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</si>
  <si>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</si>
  <si>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</si>
  <si>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</si>
  <si>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</si>
  <si>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</si>
  <si>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</si>
  <si>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</si>
  <si>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</si>
  <si>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</si>
  <si>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</si>
  <si>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</si>
  <si>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</si>
  <si>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</si>
  <si>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</si>
  <si>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</si>
  <si>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</si>
  <si>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</si>
  <si>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</si>
  <si>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</si>
  <si>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</si>
  <si>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</si>
  <si>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</si>
  <si>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</si>
  <si>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</si>
  <si>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</si>
  <si>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</si>
  <si>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</si>
  <si>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</si>
  <si>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</si>
  <si>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</si>
  <si>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</si>
  <si>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</si>
  <si>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</si>
  <si>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</si>
  <si>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</si>
  <si>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</si>
  <si>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</si>
  <si>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</si>
  <si>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</si>
  <si>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</si>
  <si>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</si>
  <si>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</si>
  <si>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</si>
  <si>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</si>
  <si>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</si>
  <si>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</si>
  <si>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</si>
  <si>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</si>
  <si>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</si>
  <si>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</si>
  <si>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</si>
  <si>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</si>
  <si>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</si>
  <si>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</si>
  <si>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</si>
  <si>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</si>
  <si>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</si>
  <si>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</si>
  <si>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</si>
  <si>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</si>
  <si>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</si>
  <si>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</si>
  <si>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</si>
  <si>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</si>
  <si>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</si>
  <si>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</si>
  <si>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</si>
  <si>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</si>
  <si>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</si>
  <si>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</si>
  <si>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</si>
  <si>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</si>
  <si>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</si>
  <si>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</si>
  <si>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</si>
  <si>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</si>
  <si>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</si>
  <si>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</si>
  <si>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</si>
  <si>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</si>
  <si>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</si>
  <si>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</si>
  <si>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</si>
  <si>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</si>
  <si>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</si>
  <si>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</si>
  <si>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</si>
  <si>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</si>
  <si>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</si>
  <si>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</si>
  <si>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</si>
  <si>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</si>
  <si>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</si>
  <si>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</si>
  <si>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</si>
  <si>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</si>
  <si>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</si>
  <si>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</si>
  <si>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</si>
  <si>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</si>
  <si>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</si>
  <si>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</si>
  <si>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</si>
  <si>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</si>
  <si>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</si>
  <si>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</si>
  <si>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</si>
  <si>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</si>
  <si>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</si>
  <si>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</si>
  <si>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</si>
  <si>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</si>
  <si>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</si>
  <si>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</si>
  <si>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</si>
  <si>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</si>
  <si>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</si>
  <si>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</si>
  <si>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</si>
  <si>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</si>
  <si>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</si>
  <si>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</si>
  <si>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</si>
  <si>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</si>
  <si>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</si>
  <si>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</si>
  <si>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</si>
  <si>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</si>
  <si>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</si>
  <si>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</si>
  <si>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</si>
  <si>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</si>
  <si>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</si>
  <si>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</si>
  <si>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</si>
  <si>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</si>
  <si>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</si>
  <si>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</si>
  <si>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</si>
  <si>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</si>
  <si>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</si>
  <si>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</si>
  <si>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</si>
  <si>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</si>
  <si>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</si>
  <si>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</si>
  <si>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</si>
  <si>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</si>
  <si>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</si>
  <si>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</si>
  <si>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</si>
  <si>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</si>
  <si>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</si>
  <si>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</si>
  <si>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</si>
  <si>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</si>
  <si>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</si>
  <si>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</si>
  <si>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</si>
  <si>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</si>
  <si>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</si>
  <si>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</si>
  <si>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</si>
  <si>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</si>
  <si>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</si>
  <si>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</si>
  <si>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</si>
  <si>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</si>
  <si>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</si>
  <si>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</si>
  <si>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</si>
  <si>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</si>
  <si>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</si>
  <si>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</si>
  <si>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</si>
  <si>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</si>
  <si>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</si>
  <si>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</si>
  <si>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</si>
  <si>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</si>
  <si>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</si>
  <si>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</si>
  <si>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</si>
  <si>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</si>
  <si>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</si>
  <si>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</si>
  <si>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</si>
  <si>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</si>
  <si>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</si>
  <si>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</si>
  <si>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</si>
  <si>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</si>
  <si>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</si>
  <si>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</si>
  <si>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</si>
  <si>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</si>
  <si>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</si>
  <si>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</si>
  <si>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</si>
  <si>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</si>
  <si>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</si>
  <si>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</si>
  <si>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</si>
  <si>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</si>
  <si>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</si>
  <si>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</si>
  <si>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</si>
  <si>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</si>
  <si>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</si>
  <si>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</si>
  <si>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</si>
  <si>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</si>
  <si>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</si>
  <si>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</si>
  <si>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</si>
  <si>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</si>
  <si>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</si>
  <si>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</si>
  <si>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</si>
  <si>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</si>
  <si>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</si>
  <si>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</si>
  <si>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</si>
  <si>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</si>
  <si>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</si>
  <si>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</si>
  <si>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</si>
  <si>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</si>
  <si>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</si>
  <si>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</si>
  <si>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</si>
  <si>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</si>
  <si>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</si>
  <si>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</si>
  <si>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</si>
  <si>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</si>
  <si>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</si>
  <si>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</si>
  <si>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</si>
  <si>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</si>
  <si>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</si>
  <si>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</si>
  <si>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</si>
  <si>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</si>
  <si>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</si>
  <si>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</si>
  <si>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</si>
  <si>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</si>
  <si>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</si>
  <si>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</si>
  <si>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</si>
  <si>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</si>
  <si>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</si>
  <si>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</si>
  <si>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</si>
  <si>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</si>
  <si>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</si>
  <si>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</si>
  <si>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</si>
  <si>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</si>
  <si>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</si>
  <si>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</si>
  <si>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</si>
  <si>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</si>
  <si>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</si>
  <si>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</si>
  <si>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</si>
  <si>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</si>
  <si>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</si>
  <si>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</si>
  <si>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</si>
  <si>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</si>
  <si>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</si>
  <si>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</si>
  <si>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</si>
  <si>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</si>
  <si>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</si>
  <si>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</si>
  <si>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</si>
  <si>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</si>
  <si>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</si>
  <si>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</si>
  <si>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</si>
  <si>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</si>
  <si>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</si>
  <si>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</si>
  <si>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</si>
  <si>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</si>
  <si>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</si>
  <si>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</si>
  <si>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</si>
  <si>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</si>
  <si>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</si>
  <si>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</si>
  <si>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</si>
  <si>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</si>
  <si>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</si>
  <si>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</si>
  <si>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</si>
  <si>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</si>
  <si>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</si>
  <si>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</si>
  <si>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</si>
  <si>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</si>
  <si>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</si>
  <si>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</si>
  <si>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</si>
  <si>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</si>
  <si>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</si>
  <si>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</si>
  <si>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</si>
  <si>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</si>
  <si>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</si>
  <si>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</si>
  <si>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</si>
  <si>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</si>
  <si>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</si>
  <si>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</si>
  <si>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</si>
  <si>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</si>
  <si>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</si>
  <si>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</si>
  <si>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</si>
  <si>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</si>
  <si>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</si>
  <si>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</si>
  <si>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</si>
  <si>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</si>
  <si>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</si>
  <si>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</si>
  <si>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</si>
  <si>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</si>
  <si>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</si>
  <si>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</si>
  <si>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</si>
  <si>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</si>
  <si>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</si>
  <si>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</si>
  <si>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</si>
  <si>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</si>
  <si>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</si>
  <si>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</si>
  <si>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</si>
  <si>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</si>
  <si>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</si>
  <si>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</si>
  <si>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</si>
  <si>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</si>
  <si>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</si>
  <si>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</si>
  <si>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</si>
  <si>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</si>
  <si>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</si>
  <si>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</si>
  <si>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</si>
  <si>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</si>
  <si>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</si>
  <si>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</si>
  <si>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</si>
  <si>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</si>
  <si>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</si>
  <si>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</si>
  <si>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</si>
  <si>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</si>
  <si>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</si>
  <si>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</si>
  <si>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</si>
  <si>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</si>
  <si>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</si>
  <si>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</si>
  <si>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</si>
  <si>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</si>
  <si>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</si>
  <si>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</si>
  <si>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</si>
  <si>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</si>
  <si>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</si>
  <si>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</si>
  <si>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</si>
  <si>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</si>
  <si>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</si>
  <si>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</si>
  <si>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</si>
  <si>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</si>
  <si>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</si>
  <si>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</si>
  <si>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</si>
  <si>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</si>
  <si>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</si>
  <si>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</si>
  <si>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</si>
  <si>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</si>
  <si>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</si>
  <si>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</si>
  <si>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</si>
  <si>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</si>
  <si>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</si>
  <si>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</si>
  <si>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</si>
  <si>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</si>
  <si>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</si>
  <si>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</si>
  <si>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</si>
  <si>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</si>
  <si>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</si>
  <si>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</si>
  <si>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</si>
  <si>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</si>
  <si>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</si>
  <si>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</si>
  <si>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</si>
  <si>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</si>
  <si>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</si>
  <si>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</si>
  <si>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</si>
  <si>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</si>
  <si>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</si>
  <si>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</si>
  <si>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</si>
  <si>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</si>
  <si>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</si>
  <si>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</si>
  <si>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</si>
  <si>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</si>
  <si>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</si>
  <si>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</si>
  <si>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</si>
  <si>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</si>
  <si>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</si>
  <si>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</si>
  <si>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</si>
  <si>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</si>
  <si>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</si>
  <si>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</si>
  <si>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</si>
  <si>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</si>
  <si>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</si>
  <si>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</si>
  <si>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</si>
  <si>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</si>
  <si>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</si>
  <si>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</si>
  <si>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</si>
  <si>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</si>
  <si>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</si>
  <si>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</si>
  <si>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</si>
  <si>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</si>
  <si>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</si>
  <si>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</si>
  <si>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</si>
  <si>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</si>
  <si>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</si>
  <si>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</si>
  <si>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</si>
  <si>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</si>
  <si>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</si>
  <si>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</si>
  <si>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</si>
  <si>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</si>
  <si>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</si>
  <si>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</si>
  <si>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</si>
  <si>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</si>
  <si>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</si>
  <si>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</si>
  <si>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</si>
  <si>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</si>
  <si>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</si>
  <si>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</si>
  <si>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</si>
  <si>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</si>
  <si>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</si>
  <si>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</si>
  <si>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</si>
  <si>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</si>
  <si>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</si>
  <si>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</si>
  <si>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</si>
  <si>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</si>
  <si>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</si>
  <si>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</si>
  <si>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</si>
  <si>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</si>
  <si>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</si>
  <si>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</si>
  <si>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</si>
  <si>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</si>
  <si>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</si>
  <si>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</si>
  <si>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</si>
  <si>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</si>
  <si>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</si>
  <si>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</si>
  <si>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</si>
  <si>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</si>
  <si>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</si>
  <si>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</si>
  <si>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</si>
  <si>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</si>
  <si>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</si>
  <si>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</si>
  <si>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</si>
  <si>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</si>
  <si>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</si>
  <si>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</si>
  <si>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</si>
  <si>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</si>
  <si>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</si>
  <si>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</si>
  <si>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</si>
  <si>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</si>
  <si>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</si>
  <si>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</si>
  <si>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</si>
  <si>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</si>
  <si>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</si>
  <si>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</si>
  <si>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</si>
  <si>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</si>
  <si>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</si>
  <si>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</si>
  <si>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</si>
  <si>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</si>
  <si>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</si>
  <si>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</si>
  <si>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</si>
  <si>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</si>
  <si>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</si>
  <si>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</si>
  <si>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</si>
  <si>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</si>
  <si>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</si>
  <si>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</si>
  <si>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</si>
  <si>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</si>
  <si>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</si>
  <si>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</si>
  <si>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</si>
  <si>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</si>
  <si>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</si>
  <si>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</si>
  <si>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</si>
  <si>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</si>
  <si>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</si>
  <si>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</si>
  <si>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</si>
  <si>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</si>
  <si>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</si>
  <si>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</si>
  <si>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</si>
  <si>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</si>
  <si>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</si>
  <si>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</si>
  <si>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</si>
  <si>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</si>
  <si>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</si>
  <si>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</si>
  <si>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</si>
  <si>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</si>
  <si>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</si>
  <si>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</si>
  <si>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</si>
  <si>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</si>
  <si>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</si>
  <si>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</si>
  <si>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</si>
  <si>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</si>
  <si>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</si>
  <si>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</si>
  <si>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</si>
  <si>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</si>
  <si>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</si>
  <si>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</si>
  <si>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</si>
  <si>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</si>
  <si>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</si>
  <si>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</si>
  <si>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</si>
  <si>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</si>
  <si>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</si>
  <si>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</si>
  <si>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</si>
  <si>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</si>
  <si>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</si>
  <si>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</si>
  <si>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</si>
  <si>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</si>
  <si>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</si>
  <si>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</si>
  <si>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</si>
  <si>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</si>
  <si>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</si>
  <si>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</si>
  <si>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</si>
  <si>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</si>
  <si>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</si>
  <si>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</si>
  <si>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</si>
  <si>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</si>
  <si>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</si>
  <si>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</si>
  <si>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</si>
  <si>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</si>
  <si>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</si>
  <si>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</si>
  <si>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</si>
  <si>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</si>
  <si>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</si>
  <si>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</si>
  <si>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</si>
  <si>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</si>
  <si>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</si>
  <si>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</si>
  <si>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</si>
  <si>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</si>
  <si>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</si>
  <si>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</si>
  <si>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</si>
  <si>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</si>
  <si>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</si>
  <si>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</si>
  <si>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</si>
  <si>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</si>
  <si>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</si>
  <si>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</si>
  <si>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</si>
  <si>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</si>
  <si>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</si>
  <si>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</si>
  <si>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</si>
  <si>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</si>
  <si>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</si>
  <si>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</si>
  <si>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</si>
  <si>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</si>
  <si>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</si>
  <si>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</si>
  <si>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</si>
  <si>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</si>
  <si>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</si>
  <si>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</si>
  <si>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</si>
  <si>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</si>
  <si>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</si>
  <si>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</si>
  <si>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</si>
  <si>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</si>
  <si>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</si>
  <si>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</si>
  <si>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</si>
  <si>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</si>
  <si>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</si>
  <si>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</si>
  <si>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</si>
  <si>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</si>
  <si>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</si>
  <si>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</si>
  <si>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</si>
  <si>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</si>
  <si>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</si>
  <si>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</si>
  <si>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</si>
  <si>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</si>
  <si>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</si>
  <si>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</si>
  <si>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</si>
  <si>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</si>
  <si>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</si>
  <si>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</si>
  <si>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</si>
  <si>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</si>
  <si>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</si>
  <si>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</si>
  <si>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</si>
  <si>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</si>
  <si>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</si>
  <si>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</si>
  <si>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</si>
  <si>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</si>
  <si>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</si>
  <si>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</si>
  <si>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</si>
  <si>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</si>
  <si>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</si>
  <si>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</si>
  <si>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</si>
  <si>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</si>
  <si>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</si>
  <si>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</si>
  <si>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</si>
  <si>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</si>
  <si>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</si>
  <si>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</si>
  <si>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</si>
  <si>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</si>
  <si>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</si>
  <si>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</si>
  <si>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</si>
  <si>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</si>
  <si>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</si>
  <si>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</si>
  <si>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</si>
  <si>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</si>
  <si>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</si>
  <si>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</si>
  <si>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</si>
  <si>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</si>
  <si>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</si>
  <si>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</si>
  <si>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</si>
  <si>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</si>
  <si>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</si>
  <si>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</si>
  <si>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</si>
  <si>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</si>
  <si>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</si>
  <si>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</si>
  <si>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</si>
  <si>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</si>
  <si>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</si>
  <si>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</si>
  <si>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</si>
  <si>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</si>
  <si>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</si>
  <si>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</si>
  <si>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</si>
  <si>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</si>
  <si>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</si>
  <si>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</si>
  <si>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</si>
  <si>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</si>
  <si>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</si>
  <si>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</si>
  <si>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</si>
  <si>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</si>
  <si>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</si>
  <si>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</si>
  <si>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</si>
  <si>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</si>
  <si>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</si>
  <si>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</si>
  <si>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</si>
  <si>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</si>
  <si>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</si>
  <si>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</si>
  <si>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</si>
  <si>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</si>
  <si>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</si>
  <si>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</si>
  <si>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</si>
  <si>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</si>
  <si>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</si>
  <si>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</si>
  <si>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</si>
  <si>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</si>
  <si>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</si>
  <si>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</si>
  <si>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</si>
  <si>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</si>
  <si>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</si>
  <si>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</si>
  <si>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</si>
  <si>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</si>
  <si>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</si>
  <si>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</si>
  <si>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</si>
  <si>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</si>
  <si>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</si>
  <si>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</si>
  <si>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</si>
  <si>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</si>
  <si>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</si>
  <si>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</si>
  <si>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</si>
  <si>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</si>
  <si>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</si>
  <si>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</si>
  <si>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</si>
  <si>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</si>
  <si>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</si>
  <si>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</si>
  <si>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</si>
  <si>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</si>
  <si>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</si>
  <si>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</si>
  <si>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</si>
  <si>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</si>
  <si>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</si>
  <si>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</si>
  <si>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</si>
  <si>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</si>
  <si>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</si>
  <si>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</si>
  <si>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</si>
  <si>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</si>
  <si>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</si>
  <si>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</si>
  <si>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</si>
  <si>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</si>
  <si>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</si>
  <si>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</si>
  <si>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</si>
  <si>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</si>
  <si>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</si>
  <si>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</si>
  <si>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</si>
  <si>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</si>
  <si>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</si>
  <si>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</si>
  <si>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</si>
  <si>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</si>
  <si>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</si>
  <si>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</si>
  <si>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</si>
  <si>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</si>
  <si>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</si>
  <si>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</si>
  <si>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</si>
  <si>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</si>
  <si>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</si>
  <si>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</si>
  <si>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</si>
  <si>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</si>
  <si>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</si>
  <si>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</si>
  <si>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</si>
  <si>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</si>
  <si>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</si>
  <si>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</si>
  <si>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</si>
  <si>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</si>
  <si>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</si>
  <si>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</si>
  <si>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</si>
  <si>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</si>
  <si>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</si>
  <si>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</si>
  <si>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</si>
  <si>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</si>
  <si>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</si>
  <si>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</si>
  <si>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</si>
  <si>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</si>
  <si>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</si>
  <si>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</si>
  <si>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</si>
  <si>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</si>
  <si>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</si>
  <si>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</si>
  <si>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</si>
  <si>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</si>
  <si>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</si>
  <si>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</si>
  <si>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</si>
  <si>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</si>
  <si>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</si>
  <si>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</si>
  <si>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</si>
  <si>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</si>
  <si>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</si>
  <si>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</si>
  <si>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</si>
  <si>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</si>
  <si>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</si>
  <si>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</si>
  <si>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</si>
  <si>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</si>
  <si>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</si>
  <si>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</si>
  <si>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</si>
  <si>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</si>
  <si>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</si>
  <si>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</si>
  <si>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</si>
  <si>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</si>
  <si>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</si>
  <si>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</si>
  <si>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</si>
  <si>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</si>
  <si>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</si>
  <si>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</si>
  <si>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</si>
  <si>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</si>
  <si>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</si>
  <si>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</si>
  <si>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</si>
  <si>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</si>
  <si>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</si>
  <si>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</si>
  <si>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</si>
  <si>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</si>
  <si>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</si>
  <si>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</si>
  <si>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</si>
  <si>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</si>
  <si>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</si>
  <si>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</si>
  <si>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</si>
  <si>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</si>
  <si>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</si>
  <si>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</si>
  <si>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</si>
  <si>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</si>
  <si>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</si>
  <si>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</si>
  <si>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</si>
  <si>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</si>
  <si>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</si>
  <si>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</si>
  <si>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</si>
  <si>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</si>
  <si>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</si>
  <si>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</si>
  <si>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</si>
  <si>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</si>
  <si>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</si>
  <si>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</si>
  <si>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</si>
  <si>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</si>
  <si>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</si>
  <si>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</si>
  <si>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</si>
  <si>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</si>
  <si>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</si>
  <si>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</si>
  <si>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</si>
  <si>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</si>
  <si>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</si>
  <si>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</si>
  <si>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</si>
  <si>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</si>
  <si>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</si>
  <si>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</si>
  <si>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</si>
  <si>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</si>
  <si>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</si>
  <si>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</si>
  <si>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</si>
  <si>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</si>
  <si>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</si>
  <si>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</si>
  <si>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</si>
  <si>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</si>
  <si>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</si>
  <si>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</si>
  <si>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</si>
  <si>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</si>
  <si>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</si>
  <si>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</si>
  <si>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</si>
  <si>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</si>
  <si>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</si>
  <si>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</si>
  <si>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</si>
  <si>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</si>
  <si>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</si>
  <si>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</si>
  <si>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</si>
  <si>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</si>
  <si>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</si>
  <si>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</si>
  <si>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</si>
  <si>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</si>
  <si>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</si>
  <si>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</si>
  <si>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</si>
  <si>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</si>
  <si>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</si>
  <si>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</si>
  <si>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</si>
  <si>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</si>
  <si>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</si>
  <si>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</si>
  <si>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</si>
  <si>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</si>
  <si>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</si>
  <si>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</si>
  <si>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</si>
  <si>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</si>
  <si>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</si>
  <si>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</si>
  <si>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</si>
  <si>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</si>
  <si>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</si>
  <si>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</si>
  <si>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</si>
  <si>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</si>
  <si>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</si>
  <si>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</si>
  <si>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</si>
  <si>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</si>
  <si>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</si>
  <si>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</si>
  <si>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</si>
  <si>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</si>
  <si>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</si>
  <si>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</si>
  <si>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</si>
  <si>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</si>
  <si>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</si>
  <si>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</si>
  <si>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</si>
  <si>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</si>
  <si>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</si>
  <si>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</si>
  <si>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</si>
  <si>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</si>
  <si>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</si>
  <si>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</si>
  <si>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</si>
  <si>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</si>
  <si>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</si>
  <si>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</si>
  <si>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</si>
  <si>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</si>
  <si>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</si>
  <si>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</si>
  <si>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</si>
  <si>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</si>
  <si>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</si>
  <si>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</si>
  <si>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</si>
  <si>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</si>
  <si>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</si>
  <si>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</si>
  <si>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</si>
  <si>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</si>
  <si>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</si>
  <si>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</si>
  <si>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</si>
  <si>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</si>
  <si>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</si>
  <si>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</si>
  <si>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</si>
  <si>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</si>
  <si>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</si>
  <si>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</si>
  <si>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</si>
  <si>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</si>
  <si>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</si>
  <si>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</si>
  <si>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</si>
  <si>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</si>
  <si>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</si>
  <si>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</si>
  <si>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</si>
  <si>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</si>
  <si>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</si>
  <si>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</si>
  <si>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</si>
  <si>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</si>
  <si>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</si>
  <si>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</si>
  <si>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</si>
  <si>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</si>
  <si>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</si>
  <si>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</si>
  <si>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</si>
  <si>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</si>
  <si>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</si>
  <si>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</si>
  <si>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</si>
  <si>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</si>
  <si>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</si>
  <si>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</si>
  <si>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</si>
  <si>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</si>
  <si>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</si>
  <si>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</si>
  <si>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</si>
  <si>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</si>
  <si>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</si>
  <si>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</si>
  <si>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</si>
  <si>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</si>
  <si>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</si>
  <si>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</si>
  <si>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</si>
  <si>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</si>
  <si>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</si>
  <si>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</si>
  <si>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</si>
  <si>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</si>
  <si>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</si>
  <si>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</si>
  <si>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</si>
  <si>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</si>
  <si>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</si>
  <si>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</si>
  <si>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</si>
  <si>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</si>
  <si>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</si>
  <si>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</si>
  <si>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</si>
  <si>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</si>
  <si>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</si>
  <si>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</si>
  <si>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</si>
  <si>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</si>
  <si>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</si>
  <si>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</si>
  <si>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</si>
  <si>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</si>
  <si>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</si>
  <si>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</si>
  <si>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</si>
  <si>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</si>
  <si>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</si>
  <si>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</si>
  <si>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</si>
  <si>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</si>
  <si>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</si>
  <si>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</si>
  <si>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</si>
  <si>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</si>
  <si>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</si>
  <si>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</si>
  <si>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</si>
  <si>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</si>
  <si>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</si>
  <si>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</si>
  <si>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</si>
  <si>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</si>
  <si>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</si>
  <si>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</si>
  <si>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</si>
  <si>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</si>
  <si>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</si>
  <si>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</si>
  <si>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</si>
  <si>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</si>
  <si>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</si>
  <si>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</si>
  <si>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</si>
  <si>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</si>
  <si>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</si>
  <si>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</si>
  <si>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</si>
  <si>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</si>
  <si>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</si>
  <si>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</si>
  <si>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</si>
  <si>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</si>
  <si>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</si>
  <si>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</si>
  <si>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</si>
  <si>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</si>
  <si>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</si>
  <si>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</si>
  <si>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</si>
  <si>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</si>
  <si>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</si>
  <si>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</si>
  <si>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</si>
  <si>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</si>
  <si>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</si>
  <si>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</si>
  <si>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</si>
  <si>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</si>
  <si>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</si>
  <si>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</si>
  <si>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</si>
  <si>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</si>
  <si>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</si>
  <si>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</si>
  <si>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</si>
  <si>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</si>
  <si>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</si>
  <si>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</si>
  <si>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</si>
  <si>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</si>
  <si>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</si>
  <si>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</si>
  <si>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</si>
  <si>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</si>
  <si>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</si>
  <si>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</si>
  <si>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</si>
  <si>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</si>
  <si>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</si>
  <si>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</si>
  <si>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</si>
  <si>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</si>
  <si>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</si>
  <si>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</si>
  <si>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</si>
  <si>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</si>
  <si>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</si>
  <si>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</si>
  <si>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</si>
  <si>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</si>
  <si>
    <t>k1*除了武器以外的建筑实力+k2*武器实力+k3*战力最高个人战力</t>
    <phoneticPr fontId="13" type="noConversion"/>
  </si>
  <si>
    <t>西瓜</t>
    <phoneticPr fontId="13" type="noConversion"/>
  </si>
  <si>
    <t>哥吃的不是西瓜，是健康</t>
    <phoneticPr fontId="13" type="noConversion"/>
  </si>
  <si>
    <t>西瓜</t>
    <phoneticPr fontId="13" type="noConversion"/>
  </si>
  <si>
    <t>有了大米和蔬菜，你还差一个西瓜。吃了西瓜，不仅越来越健康，打僵尸都越来越有劲了！——尼古拉斯.赵四</t>
    <phoneticPr fontId="13" type="noConversion"/>
  </si>
  <si>
    <t>僵尸总血量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</si>
</sst>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3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  <xf numFmtId="0" fontId="5" fillId="8" borderId="0" xfId="11" applyFont="1" applyFill="1" applyBorder="1" applyAlignment="1">
      <alignment horizontal="center" vertical="center"/>
    </xf>
    <xf numFmtId="0" fontId="5" fillId="8" borderId="2" xfId="11" applyFont="1" applyFill="1" applyBorder="1" applyAlignment="1">
      <alignment horizontal="center" vertical="center"/>
    </xf>
    <xf numFmtId="0" fontId="5" fillId="8" borderId="1" xfId="11" applyFont="1" applyFill="1" applyBorder="1" applyAlignment="1">
      <alignment horizontal="center" vertical="center"/>
    </xf>
    <xf numFmtId="0" fontId="5" fillId="8" borderId="0" xfId="11" quotePrefix="1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556</v>
      </c>
    </row>
    <row r="16" spans="1:7" x14ac:dyDescent="0.15">
      <c r="B16" s="43">
        <v>2</v>
      </c>
      <c r="D16" s="43" t="s">
        <v>258</v>
      </c>
      <c r="F16" s="43" t="s">
        <v>557</v>
      </c>
    </row>
    <row r="17" spans="2:6" x14ac:dyDescent="0.15">
      <c r="B17" s="43">
        <v>3</v>
      </c>
      <c r="D17" s="43" t="s">
        <v>257</v>
      </c>
      <c r="F17" s="43" t="s">
        <v>649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574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474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zoomScale="85" zoomScaleNormal="85" workbookViewId="0">
      <pane xSplit="12" topLeftCell="M1" activePane="topRight" state="frozen"/>
      <selection pane="topRight" activeCell="P19" sqref="P19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976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998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977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470</v>
      </c>
      <c r="T2" s="9" t="s">
        <v>492</v>
      </c>
      <c r="U2" s="11" t="s">
        <v>61</v>
      </c>
      <c r="W2" s="11" t="s">
        <v>492</v>
      </c>
      <c r="Y2" s="9" t="s">
        <v>62</v>
      </c>
      <c r="Z2" s="9" t="s">
        <v>61</v>
      </c>
      <c r="AB2" s="11" t="s">
        <v>61</v>
      </c>
      <c r="AC2" s="55" t="s">
        <v>997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978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472</v>
      </c>
      <c r="T3" s="9" t="s">
        <v>518</v>
      </c>
      <c r="U3" s="11" t="s">
        <v>541</v>
      </c>
      <c r="W3" s="11" t="s">
        <v>493</v>
      </c>
      <c r="Y3" s="9" t="s">
        <v>335</v>
      </c>
      <c r="Z3" s="9" t="s">
        <v>340</v>
      </c>
      <c r="AB3" s="11" t="s">
        <v>410</v>
      </c>
      <c r="AC3" s="55" t="s">
        <v>996</v>
      </c>
      <c r="AE3" s="11" t="s">
        <v>431</v>
      </c>
      <c r="AI3" s="31" t="s">
        <v>246</v>
      </c>
      <c r="AJ3" s="30"/>
      <c r="AK3" s="31" t="s">
        <v>412</v>
      </c>
      <c r="AL3" s="30"/>
      <c r="AM3" s="31" t="s">
        <v>473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542</v>
      </c>
      <c r="I4" s="27" t="s">
        <v>239</v>
      </c>
      <c r="J4" s="75" t="s">
        <v>352</v>
      </c>
      <c r="K4" s="27" t="s">
        <v>240</v>
      </c>
      <c r="L4" s="27" t="s">
        <v>979</v>
      </c>
      <c r="M4" s="27" t="s">
        <v>342</v>
      </c>
      <c r="N4" s="27" t="s">
        <v>354</v>
      </c>
      <c r="O4" s="27" t="s">
        <v>238</v>
      </c>
      <c r="P4" s="188" t="s">
        <v>323</v>
      </c>
      <c r="Q4" s="9" t="s">
        <v>471</v>
      </c>
      <c r="R4" s="75" t="s">
        <v>539</v>
      </c>
      <c r="S4" s="82" t="s">
        <v>522</v>
      </c>
      <c r="T4" s="27" t="s">
        <v>520</v>
      </c>
      <c r="U4" s="85" t="s">
        <v>549</v>
      </c>
      <c r="V4" s="82" t="s">
        <v>521</v>
      </c>
      <c r="W4" s="85" t="s">
        <v>519</v>
      </c>
      <c r="X4" s="75" t="s">
        <v>538</v>
      </c>
      <c r="Y4" s="27" t="s">
        <v>334</v>
      </c>
      <c r="Z4" s="27" t="s">
        <v>339</v>
      </c>
      <c r="AA4" s="75" t="s">
        <v>409</v>
      </c>
      <c r="AB4" s="85" t="s">
        <v>569</v>
      </c>
      <c r="AC4" s="86" t="s">
        <v>994</v>
      </c>
      <c r="AD4" s="75" t="s">
        <v>540</v>
      </c>
      <c r="AE4" s="85" t="s">
        <v>654</v>
      </c>
      <c r="AF4" s="87" t="s">
        <v>993</v>
      </c>
      <c r="AG4" s="177" t="s">
        <v>568</v>
      </c>
      <c r="AH4" s="75" t="s">
        <v>171</v>
      </c>
      <c r="AI4" s="64" t="s">
        <v>318</v>
      </c>
      <c r="AJ4" s="63" t="s">
        <v>991</v>
      </c>
      <c r="AK4" s="64" t="s">
        <v>411</v>
      </c>
      <c r="AL4" s="63" t="s">
        <v>990</v>
      </c>
      <c r="AM4" s="64" t="s">
        <v>418</v>
      </c>
      <c r="AN4" s="63" t="s">
        <v>992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1324</v>
      </c>
      <c r="L5" s="16">
        <v>3</v>
      </c>
      <c r="M5" s="16">
        <v>1</v>
      </c>
      <c r="N5" s="16">
        <v>15</v>
      </c>
      <c r="O5" s="16" t="s">
        <v>1068</v>
      </c>
      <c r="P5" s="56" t="s">
        <v>1332</v>
      </c>
      <c r="Q5" s="16" t="s">
        <v>666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523</v>
      </c>
      <c r="W5" s="18">
        <f ca="1">IFERROR(OFFSET(ITEM_RES!$A$5,MATCH(BUILDING!V5,ITEM_RES!$J$5:$J$229,0)-1,0),0)</f>
        <v>211010101</v>
      </c>
      <c r="X5" s="76"/>
      <c r="Y5" s="16" t="s">
        <v>494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2</v>
      </c>
      <c r="AJ5" s="17">
        <v>2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419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440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1324</v>
      </c>
      <c r="M6" s="9">
        <v>1</v>
      </c>
      <c r="N6" s="9">
        <v>15</v>
      </c>
      <c r="O6" s="9" t="s">
        <v>1068</v>
      </c>
      <c r="P6" s="55" t="s">
        <v>1332</v>
      </c>
      <c r="Q6" s="9" t="s">
        <v>661</v>
      </c>
      <c r="T6" s="9">
        <f ca="1">IFERROR(OFFSET(ITEM_RES!$A$5,MATCH(BUILDING!S6,ITEM_RES!$J$5:$J$229,0)-1,0),0)</f>
        <v>0</v>
      </c>
      <c r="V6" s="81" t="s">
        <v>523</v>
      </c>
      <c r="W6" s="11">
        <f ca="1">IFERROR(OFFSET(ITEM_RES!$A$5,MATCH(BUILDING!V6,ITEM_RES!$J$5:$J$229,0)-1,0),0)</f>
        <v>211010101</v>
      </c>
      <c r="Y6" s="9" t="s">
        <v>494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2</v>
      </c>
      <c r="AJ6" s="10">
        <v>2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419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1324</v>
      </c>
      <c r="M7" s="9">
        <v>1</v>
      </c>
      <c r="N7" s="9">
        <v>15</v>
      </c>
      <c r="O7" s="9" t="s">
        <v>1069</v>
      </c>
      <c r="P7" s="55" t="s">
        <v>1333</v>
      </c>
      <c r="Q7" s="9" t="s">
        <v>661</v>
      </c>
      <c r="T7" s="9">
        <f ca="1">IFERROR(OFFSET(ITEM_RES!$A$5,MATCH(BUILDING!S7,ITEM_RES!$J$5:$J$229,0)-1,0),0)</f>
        <v>0</v>
      </c>
      <c r="V7" s="81" t="s">
        <v>523</v>
      </c>
      <c r="W7" s="11">
        <f ca="1">IFERROR(OFFSET(ITEM_RES!$A$5,MATCH(BUILDING!V7,ITEM_RES!$J$5:$J$229,0)-1,0),0)</f>
        <v>211010101</v>
      </c>
      <c r="Y7" s="9" t="s">
        <v>494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2</v>
      </c>
      <c r="AJ7" s="10">
        <v>2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419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1324</v>
      </c>
      <c r="M8" s="9">
        <v>1</v>
      </c>
      <c r="N8" s="9">
        <v>15</v>
      </c>
      <c r="O8" s="9" t="s">
        <v>1070</v>
      </c>
      <c r="P8" s="55" t="s">
        <v>1333</v>
      </c>
      <c r="Q8" s="9" t="s">
        <v>662</v>
      </c>
      <c r="T8" s="9">
        <f ca="1">IFERROR(OFFSET(ITEM_RES!$A$5,MATCH(BUILDING!S8,ITEM_RES!$J$5:$J$229,0)-1,0),0)</f>
        <v>0</v>
      </c>
      <c r="V8" s="81" t="s">
        <v>523</v>
      </c>
      <c r="W8" s="11">
        <f ca="1">IFERROR(OFFSET(ITEM_RES!$A$5,MATCH(BUILDING!V8,ITEM_RES!$J$5:$J$229,0)-1,0),0)</f>
        <v>211010101</v>
      </c>
      <c r="Y8" s="9" t="s">
        <v>494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2</v>
      </c>
      <c r="AJ8" s="10">
        <v>2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419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1324</v>
      </c>
      <c r="M9" s="9">
        <v>1</v>
      </c>
      <c r="N9" s="9">
        <v>15</v>
      </c>
      <c r="O9" s="9" t="s">
        <v>1071</v>
      </c>
      <c r="P9" s="55" t="s">
        <v>1334</v>
      </c>
      <c r="Q9" s="9" t="s">
        <v>662</v>
      </c>
      <c r="T9" s="9">
        <f ca="1">IFERROR(OFFSET(ITEM_RES!$A$5,MATCH(BUILDING!S9,ITEM_RES!$J$5:$J$229,0)-1,0),0)</f>
        <v>0</v>
      </c>
      <c r="V9" s="81" t="s">
        <v>523</v>
      </c>
      <c r="W9" s="11">
        <f ca="1">IFERROR(OFFSET(ITEM_RES!$A$5,MATCH(BUILDING!V9,ITEM_RES!$J$5:$J$229,0)-1,0),0)</f>
        <v>211010101</v>
      </c>
      <c r="Y9" s="9" t="s">
        <v>494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3</v>
      </c>
      <c r="AJ9" s="10">
        <v>3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419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1324</v>
      </c>
      <c r="M10" s="9">
        <v>1</v>
      </c>
      <c r="N10" s="9">
        <v>15</v>
      </c>
      <c r="O10" s="9" t="s">
        <v>1073</v>
      </c>
      <c r="P10" s="55" t="s">
        <v>1334</v>
      </c>
      <c r="Q10" s="9" t="s">
        <v>662</v>
      </c>
      <c r="T10" s="9">
        <f ca="1">IFERROR(OFFSET(ITEM_RES!$A$5,MATCH(BUILDING!S10,ITEM_RES!$J$5:$J$229,0)-1,0),0)</f>
        <v>0</v>
      </c>
      <c r="V10" s="81" t="s">
        <v>523</v>
      </c>
      <c r="W10" s="11">
        <f ca="1">IFERROR(OFFSET(ITEM_RES!$A$5,MATCH(BUILDING!V10,ITEM_RES!$J$5:$J$229,0)-1,0),0)</f>
        <v>211010101</v>
      </c>
      <c r="Y10" s="9" t="s">
        <v>494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5</v>
      </c>
      <c r="AJ10" s="10">
        <v>5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419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1324</v>
      </c>
      <c r="M11" s="9">
        <v>1</v>
      </c>
      <c r="N11" s="9">
        <v>15</v>
      </c>
      <c r="O11" s="9" t="s">
        <v>1072</v>
      </c>
      <c r="P11" s="55" t="s">
        <v>1335</v>
      </c>
      <c r="Q11" s="9" t="s">
        <v>662</v>
      </c>
      <c r="T11" s="9">
        <f ca="1">IFERROR(OFFSET(ITEM_RES!$A$5,MATCH(BUILDING!S11,ITEM_RES!$J$5:$J$229,0)-1,0),0)</f>
        <v>0</v>
      </c>
      <c r="V11" s="81" t="s">
        <v>523</v>
      </c>
      <c r="W11" s="11">
        <f ca="1">IFERROR(OFFSET(ITEM_RES!$A$5,MATCH(BUILDING!V11,ITEM_RES!$J$5:$J$229,0)-1,0),0)</f>
        <v>211010101</v>
      </c>
      <c r="Y11" s="9" t="s">
        <v>494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8</v>
      </c>
      <c r="AJ11" s="10">
        <v>8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419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1324</v>
      </c>
      <c r="M12" s="9">
        <v>1</v>
      </c>
      <c r="N12" s="9">
        <v>15</v>
      </c>
      <c r="O12" s="9" t="s">
        <v>1072</v>
      </c>
      <c r="P12" s="55" t="s">
        <v>1335</v>
      </c>
      <c r="Q12" s="9" t="s">
        <v>662</v>
      </c>
      <c r="T12" s="9">
        <f ca="1">IFERROR(OFFSET(ITEM_RES!$A$5,MATCH(BUILDING!S12,ITEM_RES!$J$5:$J$229,0)-1,0),0)</f>
        <v>0</v>
      </c>
      <c r="V12" s="81" t="s">
        <v>523</v>
      </c>
      <c r="W12" s="11">
        <f ca="1">IFERROR(OFFSET(ITEM_RES!$A$5,MATCH(BUILDING!V12,ITEM_RES!$J$5:$J$229,0)-1,0),0)</f>
        <v>211010101</v>
      </c>
      <c r="Y12" s="9" t="s">
        <v>494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10</v>
      </c>
      <c r="AJ12" s="10">
        <v>10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419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1324</v>
      </c>
      <c r="M13" s="9">
        <v>1</v>
      </c>
      <c r="N13" s="9">
        <v>15</v>
      </c>
      <c r="O13" s="9" t="s">
        <v>1402</v>
      </c>
      <c r="P13" s="55" t="s">
        <v>1404</v>
      </c>
      <c r="Q13" s="9" t="s">
        <v>663</v>
      </c>
      <c r="T13" s="9">
        <f ca="1">IFERROR(OFFSET(ITEM_RES!$A$5,MATCH(BUILDING!S13,ITEM_RES!$J$5:$J$229,0)-1,0),0)</f>
        <v>0</v>
      </c>
      <c r="V13" s="81" t="s">
        <v>523</v>
      </c>
      <c r="W13" s="11">
        <f ca="1">IFERROR(OFFSET(ITEM_RES!$A$5,MATCH(BUILDING!V13,ITEM_RES!$J$5:$J$229,0)-1,0),0)</f>
        <v>211010101</v>
      </c>
      <c r="Y13" s="9" t="s">
        <v>494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15</v>
      </c>
      <c r="AJ13" s="10">
        <v>15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419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1324</v>
      </c>
      <c r="M14" s="9">
        <v>1</v>
      </c>
      <c r="N14" s="9">
        <v>15</v>
      </c>
      <c r="O14" s="9" t="s">
        <v>1402</v>
      </c>
      <c r="P14" s="55" t="s">
        <v>1404</v>
      </c>
      <c r="Q14" s="9" t="s">
        <v>663</v>
      </c>
      <c r="T14" s="9">
        <f ca="1">IFERROR(OFFSET(ITEM_RES!$A$5,MATCH(BUILDING!S14,ITEM_RES!$J$5:$J$229,0)-1,0),0)</f>
        <v>0</v>
      </c>
      <c r="V14" s="81" t="s">
        <v>523</v>
      </c>
      <c r="W14" s="11">
        <f ca="1">IFERROR(OFFSET(ITEM_RES!$A$5,MATCH(BUILDING!V14,ITEM_RES!$J$5:$J$229,0)-1,0),0)</f>
        <v>211010101</v>
      </c>
      <c r="Y14" s="9" t="s">
        <v>494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30</v>
      </c>
      <c r="AJ14" s="10">
        <v>30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419</v>
      </c>
      <c r="AS14" s="11">
        <v>65000</v>
      </c>
      <c r="AV14" s="11">
        <f ca="1">IFERROR(OFFSET(ITEM_RES!$A$1,MATCH(AW14,ITEM_RES!$J:$J,0)-1,0),0)</f>
        <v>211020101</v>
      </c>
      <c r="AW14" s="10" t="s">
        <v>436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447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1324</v>
      </c>
      <c r="M15" s="9">
        <v>1</v>
      </c>
      <c r="N15" s="9">
        <v>15</v>
      </c>
      <c r="O15" s="9" t="s">
        <v>1401</v>
      </c>
      <c r="P15" s="55" t="s">
        <v>1403</v>
      </c>
      <c r="Q15" s="9" t="s">
        <v>663</v>
      </c>
      <c r="T15" s="9">
        <f ca="1">IFERROR(OFFSET(ITEM_RES!$A$5,MATCH(BUILDING!S15,ITEM_RES!$J$5:$J$229,0)-1,0),0)</f>
        <v>0</v>
      </c>
      <c r="V15" s="81" t="s">
        <v>523</v>
      </c>
      <c r="W15" s="11">
        <f ca="1">IFERROR(OFFSET(ITEM_RES!$A$5,MATCH(BUILDING!V15,ITEM_RES!$J$5:$J$229,0)-1,0),0)</f>
        <v>211010101</v>
      </c>
      <c r="Y15" s="9" t="s">
        <v>494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30</v>
      </c>
      <c r="AJ15" s="10">
        <v>30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419</v>
      </c>
      <c r="AS15" s="11">
        <v>110000</v>
      </c>
      <c r="AV15" s="11">
        <f ca="1">IFERROR(OFFSET(ITEM_RES!$A$1,MATCH(AW15,ITEM_RES!$J:$J,0)-1,0),0)</f>
        <v>211020101</v>
      </c>
      <c r="AW15" s="10" t="s">
        <v>436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1324</v>
      </c>
      <c r="M16" s="9">
        <v>1</v>
      </c>
      <c r="N16" s="9">
        <v>15</v>
      </c>
      <c r="O16" s="9" t="s">
        <v>1401</v>
      </c>
      <c r="P16" s="55" t="s">
        <v>1403</v>
      </c>
      <c r="Q16" s="9" t="s">
        <v>663</v>
      </c>
      <c r="T16" s="9">
        <f ca="1">IFERROR(OFFSET(ITEM_RES!$A$5,MATCH(BUILDING!S16,ITEM_RES!$J$5:$J$229,0)-1,0),0)</f>
        <v>0</v>
      </c>
      <c r="V16" s="81" t="s">
        <v>523</v>
      </c>
      <c r="W16" s="11">
        <f ca="1">IFERROR(OFFSET(ITEM_RES!$A$5,MATCH(BUILDING!V16,ITEM_RES!$J$5:$J$229,0)-1,0),0)</f>
        <v>211010101</v>
      </c>
      <c r="Y16" s="9" t="s">
        <v>494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60</v>
      </c>
      <c r="AJ16" s="10">
        <v>60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419</v>
      </c>
      <c r="AS16" s="11">
        <v>185000</v>
      </c>
      <c r="AV16" s="11">
        <f ca="1">IFERROR(OFFSET(ITEM_RES!$A$1,MATCH(AW16,ITEM_RES!$J:$J,0)-1,0),0)</f>
        <v>211020101</v>
      </c>
      <c r="AW16" s="10" t="s">
        <v>436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1324</v>
      </c>
      <c r="M17" s="9">
        <v>1</v>
      </c>
      <c r="N17" s="9">
        <v>15</v>
      </c>
      <c r="O17" s="9" t="s">
        <v>1401</v>
      </c>
      <c r="P17" s="55" t="s">
        <v>1403</v>
      </c>
      <c r="Q17" s="9" t="s">
        <v>663</v>
      </c>
      <c r="T17" s="9">
        <f ca="1">IFERROR(OFFSET(ITEM_RES!$A$5,MATCH(BUILDING!S17,ITEM_RES!$J$5:$J$229,0)-1,0),0)</f>
        <v>0</v>
      </c>
      <c r="V17" s="81" t="s">
        <v>523</v>
      </c>
      <c r="W17" s="11">
        <f ca="1">IFERROR(OFFSET(ITEM_RES!$A$5,MATCH(BUILDING!V17,ITEM_RES!$J$5:$J$229,0)-1,0),0)</f>
        <v>211010101</v>
      </c>
      <c r="Y17" s="9" t="s">
        <v>494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120</v>
      </c>
      <c r="AJ17" s="10">
        <v>120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419</v>
      </c>
      <c r="AS17" s="11">
        <v>310000</v>
      </c>
      <c r="AV17" s="11">
        <f ca="1">IFERROR(OFFSET(ITEM_RES!$A$1,MATCH(AW17,ITEM_RES!$J:$J,0)-1,0),0)</f>
        <v>211020101</v>
      </c>
      <c r="AW17" s="10" t="s">
        <v>436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1324</v>
      </c>
      <c r="M18" s="9">
        <v>1</v>
      </c>
      <c r="N18" s="9">
        <v>15</v>
      </c>
      <c r="O18" s="9" t="s">
        <v>1401</v>
      </c>
      <c r="P18" s="55" t="s">
        <v>1403</v>
      </c>
      <c r="Q18" s="9" t="s">
        <v>663</v>
      </c>
      <c r="T18" s="9">
        <f ca="1">IFERROR(OFFSET(ITEM_RES!$A$5,MATCH(BUILDING!S18,ITEM_RES!$J$5:$J$229,0)-1,0),0)</f>
        <v>0</v>
      </c>
      <c r="V18" s="81" t="s">
        <v>523</v>
      </c>
      <c r="W18" s="11">
        <f ca="1">IFERROR(OFFSET(ITEM_RES!$A$5,MATCH(BUILDING!V18,ITEM_RES!$J$5:$J$229,0)-1,0),0)</f>
        <v>211010101</v>
      </c>
      <c r="Y18" s="9" t="s">
        <v>494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180</v>
      </c>
      <c r="AJ18" s="10">
        <v>180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419</v>
      </c>
      <c r="AS18" s="11">
        <v>485000</v>
      </c>
      <c r="AV18" s="11">
        <f ca="1">IFERROR(OFFSET(ITEM_RES!$A$1,MATCH(AW18,ITEM_RES!$J:$J,0)-1,0),0)</f>
        <v>211020101</v>
      </c>
      <c r="AW18" s="10" t="s">
        <v>436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1324</v>
      </c>
      <c r="M19" s="9">
        <v>1</v>
      </c>
      <c r="N19" s="9">
        <v>15</v>
      </c>
      <c r="O19" s="9" t="s">
        <v>1401</v>
      </c>
      <c r="P19" s="55" t="s">
        <v>1403</v>
      </c>
      <c r="Q19" s="9" t="s">
        <v>663</v>
      </c>
      <c r="T19" s="9">
        <f ca="1">IFERROR(OFFSET(ITEM_RES!$A$5,MATCH(BUILDING!S19,ITEM_RES!$J$5:$J$229,0)-1,0),0)</f>
        <v>0</v>
      </c>
      <c r="V19" s="81" t="s">
        <v>523</v>
      </c>
      <c r="W19" s="11">
        <f ca="1">IFERROR(OFFSET(ITEM_RES!$A$5,MATCH(BUILDING!V19,ITEM_RES!$J$5:$J$229,0)-1,0),0)</f>
        <v>211010101</v>
      </c>
      <c r="Y19" s="9" t="s">
        <v>494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240</v>
      </c>
      <c r="AJ19" s="10">
        <v>240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419</v>
      </c>
      <c r="AS19" s="11">
        <v>1050000</v>
      </c>
      <c r="AV19" s="11">
        <f ca="1">IFERROR(OFFSET(ITEM_RES!$A$1,MATCH(AW19,ITEM_RES!$J:$J,0)-1,0),0)</f>
        <v>211020101</v>
      </c>
      <c r="AW19" s="10" t="s">
        <v>436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1324</v>
      </c>
      <c r="M20" s="9">
        <v>0</v>
      </c>
      <c r="N20" s="9">
        <v>15</v>
      </c>
      <c r="O20" s="9" t="s">
        <v>1401</v>
      </c>
      <c r="P20" s="55" t="s">
        <v>1403</v>
      </c>
      <c r="Q20" s="9" t="s">
        <v>664</v>
      </c>
      <c r="T20" s="9">
        <f ca="1">IFERROR(OFFSET(ITEM_RES!$A$5,MATCH(BUILDING!S20,ITEM_RES!$J$5:$J$229,0)-1,0),0)</f>
        <v>0</v>
      </c>
      <c r="V20" s="81" t="s">
        <v>523</v>
      </c>
      <c r="W20" s="11">
        <f ca="1">IFERROR(OFFSET(ITEM_RES!$A$5,MATCH(BUILDING!V20,ITEM_RES!$J$5:$J$229,0)-1,0),0)</f>
        <v>211010101</v>
      </c>
      <c r="Y20" s="9" t="s">
        <v>494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300</v>
      </c>
      <c r="AJ20" s="10">
        <v>300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432</v>
      </c>
      <c r="AS20" s="11">
        <v>2150000</v>
      </c>
      <c r="AV20" s="11">
        <f ca="1">IFERROR(OFFSET(ITEM_RES!$A$1,MATCH(AW20,ITEM_RES!$J:$J,0)-1,0),0)</f>
        <v>211020101</v>
      </c>
      <c r="AW20" s="10" t="s">
        <v>436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1324</v>
      </c>
      <c r="M21" s="9">
        <v>0</v>
      </c>
      <c r="N21" s="9">
        <v>15</v>
      </c>
      <c r="O21" s="9" t="s">
        <v>1401</v>
      </c>
      <c r="P21" s="55" t="s">
        <v>1403</v>
      </c>
      <c r="Q21" s="9" t="s">
        <v>664</v>
      </c>
      <c r="T21" s="9">
        <f ca="1">IFERROR(OFFSET(ITEM_RES!$A$5,MATCH(BUILDING!S21,ITEM_RES!$J$5:$J$229,0)-1,0),0)</f>
        <v>0</v>
      </c>
      <c r="V21" s="81" t="s">
        <v>523</v>
      </c>
      <c r="W21" s="11">
        <f ca="1">IFERROR(OFFSET(ITEM_RES!$A$5,MATCH(BUILDING!V21,ITEM_RES!$J$5:$J$229,0)-1,0),0)</f>
        <v>211010101</v>
      </c>
      <c r="Y21" s="9" t="s">
        <v>494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360</v>
      </c>
      <c r="AJ21" s="10">
        <v>360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432</v>
      </c>
      <c r="AS21" s="11">
        <v>4000000</v>
      </c>
      <c r="AV21" s="11">
        <f ca="1">IFERROR(OFFSET(ITEM_RES!$A$1,MATCH(AW21,ITEM_RES!$J:$J,0)-1,0),0)</f>
        <v>211020101</v>
      </c>
      <c r="AW21" s="10" t="s">
        <v>436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1324</v>
      </c>
      <c r="M22" s="9">
        <v>0</v>
      </c>
      <c r="N22" s="9">
        <v>15</v>
      </c>
      <c r="O22" s="9" t="s">
        <v>1401</v>
      </c>
      <c r="P22" s="55" t="s">
        <v>1403</v>
      </c>
      <c r="Q22" s="9" t="s">
        <v>664</v>
      </c>
      <c r="T22" s="9">
        <f ca="1">IFERROR(OFFSET(ITEM_RES!$A$5,MATCH(BUILDING!S22,ITEM_RES!$J$5:$J$229,0)-1,0),0)</f>
        <v>0</v>
      </c>
      <c r="V22" s="81" t="s">
        <v>523</v>
      </c>
      <c r="W22" s="11">
        <f ca="1">IFERROR(OFFSET(ITEM_RES!$A$5,MATCH(BUILDING!V22,ITEM_RES!$J$5:$J$229,0)-1,0),0)</f>
        <v>211010101</v>
      </c>
      <c r="Y22" s="9" t="s">
        <v>494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420</v>
      </c>
      <c r="AJ22" s="10">
        <v>420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432</v>
      </c>
      <c r="AS22" s="11">
        <v>6500000</v>
      </c>
      <c r="AV22" s="11">
        <f ca="1">IFERROR(OFFSET(ITEM_RES!$A$1,MATCH(AW22,ITEM_RES!$J:$J,0)-1,0),0)</f>
        <v>211020101</v>
      </c>
      <c r="AW22" s="10" t="s">
        <v>436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1324</v>
      </c>
      <c r="M23" s="9">
        <v>0</v>
      </c>
      <c r="N23" s="9">
        <v>15</v>
      </c>
      <c r="O23" s="9" t="s">
        <v>1401</v>
      </c>
      <c r="P23" s="55" t="s">
        <v>1403</v>
      </c>
      <c r="Q23" s="9" t="s">
        <v>664</v>
      </c>
      <c r="T23" s="9">
        <f ca="1">IFERROR(OFFSET(ITEM_RES!$A$5,MATCH(BUILDING!S23,ITEM_RES!$J$5:$J$229,0)-1,0),0)</f>
        <v>0</v>
      </c>
      <c r="V23" s="81" t="s">
        <v>523</v>
      </c>
      <c r="W23" s="11">
        <f ca="1">IFERROR(OFFSET(ITEM_RES!$A$5,MATCH(BUILDING!V23,ITEM_RES!$J$5:$J$229,0)-1,0),0)</f>
        <v>211010101</v>
      </c>
      <c r="Y23" s="9" t="s">
        <v>494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480</v>
      </c>
      <c r="AJ23" s="10">
        <v>480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432</v>
      </c>
      <c r="AS23" s="11">
        <v>10000000</v>
      </c>
      <c r="AV23" s="11">
        <f ca="1">IFERROR(OFFSET(ITEM_RES!$A$1,MATCH(AW23,ITEM_RES!$J:$J,0)-1,0),0)</f>
        <v>211020101</v>
      </c>
      <c r="AW23" s="10" t="s">
        <v>436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1324</v>
      </c>
      <c r="M24" s="9">
        <v>0</v>
      </c>
      <c r="N24" s="9">
        <v>15</v>
      </c>
      <c r="O24" s="9" t="s">
        <v>1401</v>
      </c>
      <c r="P24" s="55" t="s">
        <v>1403</v>
      </c>
      <c r="Q24" s="9" t="s">
        <v>665</v>
      </c>
      <c r="T24" s="9">
        <f ca="1">IFERROR(OFFSET(ITEM_RES!$A$5,MATCH(BUILDING!S24,ITEM_RES!$J$5:$J$229,0)-1,0),0)</f>
        <v>0</v>
      </c>
      <c r="V24" s="81" t="s">
        <v>523</v>
      </c>
      <c r="W24" s="11">
        <f ca="1">IFERROR(OFFSET(ITEM_RES!$A$5,MATCH(BUILDING!V24,ITEM_RES!$J$5:$J$229,0)-1,0),0)</f>
        <v>211010101</v>
      </c>
      <c r="Y24" s="9" t="s">
        <v>494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540</v>
      </c>
      <c r="AJ24" s="10">
        <v>540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432</v>
      </c>
      <c r="AS24" s="11">
        <v>16000000</v>
      </c>
      <c r="AV24" s="11">
        <f ca="1">IFERROR(OFFSET(ITEM_RES!$A$1,MATCH(AW24,ITEM_RES!$J:$J,0)-1,0),0)</f>
        <v>211020101</v>
      </c>
      <c r="AW24" s="10" t="s">
        <v>436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550</v>
      </c>
      <c r="L25" s="16">
        <v>4</v>
      </c>
      <c r="M25" s="16">
        <v>1</v>
      </c>
      <c r="N25" s="16">
        <v>15</v>
      </c>
      <c r="O25" s="16" t="s">
        <v>1074</v>
      </c>
      <c r="P25" s="56" t="s">
        <v>1336</v>
      </c>
      <c r="Q25" s="16" t="s">
        <v>667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524</v>
      </c>
      <c r="W25" s="18">
        <f ca="1">IFERROR(OFFSET(ITEM_RES!$A$5,MATCH(BUILDING!V25,ITEM_RES!$J$5:$J$229,0)-1,0),0)</f>
        <v>211010201</v>
      </c>
      <c r="X25" s="76"/>
      <c r="Y25" s="16" t="s">
        <v>495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2</v>
      </c>
      <c r="AJ25" s="17">
        <v>2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420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440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1075</v>
      </c>
      <c r="P26" s="55" t="s">
        <v>1336</v>
      </c>
      <c r="Q26" s="9" t="s">
        <v>667</v>
      </c>
      <c r="T26" s="9">
        <f ca="1">IFERROR(OFFSET(ITEM_RES!$A$5,MATCH(BUILDING!S26,ITEM_RES!$J$5:$J$229,0)-1,0),0)</f>
        <v>0</v>
      </c>
      <c r="V26" s="81" t="s">
        <v>524</v>
      </c>
      <c r="W26" s="11">
        <f ca="1">IFERROR(OFFSET(ITEM_RES!$A$5,MATCH(BUILDING!V26,ITEM_RES!$J$5:$J$229,0)-1,0),0)</f>
        <v>211010201</v>
      </c>
      <c r="Y26" s="9" t="s">
        <v>495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2</v>
      </c>
      <c r="AJ26" s="10">
        <v>2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420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1076</v>
      </c>
      <c r="P27" s="55" t="s">
        <v>1337</v>
      </c>
      <c r="Q27" s="9" t="s">
        <v>667</v>
      </c>
      <c r="T27" s="9">
        <f ca="1">IFERROR(OFFSET(ITEM_RES!$A$5,MATCH(BUILDING!S27,ITEM_RES!$J$5:$J$229,0)-1,0),0)</f>
        <v>0</v>
      </c>
      <c r="V27" s="81" t="s">
        <v>524</v>
      </c>
      <c r="W27" s="11">
        <f ca="1">IFERROR(OFFSET(ITEM_RES!$A$5,MATCH(BUILDING!V27,ITEM_RES!$J$5:$J$229,0)-1,0),0)</f>
        <v>211010201</v>
      </c>
      <c r="Y27" s="9" t="s">
        <v>495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2</v>
      </c>
      <c r="AJ27" s="10">
        <v>2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420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1076</v>
      </c>
      <c r="P28" s="55" t="s">
        <v>1337</v>
      </c>
      <c r="Q28" s="9" t="s">
        <v>667</v>
      </c>
      <c r="T28" s="9">
        <f ca="1">IFERROR(OFFSET(ITEM_RES!$A$5,MATCH(BUILDING!S28,ITEM_RES!$J$5:$J$229,0)-1,0),0)</f>
        <v>0</v>
      </c>
      <c r="V28" s="81" t="s">
        <v>524</v>
      </c>
      <c r="W28" s="11">
        <f ca="1">IFERROR(OFFSET(ITEM_RES!$A$5,MATCH(BUILDING!V28,ITEM_RES!$J$5:$J$229,0)-1,0),0)</f>
        <v>211010201</v>
      </c>
      <c r="Y28" s="9" t="s">
        <v>495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2</v>
      </c>
      <c r="AJ28" s="10">
        <v>2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420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1077</v>
      </c>
      <c r="P29" s="55" t="s">
        <v>1338</v>
      </c>
      <c r="Q29" s="9" t="s">
        <v>667</v>
      </c>
      <c r="T29" s="9">
        <f ca="1">IFERROR(OFFSET(ITEM_RES!$A$5,MATCH(BUILDING!S29,ITEM_RES!$J$5:$J$229,0)-1,0),0)</f>
        <v>0</v>
      </c>
      <c r="V29" s="81" t="s">
        <v>524</v>
      </c>
      <c r="W29" s="11">
        <f ca="1">IFERROR(OFFSET(ITEM_RES!$A$5,MATCH(BUILDING!V29,ITEM_RES!$J$5:$J$229,0)-1,0),0)</f>
        <v>211010201</v>
      </c>
      <c r="Y29" s="9" t="s">
        <v>495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3</v>
      </c>
      <c r="AJ29" s="10">
        <v>3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420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1078</v>
      </c>
      <c r="P30" s="55" t="s">
        <v>1338</v>
      </c>
      <c r="Q30" s="9" t="s">
        <v>667</v>
      </c>
      <c r="T30" s="9">
        <f ca="1">IFERROR(OFFSET(ITEM_RES!$A$5,MATCH(BUILDING!S30,ITEM_RES!$J$5:$J$229,0)-1,0),0)</f>
        <v>0</v>
      </c>
      <c r="V30" s="81" t="s">
        <v>524</v>
      </c>
      <c r="W30" s="11">
        <f ca="1">IFERROR(OFFSET(ITEM_RES!$A$5,MATCH(BUILDING!V30,ITEM_RES!$J$5:$J$229,0)-1,0),0)</f>
        <v>211010201</v>
      </c>
      <c r="Y30" s="9" t="s">
        <v>495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5</v>
      </c>
      <c r="AJ30" s="10">
        <v>5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420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1079</v>
      </c>
      <c r="P31" s="55" t="s">
        <v>1339</v>
      </c>
      <c r="Q31" s="9" t="s">
        <v>667</v>
      </c>
      <c r="T31" s="9">
        <f ca="1">IFERROR(OFFSET(ITEM_RES!$A$5,MATCH(BUILDING!S31,ITEM_RES!$J$5:$J$229,0)-1,0),0)</f>
        <v>0</v>
      </c>
      <c r="V31" s="81" t="s">
        <v>524</v>
      </c>
      <c r="W31" s="11">
        <f ca="1">IFERROR(OFFSET(ITEM_RES!$A$5,MATCH(BUILDING!V31,ITEM_RES!$J$5:$J$229,0)-1,0),0)</f>
        <v>211010201</v>
      </c>
      <c r="Y31" s="9" t="s">
        <v>495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8</v>
      </c>
      <c r="AJ31" s="10">
        <v>8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420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1079</v>
      </c>
      <c r="P32" s="55" t="s">
        <v>1339</v>
      </c>
      <c r="Q32" s="9" t="s">
        <v>667</v>
      </c>
      <c r="T32" s="9">
        <f ca="1">IFERROR(OFFSET(ITEM_RES!$A$5,MATCH(BUILDING!S32,ITEM_RES!$J$5:$J$229,0)-1,0),0)</f>
        <v>0</v>
      </c>
      <c r="V32" s="81" t="s">
        <v>524</v>
      </c>
      <c r="W32" s="11">
        <f ca="1">IFERROR(OFFSET(ITEM_RES!$A$5,MATCH(BUILDING!V32,ITEM_RES!$J$5:$J$229,0)-1,0),0)</f>
        <v>211010201</v>
      </c>
      <c r="Y32" s="9" t="s">
        <v>495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10</v>
      </c>
      <c r="AJ32" s="10">
        <v>10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420</v>
      </c>
      <c r="AS32" s="11">
        <v>42000</v>
      </c>
      <c r="AV32" s="11">
        <f ca="1">IFERROR(OFFSET(ITEM_RES!$A$1,MATCH(AW32,ITEM_RES!$J:$J,0)-1,0),0)</f>
        <v>211020101</v>
      </c>
      <c r="AW32" s="10" t="s">
        <v>436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1406</v>
      </c>
      <c r="P33" s="55" t="s">
        <v>1408</v>
      </c>
      <c r="Q33" s="9" t="s">
        <v>667</v>
      </c>
      <c r="T33" s="9">
        <f ca="1">IFERROR(OFFSET(ITEM_RES!$A$5,MATCH(BUILDING!S33,ITEM_RES!$J$5:$J$229,0)-1,0),0)</f>
        <v>0</v>
      </c>
      <c r="V33" s="81" t="s">
        <v>524</v>
      </c>
      <c r="W33" s="11">
        <f ca="1">IFERROR(OFFSET(ITEM_RES!$A$5,MATCH(BUILDING!V33,ITEM_RES!$J$5:$J$229,0)-1,0),0)</f>
        <v>211010201</v>
      </c>
      <c r="Y33" s="9" t="s">
        <v>495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15</v>
      </c>
      <c r="AJ33" s="10">
        <v>15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420</v>
      </c>
      <c r="AS33" s="11">
        <v>78000</v>
      </c>
      <c r="AV33" s="11">
        <f ca="1">IFERROR(OFFSET(ITEM_RES!$A$1,MATCH(AW33,ITEM_RES!$J:$J,0)-1,0),0)</f>
        <v>211020101</v>
      </c>
      <c r="AW33" s="10" t="s">
        <v>436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1406</v>
      </c>
      <c r="P34" s="55" t="s">
        <v>1408</v>
      </c>
      <c r="Q34" s="9" t="s">
        <v>667</v>
      </c>
      <c r="T34" s="9">
        <f ca="1">IFERROR(OFFSET(ITEM_RES!$A$5,MATCH(BUILDING!S34,ITEM_RES!$J$5:$J$229,0)-1,0),0)</f>
        <v>0</v>
      </c>
      <c r="V34" s="81" t="s">
        <v>524</v>
      </c>
      <c r="W34" s="11">
        <f ca="1">IFERROR(OFFSET(ITEM_RES!$A$5,MATCH(BUILDING!V34,ITEM_RES!$J$5:$J$229,0)-1,0),0)</f>
        <v>211010201</v>
      </c>
      <c r="Y34" s="9" t="s">
        <v>495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30</v>
      </c>
      <c r="AJ34" s="10">
        <v>30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420</v>
      </c>
      <c r="AS34" s="11">
        <v>130000</v>
      </c>
      <c r="AV34" s="11">
        <f ca="1">IFERROR(OFFSET(ITEM_RES!$A$1,MATCH(AW34,ITEM_RES!$J:$J,0)-1,0),0)</f>
        <v>211020101</v>
      </c>
      <c r="AW34" s="10" t="s">
        <v>436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1405</v>
      </c>
      <c r="P35" s="55" t="s">
        <v>1407</v>
      </c>
      <c r="Q35" s="9" t="s">
        <v>667</v>
      </c>
      <c r="T35" s="9">
        <f ca="1">IFERROR(OFFSET(ITEM_RES!$A$5,MATCH(BUILDING!S35,ITEM_RES!$J$5:$J$229,0)-1,0),0)</f>
        <v>0</v>
      </c>
      <c r="V35" s="81" t="s">
        <v>524</v>
      </c>
      <c r="W35" s="11">
        <f ca="1">IFERROR(OFFSET(ITEM_RES!$A$5,MATCH(BUILDING!V35,ITEM_RES!$J$5:$J$229,0)-1,0),0)</f>
        <v>211010201</v>
      </c>
      <c r="Y35" s="9" t="s">
        <v>495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</v>
      </c>
      <c r="AJ35" s="10">
        <v>30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420</v>
      </c>
      <c r="AS35" s="11">
        <v>220000</v>
      </c>
      <c r="AV35" s="11">
        <f ca="1">IFERROR(OFFSET(ITEM_RES!$A$1,MATCH(AW35,ITEM_RES!$J:$J,0)-1,0),0)</f>
        <v>211020101</v>
      </c>
      <c r="AW35" s="10" t="s">
        <v>436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1405</v>
      </c>
      <c r="P36" s="55" t="s">
        <v>1407</v>
      </c>
      <c r="Q36" s="9" t="s">
        <v>667</v>
      </c>
      <c r="T36" s="9">
        <f ca="1">IFERROR(OFFSET(ITEM_RES!$A$5,MATCH(BUILDING!S36,ITEM_RES!$J$5:$J$229,0)-1,0),0)</f>
        <v>0</v>
      </c>
      <c r="V36" s="81" t="s">
        <v>524</v>
      </c>
      <c r="W36" s="11">
        <f ca="1">IFERROR(OFFSET(ITEM_RES!$A$5,MATCH(BUILDING!V36,ITEM_RES!$J$5:$J$229,0)-1,0),0)</f>
        <v>211010201</v>
      </c>
      <c r="Y36" s="9" t="s">
        <v>495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</v>
      </c>
      <c r="AJ36" s="10">
        <v>60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420</v>
      </c>
      <c r="AS36" s="11">
        <v>370000</v>
      </c>
      <c r="AV36" s="11">
        <f ca="1">IFERROR(OFFSET(ITEM_RES!$A$1,MATCH(AW36,ITEM_RES!$J:$J,0)-1,0),0)</f>
        <v>211020101</v>
      </c>
      <c r="AW36" s="10" t="s">
        <v>436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1405</v>
      </c>
      <c r="P37" s="55" t="s">
        <v>1407</v>
      </c>
      <c r="Q37" s="9" t="s">
        <v>667</v>
      </c>
      <c r="T37" s="9">
        <f ca="1">IFERROR(OFFSET(ITEM_RES!$A$5,MATCH(BUILDING!S37,ITEM_RES!$J$5:$J$229,0)-1,0),0)</f>
        <v>0</v>
      </c>
      <c r="V37" s="81" t="s">
        <v>524</v>
      </c>
      <c r="W37" s="11">
        <f ca="1">IFERROR(OFFSET(ITEM_RES!$A$5,MATCH(BUILDING!V37,ITEM_RES!$J$5:$J$229,0)-1,0),0)</f>
        <v>211010201</v>
      </c>
      <c r="Y37" s="9" t="s">
        <v>495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120</v>
      </c>
      <c r="AJ37" s="10">
        <v>120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420</v>
      </c>
      <c r="AS37" s="11">
        <v>620000</v>
      </c>
      <c r="AV37" s="11">
        <f ca="1">IFERROR(OFFSET(ITEM_RES!$A$1,MATCH(AW37,ITEM_RES!$J:$J,0)-1,0),0)</f>
        <v>211020101</v>
      </c>
      <c r="AW37" s="10" t="s">
        <v>436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1405</v>
      </c>
      <c r="P38" s="55" t="s">
        <v>1407</v>
      </c>
      <c r="Q38" s="9" t="s">
        <v>667</v>
      </c>
      <c r="T38" s="9">
        <f ca="1">IFERROR(OFFSET(ITEM_RES!$A$5,MATCH(BUILDING!S38,ITEM_RES!$J$5:$J$229,0)-1,0),0)</f>
        <v>0</v>
      </c>
      <c r="V38" s="81" t="s">
        <v>524</v>
      </c>
      <c r="W38" s="11">
        <f ca="1">IFERROR(OFFSET(ITEM_RES!$A$5,MATCH(BUILDING!V38,ITEM_RES!$J$5:$J$229,0)-1,0),0)</f>
        <v>211010201</v>
      </c>
      <c r="Y38" s="9" t="s">
        <v>495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</v>
      </c>
      <c r="AJ38" s="10">
        <v>180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420</v>
      </c>
      <c r="AS38" s="11">
        <v>970000</v>
      </c>
      <c r="AV38" s="11">
        <f ca="1">IFERROR(OFFSET(ITEM_RES!$A$1,MATCH(AW38,ITEM_RES!$J:$J,0)-1,0),0)</f>
        <v>211020101</v>
      </c>
      <c r="AW38" s="10" t="s">
        <v>436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1405</v>
      </c>
      <c r="P39" s="55" t="s">
        <v>1407</v>
      </c>
      <c r="Q39" s="9" t="s">
        <v>667</v>
      </c>
      <c r="T39" s="9">
        <f ca="1">IFERROR(OFFSET(ITEM_RES!$A$5,MATCH(BUILDING!S39,ITEM_RES!$J$5:$J$229,0)-1,0),0)</f>
        <v>0</v>
      </c>
      <c r="V39" s="81" t="s">
        <v>524</v>
      </c>
      <c r="W39" s="11">
        <f ca="1">IFERROR(OFFSET(ITEM_RES!$A$5,MATCH(BUILDING!V39,ITEM_RES!$J$5:$J$229,0)-1,0),0)</f>
        <v>211010201</v>
      </c>
      <c r="Y39" s="9" t="s">
        <v>495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240</v>
      </c>
      <c r="AJ39" s="10">
        <v>240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432</v>
      </c>
      <c r="AS39" s="11">
        <v>2100000</v>
      </c>
      <c r="AV39" s="11">
        <f ca="1">IFERROR(OFFSET(ITEM_RES!$A$1,MATCH(AW39,ITEM_RES!$J:$J,0)-1,0),0)</f>
        <v>211020101</v>
      </c>
      <c r="AW39" s="10" t="s">
        <v>436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1405</v>
      </c>
      <c r="P40" s="55" t="s">
        <v>1407</v>
      </c>
      <c r="Q40" s="9" t="s">
        <v>667</v>
      </c>
      <c r="T40" s="9">
        <f ca="1">IFERROR(OFFSET(ITEM_RES!$A$5,MATCH(BUILDING!S40,ITEM_RES!$J$5:$J$229,0)-1,0),0)</f>
        <v>0</v>
      </c>
      <c r="V40" s="81" t="s">
        <v>524</v>
      </c>
      <c r="W40" s="11">
        <f ca="1">IFERROR(OFFSET(ITEM_RES!$A$5,MATCH(BUILDING!V40,ITEM_RES!$J$5:$J$229,0)-1,0),0)</f>
        <v>211010201</v>
      </c>
      <c r="Y40" s="9" t="s">
        <v>495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300</v>
      </c>
      <c r="AJ40" s="10">
        <v>300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432</v>
      </c>
      <c r="AS40" s="11">
        <v>4300000</v>
      </c>
      <c r="AV40" s="11">
        <f ca="1">IFERROR(OFFSET(ITEM_RES!$A$1,MATCH(AW40,ITEM_RES!$J:$J,0)-1,0),0)</f>
        <v>211020101</v>
      </c>
      <c r="AW40" s="10" t="s">
        <v>436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1405</v>
      </c>
      <c r="P41" s="55" t="s">
        <v>1407</v>
      </c>
      <c r="Q41" s="9" t="s">
        <v>667</v>
      </c>
      <c r="T41" s="9">
        <f ca="1">IFERROR(OFFSET(ITEM_RES!$A$5,MATCH(BUILDING!S41,ITEM_RES!$J$5:$J$229,0)-1,0),0)</f>
        <v>0</v>
      </c>
      <c r="V41" s="81" t="s">
        <v>524</v>
      </c>
      <c r="W41" s="11">
        <f ca="1">IFERROR(OFFSET(ITEM_RES!$A$5,MATCH(BUILDING!V41,ITEM_RES!$J$5:$J$229,0)-1,0),0)</f>
        <v>211010201</v>
      </c>
      <c r="Y41" s="9" t="s">
        <v>495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360</v>
      </c>
      <c r="AJ41" s="10">
        <v>360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432</v>
      </c>
      <c r="AS41" s="11">
        <v>8000000</v>
      </c>
      <c r="AV41" s="11">
        <f ca="1">IFERROR(OFFSET(ITEM_RES!$A$1,MATCH(AW41,ITEM_RES!$J:$J,0)-1,0),0)</f>
        <v>211020101</v>
      </c>
      <c r="AW41" s="10" t="s">
        <v>436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1405</v>
      </c>
      <c r="P42" s="55" t="s">
        <v>1407</v>
      </c>
      <c r="Q42" s="9" t="s">
        <v>667</v>
      </c>
      <c r="T42" s="9">
        <f ca="1">IFERROR(OFFSET(ITEM_RES!$A$5,MATCH(BUILDING!S42,ITEM_RES!$J$5:$J$229,0)-1,0),0)</f>
        <v>0</v>
      </c>
      <c r="V42" s="81" t="s">
        <v>524</v>
      </c>
      <c r="W42" s="11">
        <f ca="1">IFERROR(OFFSET(ITEM_RES!$A$5,MATCH(BUILDING!V42,ITEM_RES!$J$5:$J$229,0)-1,0),0)</f>
        <v>211010201</v>
      </c>
      <c r="Y42" s="9" t="s">
        <v>495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420</v>
      </c>
      <c r="AJ42" s="10">
        <v>420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432</v>
      </c>
      <c r="AS42" s="11">
        <v>13000000</v>
      </c>
      <c r="AV42" s="11">
        <f ca="1">IFERROR(OFFSET(ITEM_RES!$A$1,MATCH(AW42,ITEM_RES!$J:$J,0)-1,0),0)</f>
        <v>211020101</v>
      </c>
      <c r="AW42" s="10" t="s">
        <v>436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1405</v>
      </c>
      <c r="P43" s="55" t="s">
        <v>1407</v>
      </c>
      <c r="Q43" s="9" t="s">
        <v>667</v>
      </c>
      <c r="T43" s="9">
        <f ca="1">IFERROR(OFFSET(ITEM_RES!$A$5,MATCH(BUILDING!S43,ITEM_RES!$J$5:$J$229,0)-1,0),0)</f>
        <v>0</v>
      </c>
      <c r="V43" s="81" t="s">
        <v>524</v>
      </c>
      <c r="W43" s="11">
        <f ca="1">IFERROR(OFFSET(ITEM_RES!$A$5,MATCH(BUILDING!V43,ITEM_RES!$J$5:$J$229,0)-1,0),0)</f>
        <v>211010201</v>
      </c>
      <c r="Y43" s="9" t="s">
        <v>495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480</v>
      </c>
      <c r="AJ43" s="10">
        <v>480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432</v>
      </c>
      <c r="AS43" s="11">
        <v>20000000</v>
      </c>
      <c r="AV43" s="11">
        <f ca="1">IFERROR(OFFSET(ITEM_RES!$A$1,MATCH(AW43,ITEM_RES!$J:$J,0)-1,0),0)</f>
        <v>211020101</v>
      </c>
      <c r="AW43" s="10" t="s">
        <v>436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1405</v>
      </c>
      <c r="P44" s="55" t="s">
        <v>1407</v>
      </c>
      <c r="Q44" s="9" t="s">
        <v>667</v>
      </c>
      <c r="T44" s="9">
        <f ca="1">IFERROR(OFFSET(ITEM_RES!$A$5,MATCH(BUILDING!S44,ITEM_RES!$J$5:$J$229,0)-1,0),0)</f>
        <v>0</v>
      </c>
      <c r="V44" s="81" t="s">
        <v>524</v>
      </c>
      <c r="W44" s="11">
        <f ca="1">IFERROR(OFFSET(ITEM_RES!$A$5,MATCH(BUILDING!V44,ITEM_RES!$J$5:$J$229,0)-1,0),0)</f>
        <v>211010201</v>
      </c>
      <c r="Y44" s="9" t="s">
        <v>495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540</v>
      </c>
      <c r="AJ44" s="10">
        <v>540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432</v>
      </c>
      <c r="AS44" s="11">
        <v>32000000</v>
      </c>
      <c r="AV44" s="11">
        <f ca="1">IFERROR(OFFSET(ITEM_RES!$A$1,MATCH(AW44,ITEM_RES!$J:$J,0)-1,0),0)</f>
        <v>211020101</v>
      </c>
      <c r="AW44" s="10" t="s">
        <v>436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1325</v>
      </c>
      <c r="L45" s="16">
        <v>4</v>
      </c>
      <c r="M45" s="16">
        <v>1</v>
      </c>
      <c r="N45" s="16">
        <v>15</v>
      </c>
      <c r="O45" s="16" t="s">
        <v>1062</v>
      </c>
      <c r="P45" s="56" t="s">
        <v>1340</v>
      </c>
      <c r="Q45" s="16" t="s">
        <v>1461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1460</v>
      </c>
      <c r="W45" s="18">
        <f ca="1">IFERROR(OFFSET(ITEM_RES!$A$5,MATCH(BUILDING!V45,ITEM_RES!$J$5:$J$229,0)-1,0),0)</f>
        <v>211010301</v>
      </c>
      <c r="X45" s="76"/>
      <c r="Y45" s="16" t="s">
        <v>496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2</v>
      </c>
      <c r="AJ45" s="17">
        <v>2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421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440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1325</v>
      </c>
      <c r="M46" s="9">
        <v>1</v>
      </c>
      <c r="N46" s="9">
        <v>15</v>
      </c>
      <c r="O46" s="9" t="s">
        <v>1063</v>
      </c>
      <c r="P46" s="55" t="s">
        <v>1340</v>
      </c>
      <c r="Q46" s="9" t="s">
        <v>1461</v>
      </c>
      <c r="T46" s="9">
        <f ca="1">IFERROR(OFFSET(ITEM_RES!$A$5,MATCH(BUILDING!S46,ITEM_RES!$J$5:$J$229,0)-1,0),0)</f>
        <v>0</v>
      </c>
      <c r="V46" s="81" t="s">
        <v>1460</v>
      </c>
      <c r="W46" s="11">
        <f ca="1">IFERROR(OFFSET(ITEM_RES!$A$5,MATCH(BUILDING!V46,ITEM_RES!$J$5:$J$229,0)-1,0),0)</f>
        <v>211010301</v>
      </c>
      <c r="Y46" s="9" t="s">
        <v>496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2</v>
      </c>
      <c r="AJ46" s="10">
        <v>2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421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1325</v>
      </c>
      <c r="M47" s="9">
        <v>1</v>
      </c>
      <c r="N47" s="9">
        <v>15</v>
      </c>
      <c r="O47" s="9" t="s">
        <v>1064</v>
      </c>
      <c r="P47" s="55" t="s">
        <v>1341</v>
      </c>
      <c r="Q47" s="9" t="s">
        <v>1461</v>
      </c>
      <c r="T47" s="9">
        <f ca="1">IFERROR(OFFSET(ITEM_RES!$A$5,MATCH(BUILDING!S47,ITEM_RES!$J$5:$J$229,0)-1,0),0)</f>
        <v>0</v>
      </c>
      <c r="V47" s="81" t="s">
        <v>1460</v>
      </c>
      <c r="W47" s="11">
        <f ca="1">IFERROR(OFFSET(ITEM_RES!$A$5,MATCH(BUILDING!V47,ITEM_RES!$J$5:$J$229,0)-1,0),0)</f>
        <v>211010301</v>
      </c>
      <c r="Y47" s="9" t="s">
        <v>496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2</v>
      </c>
      <c r="AJ47" s="10">
        <v>2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421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1325</v>
      </c>
      <c r="M48" s="9">
        <v>1</v>
      </c>
      <c r="N48" s="9">
        <v>15</v>
      </c>
      <c r="O48" s="9" t="s">
        <v>1064</v>
      </c>
      <c r="P48" s="55" t="s">
        <v>1341</v>
      </c>
      <c r="Q48" s="9" t="s">
        <v>1461</v>
      </c>
      <c r="T48" s="9">
        <f ca="1">IFERROR(OFFSET(ITEM_RES!$A$5,MATCH(BUILDING!S48,ITEM_RES!$J$5:$J$229,0)-1,0),0)</f>
        <v>0</v>
      </c>
      <c r="V48" s="81" t="s">
        <v>1460</v>
      </c>
      <c r="W48" s="11">
        <f ca="1">IFERROR(OFFSET(ITEM_RES!$A$5,MATCH(BUILDING!V48,ITEM_RES!$J$5:$J$229,0)-1,0),0)</f>
        <v>211010301</v>
      </c>
      <c r="Y48" s="9" t="s">
        <v>496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2</v>
      </c>
      <c r="AJ48" s="10">
        <v>2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421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1325</v>
      </c>
      <c r="M49" s="9">
        <v>1</v>
      </c>
      <c r="N49" s="9">
        <v>15</v>
      </c>
      <c r="O49" s="9" t="s">
        <v>1065</v>
      </c>
      <c r="P49" s="55" t="s">
        <v>1342</v>
      </c>
      <c r="Q49" s="9" t="s">
        <v>1461</v>
      </c>
      <c r="T49" s="9">
        <f ca="1">IFERROR(OFFSET(ITEM_RES!$A$5,MATCH(BUILDING!S49,ITEM_RES!$J$5:$J$229,0)-1,0),0)</f>
        <v>0</v>
      </c>
      <c r="V49" s="81" t="s">
        <v>1460</v>
      </c>
      <c r="W49" s="11">
        <f ca="1">IFERROR(OFFSET(ITEM_RES!$A$5,MATCH(BUILDING!V49,ITEM_RES!$J$5:$J$229,0)-1,0),0)</f>
        <v>211010301</v>
      </c>
      <c r="Y49" s="9" t="s">
        <v>496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3</v>
      </c>
      <c r="AJ49" s="10">
        <v>3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421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1325</v>
      </c>
      <c r="M50" s="9">
        <v>1</v>
      </c>
      <c r="N50" s="9">
        <v>15</v>
      </c>
      <c r="O50" s="9" t="s">
        <v>1066</v>
      </c>
      <c r="P50" s="55" t="s">
        <v>1342</v>
      </c>
      <c r="Q50" s="9" t="s">
        <v>1461</v>
      </c>
      <c r="T50" s="9">
        <f ca="1">IFERROR(OFFSET(ITEM_RES!$A$5,MATCH(BUILDING!S50,ITEM_RES!$J$5:$J$229,0)-1,0),0)</f>
        <v>0</v>
      </c>
      <c r="V50" s="81" t="s">
        <v>1460</v>
      </c>
      <c r="W50" s="11">
        <f ca="1">IFERROR(OFFSET(ITEM_RES!$A$5,MATCH(BUILDING!V50,ITEM_RES!$J$5:$J$229,0)-1,0),0)</f>
        <v>211010301</v>
      </c>
      <c r="Y50" s="9" t="s">
        <v>496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5</v>
      </c>
      <c r="AJ50" s="10">
        <v>5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421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1325</v>
      </c>
      <c r="M51" s="9">
        <v>1</v>
      </c>
      <c r="N51" s="9">
        <v>15</v>
      </c>
      <c r="O51" s="9" t="s">
        <v>1067</v>
      </c>
      <c r="P51" s="55" t="s">
        <v>1343</v>
      </c>
      <c r="Q51" s="9" t="s">
        <v>1461</v>
      </c>
      <c r="T51" s="9">
        <f ca="1">IFERROR(OFFSET(ITEM_RES!$A$5,MATCH(BUILDING!S51,ITEM_RES!$J$5:$J$229,0)-1,0),0)</f>
        <v>0</v>
      </c>
      <c r="V51" s="81" t="s">
        <v>1460</v>
      </c>
      <c r="W51" s="11">
        <f ca="1">IFERROR(OFFSET(ITEM_RES!$A$5,MATCH(BUILDING!V51,ITEM_RES!$J$5:$J$229,0)-1,0),0)</f>
        <v>211010301</v>
      </c>
      <c r="Y51" s="9" t="s">
        <v>496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8</v>
      </c>
      <c r="AJ51" s="10">
        <v>8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421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1325</v>
      </c>
      <c r="M52" s="9">
        <v>1</v>
      </c>
      <c r="N52" s="9">
        <v>15</v>
      </c>
      <c r="O52" s="9" t="s">
        <v>1067</v>
      </c>
      <c r="P52" s="55" t="s">
        <v>1343</v>
      </c>
      <c r="Q52" s="9" t="s">
        <v>1461</v>
      </c>
      <c r="T52" s="9">
        <f ca="1">IFERROR(OFFSET(ITEM_RES!$A$5,MATCH(BUILDING!S52,ITEM_RES!$J$5:$J$229,0)-1,0),0)</f>
        <v>0</v>
      </c>
      <c r="V52" s="81" t="s">
        <v>1460</v>
      </c>
      <c r="W52" s="11">
        <f ca="1">IFERROR(OFFSET(ITEM_RES!$A$5,MATCH(BUILDING!V52,ITEM_RES!$J$5:$J$229,0)-1,0),0)</f>
        <v>211010301</v>
      </c>
      <c r="Y52" s="9" t="s">
        <v>496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10</v>
      </c>
      <c r="AJ52" s="10">
        <v>10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421</v>
      </c>
      <c r="AS52" s="11">
        <v>42000</v>
      </c>
      <c r="AV52" s="11">
        <f ca="1">IFERROR(OFFSET(ITEM_RES!$A$1,MATCH(AW52,ITEM_RES!$J:$J,0)-1,0),0)</f>
        <v>211020101</v>
      </c>
      <c r="AW52" s="10" t="s">
        <v>436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1325</v>
      </c>
      <c r="M53" s="9">
        <v>1</v>
      </c>
      <c r="N53" s="9">
        <v>15</v>
      </c>
      <c r="O53" s="9" t="s">
        <v>1410</v>
      </c>
      <c r="P53" s="55" t="s">
        <v>1412</v>
      </c>
      <c r="Q53" s="9" t="s">
        <v>1461</v>
      </c>
      <c r="T53" s="9">
        <f ca="1">IFERROR(OFFSET(ITEM_RES!$A$5,MATCH(BUILDING!S53,ITEM_RES!$J$5:$J$229,0)-1,0),0)</f>
        <v>0</v>
      </c>
      <c r="V53" s="81" t="s">
        <v>1460</v>
      </c>
      <c r="W53" s="11">
        <f ca="1">IFERROR(OFFSET(ITEM_RES!$A$5,MATCH(BUILDING!V53,ITEM_RES!$J$5:$J$229,0)-1,0),0)</f>
        <v>211010301</v>
      </c>
      <c r="Y53" s="9" t="s">
        <v>496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15</v>
      </c>
      <c r="AJ53" s="10">
        <v>15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421</v>
      </c>
      <c r="AS53" s="11">
        <v>78000</v>
      </c>
      <c r="AV53" s="11">
        <f ca="1">IFERROR(OFFSET(ITEM_RES!$A$1,MATCH(AW53,ITEM_RES!$J:$J,0)-1,0),0)</f>
        <v>211020101</v>
      </c>
      <c r="AW53" s="10" t="s">
        <v>436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1325</v>
      </c>
      <c r="M54" s="9">
        <v>1</v>
      </c>
      <c r="N54" s="9">
        <v>15</v>
      </c>
      <c r="O54" s="9" t="s">
        <v>1410</v>
      </c>
      <c r="P54" s="55" t="s">
        <v>1412</v>
      </c>
      <c r="Q54" s="9" t="s">
        <v>1461</v>
      </c>
      <c r="T54" s="9">
        <f ca="1">IFERROR(OFFSET(ITEM_RES!$A$5,MATCH(BUILDING!S54,ITEM_RES!$J$5:$J$229,0)-1,0),0)</f>
        <v>0</v>
      </c>
      <c r="V54" s="81" t="s">
        <v>1460</v>
      </c>
      <c r="W54" s="11">
        <f ca="1">IFERROR(OFFSET(ITEM_RES!$A$5,MATCH(BUILDING!V54,ITEM_RES!$J$5:$J$229,0)-1,0),0)</f>
        <v>211010301</v>
      </c>
      <c r="Y54" s="9" t="s">
        <v>496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30</v>
      </c>
      <c r="AJ54" s="10">
        <v>30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421</v>
      </c>
      <c r="AS54" s="11">
        <v>130000</v>
      </c>
      <c r="AV54" s="11">
        <f ca="1">IFERROR(OFFSET(ITEM_RES!$A$1,MATCH(AW54,ITEM_RES!$J:$J,0)-1,0),0)</f>
        <v>211020101</v>
      </c>
      <c r="AW54" s="10" t="s">
        <v>436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1325</v>
      </c>
      <c r="M55" s="9">
        <v>1</v>
      </c>
      <c r="N55" s="9">
        <v>15</v>
      </c>
      <c r="O55" s="9" t="s">
        <v>1409</v>
      </c>
      <c r="P55" s="55" t="s">
        <v>1411</v>
      </c>
      <c r="Q55" s="9" t="s">
        <v>1461</v>
      </c>
      <c r="T55" s="9">
        <f ca="1">IFERROR(OFFSET(ITEM_RES!$A$5,MATCH(BUILDING!S55,ITEM_RES!$J$5:$J$229,0)-1,0),0)</f>
        <v>0</v>
      </c>
      <c r="V55" s="81" t="s">
        <v>1460</v>
      </c>
      <c r="W55" s="11">
        <f ca="1">IFERROR(OFFSET(ITEM_RES!$A$5,MATCH(BUILDING!V55,ITEM_RES!$J$5:$J$229,0)-1,0),0)</f>
        <v>211010301</v>
      </c>
      <c r="Y55" s="9" t="s">
        <v>496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</v>
      </c>
      <c r="AJ55" s="10">
        <v>30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421</v>
      </c>
      <c r="AS55" s="11">
        <v>220000</v>
      </c>
      <c r="AV55" s="11">
        <f ca="1">IFERROR(OFFSET(ITEM_RES!$A$1,MATCH(AW55,ITEM_RES!$J:$J,0)-1,0),0)</f>
        <v>211020101</v>
      </c>
      <c r="AW55" s="10" t="s">
        <v>436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1325</v>
      </c>
      <c r="M56" s="9">
        <v>1</v>
      </c>
      <c r="N56" s="9">
        <v>15</v>
      </c>
      <c r="O56" s="9" t="s">
        <v>1409</v>
      </c>
      <c r="P56" s="55" t="s">
        <v>1411</v>
      </c>
      <c r="Q56" s="9" t="s">
        <v>1461</v>
      </c>
      <c r="T56" s="9">
        <f ca="1">IFERROR(OFFSET(ITEM_RES!$A$5,MATCH(BUILDING!S56,ITEM_RES!$J$5:$J$229,0)-1,0),0)</f>
        <v>0</v>
      </c>
      <c r="V56" s="81" t="s">
        <v>1460</v>
      </c>
      <c r="W56" s="11">
        <f ca="1">IFERROR(OFFSET(ITEM_RES!$A$5,MATCH(BUILDING!V56,ITEM_RES!$J$5:$J$229,0)-1,0),0)</f>
        <v>211010301</v>
      </c>
      <c r="Y56" s="9" t="s">
        <v>496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</v>
      </c>
      <c r="AJ56" s="10">
        <v>60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421</v>
      </c>
      <c r="AS56" s="11">
        <v>370000</v>
      </c>
      <c r="AV56" s="11">
        <f ca="1">IFERROR(OFFSET(ITEM_RES!$A$1,MATCH(AW56,ITEM_RES!$J:$J,0)-1,0),0)</f>
        <v>211020101</v>
      </c>
      <c r="AW56" s="10" t="s">
        <v>436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1325</v>
      </c>
      <c r="M57" s="9">
        <v>1</v>
      </c>
      <c r="N57" s="9">
        <v>15</v>
      </c>
      <c r="O57" s="9" t="s">
        <v>1409</v>
      </c>
      <c r="P57" s="55" t="s">
        <v>1411</v>
      </c>
      <c r="Q57" s="9" t="s">
        <v>1461</v>
      </c>
      <c r="T57" s="9">
        <f ca="1">IFERROR(OFFSET(ITEM_RES!$A$5,MATCH(BUILDING!S57,ITEM_RES!$J$5:$J$229,0)-1,0),0)</f>
        <v>0</v>
      </c>
      <c r="V57" s="81" t="s">
        <v>1460</v>
      </c>
      <c r="W57" s="11">
        <f ca="1">IFERROR(OFFSET(ITEM_RES!$A$5,MATCH(BUILDING!V57,ITEM_RES!$J$5:$J$229,0)-1,0),0)</f>
        <v>211010301</v>
      </c>
      <c r="Y57" s="9" t="s">
        <v>496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120</v>
      </c>
      <c r="AJ57" s="10">
        <v>120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421</v>
      </c>
      <c r="AS57" s="11">
        <v>620000</v>
      </c>
      <c r="AV57" s="11">
        <f ca="1">IFERROR(OFFSET(ITEM_RES!$A$1,MATCH(AW57,ITEM_RES!$J:$J,0)-1,0),0)</f>
        <v>211020101</v>
      </c>
      <c r="AW57" s="10" t="s">
        <v>436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1325</v>
      </c>
      <c r="M58" s="9">
        <v>1</v>
      </c>
      <c r="N58" s="9">
        <v>15</v>
      </c>
      <c r="O58" s="9" t="s">
        <v>1409</v>
      </c>
      <c r="P58" s="55" t="s">
        <v>1411</v>
      </c>
      <c r="Q58" s="9" t="s">
        <v>1461</v>
      </c>
      <c r="T58" s="9">
        <f ca="1">IFERROR(OFFSET(ITEM_RES!$A$5,MATCH(BUILDING!S58,ITEM_RES!$J$5:$J$229,0)-1,0),0)</f>
        <v>0</v>
      </c>
      <c r="V58" s="81" t="s">
        <v>1460</v>
      </c>
      <c r="W58" s="11">
        <f ca="1">IFERROR(OFFSET(ITEM_RES!$A$5,MATCH(BUILDING!V58,ITEM_RES!$J$5:$J$229,0)-1,0),0)</f>
        <v>211010301</v>
      </c>
      <c r="Y58" s="9" t="s">
        <v>496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180</v>
      </c>
      <c r="AJ58" s="10">
        <v>180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432</v>
      </c>
      <c r="AS58" s="11">
        <v>970000</v>
      </c>
      <c r="AV58" s="11">
        <f ca="1">IFERROR(OFFSET(ITEM_RES!$A$1,MATCH(AW58,ITEM_RES!$J:$J,0)-1,0),0)</f>
        <v>211020101</v>
      </c>
      <c r="AW58" s="10" t="s">
        <v>436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1325</v>
      </c>
      <c r="M59" s="9">
        <v>1</v>
      </c>
      <c r="N59" s="9">
        <v>15</v>
      </c>
      <c r="O59" s="9" t="s">
        <v>1409</v>
      </c>
      <c r="P59" s="55" t="s">
        <v>1411</v>
      </c>
      <c r="Q59" s="9" t="s">
        <v>1461</v>
      </c>
      <c r="T59" s="9">
        <f ca="1">IFERROR(OFFSET(ITEM_RES!$A$5,MATCH(BUILDING!S59,ITEM_RES!$J$5:$J$229,0)-1,0),0)</f>
        <v>0</v>
      </c>
      <c r="V59" s="81" t="s">
        <v>1460</v>
      </c>
      <c r="W59" s="11">
        <f ca="1">IFERROR(OFFSET(ITEM_RES!$A$5,MATCH(BUILDING!V59,ITEM_RES!$J$5:$J$229,0)-1,0),0)</f>
        <v>211010301</v>
      </c>
      <c r="Y59" s="9" t="s">
        <v>496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240</v>
      </c>
      <c r="AJ59" s="10">
        <v>240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432</v>
      </c>
      <c r="AS59" s="11">
        <v>2100000</v>
      </c>
      <c r="AV59" s="11">
        <f ca="1">IFERROR(OFFSET(ITEM_RES!$A$1,MATCH(AW59,ITEM_RES!$J:$J,0)-1,0),0)</f>
        <v>211020101</v>
      </c>
      <c r="AW59" s="10" t="s">
        <v>436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1325</v>
      </c>
      <c r="M60" s="9">
        <v>0</v>
      </c>
      <c r="N60" s="9">
        <v>15</v>
      </c>
      <c r="O60" s="9" t="s">
        <v>1409</v>
      </c>
      <c r="P60" s="55" t="s">
        <v>1411</v>
      </c>
      <c r="Q60" s="9" t="s">
        <v>1461</v>
      </c>
      <c r="T60" s="9">
        <f ca="1">IFERROR(OFFSET(ITEM_RES!$A$5,MATCH(BUILDING!S60,ITEM_RES!$J$5:$J$229,0)-1,0),0)</f>
        <v>0</v>
      </c>
      <c r="V60" s="81" t="s">
        <v>1460</v>
      </c>
      <c r="W60" s="11">
        <f ca="1">IFERROR(OFFSET(ITEM_RES!$A$5,MATCH(BUILDING!V60,ITEM_RES!$J$5:$J$229,0)-1,0),0)</f>
        <v>211010301</v>
      </c>
      <c r="Y60" s="9" t="s">
        <v>496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300</v>
      </c>
      <c r="AJ60" s="10">
        <v>300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432</v>
      </c>
      <c r="AS60" s="11">
        <v>4300000</v>
      </c>
      <c r="AV60" s="11">
        <f ca="1">IFERROR(OFFSET(ITEM_RES!$A$1,MATCH(AW60,ITEM_RES!$J:$J,0)-1,0),0)</f>
        <v>211020101</v>
      </c>
      <c r="AW60" s="10" t="s">
        <v>436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1325</v>
      </c>
      <c r="M61" s="9">
        <v>0</v>
      </c>
      <c r="N61" s="9">
        <v>15</v>
      </c>
      <c r="O61" s="9" t="s">
        <v>1409</v>
      </c>
      <c r="P61" s="55" t="s">
        <v>1411</v>
      </c>
      <c r="Q61" s="9" t="s">
        <v>1461</v>
      </c>
      <c r="T61" s="9">
        <f ca="1">IFERROR(OFFSET(ITEM_RES!$A$5,MATCH(BUILDING!S61,ITEM_RES!$J$5:$J$229,0)-1,0),0)</f>
        <v>0</v>
      </c>
      <c r="V61" s="81" t="s">
        <v>1460</v>
      </c>
      <c r="W61" s="11">
        <f ca="1">IFERROR(OFFSET(ITEM_RES!$A$5,MATCH(BUILDING!V61,ITEM_RES!$J$5:$J$229,0)-1,0),0)</f>
        <v>211010301</v>
      </c>
      <c r="Y61" s="9" t="s">
        <v>496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360</v>
      </c>
      <c r="AJ61" s="10">
        <v>360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432</v>
      </c>
      <c r="AS61" s="11">
        <v>8000000</v>
      </c>
      <c r="AV61" s="11">
        <f ca="1">IFERROR(OFFSET(ITEM_RES!$A$1,MATCH(AW61,ITEM_RES!$J:$J,0)-1,0),0)</f>
        <v>211020101</v>
      </c>
      <c r="AW61" s="10" t="s">
        <v>436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1325</v>
      </c>
      <c r="M62" s="9">
        <v>0</v>
      </c>
      <c r="N62" s="9">
        <v>15</v>
      </c>
      <c r="O62" s="9" t="s">
        <v>1409</v>
      </c>
      <c r="P62" s="55" t="s">
        <v>1411</v>
      </c>
      <c r="Q62" s="9" t="s">
        <v>1461</v>
      </c>
      <c r="T62" s="9">
        <f ca="1">IFERROR(OFFSET(ITEM_RES!$A$5,MATCH(BUILDING!S62,ITEM_RES!$J$5:$J$229,0)-1,0),0)</f>
        <v>0</v>
      </c>
      <c r="V62" s="81" t="s">
        <v>1460</v>
      </c>
      <c r="W62" s="11">
        <f ca="1">IFERROR(OFFSET(ITEM_RES!$A$5,MATCH(BUILDING!V62,ITEM_RES!$J$5:$J$229,0)-1,0),0)</f>
        <v>211010301</v>
      </c>
      <c r="Y62" s="9" t="s">
        <v>496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420</v>
      </c>
      <c r="AJ62" s="10">
        <v>420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432</v>
      </c>
      <c r="AS62" s="11">
        <v>13000000</v>
      </c>
      <c r="AV62" s="11">
        <f ca="1">IFERROR(OFFSET(ITEM_RES!$A$1,MATCH(AW62,ITEM_RES!$J:$J,0)-1,0),0)</f>
        <v>211020101</v>
      </c>
      <c r="AW62" s="10" t="s">
        <v>436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1325</v>
      </c>
      <c r="M63" s="9">
        <v>0</v>
      </c>
      <c r="N63" s="9">
        <v>15</v>
      </c>
      <c r="O63" s="9" t="s">
        <v>1409</v>
      </c>
      <c r="P63" s="55" t="s">
        <v>1411</v>
      </c>
      <c r="Q63" s="9" t="s">
        <v>1461</v>
      </c>
      <c r="T63" s="9">
        <f ca="1">IFERROR(OFFSET(ITEM_RES!$A$5,MATCH(BUILDING!S63,ITEM_RES!$J$5:$J$229,0)-1,0),0)</f>
        <v>0</v>
      </c>
      <c r="V63" s="81" t="s">
        <v>1460</v>
      </c>
      <c r="W63" s="11">
        <f ca="1">IFERROR(OFFSET(ITEM_RES!$A$5,MATCH(BUILDING!V63,ITEM_RES!$J$5:$J$229,0)-1,0),0)</f>
        <v>211010301</v>
      </c>
      <c r="Y63" s="9" t="s">
        <v>496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480</v>
      </c>
      <c r="AJ63" s="10">
        <v>480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432</v>
      </c>
      <c r="AS63" s="11">
        <v>20000000</v>
      </c>
      <c r="AV63" s="11">
        <f ca="1">IFERROR(OFFSET(ITEM_RES!$A$1,MATCH(AW63,ITEM_RES!$J:$J,0)-1,0),0)</f>
        <v>211020101</v>
      </c>
      <c r="AW63" s="10" t="s">
        <v>436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1325</v>
      </c>
      <c r="M64" s="9">
        <v>0</v>
      </c>
      <c r="N64" s="9">
        <v>15</v>
      </c>
      <c r="O64" s="9" t="s">
        <v>1409</v>
      </c>
      <c r="P64" s="55" t="s">
        <v>1411</v>
      </c>
      <c r="Q64" s="9" t="s">
        <v>1461</v>
      </c>
      <c r="T64" s="9">
        <f ca="1">IFERROR(OFFSET(ITEM_RES!$A$5,MATCH(BUILDING!S64,ITEM_RES!$J$5:$J$229,0)-1,0),0)</f>
        <v>0</v>
      </c>
      <c r="V64" s="81" t="s">
        <v>1460</v>
      </c>
      <c r="W64" s="11">
        <f ca="1">IFERROR(OFFSET(ITEM_RES!$A$5,MATCH(BUILDING!V64,ITEM_RES!$J$5:$J$229,0)-1,0),0)</f>
        <v>211010301</v>
      </c>
      <c r="Y64" s="9" t="s">
        <v>496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540</v>
      </c>
      <c r="AJ64" s="10">
        <v>540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432</v>
      </c>
      <c r="AS64" s="11">
        <v>32000000</v>
      </c>
      <c r="AV64" s="11">
        <f ca="1">IFERROR(OFFSET(ITEM_RES!$A$1,MATCH(AW64,ITEM_RES!$J:$J,0)-1,0),0)</f>
        <v>211020101</v>
      </c>
      <c r="AW64" s="10" t="s">
        <v>436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429</v>
      </c>
      <c r="L65" s="16">
        <v>5</v>
      </c>
      <c r="M65" s="16">
        <v>1</v>
      </c>
      <c r="N65" s="16">
        <v>15</v>
      </c>
      <c r="O65" s="16" t="s">
        <v>1080</v>
      </c>
      <c r="P65" s="56" t="s">
        <v>1344</v>
      </c>
      <c r="Q65" s="16" t="s">
        <v>668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525</v>
      </c>
      <c r="W65" s="18">
        <f ca="1">IFERROR(OFFSET(ITEM_RES!$A$5,MATCH(BUILDING!V65,ITEM_RES!$J$5:$J$229,0)-1,0),0)</f>
        <v>211020101</v>
      </c>
      <c r="X65" s="76"/>
      <c r="Y65" s="16" t="s">
        <v>497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2</v>
      </c>
      <c r="AJ65" s="17">
        <v>2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427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440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429</v>
      </c>
      <c r="M66" s="9">
        <v>1</v>
      </c>
      <c r="N66" s="9">
        <v>15</v>
      </c>
      <c r="O66" s="9" t="s">
        <v>1080</v>
      </c>
      <c r="P66" s="55" t="s">
        <v>1344</v>
      </c>
      <c r="Q66" s="9" t="s">
        <v>668</v>
      </c>
      <c r="T66" s="9">
        <f ca="1">IFERROR(OFFSET(ITEM_RES!$A$5,MATCH(BUILDING!S66,ITEM_RES!$J$5:$J$229,0)-1,0),0)</f>
        <v>0</v>
      </c>
      <c r="V66" s="81" t="s">
        <v>525</v>
      </c>
      <c r="W66" s="11">
        <f ca="1">IFERROR(OFFSET(ITEM_RES!$A$5,MATCH(BUILDING!V66,ITEM_RES!$J$5:$J$229,0)-1,0),0)</f>
        <v>211020101</v>
      </c>
      <c r="Y66" s="9" t="s">
        <v>497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2</v>
      </c>
      <c r="AJ66" s="10">
        <v>2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427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429</v>
      </c>
      <c r="M67" s="9">
        <v>1</v>
      </c>
      <c r="N67" s="9">
        <v>15</v>
      </c>
      <c r="O67" s="9" t="s">
        <v>1081</v>
      </c>
      <c r="P67" s="55" t="s">
        <v>1345</v>
      </c>
      <c r="Q67" s="9" t="s">
        <v>668</v>
      </c>
      <c r="T67" s="9">
        <f ca="1">IFERROR(OFFSET(ITEM_RES!$A$5,MATCH(BUILDING!S67,ITEM_RES!$J$5:$J$229,0)-1,0),0)</f>
        <v>0</v>
      </c>
      <c r="V67" s="81" t="s">
        <v>525</v>
      </c>
      <c r="W67" s="11">
        <f ca="1">IFERROR(OFFSET(ITEM_RES!$A$5,MATCH(BUILDING!V67,ITEM_RES!$J$5:$J$229,0)-1,0),0)</f>
        <v>211020101</v>
      </c>
      <c r="Y67" s="9" t="s">
        <v>497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2</v>
      </c>
      <c r="AJ67" s="10">
        <v>2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427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429</v>
      </c>
      <c r="M68" s="9">
        <v>1</v>
      </c>
      <c r="N68" s="9">
        <v>15</v>
      </c>
      <c r="O68" s="9" t="s">
        <v>1082</v>
      </c>
      <c r="P68" s="55" t="s">
        <v>1345</v>
      </c>
      <c r="Q68" s="9" t="s">
        <v>668</v>
      </c>
      <c r="T68" s="9">
        <f ca="1">IFERROR(OFFSET(ITEM_RES!$A$5,MATCH(BUILDING!S68,ITEM_RES!$J$5:$J$229,0)-1,0),0)</f>
        <v>0</v>
      </c>
      <c r="V68" s="81" t="s">
        <v>525</v>
      </c>
      <c r="W68" s="11">
        <f ca="1">IFERROR(OFFSET(ITEM_RES!$A$5,MATCH(BUILDING!V68,ITEM_RES!$J$5:$J$229,0)-1,0),0)</f>
        <v>211020101</v>
      </c>
      <c r="Y68" s="9" t="s">
        <v>497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2</v>
      </c>
      <c r="AJ68" s="10">
        <v>2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427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429</v>
      </c>
      <c r="M69" s="9">
        <v>1</v>
      </c>
      <c r="N69" s="9">
        <v>15</v>
      </c>
      <c r="O69" s="9" t="s">
        <v>1083</v>
      </c>
      <c r="P69" s="55" t="s">
        <v>1346</v>
      </c>
      <c r="Q69" s="9" t="s">
        <v>668</v>
      </c>
      <c r="T69" s="9">
        <f ca="1">IFERROR(OFFSET(ITEM_RES!$A$5,MATCH(BUILDING!S69,ITEM_RES!$J$5:$J$229,0)-1,0),0)</f>
        <v>0</v>
      </c>
      <c r="V69" s="81" t="s">
        <v>525</v>
      </c>
      <c r="W69" s="11">
        <f ca="1">IFERROR(OFFSET(ITEM_RES!$A$5,MATCH(BUILDING!V69,ITEM_RES!$J$5:$J$229,0)-1,0),0)</f>
        <v>211020101</v>
      </c>
      <c r="Y69" s="9" t="s">
        <v>497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3</v>
      </c>
      <c r="AJ69" s="10">
        <v>3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427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429</v>
      </c>
      <c r="M70" s="9">
        <v>1</v>
      </c>
      <c r="N70" s="9">
        <v>15</v>
      </c>
      <c r="O70" s="9" t="s">
        <v>1084</v>
      </c>
      <c r="P70" s="55" t="s">
        <v>1346</v>
      </c>
      <c r="Q70" s="9" t="s">
        <v>668</v>
      </c>
      <c r="T70" s="9">
        <f ca="1">IFERROR(OFFSET(ITEM_RES!$A$5,MATCH(BUILDING!S70,ITEM_RES!$J$5:$J$229,0)-1,0),0)</f>
        <v>0</v>
      </c>
      <c r="V70" s="81" t="s">
        <v>525</v>
      </c>
      <c r="W70" s="11">
        <f ca="1">IFERROR(OFFSET(ITEM_RES!$A$5,MATCH(BUILDING!V70,ITEM_RES!$J$5:$J$229,0)-1,0),0)</f>
        <v>211020101</v>
      </c>
      <c r="Y70" s="9" t="s">
        <v>497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5</v>
      </c>
      <c r="AJ70" s="10">
        <v>5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427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429</v>
      </c>
      <c r="M71" s="9">
        <v>1</v>
      </c>
      <c r="N71" s="9">
        <v>15</v>
      </c>
      <c r="O71" s="9" t="s">
        <v>1085</v>
      </c>
      <c r="P71" s="55" t="s">
        <v>1347</v>
      </c>
      <c r="Q71" s="9" t="s">
        <v>668</v>
      </c>
      <c r="T71" s="9">
        <f ca="1">IFERROR(OFFSET(ITEM_RES!$A$5,MATCH(BUILDING!S71,ITEM_RES!$J$5:$J$229,0)-1,0),0)</f>
        <v>0</v>
      </c>
      <c r="V71" s="81" t="s">
        <v>525</v>
      </c>
      <c r="W71" s="11">
        <f ca="1">IFERROR(OFFSET(ITEM_RES!$A$5,MATCH(BUILDING!V71,ITEM_RES!$J$5:$J$229,0)-1,0),0)</f>
        <v>211020101</v>
      </c>
      <c r="Y71" s="9" t="s">
        <v>497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8</v>
      </c>
      <c r="AJ71" s="10">
        <v>8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427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429</v>
      </c>
      <c r="M72" s="9">
        <v>1</v>
      </c>
      <c r="N72" s="9">
        <v>15</v>
      </c>
      <c r="O72" s="9" t="s">
        <v>1085</v>
      </c>
      <c r="P72" s="55" t="s">
        <v>1347</v>
      </c>
      <c r="Q72" s="9" t="s">
        <v>668</v>
      </c>
      <c r="T72" s="9">
        <f ca="1">IFERROR(OFFSET(ITEM_RES!$A$5,MATCH(BUILDING!S72,ITEM_RES!$J$5:$J$229,0)-1,0),0)</f>
        <v>0</v>
      </c>
      <c r="V72" s="81" t="s">
        <v>525</v>
      </c>
      <c r="W72" s="11">
        <f ca="1">IFERROR(OFFSET(ITEM_RES!$A$5,MATCH(BUILDING!V72,ITEM_RES!$J$5:$J$229,0)-1,0),0)</f>
        <v>211020101</v>
      </c>
      <c r="Y72" s="9" t="s">
        <v>497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10</v>
      </c>
      <c r="AJ72" s="10">
        <v>10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427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429</v>
      </c>
      <c r="M73" s="9">
        <v>1</v>
      </c>
      <c r="N73" s="9">
        <v>15</v>
      </c>
      <c r="O73" s="9" t="s">
        <v>1085</v>
      </c>
      <c r="P73" s="55" t="s">
        <v>1347</v>
      </c>
      <c r="Q73" s="9" t="s">
        <v>668</v>
      </c>
      <c r="T73" s="9">
        <f ca="1">IFERROR(OFFSET(ITEM_RES!$A$5,MATCH(BUILDING!S73,ITEM_RES!$J$5:$J$229,0)-1,0),0)</f>
        <v>0</v>
      </c>
      <c r="V73" s="81" t="s">
        <v>525</v>
      </c>
      <c r="W73" s="11">
        <f ca="1">IFERROR(OFFSET(ITEM_RES!$A$5,MATCH(BUILDING!V73,ITEM_RES!$J$5:$J$229,0)-1,0),0)</f>
        <v>211020101</v>
      </c>
      <c r="Y73" s="9" t="s">
        <v>497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15</v>
      </c>
      <c r="AJ73" s="10">
        <v>15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427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429</v>
      </c>
      <c r="M74" s="9">
        <v>1</v>
      </c>
      <c r="N74" s="9">
        <v>15</v>
      </c>
      <c r="O74" s="9" t="s">
        <v>1085</v>
      </c>
      <c r="P74" s="55" t="s">
        <v>1347</v>
      </c>
      <c r="Q74" s="9" t="s">
        <v>668</v>
      </c>
      <c r="T74" s="9">
        <f ca="1">IFERROR(OFFSET(ITEM_RES!$A$5,MATCH(BUILDING!S74,ITEM_RES!$J$5:$J$229,0)-1,0),0)</f>
        <v>0</v>
      </c>
      <c r="V74" s="81" t="s">
        <v>525</v>
      </c>
      <c r="W74" s="11">
        <f ca="1">IFERROR(OFFSET(ITEM_RES!$A$5,MATCH(BUILDING!V74,ITEM_RES!$J$5:$J$229,0)-1,0),0)</f>
        <v>211020101</v>
      </c>
      <c r="Y74" s="9" t="s">
        <v>497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30</v>
      </c>
      <c r="AJ74" s="10">
        <v>30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427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429</v>
      </c>
      <c r="M75" s="9">
        <v>1</v>
      </c>
      <c r="N75" s="9">
        <v>15</v>
      </c>
      <c r="O75" s="9" t="s">
        <v>1085</v>
      </c>
      <c r="P75" s="55" t="s">
        <v>1347</v>
      </c>
      <c r="Q75" s="9" t="s">
        <v>668</v>
      </c>
      <c r="T75" s="9">
        <f ca="1">IFERROR(OFFSET(ITEM_RES!$A$5,MATCH(BUILDING!S75,ITEM_RES!$J$5:$J$229,0)-1,0),0)</f>
        <v>0</v>
      </c>
      <c r="V75" s="81" t="s">
        <v>525</v>
      </c>
      <c r="W75" s="11">
        <f ca="1">IFERROR(OFFSET(ITEM_RES!$A$5,MATCH(BUILDING!V75,ITEM_RES!$J$5:$J$229,0)-1,0),0)</f>
        <v>211020101</v>
      </c>
      <c r="Y75" s="9" t="s">
        <v>497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</v>
      </c>
      <c r="AJ75" s="10">
        <v>30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427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448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429</v>
      </c>
      <c r="M76" s="9">
        <v>1</v>
      </c>
      <c r="N76" s="9">
        <v>15</v>
      </c>
      <c r="O76" s="9" t="s">
        <v>1085</v>
      </c>
      <c r="P76" s="55" t="s">
        <v>1347</v>
      </c>
      <c r="Q76" s="9" t="s">
        <v>668</v>
      </c>
      <c r="T76" s="9">
        <f ca="1">IFERROR(OFFSET(ITEM_RES!$A$5,MATCH(BUILDING!S76,ITEM_RES!$J$5:$J$229,0)-1,0),0)</f>
        <v>0</v>
      </c>
      <c r="V76" s="81" t="s">
        <v>525</v>
      </c>
      <c r="W76" s="11">
        <f ca="1">IFERROR(OFFSET(ITEM_RES!$A$5,MATCH(BUILDING!V76,ITEM_RES!$J$5:$J$229,0)-1,0),0)</f>
        <v>211020101</v>
      </c>
      <c r="Y76" s="9" t="s">
        <v>497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</v>
      </c>
      <c r="AJ76" s="10">
        <v>60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427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429</v>
      </c>
      <c r="M77" s="9">
        <v>1</v>
      </c>
      <c r="N77" s="9">
        <v>15</v>
      </c>
      <c r="O77" s="9" t="s">
        <v>1085</v>
      </c>
      <c r="P77" s="55" t="s">
        <v>1347</v>
      </c>
      <c r="Q77" s="9" t="s">
        <v>668</v>
      </c>
      <c r="T77" s="9">
        <f ca="1">IFERROR(OFFSET(ITEM_RES!$A$5,MATCH(BUILDING!S77,ITEM_RES!$J$5:$J$229,0)-1,0),0)</f>
        <v>0</v>
      </c>
      <c r="V77" s="81" t="s">
        <v>525</v>
      </c>
      <c r="W77" s="11">
        <f ca="1">IFERROR(OFFSET(ITEM_RES!$A$5,MATCH(BUILDING!V77,ITEM_RES!$J$5:$J$229,0)-1,0),0)</f>
        <v>211020101</v>
      </c>
      <c r="Y77" s="9" t="s">
        <v>497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120</v>
      </c>
      <c r="AJ77" s="10">
        <v>120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427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429</v>
      </c>
      <c r="M78" s="9">
        <v>1</v>
      </c>
      <c r="N78" s="9">
        <v>15</v>
      </c>
      <c r="O78" s="9" t="s">
        <v>1085</v>
      </c>
      <c r="P78" s="55" t="s">
        <v>1347</v>
      </c>
      <c r="Q78" s="9" t="s">
        <v>668</v>
      </c>
      <c r="T78" s="9">
        <f ca="1">IFERROR(OFFSET(ITEM_RES!$A$5,MATCH(BUILDING!S78,ITEM_RES!$J$5:$J$229,0)-1,0),0)</f>
        <v>0</v>
      </c>
      <c r="V78" s="81" t="s">
        <v>525</v>
      </c>
      <c r="W78" s="11">
        <f ca="1">IFERROR(OFFSET(ITEM_RES!$A$5,MATCH(BUILDING!V78,ITEM_RES!$J$5:$J$229,0)-1,0),0)</f>
        <v>211020101</v>
      </c>
      <c r="Y78" s="9" t="s">
        <v>497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180</v>
      </c>
      <c r="AJ78" s="10">
        <v>180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434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429</v>
      </c>
      <c r="M79" s="9">
        <v>1</v>
      </c>
      <c r="N79" s="9">
        <v>15</v>
      </c>
      <c r="O79" s="9" t="s">
        <v>1085</v>
      </c>
      <c r="P79" s="55" t="s">
        <v>1347</v>
      </c>
      <c r="Q79" s="9" t="s">
        <v>668</v>
      </c>
      <c r="T79" s="9">
        <f ca="1">IFERROR(OFFSET(ITEM_RES!$A$5,MATCH(BUILDING!S79,ITEM_RES!$J$5:$J$229,0)-1,0),0)</f>
        <v>0</v>
      </c>
      <c r="V79" s="81" t="s">
        <v>525</v>
      </c>
      <c r="W79" s="11">
        <f ca="1">IFERROR(OFFSET(ITEM_RES!$A$5,MATCH(BUILDING!V79,ITEM_RES!$J$5:$J$229,0)-1,0),0)</f>
        <v>211020101</v>
      </c>
      <c r="Y79" s="9" t="s">
        <v>497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240</v>
      </c>
      <c r="AJ79" s="10">
        <v>240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434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429</v>
      </c>
      <c r="M80" s="9">
        <v>0</v>
      </c>
      <c r="N80" s="9">
        <v>15</v>
      </c>
      <c r="O80" s="9" t="s">
        <v>1085</v>
      </c>
      <c r="P80" s="55" t="s">
        <v>1347</v>
      </c>
      <c r="Q80" s="9" t="s">
        <v>668</v>
      </c>
      <c r="T80" s="9">
        <f ca="1">IFERROR(OFFSET(ITEM_RES!$A$5,MATCH(BUILDING!S80,ITEM_RES!$J$5:$J$229,0)-1,0),0)</f>
        <v>0</v>
      </c>
      <c r="V80" s="81" t="s">
        <v>525</v>
      </c>
      <c r="W80" s="11">
        <f ca="1">IFERROR(OFFSET(ITEM_RES!$A$5,MATCH(BUILDING!V80,ITEM_RES!$J$5:$J$229,0)-1,0),0)</f>
        <v>211020101</v>
      </c>
      <c r="Y80" s="9" t="s">
        <v>497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300</v>
      </c>
      <c r="AJ80" s="10">
        <v>300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434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429</v>
      </c>
      <c r="M81" s="9">
        <v>0</v>
      </c>
      <c r="N81" s="9">
        <v>15</v>
      </c>
      <c r="O81" s="9" t="s">
        <v>1085</v>
      </c>
      <c r="P81" s="55" t="s">
        <v>1347</v>
      </c>
      <c r="Q81" s="9" t="s">
        <v>668</v>
      </c>
      <c r="T81" s="9">
        <f ca="1">IFERROR(OFFSET(ITEM_RES!$A$5,MATCH(BUILDING!S81,ITEM_RES!$J$5:$J$229,0)-1,0),0)</f>
        <v>0</v>
      </c>
      <c r="V81" s="81" t="s">
        <v>525</v>
      </c>
      <c r="W81" s="11">
        <f ca="1">IFERROR(OFFSET(ITEM_RES!$A$5,MATCH(BUILDING!V81,ITEM_RES!$J$5:$J$229,0)-1,0),0)</f>
        <v>211020101</v>
      </c>
      <c r="Y81" s="9" t="s">
        <v>497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360</v>
      </c>
      <c r="AJ81" s="10">
        <v>360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434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429</v>
      </c>
      <c r="M82" s="9">
        <v>0</v>
      </c>
      <c r="N82" s="9">
        <v>15</v>
      </c>
      <c r="O82" s="9" t="s">
        <v>1085</v>
      </c>
      <c r="P82" s="55" t="s">
        <v>1347</v>
      </c>
      <c r="Q82" s="9" t="s">
        <v>668</v>
      </c>
      <c r="T82" s="9">
        <f ca="1">IFERROR(OFFSET(ITEM_RES!$A$5,MATCH(BUILDING!S82,ITEM_RES!$J$5:$J$229,0)-1,0),0)</f>
        <v>0</v>
      </c>
      <c r="V82" s="81" t="s">
        <v>525</v>
      </c>
      <c r="W82" s="11">
        <f ca="1">IFERROR(OFFSET(ITEM_RES!$A$5,MATCH(BUILDING!V82,ITEM_RES!$J$5:$J$229,0)-1,0),0)</f>
        <v>211020101</v>
      </c>
      <c r="Y82" s="9" t="s">
        <v>497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420</v>
      </c>
      <c r="AJ82" s="10">
        <v>420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434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429</v>
      </c>
      <c r="M83" s="9">
        <v>0</v>
      </c>
      <c r="N83" s="9">
        <v>15</v>
      </c>
      <c r="O83" s="9" t="s">
        <v>1085</v>
      </c>
      <c r="P83" s="55" t="s">
        <v>1347</v>
      </c>
      <c r="Q83" s="9" t="s">
        <v>668</v>
      </c>
      <c r="T83" s="9">
        <f ca="1">IFERROR(OFFSET(ITEM_RES!$A$5,MATCH(BUILDING!S83,ITEM_RES!$J$5:$J$229,0)-1,0),0)</f>
        <v>0</v>
      </c>
      <c r="V83" s="81" t="s">
        <v>525</v>
      </c>
      <c r="W83" s="11">
        <f ca="1">IFERROR(OFFSET(ITEM_RES!$A$5,MATCH(BUILDING!V83,ITEM_RES!$J$5:$J$229,0)-1,0),0)</f>
        <v>211020101</v>
      </c>
      <c r="Y83" s="9" t="s">
        <v>497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480</v>
      </c>
      <c r="AJ83" s="10">
        <v>480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434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429</v>
      </c>
      <c r="M84" s="9">
        <v>0</v>
      </c>
      <c r="N84" s="9">
        <v>15</v>
      </c>
      <c r="O84" s="9" t="s">
        <v>1085</v>
      </c>
      <c r="P84" s="55" t="s">
        <v>1347</v>
      </c>
      <c r="Q84" s="9" t="s">
        <v>668</v>
      </c>
      <c r="T84" s="9">
        <f ca="1">IFERROR(OFFSET(ITEM_RES!$A$5,MATCH(BUILDING!S84,ITEM_RES!$J$5:$J$229,0)-1,0),0)</f>
        <v>0</v>
      </c>
      <c r="V84" s="81" t="s">
        <v>525</v>
      </c>
      <c r="W84" s="11">
        <f ca="1">IFERROR(OFFSET(ITEM_RES!$A$5,MATCH(BUILDING!V84,ITEM_RES!$J$5:$J$229,0)-1,0),0)</f>
        <v>211020101</v>
      </c>
      <c r="Y84" s="9" t="s">
        <v>497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540</v>
      </c>
      <c r="AJ84" s="10">
        <v>540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434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742</v>
      </c>
      <c r="P85" s="56" t="s">
        <v>1348</v>
      </c>
      <c r="Q85" s="16" t="s">
        <v>688</v>
      </c>
      <c r="R85" s="76"/>
      <c r="S85" s="83" t="s">
        <v>527</v>
      </c>
      <c r="T85" s="16">
        <f ca="1">IFERROR(OFFSET(ITEM_RES!$A$5,MATCH(BUILDING!S85,ITEM_RES!$J$5:$J$229,0)-1,0),0)</f>
        <v>211021101</v>
      </c>
      <c r="U85" s="18">
        <v>10</v>
      </c>
      <c r="V85" s="83" t="s">
        <v>526</v>
      </c>
      <c r="W85" s="18">
        <f ca="1">IFERROR(OFFSET(ITEM_RES!$A$5,MATCH(BUILDING!V85,ITEM_RES!$J$5:$J$229,0)-1,0),0)</f>
        <v>211010401</v>
      </c>
      <c r="X85" s="76"/>
      <c r="Y85" s="16" t="s">
        <v>498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2</v>
      </c>
      <c r="AJ85" s="17">
        <v>2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422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426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440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742</v>
      </c>
      <c r="P86" s="55" t="s">
        <v>1348</v>
      </c>
      <c r="Q86" s="9" t="s">
        <v>688</v>
      </c>
      <c r="S86" s="81" t="s">
        <v>527</v>
      </c>
      <c r="T86" s="9">
        <f ca="1">IFERROR(OFFSET(ITEM_RES!$A$5,MATCH(BUILDING!S86,ITEM_RES!$J$5:$J$229,0)-1,0),0)</f>
        <v>211021101</v>
      </c>
      <c r="U86" s="11">
        <v>10</v>
      </c>
      <c r="V86" s="81" t="s">
        <v>526</v>
      </c>
      <c r="W86" s="11">
        <f ca="1">IFERROR(OFFSET(ITEM_RES!$A$5,MATCH(BUILDING!V86,ITEM_RES!$J$5:$J$229,0)-1,0),0)</f>
        <v>211010401</v>
      </c>
      <c r="Y86" s="9" t="s">
        <v>498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2</v>
      </c>
      <c r="AJ86" s="10">
        <v>2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423</v>
      </c>
      <c r="AS86" s="11">
        <v>100</v>
      </c>
      <c r="AV86" s="11">
        <f ca="1">IFERROR(OFFSET(ITEM_RES!$A$1,MATCH(AW86,ITEM_RES!$J:$J,0)-1,0),0)</f>
        <v>211020401</v>
      </c>
      <c r="AW86" s="10" t="s">
        <v>426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742</v>
      </c>
      <c r="P87" s="55" t="s">
        <v>1348</v>
      </c>
      <c r="Q87" s="9" t="s">
        <v>688</v>
      </c>
      <c r="S87" s="81" t="s">
        <v>527</v>
      </c>
      <c r="T87" s="9">
        <f ca="1">IFERROR(OFFSET(ITEM_RES!$A$5,MATCH(BUILDING!S87,ITEM_RES!$J$5:$J$229,0)-1,0),0)</f>
        <v>211021101</v>
      </c>
      <c r="U87" s="11">
        <v>10</v>
      </c>
      <c r="V87" s="81" t="s">
        <v>526</v>
      </c>
      <c r="W87" s="11">
        <f ca="1">IFERROR(OFFSET(ITEM_RES!$A$5,MATCH(BUILDING!V87,ITEM_RES!$J$5:$J$229,0)-1,0),0)</f>
        <v>211010401</v>
      </c>
      <c r="Y87" s="9" t="s">
        <v>498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2</v>
      </c>
      <c r="AJ87" s="10">
        <v>2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422</v>
      </c>
      <c r="AS87" s="11">
        <v>150</v>
      </c>
      <c r="AV87" s="11">
        <f ca="1">IFERROR(OFFSET(ITEM_RES!$A$1,MATCH(AW87,ITEM_RES!$J:$J,0)-1,0),0)</f>
        <v>211020401</v>
      </c>
      <c r="AW87" s="10" t="s">
        <v>426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742</v>
      </c>
      <c r="P88" s="55" t="s">
        <v>1348</v>
      </c>
      <c r="Q88" s="9" t="s">
        <v>688</v>
      </c>
      <c r="S88" s="81" t="s">
        <v>527</v>
      </c>
      <c r="T88" s="9">
        <f ca="1">IFERROR(OFFSET(ITEM_RES!$A$5,MATCH(BUILDING!S88,ITEM_RES!$J$5:$J$229,0)-1,0),0)</f>
        <v>211021101</v>
      </c>
      <c r="U88" s="11">
        <v>10</v>
      </c>
      <c r="V88" s="81" t="s">
        <v>526</v>
      </c>
      <c r="W88" s="11">
        <f ca="1">IFERROR(OFFSET(ITEM_RES!$A$5,MATCH(BUILDING!V88,ITEM_RES!$J$5:$J$229,0)-1,0),0)</f>
        <v>211010401</v>
      </c>
      <c r="Y88" s="9" t="s">
        <v>498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2</v>
      </c>
      <c r="AJ88" s="10">
        <v>2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423</v>
      </c>
      <c r="AS88" s="11">
        <v>600</v>
      </c>
      <c r="AV88" s="11">
        <f ca="1">IFERROR(OFFSET(ITEM_RES!$A$1,MATCH(AW88,ITEM_RES!$J:$J,0)-1,0),0)</f>
        <v>211020401</v>
      </c>
      <c r="AW88" s="10" t="s">
        <v>426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742</v>
      </c>
      <c r="P89" s="55" t="s">
        <v>1348</v>
      </c>
      <c r="Q89" s="9" t="s">
        <v>688</v>
      </c>
      <c r="S89" s="81" t="s">
        <v>527</v>
      </c>
      <c r="T89" s="9">
        <f ca="1">IFERROR(OFFSET(ITEM_RES!$A$5,MATCH(BUILDING!S89,ITEM_RES!$J$5:$J$229,0)-1,0),0)</f>
        <v>211021101</v>
      </c>
      <c r="U89" s="11">
        <v>10</v>
      </c>
      <c r="V89" s="81" t="s">
        <v>526</v>
      </c>
      <c r="W89" s="11">
        <f ca="1">IFERROR(OFFSET(ITEM_RES!$A$5,MATCH(BUILDING!V89,ITEM_RES!$J$5:$J$229,0)-1,0),0)</f>
        <v>211010401</v>
      </c>
      <c r="Y89" s="9" t="s">
        <v>498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3</v>
      </c>
      <c r="AJ89" s="10">
        <v>3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422</v>
      </c>
      <c r="AS89" s="11">
        <v>2700</v>
      </c>
      <c r="AV89" s="11">
        <f ca="1">IFERROR(OFFSET(ITEM_RES!$A$1,MATCH(AW89,ITEM_RES!$J:$J,0)-1,0),0)</f>
        <v>211020401</v>
      </c>
      <c r="AW89" s="10" t="s">
        <v>426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742</v>
      </c>
      <c r="P90" s="55" t="s">
        <v>1348</v>
      </c>
      <c r="Q90" s="9" t="s">
        <v>688</v>
      </c>
      <c r="S90" s="81" t="s">
        <v>527</v>
      </c>
      <c r="T90" s="9">
        <f ca="1">IFERROR(OFFSET(ITEM_RES!$A$5,MATCH(BUILDING!S90,ITEM_RES!$J$5:$J$229,0)-1,0),0)</f>
        <v>211021101</v>
      </c>
      <c r="U90" s="11">
        <v>10</v>
      </c>
      <c r="V90" s="81" t="s">
        <v>526</v>
      </c>
      <c r="W90" s="11">
        <f ca="1">IFERROR(OFFSET(ITEM_RES!$A$5,MATCH(BUILDING!V90,ITEM_RES!$J$5:$J$229,0)-1,0),0)</f>
        <v>211010401</v>
      </c>
      <c r="Y90" s="9" t="s">
        <v>498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5</v>
      </c>
      <c r="AJ90" s="10">
        <v>5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423</v>
      </c>
      <c r="AS90" s="11">
        <v>9000</v>
      </c>
      <c r="AV90" s="11">
        <f ca="1">IFERROR(OFFSET(ITEM_RES!$A$1,MATCH(AW90,ITEM_RES!$J:$J,0)-1,0),0)</f>
        <v>211020401</v>
      </c>
      <c r="AW90" s="10" t="s">
        <v>426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742</v>
      </c>
      <c r="P91" s="55" t="s">
        <v>1348</v>
      </c>
      <c r="Q91" s="9" t="s">
        <v>688</v>
      </c>
      <c r="S91" s="81" t="s">
        <v>527</v>
      </c>
      <c r="T91" s="9">
        <f ca="1">IFERROR(OFFSET(ITEM_RES!$A$5,MATCH(BUILDING!S91,ITEM_RES!$J$5:$J$229,0)-1,0),0)</f>
        <v>211021101</v>
      </c>
      <c r="U91" s="11">
        <v>10</v>
      </c>
      <c r="V91" s="81" t="s">
        <v>526</v>
      </c>
      <c r="W91" s="11">
        <f ca="1">IFERROR(OFFSET(ITEM_RES!$A$5,MATCH(BUILDING!V91,ITEM_RES!$J$5:$J$229,0)-1,0),0)</f>
        <v>211010401</v>
      </c>
      <c r="Y91" s="9" t="s">
        <v>498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8</v>
      </c>
      <c r="AJ91" s="10">
        <v>8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386</v>
      </c>
      <c r="AS91" s="11">
        <v>20000</v>
      </c>
      <c r="AV91" s="11">
        <f ca="1">IFERROR(OFFSET(ITEM_RES!$A$1,MATCH(AW91,ITEM_RES!$J:$J,0)-1,0),0)</f>
        <v>211020401</v>
      </c>
      <c r="AW91" s="10" t="s">
        <v>426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742</v>
      </c>
      <c r="P92" s="55" t="s">
        <v>1348</v>
      </c>
      <c r="Q92" s="9" t="s">
        <v>688</v>
      </c>
      <c r="S92" s="81" t="s">
        <v>527</v>
      </c>
      <c r="T92" s="9">
        <f ca="1">IFERROR(OFFSET(ITEM_RES!$A$5,MATCH(BUILDING!S92,ITEM_RES!$J$5:$J$229,0)-1,0),0)</f>
        <v>211021101</v>
      </c>
      <c r="U92" s="11">
        <v>10</v>
      </c>
      <c r="V92" s="81" t="s">
        <v>526</v>
      </c>
      <c r="W92" s="11">
        <f ca="1">IFERROR(OFFSET(ITEM_RES!$A$5,MATCH(BUILDING!V92,ITEM_RES!$J$5:$J$229,0)-1,0),0)</f>
        <v>211010401</v>
      </c>
      <c r="Y92" s="9" t="s">
        <v>498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10</v>
      </c>
      <c r="AJ92" s="10">
        <v>10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386</v>
      </c>
      <c r="AS92" s="11">
        <v>42000</v>
      </c>
      <c r="AV92" s="11">
        <f ca="1">IFERROR(OFFSET(ITEM_RES!$A$1,MATCH(AW92,ITEM_RES!$J:$J,0)-1,0),0)</f>
        <v>211020401</v>
      </c>
      <c r="AW92" s="10" t="s">
        <v>426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742</v>
      </c>
      <c r="P93" s="55" t="s">
        <v>1348</v>
      </c>
      <c r="Q93" s="9" t="s">
        <v>688</v>
      </c>
      <c r="S93" s="81" t="s">
        <v>527</v>
      </c>
      <c r="T93" s="9">
        <f ca="1">IFERROR(OFFSET(ITEM_RES!$A$5,MATCH(BUILDING!S93,ITEM_RES!$J$5:$J$229,0)-1,0),0)</f>
        <v>211021101</v>
      </c>
      <c r="U93" s="11">
        <v>10</v>
      </c>
      <c r="V93" s="81" t="s">
        <v>526</v>
      </c>
      <c r="W93" s="11">
        <f ca="1">IFERROR(OFFSET(ITEM_RES!$A$5,MATCH(BUILDING!V93,ITEM_RES!$J$5:$J$229,0)-1,0),0)</f>
        <v>211010401</v>
      </c>
      <c r="Y93" s="9" t="s">
        <v>498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15</v>
      </c>
      <c r="AJ93" s="10">
        <v>15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386</v>
      </c>
      <c r="AS93" s="11">
        <v>78000</v>
      </c>
      <c r="AV93" s="11">
        <f ca="1">IFERROR(OFFSET(ITEM_RES!$A$1,MATCH(AW93,ITEM_RES!$J:$J,0)-1,0),0)</f>
        <v>211020401</v>
      </c>
      <c r="AW93" s="10" t="s">
        <v>426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742</v>
      </c>
      <c r="P94" s="55" t="s">
        <v>1348</v>
      </c>
      <c r="Q94" s="9" t="s">
        <v>688</v>
      </c>
      <c r="S94" s="81" t="s">
        <v>527</v>
      </c>
      <c r="T94" s="9">
        <f ca="1">IFERROR(OFFSET(ITEM_RES!$A$5,MATCH(BUILDING!S94,ITEM_RES!$J$5:$J$229,0)-1,0),0)</f>
        <v>211021101</v>
      </c>
      <c r="U94" s="11">
        <v>10</v>
      </c>
      <c r="V94" s="81" t="s">
        <v>526</v>
      </c>
      <c r="W94" s="11">
        <f ca="1">IFERROR(OFFSET(ITEM_RES!$A$5,MATCH(BUILDING!V94,ITEM_RES!$J$5:$J$229,0)-1,0),0)</f>
        <v>211010401</v>
      </c>
      <c r="Y94" s="9" t="s">
        <v>498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30</v>
      </c>
      <c r="AJ94" s="10">
        <v>30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386</v>
      </c>
      <c r="AS94" s="11">
        <v>130000</v>
      </c>
      <c r="AV94" s="11">
        <f ca="1">IFERROR(OFFSET(ITEM_RES!$A$1,MATCH(AW94,ITEM_RES!$J:$J,0)-1,0),0)</f>
        <v>211020401</v>
      </c>
      <c r="AW94" s="10" t="s">
        <v>426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742</v>
      </c>
      <c r="P95" s="55" t="s">
        <v>1348</v>
      </c>
      <c r="Q95" s="9" t="s">
        <v>688</v>
      </c>
      <c r="S95" s="81" t="s">
        <v>527</v>
      </c>
      <c r="T95" s="9">
        <f ca="1">IFERROR(OFFSET(ITEM_RES!$A$5,MATCH(BUILDING!S95,ITEM_RES!$J$5:$J$229,0)-1,0),0)</f>
        <v>211021101</v>
      </c>
      <c r="U95" s="11">
        <v>10</v>
      </c>
      <c r="V95" s="81" t="s">
        <v>526</v>
      </c>
      <c r="W95" s="11">
        <f ca="1">IFERROR(OFFSET(ITEM_RES!$A$5,MATCH(BUILDING!V95,ITEM_RES!$J$5:$J$229,0)-1,0),0)</f>
        <v>211010401</v>
      </c>
      <c r="Y95" s="9" t="s">
        <v>498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30</v>
      </c>
      <c r="AJ95" s="10">
        <v>30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386</v>
      </c>
      <c r="AS95" s="11">
        <v>220000</v>
      </c>
      <c r="AV95" s="11">
        <f ca="1">IFERROR(OFFSET(ITEM_RES!$A$1,MATCH(AW95,ITEM_RES!$J:$J,0)-1,0),0)</f>
        <v>211020401</v>
      </c>
      <c r="AW95" s="10" t="s">
        <v>426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742</v>
      </c>
      <c r="P96" s="55" t="s">
        <v>1348</v>
      </c>
      <c r="Q96" s="9" t="s">
        <v>688</v>
      </c>
      <c r="S96" s="81" t="s">
        <v>527</v>
      </c>
      <c r="T96" s="9">
        <f ca="1">IFERROR(OFFSET(ITEM_RES!$A$5,MATCH(BUILDING!S96,ITEM_RES!$J$5:$J$229,0)-1,0),0)</f>
        <v>211021101</v>
      </c>
      <c r="U96" s="11">
        <v>10</v>
      </c>
      <c r="V96" s="81" t="s">
        <v>526</v>
      </c>
      <c r="W96" s="11">
        <f ca="1">IFERROR(OFFSET(ITEM_RES!$A$5,MATCH(BUILDING!V96,ITEM_RES!$J$5:$J$229,0)-1,0),0)</f>
        <v>211010401</v>
      </c>
      <c r="Y96" s="9" t="s">
        <v>498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60</v>
      </c>
      <c r="AJ96" s="10">
        <v>60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386</v>
      </c>
      <c r="AS96" s="11">
        <v>370000</v>
      </c>
      <c r="AV96" s="11">
        <f ca="1">IFERROR(OFFSET(ITEM_RES!$A$1,MATCH(AW96,ITEM_RES!$J:$J,0)-1,0),0)</f>
        <v>211020401</v>
      </c>
      <c r="AW96" s="10" t="s">
        <v>426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449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742</v>
      </c>
      <c r="P97" s="55" t="s">
        <v>1348</v>
      </c>
      <c r="Q97" s="9" t="s">
        <v>688</v>
      </c>
      <c r="S97" s="81" t="s">
        <v>527</v>
      </c>
      <c r="T97" s="9">
        <f ca="1">IFERROR(OFFSET(ITEM_RES!$A$5,MATCH(BUILDING!S97,ITEM_RES!$J$5:$J$229,0)-1,0),0)</f>
        <v>211021101</v>
      </c>
      <c r="U97" s="11">
        <v>10</v>
      </c>
      <c r="V97" s="81" t="s">
        <v>526</v>
      </c>
      <c r="W97" s="11">
        <f ca="1">IFERROR(OFFSET(ITEM_RES!$A$5,MATCH(BUILDING!V97,ITEM_RES!$J$5:$J$229,0)-1,0),0)</f>
        <v>211010401</v>
      </c>
      <c r="Y97" s="9" t="s">
        <v>498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120</v>
      </c>
      <c r="AJ97" s="10">
        <v>120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386</v>
      </c>
      <c r="AS97" s="11">
        <v>620000</v>
      </c>
      <c r="AV97" s="11">
        <f ca="1">IFERROR(OFFSET(ITEM_RES!$A$1,MATCH(AW97,ITEM_RES!$J:$J,0)-1,0),0)</f>
        <v>211020401</v>
      </c>
      <c r="AW97" s="10" t="s">
        <v>426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742</v>
      </c>
      <c r="P98" s="55" t="s">
        <v>1348</v>
      </c>
      <c r="Q98" s="9" t="s">
        <v>688</v>
      </c>
      <c r="S98" s="81" t="s">
        <v>527</v>
      </c>
      <c r="T98" s="9">
        <f ca="1">IFERROR(OFFSET(ITEM_RES!$A$5,MATCH(BUILDING!S98,ITEM_RES!$J$5:$J$229,0)-1,0),0)</f>
        <v>211021101</v>
      </c>
      <c r="U98" s="11">
        <v>10</v>
      </c>
      <c r="V98" s="81" t="s">
        <v>526</v>
      </c>
      <c r="W98" s="11">
        <f ca="1">IFERROR(OFFSET(ITEM_RES!$A$5,MATCH(BUILDING!V98,ITEM_RES!$J$5:$J$229,0)-1,0),0)</f>
        <v>211010401</v>
      </c>
      <c r="Y98" s="9" t="s">
        <v>498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180</v>
      </c>
      <c r="AJ98" s="10">
        <v>180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386</v>
      </c>
      <c r="AS98" s="11">
        <v>970000</v>
      </c>
      <c r="AV98" s="11">
        <f ca="1">IFERROR(OFFSET(ITEM_RES!$A$1,MATCH(AW98,ITEM_RES!$J:$J,0)-1,0),0)</f>
        <v>211020401</v>
      </c>
      <c r="AW98" s="10" t="s">
        <v>426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742</v>
      </c>
      <c r="P99" s="55" t="s">
        <v>1348</v>
      </c>
      <c r="Q99" s="9" t="s">
        <v>688</v>
      </c>
      <c r="S99" s="81" t="s">
        <v>527</v>
      </c>
      <c r="T99" s="9">
        <f ca="1">IFERROR(OFFSET(ITEM_RES!$A$5,MATCH(BUILDING!S99,ITEM_RES!$J$5:$J$229,0)-1,0),0)</f>
        <v>211021101</v>
      </c>
      <c r="U99" s="11">
        <v>10</v>
      </c>
      <c r="V99" s="81" t="s">
        <v>526</v>
      </c>
      <c r="W99" s="11">
        <f ca="1">IFERROR(OFFSET(ITEM_RES!$A$5,MATCH(BUILDING!V99,ITEM_RES!$J$5:$J$229,0)-1,0),0)</f>
        <v>211010401</v>
      </c>
      <c r="Y99" s="9" t="s">
        <v>498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240</v>
      </c>
      <c r="AJ99" s="10">
        <v>240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386</v>
      </c>
      <c r="AS99" s="11">
        <v>2100000</v>
      </c>
      <c r="AV99" s="11">
        <f ca="1">IFERROR(OFFSET(ITEM_RES!$A$1,MATCH(AW99,ITEM_RES!$J:$J,0)-1,0),0)</f>
        <v>211020501</v>
      </c>
      <c r="AW99" s="10" t="s">
        <v>424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742</v>
      </c>
      <c r="P100" s="55" t="s">
        <v>1348</v>
      </c>
      <c r="Q100" s="9" t="s">
        <v>688</v>
      </c>
      <c r="S100" s="81" t="s">
        <v>527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526</v>
      </c>
      <c r="W100" s="11">
        <f ca="1">IFERROR(OFFSET(ITEM_RES!$A$5,MATCH(BUILDING!V100,ITEM_RES!$J$5:$J$229,0)-1,0),0)</f>
        <v>211010401</v>
      </c>
      <c r="Y100" s="9" t="s">
        <v>498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300</v>
      </c>
      <c r="AJ100" s="10">
        <v>300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386</v>
      </c>
      <c r="AS100" s="11">
        <v>4300000</v>
      </c>
      <c r="AV100" s="11">
        <f ca="1">IFERROR(OFFSET(ITEM_RES!$A$1,MATCH(AW100,ITEM_RES!$J:$J,0)-1,0),0)</f>
        <v>211020501</v>
      </c>
      <c r="AW100" s="10" t="s">
        <v>424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742</v>
      </c>
      <c r="P101" s="55" t="s">
        <v>1348</v>
      </c>
      <c r="Q101" s="9" t="s">
        <v>688</v>
      </c>
      <c r="S101" s="81" t="s">
        <v>527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526</v>
      </c>
      <c r="W101" s="11">
        <f ca="1">IFERROR(OFFSET(ITEM_RES!$A$5,MATCH(BUILDING!V101,ITEM_RES!$J$5:$J$229,0)-1,0),0)</f>
        <v>211010401</v>
      </c>
      <c r="Y101" s="9" t="s">
        <v>498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360</v>
      </c>
      <c r="AJ101" s="10">
        <v>360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995</v>
      </c>
      <c r="AS101" s="11">
        <v>8000000</v>
      </c>
      <c r="AV101" s="11">
        <f ca="1">IFERROR(OFFSET(ITEM_RES!$A$1,MATCH(AW101,ITEM_RES!$J:$J,0)-1,0),0)</f>
        <v>211020501</v>
      </c>
      <c r="AW101" s="10" t="s">
        <v>424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742</v>
      </c>
      <c r="P102" s="55" t="s">
        <v>1348</v>
      </c>
      <c r="Q102" s="9" t="s">
        <v>688</v>
      </c>
      <c r="S102" s="81" t="s">
        <v>527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526</v>
      </c>
      <c r="W102" s="11">
        <f ca="1">IFERROR(OFFSET(ITEM_RES!$A$5,MATCH(BUILDING!V102,ITEM_RES!$J$5:$J$229,0)-1,0),0)</f>
        <v>211010401</v>
      </c>
      <c r="Y102" s="9" t="s">
        <v>498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420</v>
      </c>
      <c r="AJ102" s="10">
        <v>420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995</v>
      </c>
      <c r="AS102" s="11">
        <v>13000000</v>
      </c>
      <c r="AV102" s="11">
        <f ca="1">IFERROR(OFFSET(ITEM_RES!$A$1,MATCH(AW102,ITEM_RES!$J:$J,0)-1,0),0)</f>
        <v>211020501</v>
      </c>
      <c r="AW102" s="10" t="s">
        <v>424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742</v>
      </c>
      <c r="P103" s="55" t="s">
        <v>1348</v>
      </c>
      <c r="Q103" s="9" t="s">
        <v>688</v>
      </c>
      <c r="S103" s="81" t="s">
        <v>527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526</v>
      </c>
      <c r="W103" s="11">
        <f ca="1">IFERROR(OFFSET(ITEM_RES!$A$5,MATCH(BUILDING!V103,ITEM_RES!$J$5:$J$229,0)-1,0),0)</f>
        <v>211010401</v>
      </c>
      <c r="Y103" s="9" t="s">
        <v>498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480</v>
      </c>
      <c r="AJ103" s="10">
        <v>480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995</v>
      </c>
      <c r="AS103" s="11">
        <v>20000000</v>
      </c>
      <c r="AV103" s="11">
        <f ca="1">IFERROR(OFFSET(ITEM_RES!$A$1,MATCH(AW103,ITEM_RES!$J:$J,0)-1,0),0)</f>
        <v>211020501</v>
      </c>
      <c r="AW103" s="10" t="s">
        <v>424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742</v>
      </c>
      <c r="P104" s="55" t="s">
        <v>1348</v>
      </c>
      <c r="Q104" s="9" t="s">
        <v>688</v>
      </c>
      <c r="S104" s="81" t="s">
        <v>527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526</v>
      </c>
      <c r="W104" s="11">
        <f ca="1">IFERROR(OFFSET(ITEM_RES!$A$5,MATCH(BUILDING!V104,ITEM_RES!$J$5:$J$229,0)-1,0),0)</f>
        <v>211010401</v>
      </c>
      <c r="Y104" s="9" t="s">
        <v>498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540</v>
      </c>
      <c r="AJ104" s="10">
        <v>540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995</v>
      </c>
      <c r="AS104" s="11">
        <v>32000000</v>
      </c>
      <c r="AV104" s="11">
        <f ca="1">IFERROR(OFFSET(ITEM_RES!$A$1,MATCH(AW104,ITEM_RES!$J:$J,0)-1,0),0)</f>
        <v>211020501</v>
      </c>
      <c r="AW104" s="10" t="s">
        <v>424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739</v>
      </c>
      <c r="L105" s="65">
        <v>6</v>
      </c>
      <c r="M105" s="16">
        <v>1</v>
      </c>
      <c r="N105" s="16">
        <v>15</v>
      </c>
      <c r="O105" s="16" t="s">
        <v>741</v>
      </c>
      <c r="P105" s="56" t="s">
        <v>1349</v>
      </c>
      <c r="Q105" s="16" t="s">
        <v>740</v>
      </c>
      <c r="R105" s="76"/>
      <c r="S105" s="83" t="s">
        <v>534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527</v>
      </c>
      <c r="W105" s="18">
        <f ca="1">IFERROR(OFFSET(ITEM_RES!$A$5,MATCH(BUILDING!V105,ITEM_RES!$J$5:$J$229,0)-1,0),0)</f>
        <v>211021101</v>
      </c>
      <c r="X105" s="76"/>
      <c r="Y105" s="16" t="s">
        <v>499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2</v>
      </c>
      <c r="AJ105" s="17">
        <v>2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422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415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440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739</v>
      </c>
      <c r="M106" s="9">
        <v>1</v>
      </c>
      <c r="N106" s="9">
        <v>15</v>
      </c>
      <c r="O106" s="9" t="s">
        <v>741</v>
      </c>
      <c r="P106" s="55" t="s">
        <v>1349</v>
      </c>
      <c r="Q106" s="9" t="s">
        <v>740</v>
      </c>
      <c r="S106" s="81" t="s">
        <v>397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527</v>
      </c>
      <c r="W106" s="11">
        <f ca="1">IFERROR(OFFSET(ITEM_RES!$A$5,MATCH(BUILDING!V106,ITEM_RES!$J$5:$J$229,0)-1,0),0)</f>
        <v>211021101</v>
      </c>
      <c r="Y106" s="9" t="s">
        <v>499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2</v>
      </c>
      <c r="AJ106" s="10">
        <v>2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423</v>
      </c>
      <c r="AS106" s="11">
        <v>40</v>
      </c>
      <c r="AV106" s="11">
        <f ca="1">IFERROR(OFFSET(ITEM_RES!$A$1,MATCH(AW106,ITEM_RES!$J:$J,0)-1,0),0)</f>
        <v>211020401</v>
      </c>
      <c r="AW106" s="10" t="s">
        <v>415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739</v>
      </c>
      <c r="M107" s="9">
        <v>1</v>
      </c>
      <c r="N107" s="9">
        <v>15</v>
      </c>
      <c r="O107" s="9" t="s">
        <v>741</v>
      </c>
      <c r="P107" s="55" t="s">
        <v>1349</v>
      </c>
      <c r="Q107" s="9" t="s">
        <v>740</v>
      </c>
      <c r="S107" s="81" t="s">
        <v>397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527</v>
      </c>
      <c r="W107" s="11">
        <f ca="1">IFERROR(OFFSET(ITEM_RES!$A$5,MATCH(BUILDING!V107,ITEM_RES!$J$5:$J$229,0)-1,0),0)</f>
        <v>211021101</v>
      </c>
      <c r="Y107" s="9" t="s">
        <v>499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2</v>
      </c>
      <c r="AJ107" s="10">
        <v>2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422</v>
      </c>
      <c r="AS107" s="11">
        <v>60</v>
      </c>
      <c r="AV107" s="11">
        <f ca="1">IFERROR(OFFSET(ITEM_RES!$A$1,MATCH(AW107,ITEM_RES!$J:$J,0)-1,0),0)</f>
        <v>211020401</v>
      </c>
      <c r="AW107" s="10" t="s">
        <v>415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739</v>
      </c>
      <c r="M108" s="9">
        <v>1</v>
      </c>
      <c r="N108" s="9">
        <v>15</v>
      </c>
      <c r="O108" s="9" t="s">
        <v>741</v>
      </c>
      <c r="P108" s="55" t="s">
        <v>1349</v>
      </c>
      <c r="Q108" s="9" t="s">
        <v>740</v>
      </c>
      <c r="S108" s="81" t="s">
        <v>397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527</v>
      </c>
      <c r="W108" s="11">
        <f ca="1">IFERROR(OFFSET(ITEM_RES!$A$5,MATCH(BUILDING!V108,ITEM_RES!$J$5:$J$229,0)-1,0),0)</f>
        <v>211021101</v>
      </c>
      <c r="Y108" s="9" t="s">
        <v>499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2</v>
      </c>
      <c r="AJ108" s="10">
        <v>2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422</v>
      </c>
      <c r="AS108" s="11">
        <v>240</v>
      </c>
      <c r="AV108" s="11">
        <f ca="1">IFERROR(OFFSET(ITEM_RES!$A$1,MATCH(AW108,ITEM_RES!$J:$J,0)-1,0),0)</f>
        <v>211020401</v>
      </c>
      <c r="AW108" s="10" t="s">
        <v>415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739</v>
      </c>
      <c r="M109" s="9">
        <v>1</v>
      </c>
      <c r="N109" s="9">
        <v>15</v>
      </c>
      <c r="O109" s="9" t="s">
        <v>741</v>
      </c>
      <c r="P109" s="55" t="s">
        <v>1349</v>
      </c>
      <c r="Q109" s="9" t="s">
        <v>740</v>
      </c>
      <c r="S109" s="81" t="s">
        <v>397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527</v>
      </c>
      <c r="W109" s="11">
        <f ca="1">IFERROR(OFFSET(ITEM_RES!$A$5,MATCH(BUILDING!V109,ITEM_RES!$J$5:$J$229,0)-1,0),0)</f>
        <v>211021101</v>
      </c>
      <c r="Y109" s="9" t="s">
        <v>499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3</v>
      </c>
      <c r="AJ109" s="10">
        <v>3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422</v>
      </c>
      <c r="AS109" s="11">
        <v>1080</v>
      </c>
      <c r="AV109" s="11">
        <f ca="1">IFERROR(OFFSET(ITEM_RES!$A$1,MATCH(AW109,ITEM_RES!$J:$J,0)-1,0),0)</f>
        <v>211020401</v>
      </c>
      <c r="AW109" s="10" t="s">
        <v>415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739</v>
      </c>
      <c r="M110" s="9">
        <v>1</v>
      </c>
      <c r="N110" s="9">
        <v>15</v>
      </c>
      <c r="O110" s="9" t="s">
        <v>741</v>
      </c>
      <c r="P110" s="55" t="s">
        <v>1349</v>
      </c>
      <c r="Q110" s="9" t="s">
        <v>740</v>
      </c>
      <c r="S110" s="81" t="s">
        <v>397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527</v>
      </c>
      <c r="W110" s="11">
        <f ca="1">IFERROR(OFFSET(ITEM_RES!$A$5,MATCH(BUILDING!V110,ITEM_RES!$J$5:$J$229,0)-1,0),0)</f>
        <v>211021101</v>
      </c>
      <c r="Y110" s="9" t="s">
        <v>499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5</v>
      </c>
      <c r="AJ110" s="10">
        <v>5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422</v>
      </c>
      <c r="AS110" s="11">
        <v>3600</v>
      </c>
      <c r="AV110" s="11">
        <f ca="1">IFERROR(OFFSET(ITEM_RES!$A$1,MATCH(AW110,ITEM_RES!$J:$J,0)-1,0),0)</f>
        <v>211020401</v>
      </c>
      <c r="AW110" s="10" t="s">
        <v>415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739</v>
      </c>
      <c r="M111" s="9">
        <v>1</v>
      </c>
      <c r="N111" s="9">
        <v>15</v>
      </c>
      <c r="O111" s="9" t="s">
        <v>741</v>
      </c>
      <c r="P111" s="55" t="s">
        <v>1349</v>
      </c>
      <c r="Q111" s="9" t="s">
        <v>740</v>
      </c>
      <c r="S111" s="81" t="s">
        <v>397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527</v>
      </c>
      <c r="W111" s="11">
        <f ca="1">IFERROR(OFFSET(ITEM_RES!$A$5,MATCH(BUILDING!V111,ITEM_RES!$J$5:$J$229,0)-1,0),0)</f>
        <v>211021101</v>
      </c>
      <c r="Y111" s="9" t="s">
        <v>499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8</v>
      </c>
      <c r="AJ111" s="10">
        <v>8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422</v>
      </c>
      <c r="AS111" s="11">
        <v>8000</v>
      </c>
      <c r="AV111" s="11">
        <f ca="1">IFERROR(OFFSET(ITEM_RES!$A$1,MATCH(AW111,ITEM_RES!$J:$J,0)-1,0),0)</f>
        <v>211020401</v>
      </c>
      <c r="AW111" s="10" t="s">
        <v>415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739</v>
      </c>
      <c r="M112" s="9">
        <v>1</v>
      </c>
      <c r="N112" s="9">
        <v>15</v>
      </c>
      <c r="O112" s="9" t="s">
        <v>741</v>
      </c>
      <c r="P112" s="55" t="s">
        <v>1349</v>
      </c>
      <c r="Q112" s="9" t="s">
        <v>740</v>
      </c>
      <c r="S112" s="81" t="s">
        <v>397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527</v>
      </c>
      <c r="W112" s="11">
        <f ca="1">IFERROR(OFFSET(ITEM_RES!$A$5,MATCH(BUILDING!V112,ITEM_RES!$J$5:$J$229,0)-1,0),0)</f>
        <v>211021101</v>
      </c>
      <c r="Y112" s="9" t="s">
        <v>499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10</v>
      </c>
      <c r="AJ112" s="10">
        <v>10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422</v>
      </c>
      <c r="AS112" s="11">
        <v>16800</v>
      </c>
      <c r="AV112" s="11">
        <f ca="1">IFERROR(OFFSET(ITEM_RES!$A$1,MATCH(AW112,ITEM_RES!$J:$J,0)-1,0),0)</f>
        <v>211020401</v>
      </c>
      <c r="AW112" s="10" t="s">
        <v>415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739</v>
      </c>
      <c r="M113" s="9">
        <v>1</v>
      </c>
      <c r="N113" s="9">
        <v>15</v>
      </c>
      <c r="O113" s="9" t="s">
        <v>741</v>
      </c>
      <c r="P113" s="55" t="s">
        <v>1349</v>
      </c>
      <c r="Q113" s="9" t="s">
        <v>740</v>
      </c>
      <c r="S113" s="81" t="s">
        <v>397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527</v>
      </c>
      <c r="W113" s="11">
        <f ca="1">IFERROR(OFFSET(ITEM_RES!$A$5,MATCH(BUILDING!V113,ITEM_RES!$J$5:$J$229,0)-1,0),0)</f>
        <v>211021101</v>
      </c>
      <c r="Y113" s="9" t="s">
        <v>499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15</v>
      </c>
      <c r="AJ113" s="10">
        <v>15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422</v>
      </c>
      <c r="AS113" s="11">
        <v>31200</v>
      </c>
      <c r="AV113" s="11">
        <f ca="1">IFERROR(OFFSET(ITEM_RES!$A$1,MATCH(AW113,ITEM_RES!$J:$J,0)-1,0),0)</f>
        <v>211020401</v>
      </c>
      <c r="AW113" s="10" t="s">
        <v>415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739</v>
      </c>
      <c r="M114" s="9">
        <v>1</v>
      </c>
      <c r="N114" s="9">
        <v>15</v>
      </c>
      <c r="O114" s="9" t="s">
        <v>741</v>
      </c>
      <c r="P114" s="55" t="s">
        <v>1349</v>
      </c>
      <c r="Q114" s="9" t="s">
        <v>740</v>
      </c>
      <c r="S114" s="81" t="s">
        <v>397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527</v>
      </c>
      <c r="W114" s="11">
        <f ca="1">IFERROR(OFFSET(ITEM_RES!$A$5,MATCH(BUILDING!V114,ITEM_RES!$J$5:$J$229,0)-1,0),0)</f>
        <v>211021101</v>
      </c>
      <c r="Y114" s="9" t="s">
        <v>499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30</v>
      </c>
      <c r="AJ114" s="10">
        <v>30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422</v>
      </c>
      <c r="AS114" s="11">
        <v>52000</v>
      </c>
      <c r="AV114" s="11">
        <f ca="1">IFERROR(OFFSET(ITEM_RES!$A$1,MATCH(AW114,ITEM_RES!$J:$J,0)-1,0),0)</f>
        <v>211020401</v>
      </c>
      <c r="AW114" s="10" t="s">
        <v>415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739</v>
      </c>
      <c r="M115" s="9">
        <v>1</v>
      </c>
      <c r="N115" s="9">
        <v>15</v>
      </c>
      <c r="O115" s="9" t="s">
        <v>741</v>
      </c>
      <c r="P115" s="55" t="s">
        <v>1349</v>
      </c>
      <c r="Q115" s="9" t="s">
        <v>740</v>
      </c>
      <c r="S115" s="81" t="s">
        <v>397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527</v>
      </c>
      <c r="W115" s="11">
        <f ca="1">IFERROR(OFFSET(ITEM_RES!$A$5,MATCH(BUILDING!V115,ITEM_RES!$J$5:$J$229,0)-1,0),0)</f>
        <v>211021101</v>
      </c>
      <c r="Y115" s="9" t="s">
        <v>499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30</v>
      </c>
      <c r="AJ115" s="10">
        <v>30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386</v>
      </c>
      <c r="AS115" s="11">
        <v>88000</v>
      </c>
      <c r="AV115" s="11">
        <f ca="1">IFERROR(OFFSET(ITEM_RES!$A$1,MATCH(AW115,ITEM_RES!$J:$J,0)-1,0),0)</f>
        <v>211020401</v>
      </c>
      <c r="AW115" s="10" t="s">
        <v>415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739</v>
      </c>
      <c r="M116" s="9">
        <v>1</v>
      </c>
      <c r="N116" s="9">
        <v>15</v>
      </c>
      <c r="O116" s="9" t="s">
        <v>741</v>
      </c>
      <c r="P116" s="55" t="s">
        <v>1349</v>
      </c>
      <c r="Q116" s="9" t="s">
        <v>740</v>
      </c>
      <c r="S116" s="81" t="s">
        <v>397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527</v>
      </c>
      <c r="W116" s="11">
        <f ca="1">IFERROR(OFFSET(ITEM_RES!$A$5,MATCH(BUILDING!V116,ITEM_RES!$J$5:$J$229,0)-1,0),0)</f>
        <v>211021101</v>
      </c>
      <c r="Y116" s="9" t="s">
        <v>499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60</v>
      </c>
      <c r="AJ116" s="10">
        <v>60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386</v>
      </c>
      <c r="AS116" s="11">
        <v>148000</v>
      </c>
      <c r="AV116" s="11">
        <f ca="1">IFERROR(OFFSET(ITEM_RES!$A$1,MATCH(AW116,ITEM_RES!$J:$J,0)-1,0),0)</f>
        <v>211020401</v>
      </c>
      <c r="AW116" s="10" t="s">
        <v>415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739</v>
      </c>
      <c r="M117" s="9">
        <v>1</v>
      </c>
      <c r="N117" s="9">
        <v>15</v>
      </c>
      <c r="O117" s="9" t="s">
        <v>741</v>
      </c>
      <c r="P117" s="55" t="s">
        <v>1349</v>
      </c>
      <c r="Q117" s="9" t="s">
        <v>740</v>
      </c>
      <c r="S117" s="81" t="s">
        <v>397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527</v>
      </c>
      <c r="W117" s="11">
        <f ca="1">IFERROR(OFFSET(ITEM_RES!$A$5,MATCH(BUILDING!V117,ITEM_RES!$J$5:$J$229,0)-1,0),0)</f>
        <v>211021101</v>
      </c>
      <c r="Y117" s="9" t="s">
        <v>499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120</v>
      </c>
      <c r="AJ117" s="10">
        <v>120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386</v>
      </c>
      <c r="AS117" s="11">
        <v>248000</v>
      </c>
      <c r="AV117" s="11">
        <f ca="1">IFERROR(OFFSET(ITEM_RES!$A$1,MATCH(AW117,ITEM_RES!$J:$J,0)-1,0),0)</f>
        <v>211020401</v>
      </c>
      <c r="AW117" s="10" t="s">
        <v>415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739</v>
      </c>
      <c r="M118" s="9">
        <v>1</v>
      </c>
      <c r="N118" s="9">
        <v>15</v>
      </c>
      <c r="O118" s="9" t="s">
        <v>741</v>
      </c>
      <c r="P118" s="55" t="s">
        <v>1349</v>
      </c>
      <c r="Q118" s="9" t="s">
        <v>740</v>
      </c>
      <c r="S118" s="81" t="s">
        <v>397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527</v>
      </c>
      <c r="W118" s="11">
        <f ca="1">IFERROR(OFFSET(ITEM_RES!$A$5,MATCH(BUILDING!V118,ITEM_RES!$J$5:$J$229,0)-1,0),0)</f>
        <v>211021101</v>
      </c>
      <c r="Y118" s="9" t="s">
        <v>499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180</v>
      </c>
      <c r="AJ118" s="10">
        <v>180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386</v>
      </c>
      <c r="AS118" s="11">
        <v>388000</v>
      </c>
      <c r="AV118" s="11">
        <f ca="1">IFERROR(OFFSET(ITEM_RES!$A$1,MATCH(AW118,ITEM_RES!$J:$J,0)-1,0),0)</f>
        <v>211020401</v>
      </c>
      <c r="AW118" s="10" t="s">
        <v>415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739</v>
      </c>
      <c r="M119" s="9">
        <v>1</v>
      </c>
      <c r="N119" s="9">
        <v>15</v>
      </c>
      <c r="O119" s="9" t="s">
        <v>741</v>
      </c>
      <c r="P119" s="55" t="s">
        <v>1349</v>
      </c>
      <c r="Q119" s="9" t="s">
        <v>740</v>
      </c>
      <c r="S119" s="81" t="s">
        <v>397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527</v>
      </c>
      <c r="W119" s="11">
        <f ca="1">IFERROR(OFFSET(ITEM_RES!$A$5,MATCH(BUILDING!V119,ITEM_RES!$J$5:$J$229,0)-1,0),0)</f>
        <v>211021101</v>
      </c>
      <c r="Y119" s="9" t="s">
        <v>499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240</v>
      </c>
      <c r="AJ119" s="10">
        <v>240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386</v>
      </c>
      <c r="AS119" s="11">
        <v>840000</v>
      </c>
      <c r="AV119" s="11">
        <f ca="1">IFERROR(OFFSET(ITEM_RES!$A$1,MATCH(AW119,ITEM_RES!$J:$J,0)-1,0),0)</f>
        <v>211020501</v>
      </c>
      <c r="AW119" s="10" t="s">
        <v>416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739</v>
      </c>
      <c r="M120" s="9">
        <v>0</v>
      </c>
      <c r="N120" s="9">
        <v>15</v>
      </c>
      <c r="O120" s="9" t="s">
        <v>741</v>
      </c>
      <c r="P120" s="55" t="s">
        <v>1349</v>
      </c>
      <c r="Q120" s="9" t="s">
        <v>740</v>
      </c>
      <c r="S120" s="81" t="s">
        <v>397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527</v>
      </c>
      <c r="W120" s="11">
        <f ca="1">IFERROR(OFFSET(ITEM_RES!$A$5,MATCH(BUILDING!V120,ITEM_RES!$J$5:$J$229,0)-1,0),0)</f>
        <v>211021101</v>
      </c>
      <c r="Y120" s="9" t="s">
        <v>499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300</v>
      </c>
      <c r="AJ120" s="10">
        <v>300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386</v>
      </c>
      <c r="AS120" s="11">
        <v>1720000</v>
      </c>
      <c r="AV120" s="11">
        <f ca="1">IFERROR(OFFSET(ITEM_RES!$A$1,MATCH(AW120,ITEM_RES!$J:$J,0)-1,0),0)</f>
        <v>211020501</v>
      </c>
      <c r="AW120" s="10" t="s">
        <v>416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739</v>
      </c>
      <c r="M121" s="9">
        <v>0</v>
      </c>
      <c r="N121" s="9">
        <v>15</v>
      </c>
      <c r="O121" s="9" t="s">
        <v>741</v>
      </c>
      <c r="P121" s="55" t="s">
        <v>1349</v>
      </c>
      <c r="Q121" s="9" t="s">
        <v>740</v>
      </c>
      <c r="S121" s="81" t="s">
        <v>397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527</v>
      </c>
      <c r="W121" s="11">
        <f ca="1">IFERROR(OFFSET(ITEM_RES!$A$5,MATCH(BUILDING!V121,ITEM_RES!$J$5:$J$229,0)-1,0),0)</f>
        <v>211021101</v>
      </c>
      <c r="Y121" s="9" t="s">
        <v>499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360</v>
      </c>
      <c r="AJ121" s="10">
        <v>360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995</v>
      </c>
      <c r="AS121" s="11">
        <v>3200000</v>
      </c>
      <c r="AV121" s="11">
        <f ca="1">IFERROR(OFFSET(ITEM_RES!$A$1,MATCH(AW121,ITEM_RES!$J:$J,0)-1,0),0)</f>
        <v>211020501</v>
      </c>
      <c r="AW121" s="10" t="s">
        <v>416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739</v>
      </c>
      <c r="M122" s="9">
        <v>0</v>
      </c>
      <c r="N122" s="9">
        <v>15</v>
      </c>
      <c r="O122" s="9" t="s">
        <v>741</v>
      </c>
      <c r="P122" s="55" t="s">
        <v>1349</v>
      </c>
      <c r="Q122" s="9" t="s">
        <v>740</v>
      </c>
      <c r="S122" s="81" t="s">
        <v>397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527</v>
      </c>
      <c r="W122" s="11">
        <f ca="1">IFERROR(OFFSET(ITEM_RES!$A$5,MATCH(BUILDING!V122,ITEM_RES!$J$5:$J$229,0)-1,0),0)</f>
        <v>211021101</v>
      </c>
      <c r="Y122" s="9" t="s">
        <v>499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420</v>
      </c>
      <c r="AJ122" s="10">
        <v>420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995</v>
      </c>
      <c r="AS122" s="11">
        <v>5200000</v>
      </c>
      <c r="AV122" s="11">
        <f ca="1">IFERROR(OFFSET(ITEM_RES!$A$1,MATCH(AW122,ITEM_RES!$J:$J,0)-1,0),0)</f>
        <v>211020501</v>
      </c>
      <c r="AW122" s="10" t="s">
        <v>416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739</v>
      </c>
      <c r="M123" s="9">
        <v>0</v>
      </c>
      <c r="N123" s="9">
        <v>15</v>
      </c>
      <c r="O123" s="9" t="s">
        <v>741</v>
      </c>
      <c r="P123" s="55" t="s">
        <v>1349</v>
      </c>
      <c r="Q123" s="9" t="s">
        <v>740</v>
      </c>
      <c r="S123" s="81" t="s">
        <v>397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527</v>
      </c>
      <c r="W123" s="11">
        <f ca="1">IFERROR(OFFSET(ITEM_RES!$A$5,MATCH(BUILDING!V123,ITEM_RES!$J$5:$J$229,0)-1,0),0)</f>
        <v>211021101</v>
      </c>
      <c r="Y123" s="9" t="s">
        <v>499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480</v>
      </c>
      <c r="AJ123" s="10">
        <v>480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995</v>
      </c>
      <c r="AS123" s="11">
        <v>8000000</v>
      </c>
      <c r="AV123" s="11">
        <f ca="1">IFERROR(OFFSET(ITEM_RES!$A$1,MATCH(AW123,ITEM_RES!$J:$J,0)-1,0),0)</f>
        <v>211020501</v>
      </c>
      <c r="AW123" s="10" t="s">
        <v>416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739</v>
      </c>
      <c r="M124" s="9">
        <v>0</v>
      </c>
      <c r="N124" s="9">
        <v>15</v>
      </c>
      <c r="O124" s="9" t="s">
        <v>741</v>
      </c>
      <c r="P124" s="55" t="s">
        <v>1349</v>
      </c>
      <c r="Q124" s="9" t="s">
        <v>740</v>
      </c>
      <c r="S124" s="81" t="s">
        <v>397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527</v>
      </c>
      <c r="W124" s="11">
        <f ca="1">IFERROR(OFFSET(ITEM_RES!$A$5,MATCH(BUILDING!V124,ITEM_RES!$J$5:$J$229,0)-1,0),0)</f>
        <v>211021101</v>
      </c>
      <c r="Y124" s="9" t="s">
        <v>499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540</v>
      </c>
      <c r="AJ124" s="10">
        <v>540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995</v>
      </c>
      <c r="AS124" s="11">
        <v>12800000</v>
      </c>
      <c r="AV124" s="11">
        <f ca="1">IFERROR(OFFSET(ITEM_RES!$A$1,MATCH(AW124,ITEM_RES!$J:$J,0)-1,0),0)</f>
        <v>211020501</v>
      </c>
      <c r="AW124" s="10" t="s">
        <v>416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1086</v>
      </c>
      <c r="P125" s="56" t="s">
        <v>1350</v>
      </c>
      <c r="Q125" s="16" t="s">
        <v>669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528</v>
      </c>
      <c r="W125" s="18">
        <f ca="1">IFERROR(OFFSET(ITEM_RES!$A$5,MATCH(BUILDING!V125,ITEM_RES!$J$5:$J$229,0)-1,0),0)</f>
        <v>211010501</v>
      </c>
      <c r="X125" s="76"/>
      <c r="Y125" s="16" t="s">
        <v>500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2</v>
      </c>
      <c r="AJ125" s="17">
        <v>2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1449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440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1087</v>
      </c>
      <c r="P126" s="55" t="s">
        <v>1350</v>
      </c>
      <c r="Q126" s="9" t="s">
        <v>669</v>
      </c>
      <c r="T126" s="9">
        <f ca="1">IFERROR(OFFSET(ITEM_RES!$A$5,MATCH(BUILDING!S126,ITEM_RES!$J$5:$J$229,0)-1,0),0)</f>
        <v>0</v>
      </c>
      <c r="V126" s="81" t="s">
        <v>528</v>
      </c>
      <c r="W126" s="11">
        <f ca="1">IFERROR(OFFSET(ITEM_RES!$A$5,MATCH(BUILDING!V126,ITEM_RES!$J$5:$J$229,0)-1,0),0)</f>
        <v>211010501</v>
      </c>
      <c r="Y126" s="9" t="s">
        <v>500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2</v>
      </c>
      <c r="AJ126" s="10">
        <v>2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1449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1088</v>
      </c>
      <c r="P127" s="55" t="s">
        <v>1351</v>
      </c>
      <c r="Q127" s="9" t="s">
        <v>669</v>
      </c>
      <c r="T127" s="9">
        <f ca="1">IFERROR(OFFSET(ITEM_RES!$A$5,MATCH(BUILDING!S127,ITEM_RES!$J$5:$J$229,0)-1,0),0)</f>
        <v>0</v>
      </c>
      <c r="V127" s="81" t="s">
        <v>528</v>
      </c>
      <c r="W127" s="11">
        <f ca="1">IFERROR(OFFSET(ITEM_RES!$A$5,MATCH(BUILDING!V127,ITEM_RES!$J$5:$J$229,0)-1,0),0)</f>
        <v>211010501</v>
      </c>
      <c r="Y127" s="9" t="s">
        <v>500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2</v>
      </c>
      <c r="AJ127" s="10">
        <v>2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1449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1089</v>
      </c>
      <c r="P128" s="55" t="s">
        <v>1351</v>
      </c>
      <c r="Q128" s="9" t="s">
        <v>669</v>
      </c>
      <c r="T128" s="9">
        <f ca="1">IFERROR(OFFSET(ITEM_RES!$A$5,MATCH(BUILDING!S128,ITEM_RES!$J$5:$J$229,0)-1,0),0)</f>
        <v>0</v>
      </c>
      <c r="V128" s="81" t="s">
        <v>528</v>
      </c>
      <c r="W128" s="11">
        <f ca="1">IFERROR(OFFSET(ITEM_RES!$A$5,MATCH(BUILDING!V128,ITEM_RES!$J$5:$J$229,0)-1,0),0)</f>
        <v>211010501</v>
      </c>
      <c r="Y128" s="9" t="s">
        <v>500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2</v>
      </c>
      <c r="AJ128" s="10">
        <v>2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1449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1090</v>
      </c>
      <c r="P129" s="55" t="s">
        <v>1352</v>
      </c>
      <c r="Q129" s="9" t="s">
        <v>669</v>
      </c>
      <c r="T129" s="9">
        <f ca="1">IFERROR(OFFSET(ITEM_RES!$A$5,MATCH(BUILDING!S129,ITEM_RES!$J$5:$J$229,0)-1,0),0)</f>
        <v>0</v>
      </c>
      <c r="V129" s="81" t="s">
        <v>528</v>
      </c>
      <c r="W129" s="11">
        <f ca="1">IFERROR(OFFSET(ITEM_RES!$A$5,MATCH(BUILDING!V129,ITEM_RES!$J$5:$J$229,0)-1,0),0)</f>
        <v>211010501</v>
      </c>
      <c r="Y129" s="9" t="s">
        <v>500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3</v>
      </c>
      <c r="AJ129" s="10">
        <v>3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1449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1091</v>
      </c>
      <c r="P130" s="55" t="s">
        <v>1352</v>
      </c>
      <c r="Q130" s="9" t="s">
        <v>669</v>
      </c>
      <c r="T130" s="9">
        <f ca="1">IFERROR(OFFSET(ITEM_RES!$A$5,MATCH(BUILDING!S130,ITEM_RES!$J$5:$J$229,0)-1,0),0)</f>
        <v>0</v>
      </c>
      <c r="V130" s="81" t="s">
        <v>528</v>
      </c>
      <c r="W130" s="11">
        <f ca="1">IFERROR(OFFSET(ITEM_RES!$A$5,MATCH(BUILDING!V130,ITEM_RES!$J$5:$J$229,0)-1,0),0)</f>
        <v>211010501</v>
      </c>
      <c r="Y130" s="9" t="s">
        <v>500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5</v>
      </c>
      <c r="AJ130" s="10">
        <v>5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1449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1092</v>
      </c>
      <c r="P131" s="55" t="s">
        <v>1353</v>
      </c>
      <c r="Q131" s="9" t="s">
        <v>669</v>
      </c>
      <c r="T131" s="9">
        <f ca="1">IFERROR(OFFSET(ITEM_RES!$A$5,MATCH(BUILDING!S131,ITEM_RES!$J$5:$J$229,0)-1,0),0)</f>
        <v>0</v>
      </c>
      <c r="V131" s="81" t="s">
        <v>528</v>
      </c>
      <c r="W131" s="11">
        <f ca="1">IFERROR(OFFSET(ITEM_RES!$A$5,MATCH(BUILDING!V131,ITEM_RES!$J$5:$J$229,0)-1,0),0)</f>
        <v>211010501</v>
      </c>
      <c r="Y131" s="9" t="s">
        <v>500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8</v>
      </c>
      <c r="AJ131" s="10">
        <v>8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1449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1092</v>
      </c>
      <c r="P132" s="55" t="s">
        <v>1353</v>
      </c>
      <c r="Q132" s="9" t="s">
        <v>669</v>
      </c>
      <c r="T132" s="9">
        <f ca="1">IFERROR(OFFSET(ITEM_RES!$A$5,MATCH(BUILDING!S132,ITEM_RES!$J$5:$J$229,0)-1,0),0)</f>
        <v>0</v>
      </c>
      <c r="V132" s="81" t="s">
        <v>528</v>
      </c>
      <c r="W132" s="11">
        <f ca="1">IFERROR(OFFSET(ITEM_RES!$A$5,MATCH(BUILDING!V132,ITEM_RES!$J$5:$J$229,0)-1,0),0)</f>
        <v>211010501</v>
      </c>
      <c r="Y132" s="9" t="s">
        <v>500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10</v>
      </c>
      <c r="AJ132" s="10">
        <v>10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1449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1414</v>
      </c>
      <c r="P133" s="55" t="s">
        <v>1416</v>
      </c>
      <c r="Q133" s="9" t="s">
        <v>669</v>
      </c>
      <c r="T133" s="9">
        <f ca="1">IFERROR(OFFSET(ITEM_RES!$A$5,MATCH(BUILDING!S133,ITEM_RES!$J$5:$J$229,0)-1,0),0)</f>
        <v>0</v>
      </c>
      <c r="V133" s="81" t="s">
        <v>528</v>
      </c>
      <c r="W133" s="11">
        <f ca="1">IFERROR(OFFSET(ITEM_RES!$A$5,MATCH(BUILDING!V133,ITEM_RES!$J$5:$J$229,0)-1,0),0)</f>
        <v>211010501</v>
      </c>
      <c r="Y133" s="9" t="s">
        <v>500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15</v>
      </c>
      <c r="AJ133" s="10">
        <v>15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1449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1414</v>
      </c>
      <c r="P134" s="55" t="s">
        <v>1416</v>
      </c>
      <c r="Q134" s="9" t="s">
        <v>669</v>
      </c>
      <c r="T134" s="9">
        <f ca="1">IFERROR(OFFSET(ITEM_RES!$A$5,MATCH(BUILDING!S134,ITEM_RES!$J$5:$J$229,0)-1,0),0)</f>
        <v>0</v>
      </c>
      <c r="V134" s="81" t="s">
        <v>528</v>
      </c>
      <c r="W134" s="11">
        <f ca="1">IFERROR(OFFSET(ITEM_RES!$A$5,MATCH(BUILDING!V134,ITEM_RES!$J$5:$J$229,0)-1,0),0)</f>
        <v>211010501</v>
      </c>
      <c r="Y134" s="9" t="s">
        <v>500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30</v>
      </c>
      <c r="AJ134" s="10">
        <v>30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1449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1413</v>
      </c>
      <c r="P135" s="55" t="s">
        <v>1415</v>
      </c>
      <c r="Q135" s="9" t="s">
        <v>669</v>
      </c>
      <c r="T135" s="9">
        <f ca="1">IFERROR(OFFSET(ITEM_RES!$A$5,MATCH(BUILDING!S135,ITEM_RES!$J$5:$J$229,0)-1,0),0)</f>
        <v>0</v>
      </c>
      <c r="V135" s="81" t="s">
        <v>528</v>
      </c>
      <c r="W135" s="11">
        <f ca="1">IFERROR(OFFSET(ITEM_RES!$A$5,MATCH(BUILDING!V135,ITEM_RES!$J$5:$J$229,0)-1,0),0)</f>
        <v>211010501</v>
      </c>
      <c r="Y135" s="9" t="s">
        <v>500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</v>
      </c>
      <c r="AJ135" s="10">
        <v>30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1449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1413</v>
      </c>
      <c r="P136" s="55" t="s">
        <v>1415</v>
      </c>
      <c r="Q136" s="9" t="s">
        <v>669</v>
      </c>
      <c r="T136" s="9">
        <f ca="1">IFERROR(OFFSET(ITEM_RES!$A$5,MATCH(BUILDING!S136,ITEM_RES!$J$5:$J$229,0)-1,0),0)</f>
        <v>0</v>
      </c>
      <c r="V136" s="81" t="s">
        <v>528</v>
      </c>
      <c r="W136" s="11">
        <f ca="1">IFERROR(OFFSET(ITEM_RES!$A$5,MATCH(BUILDING!V136,ITEM_RES!$J$5:$J$229,0)-1,0),0)</f>
        <v>211010501</v>
      </c>
      <c r="Y136" s="9" t="s">
        <v>500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</v>
      </c>
      <c r="AJ136" s="10">
        <v>60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1449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1413</v>
      </c>
      <c r="P137" s="55" t="s">
        <v>1415</v>
      </c>
      <c r="Q137" s="9" t="s">
        <v>669</v>
      </c>
      <c r="T137" s="9">
        <f ca="1">IFERROR(OFFSET(ITEM_RES!$A$5,MATCH(BUILDING!S137,ITEM_RES!$J$5:$J$229,0)-1,0),0)</f>
        <v>0</v>
      </c>
      <c r="V137" s="81" t="s">
        <v>528</v>
      </c>
      <c r="W137" s="11">
        <f ca="1">IFERROR(OFFSET(ITEM_RES!$A$5,MATCH(BUILDING!V137,ITEM_RES!$J$5:$J$229,0)-1,0),0)</f>
        <v>211010501</v>
      </c>
      <c r="Y137" s="9" t="s">
        <v>500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120</v>
      </c>
      <c r="AJ137" s="10">
        <v>120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1449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1413</v>
      </c>
      <c r="P138" s="55" t="s">
        <v>1415</v>
      </c>
      <c r="Q138" s="9" t="s">
        <v>669</v>
      </c>
      <c r="T138" s="9">
        <f ca="1">IFERROR(OFFSET(ITEM_RES!$A$5,MATCH(BUILDING!S138,ITEM_RES!$J$5:$J$229,0)-1,0),0)</f>
        <v>0</v>
      </c>
      <c r="V138" s="81" t="s">
        <v>528</v>
      </c>
      <c r="W138" s="11">
        <f ca="1">IFERROR(OFFSET(ITEM_RES!$A$5,MATCH(BUILDING!V138,ITEM_RES!$J$5:$J$229,0)-1,0),0)</f>
        <v>211010501</v>
      </c>
      <c r="Y138" s="9" t="s">
        <v>500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</v>
      </c>
      <c r="AJ138" s="10">
        <v>180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1449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1413</v>
      </c>
      <c r="P139" s="55" t="s">
        <v>1415</v>
      </c>
      <c r="Q139" s="9" t="s">
        <v>669</v>
      </c>
      <c r="T139" s="9">
        <f ca="1">IFERROR(OFFSET(ITEM_RES!$A$5,MATCH(BUILDING!S139,ITEM_RES!$J$5:$J$229,0)-1,0),0)</f>
        <v>0</v>
      </c>
      <c r="V139" s="81" t="s">
        <v>528</v>
      </c>
      <c r="W139" s="11">
        <f ca="1">IFERROR(OFFSET(ITEM_RES!$A$5,MATCH(BUILDING!V139,ITEM_RES!$J$5:$J$229,0)-1,0),0)</f>
        <v>211010501</v>
      </c>
      <c r="Y139" s="9" t="s">
        <v>500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240</v>
      </c>
      <c r="AJ139" s="10">
        <v>240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1449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1413</v>
      </c>
      <c r="P140" s="55" t="s">
        <v>1415</v>
      </c>
      <c r="Q140" s="9" t="s">
        <v>669</v>
      </c>
      <c r="T140" s="9">
        <f ca="1">IFERROR(OFFSET(ITEM_RES!$A$5,MATCH(BUILDING!S140,ITEM_RES!$J$5:$J$229,0)-1,0),0)</f>
        <v>0</v>
      </c>
      <c r="V140" s="81" t="s">
        <v>528</v>
      </c>
      <c r="W140" s="11">
        <f ca="1">IFERROR(OFFSET(ITEM_RES!$A$5,MATCH(BUILDING!V140,ITEM_RES!$J$5:$J$229,0)-1,0),0)</f>
        <v>211010501</v>
      </c>
      <c r="Y140" s="9" t="s">
        <v>500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</v>
      </c>
      <c r="AJ140" s="10">
        <v>300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1449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1413</v>
      </c>
      <c r="P141" s="55" t="s">
        <v>1415</v>
      </c>
      <c r="Q141" s="9" t="s">
        <v>669</v>
      </c>
      <c r="T141" s="9">
        <f ca="1">IFERROR(OFFSET(ITEM_RES!$A$5,MATCH(BUILDING!S141,ITEM_RES!$J$5:$J$229,0)-1,0),0)</f>
        <v>0</v>
      </c>
      <c r="V141" s="81" t="s">
        <v>528</v>
      </c>
      <c r="W141" s="11">
        <f ca="1">IFERROR(OFFSET(ITEM_RES!$A$5,MATCH(BUILDING!V141,ITEM_RES!$J$5:$J$229,0)-1,0),0)</f>
        <v>211010501</v>
      </c>
      <c r="Y141" s="9" t="s">
        <v>500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360</v>
      </c>
      <c r="AJ141" s="10">
        <v>360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1449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1413</v>
      </c>
      <c r="P142" s="55" t="s">
        <v>1415</v>
      </c>
      <c r="Q142" s="9" t="s">
        <v>669</v>
      </c>
      <c r="T142" s="9">
        <f ca="1">IFERROR(OFFSET(ITEM_RES!$A$5,MATCH(BUILDING!S142,ITEM_RES!$J$5:$J$229,0)-1,0),0)</f>
        <v>0</v>
      </c>
      <c r="V142" s="81" t="s">
        <v>528</v>
      </c>
      <c r="W142" s="11">
        <f ca="1">IFERROR(OFFSET(ITEM_RES!$A$5,MATCH(BUILDING!V142,ITEM_RES!$J$5:$J$229,0)-1,0),0)</f>
        <v>211010501</v>
      </c>
      <c r="Y142" s="9" t="s">
        <v>500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420</v>
      </c>
      <c r="AJ142" s="10">
        <v>420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1449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1413</v>
      </c>
      <c r="P143" s="55" t="s">
        <v>1415</v>
      </c>
      <c r="Q143" s="9" t="s">
        <v>669</v>
      </c>
      <c r="T143" s="9">
        <f ca="1">IFERROR(OFFSET(ITEM_RES!$A$5,MATCH(BUILDING!S143,ITEM_RES!$J$5:$J$229,0)-1,0),0)</f>
        <v>0</v>
      </c>
      <c r="V143" s="81" t="s">
        <v>528</v>
      </c>
      <c r="W143" s="11">
        <f ca="1">IFERROR(OFFSET(ITEM_RES!$A$5,MATCH(BUILDING!V143,ITEM_RES!$J$5:$J$229,0)-1,0),0)</f>
        <v>211010501</v>
      </c>
      <c r="Y143" s="9" t="s">
        <v>500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480</v>
      </c>
      <c r="AJ143" s="10">
        <v>480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1449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1413</v>
      </c>
      <c r="P144" s="55" t="s">
        <v>1415</v>
      </c>
      <c r="Q144" s="9" t="s">
        <v>669</v>
      </c>
      <c r="T144" s="9">
        <f ca="1">IFERROR(OFFSET(ITEM_RES!$A$5,MATCH(BUILDING!S144,ITEM_RES!$J$5:$J$229,0)-1,0),0)</f>
        <v>0</v>
      </c>
      <c r="V144" s="81" t="s">
        <v>528</v>
      </c>
      <c r="W144" s="11">
        <f ca="1">IFERROR(OFFSET(ITEM_RES!$A$5,MATCH(BUILDING!V144,ITEM_RES!$J$5:$J$229,0)-1,0),0)</f>
        <v>211010501</v>
      </c>
      <c r="Y144" s="9" t="s">
        <v>500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540</v>
      </c>
      <c r="AJ144" s="10">
        <v>540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1449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1093</v>
      </c>
      <c r="P145" s="56" t="s">
        <v>1354</v>
      </c>
      <c r="Q145" s="16" t="s">
        <v>687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528</v>
      </c>
      <c r="W145" s="18">
        <f ca="1">IFERROR(OFFSET(ITEM_RES!$A$5,MATCH(BUILDING!V145,ITEM_RES!$J$5:$J$229,0)-1,0),0)</f>
        <v>211010501</v>
      </c>
      <c r="X145" s="76"/>
      <c r="Y145" s="16" t="s">
        <v>501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2</v>
      </c>
      <c r="AJ145" s="17">
        <v>2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1060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440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1093</v>
      </c>
      <c r="P146" s="55" t="s">
        <v>1354</v>
      </c>
      <c r="Q146" s="9" t="s">
        <v>687</v>
      </c>
      <c r="T146" s="9">
        <f ca="1">IFERROR(OFFSET(ITEM_RES!$A$5,MATCH(BUILDING!S146,ITEM_RES!$J$5:$J$229,0)-1,0),0)</f>
        <v>0</v>
      </c>
      <c r="V146" s="81" t="s">
        <v>528</v>
      </c>
      <c r="W146" s="11">
        <f ca="1">IFERROR(OFFSET(ITEM_RES!$A$5,MATCH(BUILDING!V146,ITEM_RES!$J$5:$J$229,0)-1,0),0)</f>
        <v>211010501</v>
      </c>
      <c r="Y146" s="9" t="s">
        <v>501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2</v>
      </c>
      <c r="AJ146" s="10">
        <v>2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1060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1094</v>
      </c>
      <c r="P147" s="55" t="s">
        <v>1355</v>
      </c>
      <c r="Q147" s="9" t="s">
        <v>687</v>
      </c>
      <c r="T147" s="9">
        <f ca="1">IFERROR(OFFSET(ITEM_RES!$A$5,MATCH(BUILDING!S147,ITEM_RES!$J$5:$J$229,0)-1,0),0)</f>
        <v>0</v>
      </c>
      <c r="V147" s="81" t="s">
        <v>528</v>
      </c>
      <c r="W147" s="11">
        <f ca="1">IFERROR(OFFSET(ITEM_RES!$A$5,MATCH(BUILDING!V147,ITEM_RES!$J$5:$J$229,0)-1,0),0)</f>
        <v>211010501</v>
      </c>
      <c r="Y147" s="9" t="s">
        <v>501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2</v>
      </c>
      <c r="AJ147" s="10">
        <v>2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1060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1095</v>
      </c>
      <c r="P148" s="55" t="s">
        <v>1355</v>
      </c>
      <c r="Q148" s="9" t="s">
        <v>687</v>
      </c>
      <c r="T148" s="9">
        <f ca="1">IFERROR(OFFSET(ITEM_RES!$A$5,MATCH(BUILDING!S148,ITEM_RES!$J$5:$J$229,0)-1,0),0)</f>
        <v>0</v>
      </c>
      <c r="V148" s="81" t="s">
        <v>528</v>
      </c>
      <c r="W148" s="11">
        <f ca="1">IFERROR(OFFSET(ITEM_RES!$A$5,MATCH(BUILDING!V148,ITEM_RES!$J$5:$J$229,0)-1,0),0)</f>
        <v>211010501</v>
      </c>
      <c r="Y148" s="9" t="s">
        <v>501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2</v>
      </c>
      <c r="AJ148" s="10">
        <v>2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1060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1096</v>
      </c>
      <c r="P149" s="55" t="s">
        <v>1356</v>
      </c>
      <c r="Q149" s="9" t="s">
        <v>687</v>
      </c>
      <c r="T149" s="9">
        <f ca="1">IFERROR(OFFSET(ITEM_RES!$A$5,MATCH(BUILDING!S149,ITEM_RES!$J$5:$J$229,0)-1,0),0)</f>
        <v>0</v>
      </c>
      <c r="V149" s="81" t="s">
        <v>528</v>
      </c>
      <c r="W149" s="11">
        <f ca="1">IFERROR(OFFSET(ITEM_RES!$A$5,MATCH(BUILDING!V149,ITEM_RES!$J$5:$J$229,0)-1,0),0)</f>
        <v>211010501</v>
      </c>
      <c r="Y149" s="9" t="s">
        <v>501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3</v>
      </c>
      <c r="AJ149" s="10">
        <v>3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1060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1097</v>
      </c>
      <c r="P150" s="55" t="s">
        <v>1356</v>
      </c>
      <c r="Q150" s="9" t="s">
        <v>687</v>
      </c>
      <c r="T150" s="9">
        <f ca="1">IFERROR(OFFSET(ITEM_RES!$A$5,MATCH(BUILDING!S150,ITEM_RES!$J$5:$J$229,0)-1,0),0)</f>
        <v>0</v>
      </c>
      <c r="V150" s="81" t="s">
        <v>528</v>
      </c>
      <c r="W150" s="11">
        <f ca="1">IFERROR(OFFSET(ITEM_RES!$A$5,MATCH(BUILDING!V150,ITEM_RES!$J$5:$J$229,0)-1,0),0)</f>
        <v>211010501</v>
      </c>
      <c r="Y150" s="9" t="s">
        <v>501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5</v>
      </c>
      <c r="AJ150" s="10">
        <v>5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1060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1098</v>
      </c>
      <c r="P151" s="55" t="s">
        <v>1357</v>
      </c>
      <c r="Q151" s="9" t="s">
        <v>687</v>
      </c>
      <c r="T151" s="9">
        <f ca="1">IFERROR(OFFSET(ITEM_RES!$A$5,MATCH(BUILDING!S151,ITEM_RES!$J$5:$J$229,0)-1,0),0)</f>
        <v>0</v>
      </c>
      <c r="V151" s="81" t="s">
        <v>528</v>
      </c>
      <c r="W151" s="11">
        <f ca="1">IFERROR(OFFSET(ITEM_RES!$A$5,MATCH(BUILDING!V151,ITEM_RES!$J$5:$J$229,0)-1,0),0)</f>
        <v>211010501</v>
      </c>
      <c r="Y151" s="9" t="s">
        <v>501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8</v>
      </c>
      <c r="AJ151" s="10">
        <v>8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1060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1098</v>
      </c>
      <c r="P152" s="55" t="s">
        <v>1357</v>
      </c>
      <c r="Q152" s="9" t="s">
        <v>687</v>
      </c>
      <c r="T152" s="9">
        <f ca="1">IFERROR(OFFSET(ITEM_RES!$A$5,MATCH(BUILDING!S152,ITEM_RES!$J$5:$J$229,0)-1,0),0)</f>
        <v>0</v>
      </c>
      <c r="V152" s="81" t="s">
        <v>528</v>
      </c>
      <c r="W152" s="11">
        <f ca="1">IFERROR(OFFSET(ITEM_RES!$A$5,MATCH(BUILDING!V152,ITEM_RES!$J$5:$J$229,0)-1,0),0)</f>
        <v>211010501</v>
      </c>
      <c r="Y152" s="9" t="s">
        <v>501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10</v>
      </c>
      <c r="AJ152" s="10">
        <v>10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1060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1418</v>
      </c>
      <c r="P153" s="55" t="s">
        <v>1420</v>
      </c>
      <c r="Q153" s="9" t="s">
        <v>687</v>
      </c>
      <c r="T153" s="9">
        <f ca="1">IFERROR(OFFSET(ITEM_RES!$A$5,MATCH(BUILDING!S153,ITEM_RES!$J$5:$J$229,0)-1,0),0)</f>
        <v>0</v>
      </c>
      <c r="V153" s="81" t="s">
        <v>528</v>
      </c>
      <c r="W153" s="11">
        <f ca="1">IFERROR(OFFSET(ITEM_RES!$A$5,MATCH(BUILDING!V153,ITEM_RES!$J$5:$J$229,0)-1,0),0)</f>
        <v>211010501</v>
      </c>
      <c r="Y153" s="9" t="s">
        <v>501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15</v>
      </c>
      <c r="AJ153" s="10">
        <v>15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1060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1418</v>
      </c>
      <c r="P154" s="55" t="s">
        <v>1420</v>
      </c>
      <c r="Q154" s="9" t="s">
        <v>687</v>
      </c>
      <c r="T154" s="9">
        <f ca="1">IFERROR(OFFSET(ITEM_RES!$A$5,MATCH(BUILDING!S154,ITEM_RES!$J$5:$J$229,0)-1,0),0)</f>
        <v>0</v>
      </c>
      <c r="V154" s="81" t="s">
        <v>528</v>
      </c>
      <c r="W154" s="11">
        <f ca="1">IFERROR(OFFSET(ITEM_RES!$A$5,MATCH(BUILDING!V154,ITEM_RES!$J$5:$J$229,0)-1,0),0)</f>
        <v>211010501</v>
      </c>
      <c r="Y154" s="9" t="s">
        <v>501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30</v>
      </c>
      <c r="AJ154" s="10">
        <v>30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1060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1417</v>
      </c>
      <c r="P155" s="55" t="s">
        <v>1419</v>
      </c>
      <c r="Q155" s="9" t="s">
        <v>687</v>
      </c>
      <c r="T155" s="9">
        <f ca="1">IFERROR(OFFSET(ITEM_RES!$A$5,MATCH(BUILDING!S155,ITEM_RES!$J$5:$J$229,0)-1,0),0)</f>
        <v>0</v>
      </c>
      <c r="V155" s="81" t="s">
        <v>528</v>
      </c>
      <c r="W155" s="11">
        <f ca="1">IFERROR(OFFSET(ITEM_RES!$A$5,MATCH(BUILDING!V155,ITEM_RES!$J$5:$J$229,0)-1,0),0)</f>
        <v>211010501</v>
      </c>
      <c r="Y155" s="9" t="s">
        <v>501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</v>
      </c>
      <c r="AJ155" s="10">
        <v>30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1060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1417</v>
      </c>
      <c r="P156" s="55" t="s">
        <v>1419</v>
      </c>
      <c r="Q156" s="9" t="s">
        <v>687</v>
      </c>
      <c r="T156" s="9">
        <f ca="1">IFERROR(OFFSET(ITEM_RES!$A$5,MATCH(BUILDING!S156,ITEM_RES!$J$5:$J$229,0)-1,0),0)</f>
        <v>0</v>
      </c>
      <c r="V156" s="81" t="s">
        <v>528</v>
      </c>
      <c r="W156" s="11">
        <f ca="1">IFERROR(OFFSET(ITEM_RES!$A$5,MATCH(BUILDING!V156,ITEM_RES!$J$5:$J$229,0)-1,0),0)</f>
        <v>211010501</v>
      </c>
      <c r="Y156" s="9" t="s">
        <v>501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</v>
      </c>
      <c r="AJ156" s="10">
        <v>60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1060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1417</v>
      </c>
      <c r="P157" s="55" t="s">
        <v>1419</v>
      </c>
      <c r="Q157" s="9" t="s">
        <v>687</v>
      </c>
      <c r="T157" s="9">
        <f ca="1">IFERROR(OFFSET(ITEM_RES!$A$5,MATCH(BUILDING!S157,ITEM_RES!$J$5:$J$229,0)-1,0),0)</f>
        <v>0</v>
      </c>
      <c r="V157" s="81" t="s">
        <v>528</v>
      </c>
      <c r="W157" s="11">
        <f ca="1">IFERROR(OFFSET(ITEM_RES!$A$5,MATCH(BUILDING!V157,ITEM_RES!$J$5:$J$229,0)-1,0),0)</f>
        <v>211010501</v>
      </c>
      <c r="Y157" s="9" t="s">
        <v>501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120</v>
      </c>
      <c r="AJ157" s="10">
        <v>120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1061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1417</v>
      </c>
      <c r="P158" s="55" t="s">
        <v>1419</v>
      </c>
      <c r="Q158" s="9" t="s">
        <v>687</v>
      </c>
      <c r="T158" s="9">
        <f ca="1">IFERROR(OFFSET(ITEM_RES!$A$5,MATCH(BUILDING!S158,ITEM_RES!$J$5:$J$229,0)-1,0),0)</f>
        <v>0</v>
      </c>
      <c r="V158" s="81" t="s">
        <v>528</v>
      </c>
      <c r="W158" s="11">
        <f ca="1">IFERROR(OFFSET(ITEM_RES!$A$5,MATCH(BUILDING!V158,ITEM_RES!$J$5:$J$229,0)-1,0),0)</f>
        <v>211010501</v>
      </c>
      <c r="Y158" s="9" t="s">
        <v>501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180</v>
      </c>
      <c r="AJ158" s="10">
        <v>180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1061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1417</v>
      </c>
      <c r="P159" s="55" t="s">
        <v>1419</v>
      </c>
      <c r="Q159" s="9" t="s">
        <v>687</v>
      </c>
      <c r="T159" s="9">
        <f ca="1">IFERROR(OFFSET(ITEM_RES!$A$5,MATCH(BUILDING!S159,ITEM_RES!$J$5:$J$229,0)-1,0),0)</f>
        <v>0</v>
      </c>
      <c r="V159" s="81" t="s">
        <v>528</v>
      </c>
      <c r="W159" s="11">
        <f ca="1">IFERROR(OFFSET(ITEM_RES!$A$5,MATCH(BUILDING!V159,ITEM_RES!$J$5:$J$229,0)-1,0),0)</f>
        <v>211010501</v>
      </c>
      <c r="Y159" s="9" t="s">
        <v>501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240</v>
      </c>
      <c r="AJ159" s="10">
        <v>240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1061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1417</v>
      </c>
      <c r="P160" s="55" t="s">
        <v>1419</v>
      </c>
      <c r="Q160" s="9" t="s">
        <v>687</v>
      </c>
      <c r="T160" s="9">
        <f ca="1">IFERROR(OFFSET(ITEM_RES!$A$5,MATCH(BUILDING!S160,ITEM_RES!$J$5:$J$229,0)-1,0),0)</f>
        <v>0</v>
      </c>
      <c r="V160" s="81" t="s">
        <v>528</v>
      </c>
      <c r="W160" s="11">
        <f ca="1">IFERROR(OFFSET(ITEM_RES!$A$5,MATCH(BUILDING!V160,ITEM_RES!$J$5:$J$229,0)-1,0),0)</f>
        <v>211010501</v>
      </c>
      <c r="Y160" s="9" t="s">
        <v>501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300</v>
      </c>
      <c r="AJ160" s="10">
        <v>300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1061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1417</v>
      </c>
      <c r="P161" s="55" t="s">
        <v>1419</v>
      </c>
      <c r="Q161" s="9" t="s">
        <v>687</v>
      </c>
      <c r="T161" s="9">
        <f ca="1">IFERROR(OFFSET(ITEM_RES!$A$5,MATCH(BUILDING!S161,ITEM_RES!$J$5:$J$229,0)-1,0),0)</f>
        <v>0</v>
      </c>
      <c r="V161" s="81" t="s">
        <v>528</v>
      </c>
      <c r="W161" s="11">
        <f ca="1">IFERROR(OFFSET(ITEM_RES!$A$5,MATCH(BUILDING!V161,ITEM_RES!$J$5:$J$229,0)-1,0),0)</f>
        <v>211010501</v>
      </c>
      <c r="Y161" s="9" t="s">
        <v>501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360</v>
      </c>
      <c r="AJ161" s="10">
        <v>360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1061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1417</v>
      </c>
      <c r="P162" s="55" t="s">
        <v>1419</v>
      </c>
      <c r="Q162" s="9" t="s">
        <v>687</v>
      </c>
      <c r="T162" s="9">
        <f ca="1">IFERROR(OFFSET(ITEM_RES!$A$5,MATCH(BUILDING!S162,ITEM_RES!$J$5:$J$229,0)-1,0),0)</f>
        <v>0</v>
      </c>
      <c r="V162" s="81" t="s">
        <v>528</v>
      </c>
      <c r="W162" s="11">
        <f ca="1">IFERROR(OFFSET(ITEM_RES!$A$5,MATCH(BUILDING!V162,ITEM_RES!$J$5:$J$229,0)-1,0),0)</f>
        <v>211010501</v>
      </c>
      <c r="Y162" s="9" t="s">
        <v>501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420</v>
      </c>
      <c r="AJ162" s="10">
        <v>420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1061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1417</v>
      </c>
      <c r="P163" s="55" t="s">
        <v>1419</v>
      </c>
      <c r="Q163" s="9" t="s">
        <v>687</v>
      </c>
      <c r="T163" s="9">
        <f ca="1">IFERROR(OFFSET(ITEM_RES!$A$5,MATCH(BUILDING!S163,ITEM_RES!$J$5:$J$229,0)-1,0),0)</f>
        <v>0</v>
      </c>
      <c r="V163" s="81" t="s">
        <v>528</v>
      </c>
      <c r="W163" s="11">
        <f ca="1">IFERROR(OFFSET(ITEM_RES!$A$5,MATCH(BUILDING!V163,ITEM_RES!$J$5:$J$229,0)-1,0),0)</f>
        <v>211010501</v>
      </c>
      <c r="Y163" s="9" t="s">
        <v>501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480</v>
      </c>
      <c r="AJ163" s="10">
        <v>480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1061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1417</v>
      </c>
      <c r="P164" s="55" t="s">
        <v>1419</v>
      </c>
      <c r="Q164" s="9" t="s">
        <v>687</v>
      </c>
      <c r="T164" s="9">
        <f ca="1">IFERROR(OFFSET(ITEM_RES!$A$5,MATCH(BUILDING!S164,ITEM_RES!$J$5:$J$229,0)-1,0),0)</f>
        <v>0</v>
      </c>
      <c r="V164" s="81" t="s">
        <v>528</v>
      </c>
      <c r="W164" s="11">
        <f ca="1">IFERROR(OFFSET(ITEM_RES!$A$5,MATCH(BUILDING!V164,ITEM_RES!$J$5:$J$229,0)-1,0),0)</f>
        <v>211010501</v>
      </c>
      <c r="Y164" s="9" t="s">
        <v>501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540</v>
      </c>
      <c r="AJ164" s="10">
        <v>540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1061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738</v>
      </c>
      <c r="P165" s="56" t="s">
        <v>1358</v>
      </c>
      <c r="Q165" s="16" t="s">
        <v>670</v>
      </c>
      <c r="R165" s="76"/>
      <c r="S165" s="83" t="s">
        <v>528</v>
      </c>
      <c r="T165" s="16">
        <f ca="1">IFERROR(OFFSET(ITEM_RES!$A$5,MATCH(BUILDING!S165,ITEM_RES!$J$5:$J$229,0)-1,0),0)</f>
        <v>211010501</v>
      </c>
      <c r="U165" s="18">
        <v>1</v>
      </c>
      <c r="V165" s="83" t="s">
        <v>529</v>
      </c>
      <c r="W165" s="18">
        <f ca="1">IFERROR(OFFSET(ITEM_RES!$A$5,MATCH(BUILDING!V165,ITEM_RES!$J$5:$J$229,0)-1,0),0)</f>
        <v>211010601</v>
      </c>
      <c r="X165" s="76"/>
      <c r="Y165" s="16" t="s">
        <v>502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2</v>
      </c>
      <c r="AJ165" s="17">
        <v>2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1060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440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738</v>
      </c>
      <c r="P166" s="55" t="s">
        <v>1358</v>
      </c>
      <c r="Q166" s="9" t="s">
        <v>670</v>
      </c>
      <c r="S166" s="81" t="s">
        <v>528</v>
      </c>
      <c r="T166" s="9">
        <f ca="1">IFERROR(OFFSET(ITEM_RES!$A$5,MATCH(BUILDING!S166,ITEM_RES!$J$5:$J$229,0)-1,0),0)</f>
        <v>211010501</v>
      </c>
      <c r="U166" s="11">
        <v>1</v>
      </c>
      <c r="V166" s="81" t="s">
        <v>529</v>
      </c>
      <c r="W166" s="11">
        <f ca="1">IFERROR(OFFSET(ITEM_RES!$A$5,MATCH(BUILDING!V166,ITEM_RES!$J$5:$J$229,0)-1,0),0)</f>
        <v>211010601</v>
      </c>
      <c r="Y166" s="9" t="s">
        <v>502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2</v>
      </c>
      <c r="AJ166" s="10">
        <v>2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1060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738</v>
      </c>
      <c r="P167" s="55" t="s">
        <v>1358</v>
      </c>
      <c r="Q167" s="9" t="s">
        <v>670</v>
      </c>
      <c r="S167" s="81" t="s">
        <v>528</v>
      </c>
      <c r="T167" s="9">
        <f ca="1">IFERROR(OFFSET(ITEM_RES!$A$5,MATCH(BUILDING!S167,ITEM_RES!$J$5:$J$229,0)-1,0),0)</f>
        <v>211010501</v>
      </c>
      <c r="U167" s="11">
        <v>1</v>
      </c>
      <c r="V167" s="81" t="s">
        <v>529</v>
      </c>
      <c r="W167" s="11">
        <f ca="1">IFERROR(OFFSET(ITEM_RES!$A$5,MATCH(BUILDING!V167,ITEM_RES!$J$5:$J$229,0)-1,0),0)</f>
        <v>211010601</v>
      </c>
      <c r="Y167" s="9" t="s">
        <v>502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2</v>
      </c>
      <c r="AJ167" s="10">
        <v>2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1060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738</v>
      </c>
      <c r="P168" s="55" t="s">
        <v>1358</v>
      </c>
      <c r="Q168" s="9" t="s">
        <v>670</v>
      </c>
      <c r="S168" s="81" t="s">
        <v>528</v>
      </c>
      <c r="T168" s="9">
        <f ca="1">IFERROR(OFFSET(ITEM_RES!$A$5,MATCH(BUILDING!S168,ITEM_RES!$J$5:$J$229,0)-1,0),0)</f>
        <v>211010501</v>
      </c>
      <c r="U168" s="11">
        <v>1</v>
      </c>
      <c r="V168" s="81" t="s">
        <v>529</v>
      </c>
      <c r="W168" s="11">
        <f ca="1">IFERROR(OFFSET(ITEM_RES!$A$5,MATCH(BUILDING!V168,ITEM_RES!$J$5:$J$229,0)-1,0),0)</f>
        <v>211010601</v>
      </c>
      <c r="Y168" s="9" t="s">
        <v>502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2</v>
      </c>
      <c r="AJ168" s="10">
        <v>2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1060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738</v>
      </c>
      <c r="P169" s="55" t="s">
        <v>1358</v>
      </c>
      <c r="Q169" s="9" t="s">
        <v>670</v>
      </c>
      <c r="S169" s="81" t="s">
        <v>528</v>
      </c>
      <c r="T169" s="9">
        <f ca="1">IFERROR(OFFSET(ITEM_RES!$A$5,MATCH(BUILDING!S169,ITEM_RES!$J$5:$J$229,0)-1,0),0)</f>
        <v>211010501</v>
      </c>
      <c r="U169" s="11">
        <v>1</v>
      </c>
      <c r="V169" s="81" t="s">
        <v>529</v>
      </c>
      <c r="W169" s="11">
        <f ca="1">IFERROR(OFFSET(ITEM_RES!$A$5,MATCH(BUILDING!V169,ITEM_RES!$J$5:$J$229,0)-1,0),0)</f>
        <v>211010601</v>
      </c>
      <c r="Y169" s="9" t="s">
        <v>502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3</v>
      </c>
      <c r="AJ169" s="10">
        <v>3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1060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738</v>
      </c>
      <c r="P170" s="55" t="s">
        <v>1358</v>
      </c>
      <c r="Q170" s="9" t="s">
        <v>670</v>
      </c>
      <c r="S170" s="81" t="s">
        <v>528</v>
      </c>
      <c r="T170" s="9">
        <f ca="1">IFERROR(OFFSET(ITEM_RES!$A$5,MATCH(BUILDING!S170,ITEM_RES!$J$5:$J$229,0)-1,0),0)</f>
        <v>211010501</v>
      </c>
      <c r="U170" s="11">
        <v>1</v>
      </c>
      <c r="V170" s="81" t="s">
        <v>529</v>
      </c>
      <c r="W170" s="11">
        <f ca="1">IFERROR(OFFSET(ITEM_RES!$A$5,MATCH(BUILDING!V170,ITEM_RES!$J$5:$J$229,0)-1,0),0)</f>
        <v>211010601</v>
      </c>
      <c r="Y170" s="9" t="s">
        <v>502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5</v>
      </c>
      <c r="AJ170" s="10">
        <v>5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1060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738</v>
      </c>
      <c r="P171" s="55" t="s">
        <v>1358</v>
      </c>
      <c r="Q171" s="9" t="s">
        <v>670</v>
      </c>
      <c r="S171" s="81" t="s">
        <v>528</v>
      </c>
      <c r="T171" s="9">
        <f ca="1">IFERROR(OFFSET(ITEM_RES!$A$5,MATCH(BUILDING!S171,ITEM_RES!$J$5:$J$229,0)-1,0),0)</f>
        <v>211010501</v>
      </c>
      <c r="U171" s="11">
        <v>1</v>
      </c>
      <c r="V171" s="81" t="s">
        <v>529</v>
      </c>
      <c r="W171" s="11">
        <f ca="1">IFERROR(OFFSET(ITEM_RES!$A$5,MATCH(BUILDING!V171,ITEM_RES!$J$5:$J$229,0)-1,0),0)</f>
        <v>211010601</v>
      </c>
      <c r="Y171" s="9" t="s">
        <v>502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8</v>
      </c>
      <c r="AJ171" s="10">
        <v>8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1060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738</v>
      </c>
      <c r="P172" s="55" t="s">
        <v>1358</v>
      </c>
      <c r="Q172" s="9" t="s">
        <v>670</v>
      </c>
      <c r="S172" s="81" t="s">
        <v>528</v>
      </c>
      <c r="T172" s="9">
        <f ca="1">IFERROR(OFFSET(ITEM_RES!$A$5,MATCH(BUILDING!S172,ITEM_RES!$J$5:$J$229,0)-1,0),0)</f>
        <v>211010501</v>
      </c>
      <c r="U172" s="11">
        <v>1</v>
      </c>
      <c r="V172" s="81" t="s">
        <v>529</v>
      </c>
      <c r="W172" s="11">
        <f ca="1">IFERROR(OFFSET(ITEM_RES!$A$5,MATCH(BUILDING!V172,ITEM_RES!$J$5:$J$229,0)-1,0),0)</f>
        <v>211010601</v>
      </c>
      <c r="Y172" s="9" t="s">
        <v>502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10</v>
      </c>
      <c r="AJ172" s="10">
        <v>10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1060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738</v>
      </c>
      <c r="P173" s="55" t="s">
        <v>1358</v>
      </c>
      <c r="Q173" s="9" t="s">
        <v>670</v>
      </c>
      <c r="S173" s="81" t="s">
        <v>528</v>
      </c>
      <c r="T173" s="9">
        <f ca="1">IFERROR(OFFSET(ITEM_RES!$A$5,MATCH(BUILDING!S173,ITEM_RES!$J$5:$J$229,0)-1,0),0)</f>
        <v>211010501</v>
      </c>
      <c r="U173" s="11">
        <v>1</v>
      </c>
      <c r="V173" s="81" t="s">
        <v>529</v>
      </c>
      <c r="W173" s="11">
        <f ca="1">IFERROR(OFFSET(ITEM_RES!$A$5,MATCH(BUILDING!V173,ITEM_RES!$J$5:$J$229,0)-1,0),0)</f>
        <v>211010601</v>
      </c>
      <c r="Y173" s="9" t="s">
        <v>502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15</v>
      </c>
      <c r="AJ173" s="10">
        <v>15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1060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738</v>
      </c>
      <c r="P174" s="55" t="s">
        <v>1358</v>
      </c>
      <c r="Q174" s="9" t="s">
        <v>670</v>
      </c>
      <c r="S174" s="81" t="s">
        <v>528</v>
      </c>
      <c r="T174" s="9">
        <f ca="1">IFERROR(OFFSET(ITEM_RES!$A$5,MATCH(BUILDING!S174,ITEM_RES!$J$5:$J$229,0)-1,0),0)</f>
        <v>211010501</v>
      </c>
      <c r="U174" s="11">
        <v>1</v>
      </c>
      <c r="V174" s="81" t="s">
        <v>529</v>
      </c>
      <c r="W174" s="11">
        <f ca="1">IFERROR(OFFSET(ITEM_RES!$A$5,MATCH(BUILDING!V174,ITEM_RES!$J$5:$J$229,0)-1,0),0)</f>
        <v>211010601</v>
      </c>
      <c r="Y174" s="9" t="s">
        <v>502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30</v>
      </c>
      <c r="AJ174" s="10">
        <v>30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1060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738</v>
      </c>
      <c r="P175" s="55" t="s">
        <v>1358</v>
      </c>
      <c r="Q175" s="9" t="s">
        <v>670</v>
      </c>
      <c r="S175" s="81" t="s">
        <v>528</v>
      </c>
      <c r="T175" s="9">
        <f ca="1">IFERROR(OFFSET(ITEM_RES!$A$5,MATCH(BUILDING!S175,ITEM_RES!$J$5:$J$229,0)-1,0),0)</f>
        <v>211010501</v>
      </c>
      <c r="U175" s="11">
        <v>1</v>
      </c>
      <c r="V175" s="81" t="s">
        <v>529</v>
      </c>
      <c r="W175" s="11">
        <f ca="1">IFERROR(OFFSET(ITEM_RES!$A$5,MATCH(BUILDING!V175,ITEM_RES!$J$5:$J$229,0)-1,0),0)</f>
        <v>211010601</v>
      </c>
      <c r="Y175" s="9" t="s">
        <v>502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</v>
      </c>
      <c r="AJ175" s="10">
        <v>30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1060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738</v>
      </c>
      <c r="P176" s="55" t="s">
        <v>1358</v>
      </c>
      <c r="Q176" s="9" t="s">
        <v>670</v>
      </c>
      <c r="S176" s="81" t="s">
        <v>528</v>
      </c>
      <c r="T176" s="9">
        <f ca="1">IFERROR(OFFSET(ITEM_RES!$A$5,MATCH(BUILDING!S176,ITEM_RES!$J$5:$J$229,0)-1,0),0)</f>
        <v>211010501</v>
      </c>
      <c r="U176" s="11">
        <v>1</v>
      </c>
      <c r="V176" s="81" t="s">
        <v>529</v>
      </c>
      <c r="W176" s="11">
        <f ca="1">IFERROR(OFFSET(ITEM_RES!$A$5,MATCH(BUILDING!V176,ITEM_RES!$J$5:$J$229,0)-1,0),0)</f>
        <v>211010601</v>
      </c>
      <c r="Y176" s="9" t="s">
        <v>502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</v>
      </c>
      <c r="AJ176" s="10">
        <v>60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1060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738</v>
      </c>
      <c r="P177" s="55" t="s">
        <v>1358</v>
      </c>
      <c r="Q177" s="9" t="s">
        <v>670</v>
      </c>
      <c r="S177" s="81" t="s">
        <v>528</v>
      </c>
      <c r="T177" s="9">
        <f ca="1">IFERROR(OFFSET(ITEM_RES!$A$5,MATCH(BUILDING!S177,ITEM_RES!$J$5:$J$229,0)-1,0),0)</f>
        <v>211010501</v>
      </c>
      <c r="U177" s="11">
        <v>1</v>
      </c>
      <c r="V177" s="81" t="s">
        <v>529</v>
      </c>
      <c r="W177" s="11">
        <f ca="1">IFERROR(OFFSET(ITEM_RES!$A$5,MATCH(BUILDING!V177,ITEM_RES!$J$5:$J$229,0)-1,0),0)</f>
        <v>211010601</v>
      </c>
      <c r="Y177" s="9" t="s">
        <v>502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120</v>
      </c>
      <c r="AJ177" s="10">
        <v>120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1060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738</v>
      </c>
      <c r="P178" s="55" t="s">
        <v>1358</v>
      </c>
      <c r="Q178" s="9" t="s">
        <v>670</v>
      </c>
      <c r="S178" s="81" t="s">
        <v>528</v>
      </c>
      <c r="T178" s="9">
        <f ca="1">IFERROR(OFFSET(ITEM_RES!$A$5,MATCH(BUILDING!S178,ITEM_RES!$J$5:$J$229,0)-1,0),0)</f>
        <v>211010501</v>
      </c>
      <c r="U178" s="11">
        <v>1</v>
      </c>
      <c r="V178" s="81" t="s">
        <v>529</v>
      </c>
      <c r="W178" s="11">
        <f ca="1">IFERROR(OFFSET(ITEM_RES!$A$5,MATCH(BUILDING!V178,ITEM_RES!$J$5:$J$229,0)-1,0),0)</f>
        <v>211010601</v>
      </c>
      <c r="Y178" s="9" t="s">
        <v>502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</v>
      </c>
      <c r="AJ178" s="10">
        <v>180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1060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738</v>
      </c>
      <c r="P179" s="55" t="s">
        <v>1358</v>
      </c>
      <c r="Q179" s="9" t="s">
        <v>670</v>
      </c>
      <c r="S179" s="81" t="s">
        <v>528</v>
      </c>
      <c r="T179" s="9">
        <f ca="1">IFERROR(OFFSET(ITEM_RES!$A$5,MATCH(BUILDING!S179,ITEM_RES!$J$5:$J$229,0)-1,0),0)</f>
        <v>211010501</v>
      </c>
      <c r="U179" s="11">
        <v>1</v>
      </c>
      <c r="V179" s="81" t="s">
        <v>529</v>
      </c>
      <c r="W179" s="11">
        <f ca="1">IFERROR(OFFSET(ITEM_RES!$A$5,MATCH(BUILDING!V179,ITEM_RES!$J$5:$J$229,0)-1,0),0)</f>
        <v>211010601</v>
      </c>
      <c r="Y179" s="9" t="s">
        <v>502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240</v>
      </c>
      <c r="AJ179" s="10">
        <v>240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1060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738</v>
      </c>
      <c r="P180" s="55" t="s">
        <v>1358</v>
      </c>
      <c r="Q180" s="9" t="s">
        <v>670</v>
      </c>
      <c r="S180" s="81" t="s">
        <v>528</v>
      </c>
      <c r="T180" s="9">
        <f ca="1">IFERROR(OFFSET(ITEM_RES!$A$5,MATCH(BUILDING!S180,ITEM_RES!$J$5:$J$229,0)-1,0),0)</f>
        <v>211010501</v>
      </c>
      <c r="U180" s="11">
        <v>1</v>
      </c>
      <c r="V180" s="81" t="s">
        <v>529</v>
      </c>
      <c r="W180" s="11">
        <f ca="1">IFERROR(OFFSET(ITEM_RES!$A$5,MATCH(BUILDING!V180,ITEM_RES!$J$5:$J$229,0)-1,0),0)</f>
        <v>211010601</v>
      </c>
      <c r="Y180" s="9" t="s">
        <v>502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</v>
      </c>
      <c r="AJ180" s="10">
        <v>300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1060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738</v>
      </c>
      <c r="P181" s="55" t="s">
        <v>1358</v>
      </c>
      <c r="Q181" s="9" t="s">
        <v>670</v>
      </c>
      <c r="S181" s="81" t="s">
        <v>528</v>
      </c>
      <c r="T181" s="9">
        <f ca="1">IFERROR(OFFSET(ITEM_RES!$A$5,MATCH(BUILDING!S181,ITEM_RES!$J$5:$J$229,0)-1,0),0)</f>
        <v>211010501</v>
      </c>
      <c r="U181" s="11">
        <v>1</v>
      </c>
      <c r="V181" s="81" t="s">
        <v>529</v>
      </c>
      <c r="W181" s="11">
        <f ca="1">IFERROR(OFFSET(ITEM_RES!$A$5,MATCH(BUILDING!V181,ITEM_RES!$J$5:$J$229,0)-1,0),0)</f>
        <v>211010601</v>
      </c>
      <c r="Y181" s="9" t="s">
        <v>502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360</v>
      </c>
      <c r="AJ181" s="10">
        <v>360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1061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738</v>
      </c>
      <c r="P182" s="55" t="s">
        <v>1358</v>
      </c>
      <c r="Q182" s="9" t="s">
        <v>670</v>
      </c>
      <c r="S182" s="81" t="s">
        <v>528</v>
      </c>
      <c r="T182" s="9">
        <f ca="1">IFERROR(OFFSET(ITEM_RES!$A$5,MATCH(BUILDING!S182,ITEM_RES!$J$5:$J$229,0)-1,0),0)</f>
        <v>211010501</v>
      </c>
      <c r="U182" s="11">
        <v>1</v>
      </c>
      <c r="V182" s="81" t="s">
        <v>529</v>
      </c>
      <c r="W182" s="11">
        <f ca="1">IFERROR(OFFSET(ITEM_RES!$A$5,MATCH(BUILDING!V182,ITEM_RES!$J$5:$J$229,0)-1,0),0)</f>
        <v>211010601</v>
      </c>
      <c r="Y182" s="9" t="s">
        <v>502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420</v>
      </c>
      <c r="AJ182" s="10">
        <v>420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1061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738</v>
      </c>
      <c r="P183" s="55" t="s">
        <v>1358</v>
      </c>
      <c r="Q183" s="9" t="s">
        <v>670</v>
      </c>
      <c r="S183" s="81" t="s">
        <v>528</v>
      </c>
      <c r="T183" s="9">
        <f ca="1">IFERROR(OFFSET(ITEM_RES!$A$5,MATCH(BUILDING!S183,ITEM_RES!$J$5:$J$229,0)-1,0),0)</f>
        <v>211010501</v>
      </c>
      <c r="U183" s="11">
        <v>1</v>
      </c>
      <c r="V183" s="81" t="s">
        <v>529</v>
      </c>
      <c r="W183" s="11">
        <f ca="1">IFERROR(OFFSET(ITEM_RES!$A$5,MATCH(BUILDING!V183,ITEM_RES!$J$5:$J$229,0)-1,0),0)</f>
        <v>211010601</v>
      </c>
      <c r="Y183" s="9" t="s">
        <v>502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480</v>
      </c>
      <c r="AJ183" s="10">
        <v>480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1061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738</v>
      </c>
      <c r="P184" s="55" t="s">
        <v>1358</v>
      </c>
      <c r="Q184" s="9" t="s">
        <v>670</v>
      </c>
      <c r="S184" s="81" t="s">
        <v>528</v>
      </c>
      <c r="T184" s="9">
        <f ca="1">IFERROR(OFFSET(ITEM_RES!$A$5,MATCH(BUILDING!S184,ITEM_RES!$J$5:$J$229,0)-1,0),0)</f>
        <v>211010501</v>
      </c>
      <c r="U184" s="11">
        <v>1</v>
      </c>
      <c r="V184" s="81" t="s">
        <v>529</v>
      </c>
      <c r="W184" s="11">
        <f ca="1">IFERROR(OFFSET(ITEM_RES!$A$5,MATCH(BUILDING!V184,ITEM_RES!$J$5:$J$229,0)-1,0),0)</f>
        <v>211010601</v>
      </c>
      <c r="Y184" s="9" t="s">
        <v>502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540</v>
      </c>
      <c r="AJ184" s="10">
        <v>540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1061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489</v>
      </c>
      <c r="L185" s="62">
        <v>5</v>
      </c>
      <c r="M185" s="16">
        <v>1</v>
      </c>
      <c r="N185" s="16">
        <v>15</v>
      </c>
      <c r="O185" s="16" t="s">
        <v>1099</v>
      </c>
      <c r="P185" s="56" t="s">
        <v>1359</v>
      </c>
      <c r="Q185" s="16" t="s">
        <v>686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503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2</v>
      </c>
      <c r="AJ185" s="17">
        <v>2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384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387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489</v>
      </c>
      <c r="L186" s="55"/>
      <c r="M186" s="9">
        <v>1</v>
      </c>
      <c r="N186" s="9">
        <v>15</v>
      </c>
      <c r="O186" s="9" t="s">
        <v>1421</v>
      </c>
      <c r="P186" s="55" t="s">
        <v>1359</v>
      </c>
      <c r="Q186" s="9" t="s">
        <v>671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503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2</v>
      </c>
      <c r="AJ186" s="10">
        <v>2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384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489</v>
      </c>
      <c r="L187" s="55"/>
      <c r="M187" s="9">
        <v>1</v>
      </c>
      <c r="N187" s="9">
        <v>15</v>
      </c>
      <c r="O187" s="9" t="s">
        <v>1016</v>
      </c>
      <c r="P187" s="55" t="s">
        <v>1359</v>
      </c>
      <c r="Q187" s="9" t="s">
        <v>671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503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2</v>
      </c>
      <c r="AJ187" s="10">
        <v>2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384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489</v>
      </c>
      <c r="L188" s="55"/>
      <c r="M188" s="9">
        <v>1</v>
      </c>
      <c r="N188" s="9">
        <v>15</v>
      </c>
      <c r="O188" s="9" t="s">
        <v>1016</v>
      </c>
      <c r="P188" s="55" t="s">
        <v>1359</v>
      </c>
      <c r="Q188" s="9" t="s">
        <v>671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503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2</v>
      </c>
      <c r="AJ188" s="10">
        <v>2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384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489</v>
      </c>
      <c r="L189" s="55"/>
      <c r="M189" s="9">
        <v>1</v>
      </c>
      <c r="N189" s="9">
        <v>15</v>
      </c>
      <c r="O189" s="9" t="s">
        <v>1016</v>
      </c>
      <c r="P189" s="55" t="s">
        <v>1359</v>
      </c>
      <c r="Q189" s="9" t="s">
        <v>671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503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3</v>
      </c>
      <c r="AJ189" s="10">
        <v>3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384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489</v>
      </c>
      <c r="L190" s="55"/>
      <c r="M190" s="9">
        <v>1</v>
      </c>
      <c r="N190" s="9">
        <v>15</v>
      </c>
      <c r="O190" s="9" t="s">
        <v>1016</v>
      </c>
      <c r="P190" s="55" t="s">
        <v>1359</v>
      </c>
      <c r="Q190" s="9" t="s">
        <v>671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503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5</v>
      </c>
      <c r="AJ190" s="10">
        <v>5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384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489</v>
      </c>
      <c r="L191" s="55"/>
      <c r="M191" s="9">
        <v>1</v>
      </c>
      <c r="N191" s="9">
        <v>15</v>
      </c>
      <c r="O191" s="9" t="s">
        <v>1016</v>
      </c>
      <c r="P191" s="55" t="s">
        <v>1359</v>
      </c>
      <c r="Q191" s="9" t="s">
        <v>671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503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8</v>
      </c>
      <c r="AJ191" s="10">
        <v>8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384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489</v>
      </c>
      <c r="L192" s="55"/>
      <c r="M192" s="9">
        <v>1</v>
      </c>
      <c r="N192" s="9">
        <v>15</v>
      </c>
      <c r="O192" s="9" t="s">
        <v>1016</v>
      </c>
      <c r="P192" s="55" t="s">
        <v>1359</v>
      </c>
      <c r="Q192" s="9" t="s">
        <v>671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503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10</v>
      </c>
      <c r="AJ192" s="10">
        <v>10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384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489</v>
      </c>
      <c r="L193" s="55"/>
      <c r="M193" s="9">
        <v>1</v>
      </c>
      <c r="N193" s="9">
        <v>15</v>
      </c>
      <c r="O193" s="9" t="s">
        <v>1016</v>
      </c>
      <c r="P193" s="55" t="s">
        <v>1359</v>
      </c>
      <c r="Q193" s="9" t="s">
        <v>671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503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15</v>
      </c>
      <c r="AJ193" s="10">
        <v>15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384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489</v>
      </c>
      <c r="L194" s="55"/>
      <c r="M194" s="9">
        <v>1</v>
      </c>
      <c r="N194" s="9">
        <v>15</v>
      </c>
      <c r="O194" s="9" t="s">
        <v>1016</v>
      </c>
      <c r="P194" s="55" t="s">
        <v>1359</v>
      </c>
      <c r="Q194" s="9" t="s">
        <v>671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503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30</v>
      </c>
      <c r="AJ194" s="10">
        <v>30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384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451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489</v>
      </c>
      <c r="L195" s="55"/>
      <c r="M195" s="9">
        <v>1</v>
      </c>
      <c r="N195" s="9">
        <v>15</v>
      </c>
      <c r="O195" s="9" t="s">
        <v>1016</v>
      </c>
      <c r="P195" s="55" t="s">
        <v>1359</v>
      </c>
      <c r="Q195" s="9" t="s">
        <v>671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503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</v>
      </c>
      <c r="AJ195" s="10">
        <v>30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384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489</v>
      </c>
      <c r="L196" s="55"/>
      <c r="M196" s="9">
        <v>1</v>
      </c>
      <c r="N196" s="9">
        <v>15</v>
      </c>
      <c r="O196" s="9" t="s">
        <v>1016</v>
      </c>
      <c r="P196" s="55" t="s">
        <v>1359</v>
      </c>
      <c r="Q196" s="9" t="s">
        <v>671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503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60</v>
      </c>
      <c r="AJ196" s="10">
        <v>60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384</v>
      </c>
      <c r="AS196" s="11">
        <v>185000</v>
      </c>
      <c r="AV196" s="11">
        <f ca="1">IFERROR(OFFSET(ITEM_RES!$A$1,MATCH(AW196,ITEM_RES!$J:$J,0)-1,0),0)</f>
        <v>211020901</v>
      </c>
      <c r="AW196" s="10" t="s">
        <v>385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489</v>
      </c>
      <c r="L197" s="55"/>
      <c r="M197" s="9">
        <v>1</v>
      </c>
      <c r="N197" s="9">
        <v>15</v>
      </c>
      <c r="O197" s="9" t="s">
        <v>1016</v>
      </c>
      <c r="P197" s="55" t="s">
        <v>1359</v>
      </c>
      <c r="Q197" s="9" t="s">
        <v>671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503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120</v>
      </c>
      <c r="AJ197" s="10">
        <v>120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384</v>
      </c>
      <c r="AS197" s="11">
        <v>310000</v>
      </c>
      <c r="AV197" s="11">
        <f ca="1">IFERROR(OFFSET(ITEM_RES!$A$1,MATCH(AW197,ITEM_RES!$J:$J,0)-1,0),0)</f>
        <v>211020901</v>
      </c>
      <c r="AW197" s="10" t="s">
        <v>385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489</v>
      </c>
      <c r="L198" s="55"/>
      <c r="M198" s="9">
        <v>1</v>
      </c>
      <c r="N198" s="9">
        <v>15</v>
      </c>
      <c r="O198" s="9" t="s">
        <v>1016</v>
      </c>
      <c r="P198" s="55" t="s">
        <v>1359</v>
      </c>
      <c r="Q198" s="9" t="s">
        <v>671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503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180</v>
      </c>
      <c r="AJ198" s="10">
        <v>180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384</v>
      </c>
      <c r="AS198" s="11">
        <v>485000</v>
      </c>
      <c r="AV198" s="11">
        <f ca="1">IFERROR(OFFSET(ITEM_RES!$A$1,MATCH(AW198,ITEM_RES!$J:$J,0)-1,0),0)</f>
        <v>211020901</v>
      </c>
      <c r="AW198" s="10" t="s">
        <v>385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489</v>
      </c>
      <c r="L199" s="55"/>
      <c r="M199" s="9">
        <v>1</v>
      </c>
      <c r="N199" s="9">
        <v>15</v>
      </c>
      <c r="O199" s="9" t="s">
        <v>1016</v>
      </c>
      <c r="P199" s="55" t="s">
        <v>1359</v>
      </c>
      <c r="Q199" s="9" t="s">
        <v>671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503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240</v>
      </c>
      <c r="AJ199" s="10">
        <v>240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384</v>
      </c>
      <c r="AS199" s="11">
        <v>1050000</v>
      </c>
      <c r="AV199" s="11">
        <f ca="1">IFERROR(OFFSET(ITEM_RES!$A$1,MATCH(AW199,ITEM_RES!$J:$J,0)-1,0),0)</f>
        <v>211020901</v>
      </c>
      <c r="AW199" s="10" t="s">
        <v>385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489</v>
      </c>
      <c r="L200" s="55"/>
      <c r="M200" s="9">
        <v>0</v>
      </c>
      <c r="N200" s="9">
        <v>15</v>
      </c>
      <c r="O200" s="9" t="s">
        <v>1016</v>
      </c>
      <c r="P200" s="55" t="s">
        <v>1359</v>
      </c>
      <c r="Q200" s="9" t="s">
        <v>671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503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300</v>
      </c>
      <c r="AJ200" s="10">
        <v>300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384</v>
      </c>
      <c r="AS200" s="11">
        <v>2150000</v>
      </c>
      <c r="AV200" s="11">
        <f ca="1">IFERROR(OFFSET(ITEM_RES!$A$1,MATCH(AW200,ITEM_RES!$J:$J,0)-1,0),0)</f>
        <v>211020901</v>
      </c>
      <c r="AW200" s="10" t="s">
        <v>385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489</v>
      </c>
      <c r="L201" s="55"/>
      <c r="M201" s="9">
        <v>0</v>
      </c>
      <c r="N201" s="9">
        <v>15</v>
      </c>
      <c r="O201" s="9" t="s">
        <v>1016</v>
      </c>
      <c r="P201" s="55" t="s">
        <v>1359</v>
      </c>
      <c r="Q201" s="9" t="s">
        <v>671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503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360</v>
      </c>
      <c r="AJ201" s="10">
        <v>360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384</v>
      </c>
      <c r="AS201" s="11">
        <v>4000000</v>
      </c>
      <c r="AV201" s="11">
        <f ca="1">IFERROR(OFFSET(ITEM_RES!$A$1,MATCH(AW201,ITEM_RES!$J:$J,0)-1,0),0)</f>
        <v>211020901</v>
      </c>
      <c r="AW201" s="10" t="s">
        <v>385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489</v>
      </c>
      <c r="L202" s="55"/>
      <c r="M202" s="9">
        <v>0</v>
      </c>
      <c r="N202" s="9">
        <v>15</v>
      </c>
      <c r="O202" s="9" t="s">
        <v>1016</v>
      </c>
      <c r="P202" s="55" t="s">
        <v>1359</v>
      </c>
      <c r="Q202" s="9" t="s">
        <v>671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503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420</v>
      </c>
      <c r="AJ202" s="10">
        <v>420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384</v>
      </c>
      <c r="AS202" s="11">
        <v>6500000</v>
      </c>
      <c r="AV202" s="11">
        <f ca="1">IFERROR(OFFSET(ITEM_RES!$A$1,MATCH(AW202,ITEM_RES!$J:$J,0)-1,0),0)</f>
        <v>211020901</v>
      </c>
      <c r="AW202" s="10" t="s">
        <v>385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489</v>
      </c>
      <c r="L203" s="55"/>
      <c r="M203" s="9">
        <v>0</v>
      </c>
      <c r="N203" s="9">
        <v>15</v>
      </c>
      <c r="O203" s="9" t="s">
        <v>1016</v>
      </c>
      <c r="P203" s="55" t="s">
        <v>1359</v>
      </c>
      <c r="Q203" s="9" t="s">
        <v>671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503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480</v>
      </c>
      <c r="AJ203" s="10">
        <v>480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385</v>
      </c>
      <c r="AS203" s="11">
        <v>10000000</v>
      </c>
      <c r="AV203" s="11">
        <f ca="1">IFERROR(OFFSET(ITEM_RES!$A$1,MATCH(AW203,ITEM_RES!$J:$J,0)-1,0),0)</f>
        <v>211020501</v>
      </c>
      <c r="AW203" s="10" t="s">
        <v>416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489</v>
      </c>
      <c r="L204" s="55"/>
      <c r="M204" s="9">
        <v>0</v>
      </c>
      <c r="N204" s="9">
        <v>15</v>
      </c>
      <c r="O204" s="9" t="s">
        <v>1016</v>
      </c>
      <c r="P204" s="55" t="s">
        <v>1359</v>
      </c>
      <c r="Q204" s="9" t="s">
        <v>671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503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540</v>
      </c>
      <c r="AJ204" s="10">
        <v>540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490</v>
      </c>
      <c r="AS204" s="11">
        <v>16000000</v>
      </c>
      <c r="AV204" s="11">
        <f ca="1">IFERROR(OFFSET(ITEM_RES!$A$1,MATCH(AW204,ITEM_RES!$J:$J,0)-1,0),0)</f>
        <v>211020501</v>
      </c>
      <c r="AW204" s="10" t="s">
        <v>416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553</v>
      </c>
      <c r="L205" s="62">
        <v>7</v>
      </c>
      <c r="M205" s="16">
        <v>1</v>
      </c>
      <c r="N205" s="16">
        <v>15</v>
      </c>
      <c r="O205" s="16" t="s">
        <v>1100</v>
      </c>
      <c r="P205" s="56" t="s">
        <v>1360</v>
      </c>
      <c r="Q205" s="16" t="s">
        <v>672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554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2</v>
      </c>
      <c r="AJ205" s="17">
        <v>2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384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387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553</v>
      </c>
      <c r="L206" s="55"/>
      <c r="M206" s="9">
        <v>1</v>
      </c>
      <c r="N206" s="9">
        <v>15</v>
      </c>
      <c r="O206" s="9" t="s">
        <v>1100</v>
      </c>
      <c r="P206" s="55" t="s">
        <v>1360</v>
      </c>
      <c r="Q206" s="9" t="s">
        <v>672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554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2</v>
      </c>
      <c r="AJ206" s="10">
        <v>2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384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553</v>
      </c>
      <c r="L207" s="55"/>
      <c r="M207" s="9">
        <v>1</v>
      </c>
      <c r="N207" s="9">
        <v>15</v>
      </c>
      <c r="O207" s="9" t="s">
        <v>1100</v>
      </c>
      <c r="P207" s="55" t="s">
        <v>1360</v>
      </c>
      <c r="Q207" s="9" t="s">
        <v>672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554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2</v>
      </c>
      <c r="AJ207" s="10">
        <v>2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384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553</v>
      </c>
      <c r="L208" s="55"/>
      <c r="M208" s="9">
        <v>1</v>
      </c>
      <c r="N208" s="9">
        <v>15</v>
      </c>
      <c r="O208" s="9" t="s">
        <v>1100</v>
      </c>
      <c r="P208" s="55" t="s">
        <v>1360</v>
      </c>
      <c r="Q208" s="9" t="s">
        <v>672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554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2</v>
      </c>
      <c r="AJ208" s="10">
        <v>2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384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553</v>
      </c>
      <c r="L209" s="55"/>
      <c r="M209" s="9">
        <v>1</v>
      </c>
      <c r="N209" s="9">
        <v>15</v>
      </c>
      <c r="O209" s="9" t="s">
        <v>1100</v>
      </c>
      <c r="P209" s="55" t="s">
        <v>1360</v>
      </c>
      <c r="Q209" s="9" t="s">
        <v>672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554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3</v>
      </c>
      <c r="AJ209" s="10">
        <v>3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384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553</v>
      </c>
      <c r="L210" s="55"/>
      <c r="M210" s="9">
        <v>1</v>
      </c>
      <c r="N210" s="9">
        <v>15</v>
      </c>
      <c r="O210" s="9" t="s">
        <v>1100</v>
      </c>
      <c r="P210" s="55" t="s">
        <v>1360</v>
      </c>
      <c r="Q210" s="9" t="s">
        <v>672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554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5</v>
      </c>
      <c r="AJ210" s="10">
        <v>5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384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553</v>
      </c>
      <c r="L211" s="55"/>
      <c r="M211" s="9">
        <v>1</v>
      </c>
      <c r="N211" s="9">
        <v>15</v>
      </c>
      <c r="O211" s="9" t="s">
        <v>1100</v>
      </c>
      <c r="P211" s="55" t="s">
        <v>1360</v>
      </c>
      <c r="Q211" s="9" t="s">
        <v>672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554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8</v>
      </c>
      <c r="AJ211" s="10">
        <v>8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384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553</v>
      </c>
      <c r="L212" s="55"/>
      <c r="M212" s="9">
        <v>1</v>
      </c>
      <c r="N212" s="9">
        <v>15</v>
      </c>
      <c r="O212" s="9" t="s">
        <v>1101</v>
      </c>
      <c r="P212" s="55" t="s">
        <v>1361</v>
      </c>
      <c r="Q212" s="9" t="s">
        <v>672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554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10</v>
      </c>
      <c r="AJ212" s="10">
        <v>10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384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553</v>
      </c>
      <c r="L213" s="55"/>
      <c r="M213" s="9">
        <v>1</v>
      </c>
      <c r="N213" s="9">
        <v>15</v>
      </c>
      <c r="O213" s="9" t="s">
        <v>1101</v>
      </c>
      <c r="P213" s="55" t="s">
        <v>1361</v>
      </c>
      <c r="Q213" s="9" t="s">
        <v>672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554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15</v>
      </c>
      <c r="AJ213" s="10">
        <v>15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384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553</v>
      </c>
      <c r="L214" s="55"/>
      <c r="M214" s="9">
        <v>1</v>
      </c>
      <c r="N214" s="9">
        <v>15</v>
      </c>
      <c r="O214" s="9" t="s">
        <v>1102</v>
      </c>
      <c r="P214" s="55" t="s">
        <v>1362</v>
      </c>
      <c r="Q214" s="9" t="s">
        <v>672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554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30</v>
      </c>
      <c r="AJ214" s="10">
        <v>30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384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450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553</v>
      </c>
      <c r="L215" s="55"/>
      <c r="M215" s="9">
        <v>1</v>
      </c>
      <c r="N215" s="9">
        <v>15</v>
      </c>
      <c r="O215" s="9" t="s">
        <v>1102</v>
      </c>
      <c r="P215" s="55" t="s">
        <v>1362</v>
      </c>
      <c r="Q215" s="9" t="s">
        <v>672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554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</v>
      </c>
      <c r="AJ215" s="10">
        <v>30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384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553</v>
      </c>
      <c r="L216" s="55"/>
      <c r="M216" s="9">
        <v>1</v>
      </c>
      <c r="N216" s="9">
        <v>15</v>
      </c>
      <c r="O216" s="9" t="s">
        <v>1102</v>
      </c>
      <c r="P216" s="55" t="s">
        <v>1362</v>
      </c>
      <c r="Q216" s="9" t="s">
        <v>672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554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60</v>
      </c>
      <c r="AJ216" s="10">
        <v>60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384</v>
      </c>
      <c r="AS216" s="11">
        <v>185000</v>
      </c>
      <c r="AV216" s="11">
        <f ca="1">IFERROR(OFFSET(ITEM_RES!$A$1,MATCH(AW216,ITEM_RES!$J:$J,0)-1,0),0)</f>
        <v>211020901</v>
      </c>
      <c r="AW216" s="10" t="s">
        <v>385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553</v>
      </c>
      <c r="L217" s="55"/>
      <c r="M217" s="9">
        <v>1</v>
      </c>
      <c r="N217" s="9">
        <v>15</v>
      </c>
      <c r="O217" s="9" t="s">
        <v>1102</v>
      </c>
      <c r="P217" s="55" t="s">
        <v>1362</v>
      </c>
      <c r="Q217" s="9" t="s">
        <v>672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554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120</v>
      </c>
      <c r="AJ217" s="10">
        <v>120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384</v>
      </c>
      <c r="AS217" s="11">
        <v>310000</v>
      </c>
      <c r="AV217" s="11">
        <f ca="1">IFERROR(OFFSET(ITEM_RES!$A$1,MATCH(AW217,ITEM_RES!$J:$J,0)-1,0),0)</f>
        <v>211020901</v>
      </c>
      <c r="AW217" s="10" t="s">
        <v>385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553</v>
      </c>
      <c r="L218" s="55"/>
      <c r="M218" s="9">
        <v>1</v>
      </c>
      <c r="N218" s="9">
        <v>15</v>
      </c>
      <c r="O218" s="9" t="s">
        <v>1102</v>
      </c>
      <c r="P218" s="55" t="s">
        <v>1362</v>
      </c>
      <c r="Q218" s="9" t="s">
        <v>672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554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180</v>
      </c>
      <c r="AJ218" s="10">
        <v>180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384</v>
      </c>
      <c r="AS218" s="11">
        <v>485000</v>
      </c>
      <c r="AV218" s="11">
        <f ca="1">IFERROR(OFFSET(ITEM_RES!$A$1,MATCH(AW218,ITEM_RES!$J:$J,0)-1,0),0)</f>
        <v>211020901</v>
      </c>
      <c r="AW218" s="10" t="s">
        <v>385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553</v>
      </c>
      <c r="L219" s="55"/>
      <c r="M219" s="9">
        <v>1</v>
      </c>
      <c r="N219" s="9">
        <v>15</v>
      </c>
      <c r="O219" s="9" t="s">
        <v>1102</v>
      </c>
      <c r="P219" s="55" t="s">
        <v>1362</v>
      </c>
      <c r="Q219" s="9" t="s">
        <v>672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554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240</v>
      </c>
      <c r="AJ219" s="10">
        <v>240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384</v>
      </c>
      <c r="AS219" s="11">
        <v>1050000</v>
      </c>
      <c r="AV219" s="11">
        <f ca="1">IFERROR(OFFSET(ITEM_RES!$A$1,MATCH(AW219,ITEM_RES!$J:$J,0)-1,0),0)</f>
        <v>211020901</v>
      </c>
      <c r="AW219" s="10" t="s">
        <v>385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553</v>
      </c>
      <c r="L220" s="55"/>
      <c r="M220" s="9">
        <v>0</v>
      </c>
      <c r="N220" s="9">
        <v>15</v>
      </c>
      <c r="O220" s="9" t="s">
        <v>1102</v>
      </c>
      <c r="P220" s="55" t="s">
        <v>1362</v>
      </c>
      <c r="Q220" s="9" t="s">
        <v>672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554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300</v>
      </c>
      <c r="AJ220" s="10">
        <v>300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384</v>
      </c>
      <c r="AS220" s="11">
        <v>2150000</v>
      </c>
      <c r="AV220" s="11">
        <f ca="1">IFERROR(OFFSET(ITEM_RES!$A$1,MATCH(AW220,ITEM_RES!$J:$J,0)-1,0),0)</f>
        <v>211020901</v>
      </c>
      <c r="AW220" s="10" t="s">
        <v>385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553</v>
      </c>
      <c r="L221" s="55"/>
      <c r="M221" s="9">
        <v>0</v>
      </c>
      <c r="N221" s="9">
        <v>15</v>
      </c>
      <c r="O221" s="9" t="s">
        <v>1102</v>
      </c>
      <c r="P221" s="55" t="s">
        <v>1362</v>
      </c>
      <c r="Q221" s="9" t="s">
        <v>672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554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360</v>
      </c>
      <c r="AJ221" s="10">
        <v>360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384</v>
      </c>
      <c r="AS221" s="11">
        <v>4000000</v>
      </c>
      <c r="AV221" s="11">
        <f ca="1">IFERROR(OFFSET(ITEM_RES!$A$1,MATCH(AW221,ITEM_RES!$J:$J,0)-1,0),0)</f>
        <v>211020901</v>
      </c>
      <c r="AW221" s="10" t="s">
        <v>385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553</v>
      </c>
      <c r="L222" s="55"/>
      <c r="M222" s="9">
        <v>0</v>
      </c>
      <c r="N222" s="9">
        <v>15</v>
      </c>
      <c r="O222" s="9" t="s">
        <v>1102</v>
      </c>
      <c r="P222" s="55" t="s">
        <v>1362</v>
      </c>
      <c r="Q222" s="9" t="s">
        <v>672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554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420</v>
      </c>
      <c r="AJ222" s="10">
        <v>420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384</v>
      </c>
      <c r="AS222" s="11">
        <v>6500000</v>
      </c>
      <c r="AV222" s="11">
        <f ca="1">IFERROR(OFFSET(ITEM_RES!$A$1,MATCH(AW222,ITEM_RES!$J:$J,0)-1,0),0)</f>
        <v>211020901</v>
      </c>
      <c r="AW222" s="10" t="s">
        <v>385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553</v>
      </c>
      <c r="L223" s="55"/>
      <c r="M223" s="9">
        <v>0</v>
      </c>
      <c r="N223" s="9">
        <v>15</v>
      </c>
      <c r="O223" s="9" t="s">
        <v>1102</v>
      </c>
      <c r="P223" s="55" t="s">
        <v>1362</v>
      </c>
      <c r="Q223" s="9" t="s">
        <v>672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554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480</v>
      </c>
      <c r="AJ223" s="10">
        <v>480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385</v>
      </c>
      <c r="AS223" s="11">
        <v>10000000</v>
      </c>
      <c r="AV223" s="11">
        <f ca="1">IFERROR(OFFSET(ITEM_RES!$A$1,MATCH(AW223,ITEM_RES!$J:$J,0)-1,0),0)</f>
        <v>211020501</v>
      </c>
      <c r="AW223" s="10" t="s">
        <v>416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553</v>
      </c>
      <c r="L224" s="55"/>
      <c r="M224" s="9">
        <v>0</v>
      </c>
      <c r="N224" s="9">
        <v>15</v>
      </c>
      <c r="O224" s="9" t="s">
        <v>1102</v>
      </c>
      <c r="P224" s="55" t="s">
        <v>1362</v>
      </c>
      <c r="Q224" s="9" t="s">
        <v>672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554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540</v>
      </c>
      <c r="AJ224" s="10">
        <v>540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385</v>
      </c>
      <c r="AS224" s="11">
        <v>16000000</v>
      </c>
      <c r="AV224" s="11">
        <f ca="1">IFERROR(OFFSET(ITEM_RES!$A$1,MATCH(AW224,ITEM_RES!$J:$J,0)-1,0),0)</f>
        <v>211020501</v>
      </c>
      <c r="AW224" s="10" t="s">
        <v>416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1269</v>
      </c>
      <c r="P225" s="56" t="s">
        <v>1363</v>
      </c>
      <c r="Q225" s="16" t="s">
        <v>673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504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2</v>
      </c>
      <c r="AJ225" s="17">
        <v>2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415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1060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440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1269</v>
      </c>
      <c r="P226" s="55" t="s">
        <v>1363</v>
      </c>
      <c r="Q226" s="9" t="s">
        <v>673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504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2</v>
      </c>
      <c r="AJ226" s="10">
        <v>2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415</v>
      </c>
      <c r="AS226" s="11">
        <v>40</v>
      </c>
      <c r="AV226" s="11">
        <f ca="1">IFERROR(OFFSET(ITEM_RES!$A$1,MATCH(AW226,ITEM_RES!$J:$J,0)-1,0),0)</f>
        <v>211020801</v>
      </c>
      <c r="AW226" s="10" t="s">
        <v>1060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1270</v>
      </c>
      <c r="P227" s="55" t="s">
        <v>1364</v>
      </c>
      <c r="Q227" s="9" t="s">
        <v>673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504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2</v>
      </c>
      <c r="AJ227" s="10">
        <v>2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415</v>
      </c>
      <c r="AS227" s="11">
        <v>60</v>
      </c>
      <c r="AV227" s="11">
        <f ca="1">IFERROR(OFFSET(ITEM_RES!$A$1,MATCH(AW227,ITEM_RES!$J:$J,0)-1,0),0)</f>
        <v>211020801</v>
      </c>
      <c r="AW227" s="10" t="s">
        <v>1060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1270</v>
      </c>
      <c r="P228" s="55" t="s">
        <v>1364</v>
      </c>
      <c r="Q228" s="9" t="s">
        <v>673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504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2</v>
      </c>
      <c r="AJ228" s="10">
        <v>2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415</v>
      </c>
      <c r="AS228" s="11">
        <v>240</v>
      </c>
      <c r="AV228" s="11">
        <f ca="1">IFERROR(OFFSET(ITEM_RES!$A$1,MATCH(AW228,ITEM_RES!$J:$J,0)-1,0),0)</f>
        <v>211020801</v>
      </c>
      <c r="AW228" s="10" t="s">
        <v>1060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1271</v>
      </c>
      <c r="P229" s="55" t="s">
        <v>1365</v>
      </c>
      <c r="Q229" s="9" t="s">
        <v>673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504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3</v>
      </c>
      <c r="AJ229" s="10">
        <v>3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415</v>
      </c>
      <c r="AS229" s="11">
        <v>1080</v>
      </c>
      <c r="AV229" s="11">
        <f ca="1">IFERROR(OFFSET(ITEM_RES!$A$1,MATCH(AW229,ITEM_RES!$J:$J,0)-1,0),0)</f>
        <v>211020801</v>
      </c>
      <c r="AW229" s="10" t="s">
        <v>1060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1271</v>
      </c>
      <c r="P230" s="55" t="s">
        <v>1365</v>
      </c>
      <c r="Q230" s="9" t="s">
        <v>673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504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5</v>
      </c>
      <c r="AJ230" s="10">
        <v>5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415</v>
      </c>
      <c r="AS230" s="11">
        <v>3600</v>
      </c>
      <c r="AV230" s="11">
        <f ca="1">IFERROR(OFFSET(ITEM_RES!$A$1,MATCH(AW230,ITEM_RES!$J:$J,0)-1,0),0)</f>
        <v>211020801</v>
      </c>
      <c r="AW230" s="10" t="s">
        <v>1060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1272</v>
      </c>
      <c r="P231" s="55" t="s">
        <v>1366</v>
      </c>
      <c r="Q231" s="9" t="s">
        <v>673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504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8</v>
      </c>
      <c r="AJ231" s="10">
        <v>8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415</v>
      </c>
      <c r="AS231" s="11">
        <v>8000</v>
      </c>
      <c r="AV231" s="11">
        <f ca="1">IFERROR(OFFSET(ITEM_RES!$A$1,MATCH(AW231,ITEM_RES!$J:$J,0)-1,0),0)</f>
        <v>211020801</v>
      </c>
      <c r="AW231" s="10" t="s">
        <v>1060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1272</v>
      </c>
      <c r="P232" s="55" t="s">
        <v>1366</v>
      </c>
      <c r="Q232" s="9" t="s">
        <v>673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504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10</v>
      </c>
      <c r="AJ232" s="10">
        <v>10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415</v>
      </c>
      <c r="AS232" s="11">
        <v>16800</v>
      </c>
      <c r="AV232" s="11">
        <f ca="1">IFERROR(OFFSET(ITEM_RES!$A$1,MATCH(AW232,ITEM_RES!$J:$J,0)-1,0),0)</f>
        <v>211020801</v>
      </c>
      <c r="AW232" s="10" t="s">
        <v>1060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1274</v>
      </c>
      <c r="P233" s="55" t="s">
        <v>1367</v>
      </c>
      <c r="Q233" s="9" t="s">
        <v>673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504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15</v>
      </c>
      <c r="AJ233" s="10">
        <v>15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415</v>
      </c>
      <c r="AS233" s="11">
        <v>31200</v>
      </c>
      <c r="AV233" s="11">
        <f ca="1">IFERROR(OFFSET(ITEM_RES!$A$1,MATCH(AW233,ITEM_RES!$J:$J,0)-1,0),0)</f>
        <v>211020801</v>
      </c>
      <c r="AW233" s="10" t="s">
        <v>1060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1275</v>
      </c>
      <c r="P234" s="55" t="s">
        <v>1367</v>
      </c>
      <c r="Q234" s="9" t="s">
        <v>673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504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30</v>
      </c>
      <c r="AJ234" s="10">
        <v>30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415</v>
      </c>
      <c r="AS234" s="11">
        <v>52000</v>
      </c>
      <c r="AV234" s="11">
        <f ca="1">IFERROR(OFFSET(ITEM_RES!$A$1,MATCH(AW234,ITEM_RES!$J:$J,0)-1,0),0)</f>
        <v>211020801</v>
      </c>
      <c r="AW234" s="10" t="s">
        <v>1060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491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1273</v>
      </c>
      <c r="P235" s="55" t="s">
        <v>1367</v>
      </c>
      <c r="Q235" s="9" t="s">
        <v>673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504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</v>
      </c>
      <c r="AJ235" s="10">
        <v>30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415</v>
      </c>
      <c r="AS235" s="11">
        <v>88000</v>
      </c>
      <c r="AV235" s="11">
        <f ca="1">IFERROR(OFFSET(ITEM_RES!$A$1,MATCH(AW235,ITEM_RES!$J:$J,0)-1,0),0)</f>
        <v>211020801</v>
      </c>
      <c r="AW235" s="10" t="s">
        <v>1060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1273</v>
      </c>
      <c r="P236" s="55" t="s">
        <v>1367</v>
      </c>
      <c r="Q236" s="9" t="s">
        <v>674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504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</v>
      </c>
      <c r="AJ236" s="10">
        <v>60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415</v>
      </c>
      <c r="AS236" s="11">
        <v>148000</v>
      </c>
      <c r="AV236" s="11">
        <f ca="1">IFERROR(OFFSET(ITEM_RES!$A$1,MATCH(AW236,ITEM_RES!$J:$J,0)-1,0),0)</f>
        <v>211020801</v>
      </c>
      <c r="AW236" s="10" t="s">
        <v>1060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1273</v>
      </c>
      <c r="P237" s="55" t="s">
        <v>1367</v>
      </c>
      <c r="Q237" s="9" t="s">
        <v>674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504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120</v>
      </c>
      <c r="AJ237" s="10">
        <v>120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415</v>
      </c>
      <c r="AS237" s="11">
        <v>248000</v>
      </c>
      <c r="AV237" s="11">
        <f ca="1">IFERROR(OFFSET(ITEM_RES!$A$1,MATCH(AW237,ITEM_RES!$J:$J,0)-1,0),0)</f>
        <v>211020801</v>
      </c>
      <c r="AW237" s="10" t="s">
        <v>1060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1273</v>
      </c>
      <c r="P238" s="55" t="s">
        <v>1367</v>
      </c>
      <c r="Q238" s="9" t="s">
        <v>674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504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180</v>
      </c>
      <c r="AJ238" s="10">
        <v>180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415</v>
      </c>
      <c r="AS238" s="11">
        <v>388000</v>
      </c>
      <c r="AV238" s="11">
        <f ca="1">IFERROR(OFFSET(ITEM_RES!$A$1,MATCH(AW238,ITEM_RES!$J:$J,0)-1,0),0)</f>
        <v>211020901</v>
      </c>
      <c r="AW238" s="10" t="s">
        <v>1061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1273</v>
      </c>
      <c r="P239" s="55" t="s">
        <v>1367</v>
      </c>
      <c r="Q239" s="9" t="s">
        <v>674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504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240</v>
      </c>
      <c r="AJ239" s="10">
        <v>240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415</v>
      </c>
      <c r="AS239" s="11">
        <v>840000</v>
      </c>
      <c r="AV239" s="11">
        <f ca="1">IFERROR(OFFSET(ITEM_RES!$A$1,MATCH(AW239,ITEM_RES!$J:$J,0)-1,0),0)</f>
        <v>211020901</v>
      </c>
      <c r="AW239" s="10" t="s">
        <v>1061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1273</v>
      </c>
      <c r="P240" s="55" t="s">
        <v>1367</v>
      </c>
      <c r="Q240" s="9" t="s">
        <v>674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504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300</v>
      </c>
      <c r="AJ240" s="10">
        <v>300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416</v>
      </c>
      <c r="AS240" s="11">
        <v>1720000</v>
      </c>
      <c r="AV240" s="11">
        <f ca="1">IFERROR(OFFSET(ITEM_RES!$A$1,MATCH(AW240,ITEM_RES!$J:$J,0)-1,0),0)</f>
        <v>211020901</v>
      </c>
      <c r="AW240" s="10" t="s">
        <v>1061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1273</v>
      </c>
      <c r="P241" s="55" t="s">
        <v>1367</v>
      </c>
      <c r="Q241" s="9" t="s">
        <v>674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504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360</v>
      </c>
      <c r="AJ241" s="10">
        <v>360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416</v>
      </c>
      <c r="AS241" s="11">
        <v>3200000</v>
      </c>
      <c r="AV241" s="11">
        <f ca="1">IFERROR(OFFSET(ITEM_RES!$A$1,MATCH(AW241,ITEM_RES!$J:$J,0)-1,0),0)</f>
        <v>211020901</v>
      </c>
      <c r="AW241" s="10" t="s">
        <v>1061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1273</v>
      </c>
      <c r="P242" s="55" t="s">
        <v>1367</v>
      </c>
      <c r="Q242" s="9" t="s">
        <v>674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504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420</v>
      </c>
      <c r="AJ242" s="10">
        <v>420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416</v>
      </c>
      <c r="AS242" s="11">
        <v>5200000</v>
      </c>
      <c r="AV242" s="11">
        <f ca="1">IFERROR(OFFSET(ITEM_RES!$A$1,MATCH(AW242,ITEM_RES!$J:$J,0)-1,0),0)</f>
        <v>211020901</v>
      </c>
      <c r="AW242" s="10" t="s">
        <v>1061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1273</v>
      </c>
      <c r="P243" s="55" t="s">
        <v>1367</v>
      </c>
      <c r="Q243" s="9" t="s">
        <v>674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504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480</v>
      </c>
      <c r="AJ243" s="10">
        <v>480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416</v>
      </c>
      <c r="AS243" s="11">
        <v>8000000</v>
      </c>
      <c r="AV243" s="11">
        <f ca="1">IFERROR(OFFSET(ITEM_RES!$A$1,MATCH(AW243,ITEM_RES!$J:$J,0)-1,0),0)</f>
        <v>211020901</v>
      </c>
      <c r="AW243" s="10" t="s">
        <v>1061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1273</v>
      </c>
      <c r="P244" s="55" t="s">
        <v>1367</v>
      </c>
      <c r="Q244" s="9" t="s">
        <v>674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504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540</v>
      </c>
      <c r="AJ244" s="10">
        <v>540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416</v>
      </c>
      <c r="AS244" s="11">
        <v>12800000</v>
      </c>
      <c r="AV244" s="11">
        <f ca="1">IFERROR(OFFSET(ITEM_RES!$A$1,MATCH(AW244,ITEM_RES!$J:$J,0)-1,0),0)</f>
        <v>211020901</v>
      </c>
      <c r="AW244" s="10" t="s">
        <v>1061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1103</v>
      </c>
      <c r="P245" s="56" t="s">
        <v>1368</v>
      </c>
      <c r="Q245" s="16" t="s">
        <v>675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505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2</v>
      </c>
      <c r="AJ245" s="17">
        <v>2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425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440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1104</v>
      </c>
      <c r="P246" s="55" t="s">
        <v>1368</v>
      </c>
      <c r="Q246" s="9" t="s">
        <v>675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505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2</v>
      </c>
      <c r="AJ246" s="10">
        <v>2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425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1105</v>
      </c>
      <c r="P247" s="55" t="s">
        <v>1369</v>
      </c>
      <c r="Q247" s="9" t="s">
        <v>675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505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2</v>
      </c>
      <c r="AJ247" s="10">
        <v>2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425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1105</v>
      </c>
      <c r="P248" s="55" t="s">
        <v>1369</v>
      </c>
      <c r="Q248" s="9" t="s">
        <v>675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505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2</v>
      </c>
      <c r="AJ248" s="10">
        <v>2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425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1106</v>
      </c>
      <c r="P249" s="55" t="s">
        <v>1370</v>
      </c>
      <c r="Q249" s="9" t="s">
        <v>675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505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3</v>
      </c>
      <c r="AJ249" s="10">
        <v>3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425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1107</v>
      </c>
      <c r="P250" s="55" t="s">
        <v>1370</v>
      </c>
      <c r="Q250" s="9" t="s">
        <v>675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505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5</v>
      </c>
      <c r="AJ250" s="10">
        <v>5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425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1108</v>
      </c>
      <c r="P251" s="55" t="s">
        <v>1371</v>
      </c>
      <c r="Q251" s="9" t="s">
        <v>675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505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8</v>
      </c>
      <c r="AJ251" s="10">
        <v>8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425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1108</v>
      </c>
      <c r="P252" s="55" t="s">
        <v>1371</v>
      </c>
      <c r="Q252" s="9" t="s">
        <v>675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505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10</v>
      </c>
      <c r="AJ252" s="10">
        <v>10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425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1423</v>
      </c>
      <c r="P253" s="55" t="s">
        <v>1425</v>
      </c>
      <c r="Q253" s="9" t="s">
        <v>675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505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15</v>
      </c>
      <c r="AJ253" s="10">
        <v>15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425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1423</v>
      </c>
      <c r="P254" s="55" t="s">
        <v>1425</v>
      </c>
      <c r="Q254" s="9" t="s">
        <v>675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505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30</v>
      </c>
      <c r="AJ254" s="10">
        <v>30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425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452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1422</v>
      </c>
      <c r="P255" s="55" t="s">
        <v>1424</v>
      </c>
      <c r="Q255" s="9" t="s">
        <v>675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505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</v>
      </c>
      <c r="AJ255" s="10">
        <v>30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425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1422</v>
      </c>
      <c r="P256" s="55" t="s">
        <v>1424</v>
      </c>
      <c r="Q256" s="9" t="s">
        <v>675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505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</v>
      </c>
      <c r="AJ256" s="10">
        <v>60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425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1422</v>
      </c>
      <c r="P257" s="55" t="s">
        <v>1424</v>
      </c>
      <c r="Q257" s="9" t="s">
        <v>675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505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120</v>
      </c>
      <c r="AJ257" s="10">
        <v>120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434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1422</v>
      </c>
      <c r="P258" s="55" t="s">
        <v>1424</v>
      </c>
      <c r="Q258" s="9" t="s">
        <v>675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505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180</v>
      </c>
      <c r="AJ258" s="10">
        <v>180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434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1422</v>
      </c>
      <c r="P259" s="55" t="s">
        <v>1424</v>
      </c>
      <c r="Q259" s="9" t="s">
        <v>675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505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240</v>
      </c>
      <c r="AJ259" s="10">
        <v>240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434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1422</v>
      </c>
      <c r="P260" s="55" t="s">
        <v>1424</v>
      </c>
      <c r="Q260" s="9" t="s">
        <v>675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505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300</v>
      </c>
      <c r="AJ260" s="10">
        <v>300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434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1422</v>
      </c>
      <c r="P261" s="55" t="s">
        <v>1424</v>
      </c>
      <c r="Q261" s="9" t="s">
        <v>675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505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360</v>
      </c>
      <c r="AJ261" s="10">
        <v>360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434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1422</v>
      </c>
      <c r="P262" s="55" t="s">
        <v>1424</v>
      </c>
      <c r="Q262" s="9" t="s">
        <v>675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505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420</v>
      </c>
      <c r="AJ262" s="10">
        <v>420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434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1422</v>
      </c>
      <c r="P263" s="55" t="s">
        <v>1424</v>
      </c>
      <c r="Q263" s="9" t="s">
        <v>675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505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480</v>
      </c>
      <c r="AJ263" s="10">
        <v>480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434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1422</v>
      </c>
      <c r="P264" s="55" t="s">
        <v>1424</v>
      </c>
      <c r="Q264" s="9" t="s">
        <v>675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505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540</v>
      </c>
      <c r="AJ264" s="10">
        <v>540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434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676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506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2</v>
      </c>
      <c r="AJ265" s="17">
        <v>2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425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415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440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676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506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2</v>
      </c>
      <c r="AJ266" s="10">
        <v>2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425</v>
      </c>
      <c r="AS266" s="11">
        <v>100</v>
      </c>
      <c r="AV266" s="11">
        <f ca="1">IFERROR(OFFSET(ITEM_RES!$A$1,MATCH(AW266,ITEM_RES!$J:$J,0)-1,0),0)</f>
        <v>211020401</v>
      </c>
      <c r="AW266" s="10" t="s">
        <v>415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676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506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2</v>
      </c>
      <c r="AJ267" s="10">
        <v>2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425</v>
      </c>
      <c r="AS267" s="11">
        <v>150</v>
      </c>
      <c r="AV267" s="11">
        <f ca="1">IFERROR(OFFSET(ITEM_RES!$A$1,MATCH(AW267,ITEM_RES!$J:$J,0)-1,0),0)</f>
        <v>211020401</v>
      </c>
      <c r="AW267" s="10" t="s">
        <v>415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676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506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2</v>
      </c>
      <c r="AJ268" s="10">
        <v>2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425</v>
      </c>
      <c r="AS268" s="11">
        <v>600</v>
      </c>
      <c r="AV268" s="11">
        <f ca="1">IFERROR(OFFSET(ITEM_RES!$A$1,MATCH(AW268,ITEM_RES!$J:$J,0)-1,0),0)</f>
        <v>211020401</v>
      </c>
      <c r="AW268" s="10" t="s">
        <v>415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676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506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3</v>
      </c>
      <c r="AJ269" s="10">
        <v>3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425</v>
      </c>
      <c r="AS269" s="11">
        <v>2700</v>
      </c>
      <c r="AV269" s="11">
        <f ca="1">IFERROR(OFFSET(ITEM_RES!$A$1,MATCH(AW269,ITEM_RES!$J:$J,0)-1,0),0)</f>
        <v>211020401</v>
      </c>
      <c r="AW269" s="10" t="s">
        <v>415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676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506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5</v>
      </c>
      <c r="AJ270" s="10">
        <v>5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425</v>
      </c>
      <c r="AS270" s="11">
        <v>9000</v>
      </c>
      <c r="AV270" s="11">
        <f ca="1">IFERROR(OFFSET(ITEM_RES!$A$1,MATCH(AW270,ITEM_RES!$J:$J,0)-1,0),0)</f>
        <v>211020401</v>
      </c>
      <c r="AW270" s="10" t="s">
        <v>415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676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506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8</v>
      </c>
      <c r="AJ271" s="10">
        <v>8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425</v>
      </c>
      <c r="AS271" s="11">
        <v>20000</v>
      </c>
      <c r="AV271" s="11">
        <f ca="1">IFERROR(OFFSET(ITEM_RES!$A$1,MATCH(AW271,ITEM_RES!$J:$J,0)-1,0),0)</f>
        <v>211020401</v>
      </c>
      <c r="AW271" s="10" t="s">
        <v>415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676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506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10</v>
      </c>
      <c r="AJ272" s="10">
        <v>10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425</v>
      </c>
      <c r="AS272" s="11">
        <v>42000</v>
      </c>
      <c r="AV272" s="11">
        <f ca="1">IFERROR(OFFSET(ITEM_RES!$A$1,MATCH(AW272,ITEM_RES!$J:$J,0)-1,0),0)</f>
        <v>211020401</v>
      </c>
      <c r="AW272" s="10" t="s">
        <v>415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452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676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506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15</v>
      </c>
      <c r="AJ273" s="10">
        <v>15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425</v>
      </c>
      <c r="AS273" s="11">
        <v>78000</v>
      </c>
      <c r="AV273" s="11">
        <f ca="1">IFERROR(OFFSET(ITEM_RES!$A$1,MATCH(AW273,ITEM_RES!$J:$J,0)-1,0),0)</f>
        <v>211020401</v>
      </c>
      <c r="AW273" s="10" t="s">
        <v>415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676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506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30</v>
      </c>
      <c r="AJ274" s="10">
        <v>30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425</v>
      </c>
      <c r="AS274" s="11">
        <v>130000</v>
      </c>
      <c r="AV274" s="11">
        <f ca="1">IFERROR(OFFSET(ITEM_RES!$A$1,MATCH(AW274,ITEM_RES!$J:$J,0)-1,0),0)</f>
        <v>211020401</v>
      </c>
      <c r="AW274" s="10" t="s">
        <v>415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676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506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</v>
      </c>
      <c r="AJ275" s="10">
        <v>30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425</v>
      </c>
      <c r="AS275" s="11">
        <v>220000</v>
      </c>
      <c r="AV275" s="11">
        <f ca="1">IFERROR(OFFSET(ITEM_RES!$A$1,MATCH(AW275,ITEM_RES!$J:$J,0)-1,0),0)</f>
        <v>211020401</v>
      </c>
      <c r="AW275" s="10" t="s">
        <v>415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676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506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</v>
      </c>
      <c r="AJ276" s="10">
        <v>60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425</v>
      </c>
      <c r="AS276" s="11">
        <v>370000</v>
      </c>
      <c r="AV276" s="11">
        <f ca="1">IFERROR(OFFSET(ITEM_RES!$A$1,MATCH(AW276,ITEM_RES!$J:$J,0)-1,0),0)</f>
        <v>211020401</v>
      </c>
      <c r="AW276" s="10" t="s">
        <v>415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676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506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120</v>
      </c>
      <c r="AJ277" s="10">
        <v>120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425</v>
      </c>
      <c r="AS277" s="11">
        <v>620000</v>
      </c>
      <c r="AV277" s="11">
        <f ca="1">IFERROR(OFFSET(ITEM_RES!$A$1,MATCH(AW277,ITEM_RES!$J:$J,0)-1,0),0)</f>
        <v>211020401</v>
      </c>
      <c r="AW277" s="10" t="s">
        <v>415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676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506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</v>
      </c>
      <c r="AJ278" s="10">
        <v>180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425</v>
      </c>
      <c r="AS278" s="11">
        <v>970000</v>
      </c>
      <c r="AV278" s="11">
        <f ca="1">IFERROR(OFFSET(ITEM_RES!$A$1,MATCH(AW278,ITEM_RES!$J:$J,0)-1,0),0)</f>
        <v>211020401</v>
      </c>
      <c r="AW278" s="10" t="s">
        <v>415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676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506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240</v>
      </c>
      <c r="AJ279" s="10">
        <v>240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425</v>
      </c>
      <c r="AS279" s="11">
        <v>2100000</v>
      </c>
      <c r="AV279" s="11">
        <f ca="1">IFERROR(OFFSET(ITEM_RES!$A$1,MATCH(AW279,ITEM_RES!$J:$J,0)-1,0),0)</f>
        <v>211020401</v>
      </c>
      <c r="AW279" s="10" t="s">
        <v>426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676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506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</v>
      </c>
      <c r="AJ280" s="10">
        <v>300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425</v>
      </c>
      <c r="AS280" s="11">
        <v>4300000</v>
      </c>
      <c r="AV280" s="11">
        <f ca="1">IFERROR(OFFSET(ITEM_RES!$A$1,MATCH(AW280,ITEM_RES!$J:$J,0)-1,0),0)</f>
        <v>211020401</v>
      </c>
      <c r="AW280" s="10" t="s">
        <v>426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676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506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360</v>
      </c>
      <c r="AJ281" s="10">
        <v>360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433</v>
      </c>
      <c r="AS281" s="11">
        <v>8000000</v>
      </c>
      <c r="AV281" s="11">
        <f ca="1">IFERROR(OFFSET(ITEM_RES!$A$1,MATCH(AW281,ITEM_RES!$J:$J,0)-1,0),0)</f>
        <v>211020401</v>
      </c>
      <c r="AW281" s="10" t="s">
        <v>426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676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506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420</v>
      </c>
      <c r="AJ282" s="10">
        <v>420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433</v>
      </c>
      <c r="AS282" s="11">
        <v>13000000</v>
      </c>
      <c r="AV282" s="11">
        <f ca="1">IFERROR(OFFSET(ITEM_RES!$A$1,MATCH(AW282,ITEM_RES!$J:$J,0)-1,0),0)</f>
        <v>211020501</v>
      </c>
      <c r="AW282" s="10" t="s">
        <v>416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676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506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480</v>
      </c>
      <c r="AJ283" s="10">
        <v>480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433</v>
      </c>
      <c r="AS283" s="11">
        <v>20000000</v>
      </c>
      <c r="AV283" s="11">
        <f ca="1">IFERROR(OFFSET(ITEM_RES!$A$1,MATCH(AW283,ITEM_RES!$J:$J,0)-1,0),0)</f>
        <v>211020501</v>
      </c>
      <c r="AW283" s="10" t="s">
        <v>416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676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506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540</v>
      </c>
      <c r="AJ284" s="10">
        <v>540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433</v>
      </c>
      <c r="AS284" s="11">
        <v>32000000</v>
      </c>
      <c r="AV284" s="11">
        <f ca="1">IFERROR(OFFSET(ITEM_RES!$A$1,MATCH(AW284,ITEM_RES!$J:$J,0)-1,0),0)</f>
        <v>211020501</v>
      </c>
      <c r="AW284" s="10" t="s">
        <v>416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1019</v>
      </c>
      <c r="L285" s="16">
        <v>20</v>
      </c>
      <c r="M285" s="16">
        <v>1</v>
      </c>
      <c r="N285" s="16">
        <v>15</v>
      </c>
      <c r="O285" s="137" t="s">
        <v>1025</v>
      </c>
      <c r="P285" s="56" t="s">
        <v>1372</v>
      </c>
      <c r="Q285" s="16" t="s">
        <v>1020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1024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2</v>
      </c>
      <c r="AJ285" s="17">
        <v>2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384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1019</v>
      </c>
      <c r="M286" s="9">
        <v>1</v>
      </c>
      <c r="N286" s="9">
        <v>15</v>
      </c>
      <c r="O286" s="138" t="s">
        <v>1025</v>
      </c>
      <c r="P286" s="55" t="s">
        <v>1372</v>
      </c>
      <c r="Q286" s="9" t="s">
        <v>1020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1023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2</v>
      </c>
      <c r="AJ286" s="10">
        <v>2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384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1019</v>
      </c>
      <c r="M287" s="9">
        <v>1</v>
      </c>
      <c r="N287" s="9">
        <v>15</v>
      </c>
      <c r="O287" s="138" t="s">
        <v>1025</v>
      </c>
      <c r="P287" s="55" t="s">
        <v>1372</v>
      </c>
      <c r="Q287" s="9" t="s">
        <v>1020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1023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2</v>
      </c>
      <c r="AJ287" s="10">
        <v>2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384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1019</v>
      </c>
      <c r="M288" s="9">
        <v>1</v>
      </c>
      <c r="N288" s="9">
        <v>15</v>
      </c>
      <c r="O288" s="138" t="s">
        <v>1025</v>
      </c>
      <c r="P288" s="55" t="s">
        <v>1372</v>
      </c>
      <c r="Q288" s="9" t="s">
        <v>1020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1023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2</v>
      </c>
      <c r="AJ288" s="10">
        <v>2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384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1019</v>
      </c>
      <c r="M289" s="9">
        <v>1</v>
      </c>
      <c r="N289" s="9">
        <v>15</v>
      </c>
      <c r="O289" s="138" t="s">
        <v>1025</v>
      </c>
      <c r="P289" s="55" t="s">
        <v>1372</v>
      </c>
      <c r="Q289" s="9" t="s">
        <v>1020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1023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3</v>
      </c>
      <c r="AJ289" s="10">
        <v>3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384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1019</v>
      </c>
      <c r="M290" s="9">
        <v>1</v>
      </c>
      <c r="N290" s="9">
        <v>15</v>
      </c>
      <c r="O290" s="138" t="s">
        <v>1025</v>
      </c>
      <c r="P290" s="55" t="s">
        <v>1372</v>
      </c>
      <c r="Q290" s="9" t="s">
        <v>1020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1023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5</v>
      </c>
      <c r="AJ290" s="10">
        <v>5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384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1019</v>
      </c>
      <c r="M291" s="9">
        <v>1</v>
      </c>
      <c r="N291" s="9">
        <v>15</v>
      </c>
      <c r="O291" s="138" t="s">
        <v>1025</v>
      </c>
      <c r="P291" s="55" t="s">
        <v>1372</v>
      </c>
      <c r="Q291" s="9" t="s">
        <v>1020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1023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8</v>
      </c>
      <c r="AJ291" s="10">
        <v>8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384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1019</v>
      </c>
      <c r="M292" s="9">
        <v>1</v>
      </c>
      <c r="N292" s="9">
        <v>15</v>
      </c>
      <c r="O292" s="138" t="s">
        <v>1025</v>
      </c>
      <c r="P292" s="55" t="s">
        <v>1372</v>
      </c>
      <c r="Q292" s="9" t="s">
        <v>1020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1023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10</v>
      </c>
      <c r="AJ292" s="10">
        <v>10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384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444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1019</v>
      </c>
      <c r="M293" s="9">
        <v>1</v>
      </c>
      <c r="N293" s="9">
        <v>15</v>
      </c>
      <c r="O293" s="138" t="s">
        <v>1025</v>
      </c>
      <c r="P293" s="55" t="s">
        <v>1372</v>
      </c>
      <c r="Q293" s="9" t="s">
        <v>1020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1023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15</v>
      </c>
      <c r="AJ293" s="10">
        <v>15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384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1019</v>
      </c>
      <c r="M294" s="9">
        <v>1</v>
      </c>
      <c r="N294" s="9">
        <v>15</v>
      </c>
      <c r="O294" s="138" t="s">
        <v>1025</v>
      </c>
      <c r="P294" s="55" t="s">
        <v>1372</v>
      </c>
      <c r="Q294" s="9" t="s">
        <v>1020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1023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30</v>
      </c>
      <c r="AJ294" s="10">
        <v>30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384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1019</v>
      </c>
      <c r="M295" s="9">
        <v>1</v>
      </c>
      <c r="N295" s="9">
        <v>15</v>
      </c>
      <c r="O295" s="138" t="s">
        <v>1025</v>
      </c>
      <c r="P295" s="55" t="s">
        <v>1372</v>
      </c>
      <c r="Q295" s="9" t="s">
        <v>1020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1023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</v>
      </c>
      <c r="AJ295" s="10">
        <v>30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384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1019</v>
      </c>
      <c r="M296" s="9">
        <v>1</v>
      </c>
      <c r="N296" s="9">
        <v>15</v>
      </c>
      <c r="O296" s="138" t="s">
        <v>1025</v>
      </c>
      <c r="P296" s="55" t="s">
        <v>1372</v>
      </c>
      <c r="Q296" s="9" t="s">
        <v>1020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1023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</v>
      </c>
      <c r="AJ296" s="10">
        <v>60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384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1019</v>
      </c>
      <c r="M297" s="9">
        <v>1</v>
      </c>
      <c r="N297" s="9">
        <v>15</v>
      </c>
      <c r="O297" s="138" t="s">
        <v>1025</v>
      </c>
      <c r="P297" s="55" t="s">
        <v>1372</v>
      </c>
      <c r="Q297" s="9" t="s">
        <v>1020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1023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120</v>
      </c>
      <c r="AJ297" s="10">
        <v>120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384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1019</v>
      </c>
      <c r="M298" s="9">
        <v>1</v>
      </c>
      <c r="N298" s="9">
        <v>15</v>
      </c>
      <c r="O298" s="138" t="s">
        <v>1025</v>
      </c>
      <c r="P298" s="55" t="s">
        <v>1372</v>
      </c>
      <c r="Q298" s="9" t="s">
        <v>1020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1023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</v>
      </c>
      <c r="AJ298" s="10">
        <v>180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384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1019</v>
      </c>
      <c r="M299" s="9">
        <v>1</v>
      </c>
      <c r="N299" s="9">
        <v>15</v>
      </c>
      <c r="O299" s="138" t="s">
        <v>1025</v>
      </c>
      <c r="P299" s="55" t="s">
        <v>1372</v>
      </c>
      <c r="Q299" s="9" t="s">
        <v>1020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1023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240</v>
      </c>
      <c r="AJ299" s="10">
        <v>240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384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1019</v>
      </c>
      <c r="M300" s="9">
        <v>0</v>
      </c>
      <c r="N300" s="9">
        <v>15</v>
      </c>
      <c r="O300" s="138" t="s">
        <v>1025</v>
      </c>
      <c r="P300" s="55" t="s">
        <v>1372</v>
      </c>
      <c r="Q300" s="9" t="s">
        <v>1020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1023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</v>
      </c>
      <c r="AJ300" s="10">
        <v>300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384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1019</v>
      </c>
      <c r="M301" s="9">
        <v>0</v>
      </c>
      <c r="N301" s="9">
        <v>15</v>
      </c>
      <c r="O301" s="138" t="s">
        <v>1025</v>
      </c>
      <c r="P301" s="55" t="s">
        <v>1372</v>
      </c>
      <c r="Q301" s="9" t="s">
        <v>1020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1023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360</v>
      </c>
      <c r="AJ301" s="10">
        <v>360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385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1019</v>
      </c>
      <c r="M302" s="9">
        <v>0</v>
      </c>
      <c r="N302" s="9">
        <v>15</v>
      </c>
      <c r="O302" s="138" t="s">
        <v>1025</v>
      </c>
      <c r="P302" s="55" t="s">
        <v>1372</v>
      </c>
      <c r="Q302" s="9" t="s">
        <v>1020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1023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420</v>
      </c>
      <c r="AJ302" s="10">
        <v>420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385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1019</v>
      </c>
      <c r="M303" s="9">
        <v>0</v>
      </c>
      <c r="N303" s="9">
        <v>15</v>
      </c>
      <c r="O303" s="138" t="s">
        <v>1025</v>
      </c>
      <c r="P303" s="55" t="s">
        <v>1372</v>
      </c>
      <c r="Q303" s="9" t="s">
        <v>1020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1023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480</v>
      </c>
      <c r="AJ303" s="10">
        <v>480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385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1019</v>
      </c>
      <c r="M304" s="9">
        <v>0</v>
      </c>
      <c r="N304" s="9">
        <v>15</v>
      </c>
      <c r="O304" s="138" t="s">
        <v>1025</v>
      </c>
      <c r="P304" s="55" t="s">
        <v>1372</v>
      </c>
      <c r="Q304" s="9" t="s">
        <v>1020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1023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540</v>
      </c>
      <c r="AJ304" s="10">
        <v>540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385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885</v>
      </c>
      <c r="L305" s="16">
        <v>20</v>
      </c>
      <c r="M305" s="16">
        <v>1</v>
      </c>
      <c r="N305" s="16">
        <v>15</v>
      </c>
      <c r="O305" s="16" t="s">
        <v>1109</v>
      </c>
      <c r="P305" s="56" t="s">
        <v>1373</v>
      </c>
      <c r="Q305" s="16" t="s">
        <v>677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507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2</v>
      </c>
      <c r="AJ305" s="17">
        <v>2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425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440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885</v>
      </c>
      <c r="M306" s="9">
        <v>1</v>
      </c>
      <c r="N306" s="9">
        <v>15</v>
      </c>
      <c r="O306" s="9" t="s">
        <v>1110</v>
      </c>
      <c r="P306" s="55" t="s">
        <v>1373</v>
      </c>
      <c r="Q306" s="9" t="s">
        <v>677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507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2</v>
      </c>
      <c r="AJ306" s="10">
        <v>2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425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885</v>
      </c>
      <c r="M307" s="9">
        <v>1</v>
      </c>
      <c r="N307" s="9">
        <v>15</v>
      </c>
      <c r="O307" s="9" t="s">
        <v>1111</v>
      </c>
      <c r="P307" s="55" t="s">
        <v>1374</v>
      </c>
      <c r="Q307" s="9" t="s">
        <v>677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507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2</v>
      </c>
      <c r="AJ307" s="10">
        <v>2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425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885</v>
      </c>
      <c r="M308" s="9">
        <v>1</v>
      </c>
      <c r="N308" s="9">
        <v>15</v>
      </c>
      <c r="O308" s="9" t="s">
        <v>1112</v>
      </c>
      <c r="P308" s="55" t="s">
        <v>1374</v>
      </c>
      <c r="Q308" s="9" t="s">
        <v>677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507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2</v>
      </c>
      <c r="AJ308" s="10">
        <v>2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425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885</v>
      </c>
      <c r="M309" s="9">
        <v>1</v>
      </c>
      <c r="N309" s="9">
        <v>15</v>
      </c>
      <c r="O309" s="9" t="s">
        <v>1113</v>
      </c>
      <c r="P309" s="55" t="s">
        <v>1375</v>
      </c>
      <c r="Q309" s="9" t="s">
        <v>677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507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3</v>
      </c>
      <c r="AJ309" s="10">
        <v>3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425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885</v>
      </c>
      <c r="M310" s="9">
        <v>1</v>
      </c>
      <c r="N310" s="9">
        <v>15</v>
      </c>
      <c r="O310" s="9" t="s">
        <v>1114</v>
      </c>
      <c r="P310" s="55" t="s">
        <v>1375</v>
      </c>
      <c r="Q310" s="9" t="s">
        <v>677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507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5</v>
      </c>
      <c r="AJ310" s="10">
        <v>5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425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885</v>
      </c>
      <c r="M311" s="9">
        <v>1</v>
      </c>
      <c r="N311" s="9">
        <v>15</v>
      </c>
      <c r="O311" s="9" t="s">
        <v>1115</v>
      </c>
      <c r="P311" s="55" t="s">
        <v>1376</v>
      </c>
      <c r="Q311" s="9" t="s">
        <v>677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507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8</v>
      </c>
      <c r="AJ311" s="10">
        <v>8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425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885</v>
      </c>
      <c r="M312" s="9">
        <v>1</v>
      </c>
      <c r="N312" s="9">
        <v>15</v>
      </c>
      <c r="O312" s="9" t="s">
        <v>1115</v>
      </c>
      <c r="P312" s="55" t="s">
        <v>1376</v>
      </c>
      <c r="Q312" s="9" t="s">
        <v>677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507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10</v>
      </c>
      <c r="AJ312" s="10">
        <v>10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425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885</v>
      </c>
      <c r="M313" s="9">
        <v>1</v>
      </c>
      <c r="N313" s="9">
        <v>15</v>
      </c>
      <c r="O313" s="9" t="s">
        <v>1427</v>
      </c>
      <c r="P313" s="55" t="s">
        <v>1429</v>
      </c>
      <c r="Q313" s="9" t="s">
        <v>677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507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15</v>
      </c>
      <c r="AJ313" s="10">
        <v>15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425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885</v>
      </c>
      <c r="M314" s="9">
        <v>1</v>
      </c>
      <c r="N314" s="9">
        <v>15</v>
      </c>
      <c r="O314" s="9" t="s">
        <v>1427</v>
      </c>
      <c r="P314" s="55" t="s">
        <v>1429</v>
      </c>
      <c r="Q314" s="9" t="s">
        <v>677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507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30</v>
      </c>
      <c r="AJ314" s="10">
        <v>30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425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885</v>
      </c>
      <c r="M315" s="9">
        <v>1</v>
      </c>
      <c r="N315" s="9">
        <v>15</v>
      </c>
      <c r="O315" s="9" t="s">
        <v>1426</v>
      </c>
      <c r="P315" s="55" t="s">
        <v>1428</v>
      </c>
      <c r="Q315" s="9" t="s">
        <v>677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507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</v>
      </c>
      <c r="AJ315" s="10">
        <v>30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425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885</v>
      </c>
      <c r="M316" s="9">
        <v>1</v>
      </c>
      <c r="N316" s="9">
        <v>15</v>
      </c>
      <c r="O316" s="9" t="s">
        <v>1426</v>
      </c>
      <c r="P316" s="55" t="s">
        <v>1428</v>
      </c>
      <c r="Q316" s="9" t="s">
        <v>677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507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</v>
      </c>
      <c r="AJ316" s="10">
        <v>60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425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885</v>
      </c>
      <c r="M317" s="9">
        <v>1</v>
      </c>
      <c r="N317" s="9">
        <v>15</v>
      </c>
      <c r="O317" s="9" t="s">
        <v>1426</v>
      </c>
      <c r="P317" s="55" t="s">
        <v>1428</v>
      </c>
      <c r="Q317" s="9" t="s">
        <v>677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507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120</v>
      </c>
      <c r="AJ317" s="10">
        <v>120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425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885</v>
      </c>
      <c r="M318" s="9">
        <v>1</v>
      </c>
      <c r="N318" s="9">
        <v>15</v>
      </c>
      <c r="O318" s="9" t="s">
        <v>1426</v>
      </c>
      <c r="P318" s="55" t="s">
        <v>1428</v>
      </c>
      <c r="Q318" s="9" t="s">
        <v>677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507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</v>
      </c>
      <c r="AJ318" s="10">
        <v>180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425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452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885</v>
      </c>
      <c r="M319" s="9">
        <v>1</v>
      </c>
      <c r="N319" s="9">
        <v>15</v>
      </c>
      <c r="O319" s="9" t="s">
        <v>1426</v>
      </c>
      <c r="P319" s="55" t="s">
        <v>1428</v>
      </c>
      <c r="Q319" s="9" t="s">
        <v>677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507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240</v>
      </c>
      <c r="AJ319" s="10">
        <v>240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425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885</v>
      </c>
      <c r="M320" s="9">
        <v>0</v>
      </c>
      <c r="N320" s="9">
        <v>15</v>
      </c>
      <c r="O320" s="9" t="s">
        <v>1426</v>
      </c>
      <c r="P320" s="55" t="s">
        <v>1428</v>
      </c>
      <c r="Q320" s="9" t="s">
        <v>677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507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</v>
      </c>
      <c r="AJ320" s="10">
        <v>300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425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885</v>
      </c>
      <c r="M321" s="9">
        <v>0</v>
      </c>
      <c r="N321" s="9">
        <v>15</v>
      </c>
      <c r="O321" s="9" t="s">
        <v>1426</v>
      </c>
      <c r="P321" s="55" t="s">
        <v>1428</v>
      </c>
      <c r="Q321" s="9" t="s">
        <v>677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507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360</v>
      </c>
      <c r="AJ321" s="10">
        <v>360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425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885</v>
      </c>
      <c r="M322" s="9">
        <v>0</v>
      </c>
      <c r="N322" s="9">
        <v>15</v>
      </c>
      <c r="O322" s="9" t="s">
        <v>1426</v>
      </c>
      <c r="P322" s="55" t="s">
        <v>1428</v>
      </c>
      <c r="Q322" s="9" t="s">
        <v>677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507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420</v>
      </c>
      <c r="AJ322" s="10">
        <v>420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425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885</v>
      </c>
      <c r="M323" s="9">
        <v>0</v>
      </c>
      <c r="N323" s="9">
        <v>15</v>
      </c>
      <c r="O323" s="9" t="s">
        <v>1426</v>
      </c>
      <c r="P323" s="55" t="s">
        <v>1428</v>
      </c>
      <c r="Q323" s="9" t="s">
        <v>677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507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480</v>
      </c>
      <c r="AJ323" s="10">
        <v>480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433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885</v>
      </c>
      <c r="M324" s="9">
        <v>0</v>
      </c>
      <c r="N324" s="9">
        <v>15</v>
      </c>
      <c r="O324" s="9" t="s">
        <v>1426</v>
      </c>
      <c r="P324" s="55" t="s">
        <v>1428</v>
      </c>
      <c r="Q324" s="9" t="s">
        <v>677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507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540</v>
      </c>
      <c r="AJ324" s="10">
        <v>540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433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736</v>
      </c>
      <c r="P325" s="56" t="s">
        <v>1377</v>
      </c>
      <c r="Q325" s="16" t="s">
        <v>678</v>
      </c>
      <c r="R325" s="76"/>
      <c r="S325" s="83" t="s">
        <v>535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530</v>
      </c>
      <c r="W325" s="18">
        <f ca="1">IFERROR(OFFSET(ITEM_RES!$A$5,MATCH(BUILDING!V325,ITEM_RES!$J$5:$J$229,0)-1,0),0)</f>
        <v>211020701</v>
      </c>
      <c r="X325" s="76"/>
      <c r="Y325" s="16" t="s">
        <v>508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2</v>
      </c>
      <c r="AJ325" s="17">
        <v>2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426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425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440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736</v>
      </c>
      <c r="P326" s="55" t="s">
        <v>1377</v>
      </c>
      <c r="Q326" s="9" t="s">
        <v>678</v>
      </c>
      <c r="S326" s="81" t="s">
        <v>535</v>
      </c>
      <c r="T326" s="9">
        <f ca="1">IFERROR(OFFSET(ITEM_RES!$A$5,MATCH(BUILDING!S326,ITEM_RES!$J$5:$J$229,0)-1,0),0)</f>
        <v>211020601</v>
      </c>
      <c r="U326" s="11">
        <v>2</v>
      </c>
      <c r="V326" s="81" t="s">
        <v>530</v>
      </c>
      <c r="W326" s="11">
        <f ca="1">IFERROR(OFFSET(ITEM_RES!$A$5,MATCH(BUILDING!V326,ITEM_RES!$J$5:$J$229,0)-1,0),0)</f>
        <v>211020701</v>
      </c>
      <c r="Y326" s="9" t="s">
        <v>508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2</v>
      </c>
      <c r="AJ326" s="10">
        <v>2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426</v>
      </c>
      <c r="AS326" s="11">
        <v>40</v>
      </c>
      <c r="AV326" s="11">
        <f ca="1">IFERROR(OFFSET(ITEM_RES!$A$1,MATCH(AW326,ITEM_RES!$J:$J,0)-1,0),0)</f>
        <v>211020801</v>
      </c>
      <c r="AW326" s="10" t="s">
        <v>425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736</v>
      </c>
      <c r="P327" s="55" t="s">
        <v>1377</v>
      </c>
      <c r="Q327" s="9" t="s">
        <v>678</v>
      </c>
      <c r="S327" s="81" t="s">
        <v>535</v>
      </c>
      <c r="T327" s="9">
        <f ca="1">IFERROR(OFFSET(ITEM_RES!$A$5,MATCH(BUILDING!S327,ITEM_RES!$J$5:$J$229,0)-1,0),0)</f>
        <v>211020601</v>
      </c>
      <c r="U327" s="11">
        <v>2</v>
      </c>
      <c r="V327" s="81" t="s">
        <v>530</v>
      </c>
      <c r="W327" s="11">
        <f ca="1">IFERROR(OFFSET(ITEM_RES!$A$5,MATCH(BUILDING!V327,ITEM_RES!$J$5:$J$229,0)-1,0),0)</f>
        <v>211020701</v>
      </c>
      <c r="Y327" s="9" t="s">
        <v>508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2</v>
      </c>
      <c r="AJ327" s="10">
        <v>2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426</v>
      </c>
      <c r="AS327" s="11">
        <v>60</v>
      </c>
      <c r="AV327" s="11">
        <f ca="1">IFERROR(OFFSET(ITEM_RES!$A$1,MATCH(AW327,ITEM_RES!$J:$J,0)-1,0),0)</f>
        <v>211020801</v>
      </c>
      <c r="AW327" s="10" t="s">
        <v>425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736</v>
      </c>
      <c r="P328" s="55" t="s">
        <v>1377</v>
      </c>
      <c r="Q328" s="9" t="s">
        <v>678</v>
      </c>
      <c r="S328" s="81" t="s">
        <v>535</v>
      </c>
      <c r="T328" s="9">
        <f ca="1">IFERROR(OFFSET(ITEM_RES!$A$5,MATCH(BUILDING!S328,ITEM_RES!$J$5:$J$229,0)-1,0),0)</f>
        <v>211020601</v>
      </c>
      <c r="U328" s="11">
        <v>2</v>
      </c>
      <c r="V328" s="81" t="s">
        <v>530</v>
      </c>
      <c r="W328" s="11">
        <f ca="1">IFERROR(OFFSET(ITEM_RES!$A$5,MATCH(BUILDING!V328,ITEM_RES!$J$5:$J$229,0)-1,0),0)</f>
        <v>211020701</v>
      </c>
      <c r="Y328" s="9" t="s">
        <v>508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2</v>
      </c>
      <c r="AJ328" s="10">
        <v>2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426</v>
      </c>
      <c r="AS328" s="11">
        <v>240</v>
      </c>
      <c r="AV328" s="11">
        <f ca="1">IFERROR(OFFSET(ITEM_RES!$A$1,MATCH(AW328,ITEM_RES!$J:$J,0)-1,0),0)</f>
        <v>211020801</v>
      </c>
      <c r="AW328" s="10" t="s">
        <v>425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736</v>
      </c>
      <c r="P329" s="55" t="s">
        <v>1377</v>
      </c>
      <c r="Q329" s="9" t="s">
        <v>678</v>
      </c>
      <c r="S329" s="81" t="s">
        <v>535</v>
      </c>
      <c r="T329" s="9">
        <f ca="1">IFERROR(OFFSET(ITEM_RES!$A$5,MATCH(BUILDING!S329,ITEM_RES!$J$5:$J$229,0)-1,0),0)</f>
        <v>211020601</v>
      </c>
      <c r="U329" s="11">
        <v>2</v>
      </c>
      <c r="V329" s="81" t="s">
        <v>530</v>
      </c>
      <c r="W329" s="11">
        <f ca="1">IFERROR(OFFSET(ITEM_RES!$A$5,MATCH(BUILDING!V329,ITEM_RES!$J$5:$J$229,0)-1,0),0)</f>
        <v>211020701</v>
      </c>
      <c r="Y329" s="9" t="s">
        <v>508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3</v>
      </c>
      <c r="AJ329" s="10">
        <v>3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426</v>
      </c>
      <c r="AS329" s="11">
        <v>1080</v>
      </c>
      <c r="AV329" s="11">
        <f ca="1">IFERROR(OFFSET(ITEM_RES!$A$1,MATCH(AW329,ITEM_RES!$J:$J,0)-1,0),0)</f>
        <v>211020801</v>
      </c>
      <c r="AW329" s="10" t="s">
        <v>425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736</v>
      </c>
      <c r="P330" s="55" t="s">
        <v>1377</v>
      </c>
      <c r="Q330" s="9" t="s">
        <v>678</v>
      </c>
      <c r="S330" s="81" t="s">
        <v>535</v>
      </c>
      <c r="T330" s="9">
        <f ca="1">IFERROR(OFFSET(ITEM_RES!$A$5,MATCH(BUILDING!S330,ITEM_RES!$J$5:$J$229,0)-1,0),0)</f>
        <v>211020601</v>
      </c>
      <c r="U330" s="11">
        <v>2</v>
      </c>
      <c r="V330" s="81" t="s">
        <v>530</v>
      </c>
      <c r="W330" s="11">
        <f ca="1">IFERROR(OFFSET(ITEM_RES!$A$5,MATCH(BUILDING!V330,ITEM_RES!$J$5:$J$229,0)-1,0),0)</f>
        <v>211020701</v>
      </c>
      <c r="Y330" s="9" t="s">
        <v>508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5</v>
      </c>
      <c r="AJ330" s="10">
        <v>5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426</v>
      </c>
      <c r="AS330" s="11">
        <v>3600</v>
      </c>
      <c r="AV330" s="11">
        <f ca="1">IFERROR(OFFSET(ITEM_RES!$A$1,MATCH(AW330,ITEM_RES!$J:$J,0)-1,0),0)</f>
        <v>211020801</v>
      </c>
      <c r="AW330" s="10" t="s">
        <v>425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736</v>
      </c>
      <c r="P331" s="55" t="s">
        <v>1377</v>
      </c>
      <c r="Q331" s="9" t="s">
        <v>678</v>
      </c>
      <c r="S331" s="81" t="s">
        <v>535</v>
      </c>
      <c r="T331" s="9">
        <f ca="1">IFERROR(OFFSET(ITEM_RES!$A$5,MATCH(BUILDING!S331,ITEM_RES!$J$5:$J$229,0)-1,0),0)</f>
        <v>211020601</v>
      </c>
      <c r="U331" s="11">
        <v>2</v>
      </c>
      <c r="V331" s="81" t="s">
        <v>530</v>
      </c>
      <c r="W331" s="11">
        <f ca="1">IFERROR(OFFSET(ITEM_RES!$A$5,MATCH(BUILDING!V331,ITEM_RES!$J$5:$J$229,0)-1,0),0)</f>
        <v>211020701</v>
      </c>
      <c r="Y331" s="9" t="s">
        <v>508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8</v>
      </c>
      <c r="AJ331" s="10">
        <v>8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426</v>
      </c>
      <c r="AS331" s="11">
        <v>8000</v>
      </c>
      <c r="AV331" s="11">
        <f ca="1">IFERROR(OFFSET(ITEM_RES!$A$1,MATCH(AW331,ITEM_RES!$J:$J,0)-1,0),0)</f>
        <v>211020801</v>
      </c>
      <c r="AW331" s="10" t="s">
        <v>425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736</v>
      </c>
      <c r="P332" s="55" t="s">
        <v>1377</v>
      </c>
      <c r="Q332" s="9" t="s">
        <v>678</v>
      </c>
      <c r="S332" s="81" t="s">
        <v>535</v>
      </c>
      <c r="T332" s="9">
        <f ca="1">IFERROR(OFFSET(ITEM_RES!$A$5,MATCH(BUILDING!S332,ITEM_RES!$J$5:$J$229,0)-1,0),0)</f>
        <v>211020601</v>
      </c>
      <c r="U332" s="11">
        <v>2</v>
      </c>
      <c r="V332" s="81" t="s">
        <v>530</v>
      </c>
      <c r="W332" s="11">
        <f ca="1">IFERROR(OFFSET(ITEM_RES!$A$5,MATCH(BUILDING!V332,ITEM_RES!$J$5:$J$229,0)-1,0),0)</f>
        <v>211020701</v>
      </c>
      <c r="Y332" s="9" t="s">
        <v>508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10</v>
      </c>
      <c r="AJ332" s="10">
        <v>10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426</v>
      </c>
      <c r="AS332" s="11">
        <v>16800</v>
      </c>
      <c r="AV332" s="11">
        <f ca="1">IFERROR(OFFSET(ITEM_RES!$A$1,MATCH(AW332,ITEM_RES!$J:$J,0)-1,0),0)</f>
        <v>211020801</v>
      </c>
      <c r="AW332" s="10" t="s">
        <v>425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453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736</v>
      </c>
      <c r="P333" s="55" t="s">
        <v>1377</v>
      </c>
      <c r="Q333" s="9" t="s">
        <v>678</v>
      </c>
      <c r="S333" s="81" t="s">
        <v>535</v>
      </c>
      <c r="T333" s="9">
        <f ca="1">IFERROR(OFFSET(ITEM_RES!$A$5,MATCH(BUILDING!S333,ITEM_RES!$J$5:$J$229,0)-1,0),0)</f>
        <v>211020601</v>
      </c>
      <c r="U333" s="11">
        <v>2</v>
      </c>
      <c r="V333" s="81" t="s">
        <v>530</v>
      </c>
      <c r="W333" s="11">
        <f ca="1">IFERROR(OFFSET(ITEM_RES!$A$5,MATCH(BUILDING!V333,ITEM_RES!$J$5:$J$229,0)-1,0),0)</f>
        <v>211020701</v>
      </c>
      <c r="Y333" s="9" t="s">
        <v>508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15</v>
      </c>
      <c r="AJ333" s="10">
        <v>15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424</v>
      </c>
      <c r="AS333" s="11">
        <v>31200</v>
      </c>
      <c r="AV333" s="11">
        <f ca="1">IFERROR(OFFSET(ITEM_RES!$A$1,MATCH(AW333,ITEM_RES!$J:$J,0)-1,0),0)</f>
        <v>211020801</v>
      </c>
      <c r="AW333" s="10" t="s">
        <v>425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736</v>
      </c>
      <c r="P334" s="55" t="s">
        <v>1377</v>
      </c>
      <c r="Q334" s="9" t="s">
        <v>678</v>
      </c>
      <c r="S334" s="81" t="s">
        <v>535</v>
      </c>
      <c r="T334" s="9">
        <f ca="1">IFERROR(OFFSET(ITEM_RES!$A$5,MATCH(BUILDING!S334,ITEM_RES!$J$5:$J$229,0)-1,0),0)</f>
        <v>211020601</v>
      </c>
      <c r="U334" s="11">
        <v>2</v>
      </c>
      <c r="V334" s="81" t="s">
        <v>530</v>
      </c>
      <c r="W334" s="11">
        <f ca="1">IFERROR(OFFSET(ITEM_RES!$A$5,MATCH(BUILDING!V334,ITEM_RES!$J$5:$J$229,0)-1,0),0)</f>
        <v>211020701</v>
      </c>
      <c r="Y334" s="9" t="s">
        <v>508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30</v>
      </c>
      <c r="AJ334" s="10">
        <v>30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424</v>
      </c>
      <c r="AS334" s="11">
        <v>52000</v>
      </c>
      <c r="AV334" s="11">
        <f ca="1">IFERROR(OFFSET(ITEM_RES!$A$1,MATCH(AW334,ITEM_RES!$J:$J,0)-1,0),0)</f>
        <v>211020801</v>
      </c>
      <c r="AW334" s="10" t="s">
        <v>425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736</v>
      </c>
      <c r="P335" s="55" t="s">
        <v>1377</v>
      </c>
      <c r="Q335" s="9" t="s">
        <v>678</v>
      </c>
      <c r="S335" s="81" t="s">
        <v>535</v>
      </c>
      <c r="T335" s="9">
        <f ca="1">IFERROR(OFFSET(ITEM_RES!$A$5,MATCH(BUILDING!S335,ITEM_RES!$J$5:$J$229,0)-1,0),0)</f>
        <v>211020601</v>
      </c>
      <c r="U335" s="11">
        <v>2</v>
      </c>
      <c r="V335" s="81" t="s">
        <v>530</v>
      </c>
      <c r="W335" s="11">
        <f ca="1">IFERROR(OFFSET(ITEM_RES!$A$5,MATCH(BUILDING!V335,ITEM_RES!$J$5:$J$229,0)-1,0),0)</f>
        <v>211020701</v>
      </c>
      <c r="Y335" s="9" t="s">
        <v>508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30</v>
      </c>
      <c r="AJ335" s="10">
        <v>30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424</v>
      </c>
      <c r="AS335" s="11">
        <v>88000</v>
      </c>
      <c r="AV335" s="11">
        <f ca="1">IFERROR(OFFSET(ITEM_RES!$A$1,MATCH(AW335,ITEM_RES!$J:$J,0)-1,0),0)</f>
        <v>211020801</v>
      </c>
      <c r="AW335" s="10" t="s">
        <v>425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736</v>
      </c>
      <c r="P336" s="55" t="s">
        <v>1377</v>
      </c>
      <c r="Q336" s="9" t="s">
        <v>678</v>
      </c>
      <c r="S336" s="81" t="s">
        <v>535</v>
      </c>
      <c r="T336" s="9">
        <f ca="1">IFERROR(OFFSET(ITEM_RES!$A$5,MATCH(BUILDING!S336,ITEM_RES!$J$5:$J$229,0)-1,0),0)</f>
        <v>211020601</v>
      </c>
      <c r="U336" s="11">
        <v>2</v>
      </c>
      <c r="V336" s="81" t="s">
        <v>530</v>
      </c>
      <c r="W336" s="11">
        <f ca="1">IFERROR(OFFSET(ITEM_RES!$A$5,MATCH(BUILDING!V336,ITEM_RES!$J$5:$J$229,0)-1,0),0)</f>
        <v>211020701</v>
      </c>
      <c r="Y336" s="9" t="s">
        <v>508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60</v>
      </c>
      <c r="AJ336" s="10">
        <v>60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424</v>
      </c>
      <c r="AS336" s="11">
        <v>148000</v>
      </c>
      <c r="AV336" s="11">
        <f ca="1">IFERROR(OFFSET(ITEM_RES!$A$1,MATCH(AW336,ITEM_RES!$J:$J,0)-1,0),0)</f>
        <v>211020801</v>
      </c>
      <c r="AW336" s="10" t="s">
        <v>425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736</v>
      </c>
      <c r="P337" s="55" t="s">
        <v>1377</v>
      </c>
      <c r="Q337" s="9" t="s">
        <v>678</v>
      </c>
      <c r="S337" s="81" t="s">
        <v>535</v>
      </c>
      <c r="T337" s="9">
        <f ca="1">IFERROR(OFFSET(ITEM_RES!$A$5,MATCH(BUILDING!S337,ITEM_RES!$J$5:$J$229,0)-1,0),0)</f>
        <v>211020601</v>
      </c>
      <c r="U337" s="11">
        <v>2</v>
      </c>
      <c r="V337" s="81" t="s">
        <v>530</v>
      </c>
      <c r="W337" s="11">
        <f ca="1">IFERROR(OFFSET(ITEM_RES!$A$5,MATCH(BUILDING!V337,ITEM_RES!$J$5:$J$229,0)-1,0),0)</f>
        <v>211020701</v>
      </c>
      <c r="Y337" s="9" t="s">
        <v>508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120</v>
      </c>
      <c r="AJ337" s="10">
        <v>120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424</v>
      </c>
      <c r="AS337" s="11">
        <v>248000</v>
      </c>
      <c r="AV337" s="11">
        <f ca="1">IFERROR(OFFSET(ITEM_RES!$A$1,MATCH(AW337,ITEM_RES!$J:$J,0)-1,0),0)</f>
        <v>211020801</v>
      </c>
      <c r="AW337" s="10" t="s">
        <v>425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736</v>
      </c>
      <c r="P338" s="55" t="s">
        <v>1377</v>
      </c>
      <c r="Q338" s="9" t="s">
        <v>678</v>
      </c>
      <c r="S338" s="81" t="s">
        <v>535</v>
      </c>
      <c r="T338" s="9">
        <f ca="1">IFERROR(OFFSET(ITEM_RES!$A$5,MATCH(BUILDING!S338,ITEM_RES!$J$5:$J$229,0)-1,0),0)</f>
        <v>211020601</v>
      </c>
      <c r="U338" s="11">
        <v>2</v>
      </c>
      <c r="V338" s="81" t="s">
        <v>530</v>
      </c>
      <c r="W338" s="11">
        <f ca="1">IFERROR(OFFSET(ITEM_RES!$A$5,MATCH(BUILDING!V338,ITEM_RES!$J$5:$J$229,0)-1,0),0)</f>
        <v>211020701</v>
      </c>
      <c r="Y338" s="9" t="s">
        <v>508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180</v>
      </c>
      <c r="AJ338" s="10">
        <v>180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424</v>
      </c>
      <c r="AS338" s="11">
        <v>388000</v>
      </c>
      <c r="AV338" s="11">
        <f ca="1">IFERROR(OFFSET(ITEM_RES!$A$1,MATCH(AW338,ITEM_RES!$J:$J,0)-1,0),0)</f>
        <v>211020801</v>
      </c>
      <c r="AW338" s="10" t="s">
        <v>425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736</v>
      </c>
      <c r="P339" s="55" t="s">
        <v>1377</v>
      </c>
      <c r="Q339" s="9" t="s">
        <v>678</v>
      </c>
      <c r="S339" s="81" t="s">
        <v>535</v>
      </c>
      <c r="T339" s="9">
        <f ca="1">IFERROR(OFFSET(ITEM_RES!$A$5,MATCH(BUILDING!S339,ITEM_RES!$J$5:$J$229,0)-1,0),0)</f>
        <v>211020601</v>
      </c>
      <c r="U339" s="11">
        <v>2</v>
      </c>
      <c r="V339" s="81" t="s">
        <v>530</v>
      </c>
      <c r="W339" s="11">
        <f ca="1">IFERROR(OFFSET(ITEM_RES!$A$5,MATCH(BUILDING!V339,ITEM_RES!$J$5:$J$229,0)-1,0),0)</f>
        <v>211020701</v>
      </c>
      <c r="Y339" s="9" t="s">
        <v>508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240</v>
      </c>
      <c r="AJ339" s="10">
        <v>240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424</v>
      </c>
      <c r="AS339" s="11">
        <v>840000</v>
      </c>
      <c r="AV339" s="11">
        <f ca="1">IFERROR(OFFSET(ITEM_RES!$A$1,MATCH(AW339,ITEM_RES!$J:$J,0)-1,0),0)</f>
        <v>211020801</v>
      </c>
      <c r="AW339" s="10" t="s">
        <v>425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736</v>
      </c>
      <c r="P340" s="55" t="s">
        <v>1377</v>
      </c>
      <c r="Q340" s="9" t="s">
        <v>678</v>
      </c>
      <c r="S340" s="81" t="s">
        <v>535</v>
      </c>
      <c r="T340" s="9">
        <f ca="1">IFERROR(OFFSET(ITEM_RES!$A$5,MATCH(BUILDING!S340,ITEM_RES!$J$5:$J$229,0)-1,0),0)</f>
        <v>211020601</v>
      </c>
      <c r="U340" s="11">
        <v>2</v>
      </c>
      <c r="V340" s="81" t="s">
        <v>530</v>
      </c>
      <c r="W340" s="11">
        <f ca="1">IFERROR(OFFSET(ITEM_RES!$A$5,MATCH(BUILDING!V340,ITEM_RES!$J$5:$J$229,0)-1,0),0)</f>
        <v>211020701</v>
      </c>
      <c r="Y340" s="9" t="s">
        <v>508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300</v>
      </c>
      <c r="AJ340" s="10">
        <v>300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424</v>
      </c>
      <c r="AS340" s="11">
        <v>1720000</v>
      </c>
      <c r="AV340" s="11">
        <f ca="1">IFERROR(OFFSET(ITEM_RES!$A$1,MATCH(AW340,ITEM_RES!$J:$J,0)-1,0),0)</f>
        <v>211020801</v>
      </c>
      <c r="AW340" s="10" t="s">
        <v>425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736</v>
      </c>
      <c r="P341" s="55" t="s">
        <v>1377</v>
      </c>
      <c r="Q341" s="9" t="s">
        <v>678</v>
      </c>
      <c r="S341" s="81" t="s">
        <v>535</v>
      </c>
      <c r="T341" s="9">
        <f ca="1">IFERROR(OFFSET(ITEM_RES!$A$5,MATCH(BUILDING!S341,ITEM_RES!$J$5:$J$229,0)-1,0),0)</f>
        <v>211020601</v>
      </c>
      <c r="U341" s="11">
        <v>2</v>
      </c>
      <c r="V341" s="81" t="s">
        <v>530</v>
      </c>
      <c r="W341" s="11">
        <f ca="1">IFERROR(OFFSET(ITEM_RES!$A$5,MATCH(BUILDING!V341,ITEM_RES!$J$5:$J$229,0)-1,0),0)</f>
        <v>211020701</v>
      </c>
      <c r="Y341" s="9" t="s">
        <v>508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360</v>
      </c>
      <c r="AJ341" s="10">
        <v>360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424</v>
      </c>
      <c r="AS341" s="11">
        <v>3200000</v>
      </c>
      <c r="AV341" s="11">
        <f ca="1">IFERROR(OFFSET(ITEM_RES!$A$1,MATCH(AW341,ITEM_RES!$J:$J,0)-1,0),0)</f>
        <v>211020801</v>
      </c>
      <c r="AW341" s="10" t="s">
        <v>425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736</v>
      </c>
      <c r="P342" s="55" t="s">
        <v>1377</v>
      </c>
      <c r="Q342" s="9" t="s">
        <v>678</v>
      </c>
      <c r="S342" s="81" t="s">
        <v>535</v>
      </c>
      <c r="T342" s="9">
        <f ca="1">IFERROR(OFFSET(ITEM_RES!$A$5,MATCH(BUILDING!S342,ITEM_RES!$J$5:$J$229,0)-1,0),0)</f>
        <v>211020601</v>
      </c>
      <c r="U342" s="11">
        <v>2</v>
      </c>
      <c r="V342" s="81" t="s">
        <v>530</v>
      </c>
      <c r="W342" s="11">
        <f ca="1">IFERROR(OFFSET(ITEM_RES!$A$5,MATCH(BUILDING!V342,ITEM_RES!$J$5:$J$229,0)-1,0),0)</f>
        <v>211020701</v>
      </c>
      <c r="Y342" s="9" t="s">
        <v>508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420</v>
      </c>
      <c r="AJ342" s="10">
        <v>420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424</v>
      </c>
      <c r="AS342" s="11">
        <v>5200000</v>
      </c>
      <c r="AV342" s="11">
        <f ca="1">IFERROR(OFFSET(ITEM_RES!$A$1,MATCH(AW342,ITEM_RES!$J:$J,0)-1,0),0)</f>
        <v>211020801</v>
      </c>
      <c r="AW342" s="10" t="s">
        <v>425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736</v>
      </c>
      <c r="P343" s="55" t="s">
        <v>1377</v>
      </c>
      <c r="Q343" s="9" t="s">
        <v>678</v>
      </c>
      <c r="S343" s="81" t="s">
        <v>535</v>
      </c>
      <c r="T343" s="9">
        <f ca="1">IFERROR(OFFSET(ITEM_RES!$A$5,MATCH(BUILDING!S343,ITEM_RES!$J$5:$J$229,0)-1,0),0)</f>
        <v>211020601</v>
      </c>
      <c r="U343" s="11">
        <v>2</v>
      </c>
      <c r="V343" s="81" t="s">
        <v>530</v>
      </c>
      <c r="W343" s="11">
        <f ca="1">IFERROR(OFFSET(ITEM_RES!$A$5,MATCH(BUILDING!V343,ITEM_RES!$J$5:$J$229,0)-1,0),0)</f>
        <v>211020701</v>
      </c>
      <c r="Y343" s="9" t="s">
        <v>508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480</v>
      </c>
      <c r="AJ343" s="10">
        <v>480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424</v>
      </c>
      <c r="AS343" s="11">
        <v>8000000</v>
      </c>
      <c r="AV343" s="11">
        <f ca="1">IFERROR(OFFSET(ITEM_RES!$A$1,MATCH(AW343,ITEM_RES!$J:$J,0)-1,0),0)</f>
        <v>211020801</v>
      </c>
      <c r="AW343" s="10" t="s">
        <v>425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736</v>
      </c>
      <c r="P344" s="55" t="s">
        <v>1377</v>
      </c>
      <c r="Q344" s="9" t="s">
        <v>678</v>
      </c>
      <c r="S344" s="81" t="s">
        <v>535</v>
      </c>
      <c r="T344" s="9">
        <f ca="1">IFERROR(OFFSET(ITEM_RES!$A$5,MATCH(BUILDING!S344,ITEM_RES!$J$5:$J$229,0)-1,0),0)</f>
        <v>211020601</v>
      </c>
      <c r="U344" s="11">
        <v>2</v>
      </c>
      <c r="V344" s="81" t="s">
        <v>530</v>
      </c>
      <c r="W344" s="11">
        <f ca="1">IFERROR(OFFSET(ITEM_RES!$A$5,MATCH(BUILDING!V344,ITEM_RES!$J$5:$J$229,0)-1,0),0)</f>
        <v>211020701</v>
      </c>
      <c r="Y344" s="9" t="s">
        <v>508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540</v>
      </c>
      <c r="AJ344" s="10">
        <v>540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424</v>
      </c>
      <c r="AS344" s="11">
        <v>12800000</v>
      </c>
      <c r="AV344" s="11">
        <f ca="1">IFERROR(OFFSET(ITEM_RES!$A$1,MATCH(AW344,ITEM_RES!$J:$J,0)-1,0),0)</f>
        <v>211020801</v>
      </c>
      <c r="AW344" s="10" t="s">
        <v>425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737</v>
      </c>
      <c r="P345" s="56" t="s">
        <v>1378</v>
      </c>
      <c r="Q345" s="16" t="s">
        <v>679</v>
      </c>
      <c r="R345" s="76"/>
      <c r="S345" s="83" t="s">
        <v>536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385</v>
      </c>
      <c r="W345" s="18">
        <f ca="1">IFERROR(OFFSET(ITEM_RES!$A$5,MATCH(BUILDING!V345,ITEM_RES!$J$5:$J$229,0)-1,0),0)</f>
        <v>211020901</v>
      </c>
      <c r="X345" s="76"/>
      <c r="Y345" s="16" t="s">
        <v>509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2</v>
      </c>
      <c r="AJ345" s="17">
        <v>2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426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425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440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737</v>
      </c>
      <c r="P346" s="55" t="s">
        <v>1378</v>
      </c>
      <c r="Q346" s="9" t="s">
        <v>679</v>
      </c>
      <c r="S346" s="81" t="s">
        <v>536</v>
      </c>
      <c r="T346" s="9">
        <f ca="1">IFERROR(OFFSET(ITEM_RES!$A$5,MATCH(BUILDING!S346,ITEM_RES!$J$5:$J$229,0)-1,0),0)</f>
        <v>211020801</v>
      </c>
      <c r="U346" s="11">
        <v>1</v>
      </c>
      <c r="V346" s="81" t="s">
        <v>385</v>
      </c>
      <c r="W346" s="11">
        <f ca="1">IFERROR(OFFSET(ITEM_RES!$A$5,MATCH(BUILDING!V346,ITEM_RES!$J$5:$J$229,0)-1,0),0)</f>
        <v>211020901</v>
      </c>
      <c r="Y346" s="9" t="s">
        <v>509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2</v>
      </c>
      <c r="AJ346" s="10">
        <v>2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426</v>
      </c>
      <c r="AS346" s="11">
        <v>40</v>
      </c>
      <c r="AV346" s="11">
        <f ca="1">IFERROR(OFFSET(ITEM_RES!$A$1,MATCH(AW346,ITEM_RES!$J:$J,0)-1,0),0)</f>
        <v>211020801</v>
      </c>
      <c r="AW346" s="10" t="s">
        <v>425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737</v>
      </c>
      <c r="P347" s="55" t="s">
        <v>1378</v>
      </c>
      <c r="Q347" s="9" t="s">
        <v>679</v>
      </c>
      <c r="S347" s="81" t="s">
        <v>536</v>
      </c>
      <c r="T347" s="9">
        <f ca="1">IFERROR(OFFSET(ITEM_RES!$A$5,MATCH(BUILDING!S347,ITEM_RES!$J$5:$J$229,0)-1,0),0)</f>
        <v>211020801</v>
      </c>
      <c r="U347" s="11">
        <v>1</v>
      </c>
      <c r="V347" s="81" t="s">
        <v>385</v>
      </c>
      <c r="W347" s="11">
        <f ca="1">IFERROR(OFFSET(ITEM_RES!$A$5,MATCH(BUILDING!V347,ITEM_RES!$J$5:$J$229,0)-1,0),0)</f>
        <v>211020901</v>
      </c>
      <c r="Y347" s="9" t="s">
        <v>509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2</v>
      </c>
      <c r="AJ347" s="10">
        <v>2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426</v>
      </c>
      <c r="AS347" s="11">
        <v>60</v>
      </c>
      <c r="AV347" s="11">
        <f ca="1">IFERROR(OFFSET(ITEM_RES!$A$1,MATCH(AW347,ITEM_RES!$J:$J,0)-1,0),0)</f>
        <v>211020801</v>
      </c>
      <c r="AW347" s="10" t="s">
        <v>425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737</v>
      </c>
      <c r="P348" s="55" t="s">
        <v>1378</v>
      </c>
      <c r="Q348" s="9" t="s">
        <v>679</v>
      </c>
      <c r="S348" s="81" t="s">
        <v>536</v>
      </c>
      <c r="T348" s="9">
        <f ca="1">IFERROR(OFFSET(ITEM_RES!$A$5,MATCH(BUILDING!S348,ITEM_RES!$J$5:$J$229,0)-1,0),0)</f>
        <v>211020801</v>
      </c>
      <c r="U348" s="11">
        <v>1</v>
      </c>
      <c r="V348" s="81" t="s">
        <v>385</v>
      </c>
      <c r="W348" s="11">
        <f ca="1">IFERROR(OFFSET(ITEM_RES!$A$5,MATCH(BUILDING!V348,ITEM_RES!$J$5:$J$229,0)-1,0),0)</f>
        <v>211020901</v>
      </c>
      <c r="Y348" s="9" t="s">
        <v>509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2</v>
      </c>
      <c r="AJ348" s="10">
        <v>2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426</v>
      </c>
      <c r="AS348" s="11">
        <v>240</v>
      </c>
      <c r="AV348" s="11">
        <f ca="1">IFERROR(OFFSET(ITEM_RES!$A$1,MATCH(AW348,ITEM_RES!$J:$J,0)-1,0),0)</f>
        <v>211020801</v>
      </c>
      <c r="AW348" s="10" t="s">
        <v>425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737</v>
      </c>
      <c r="P349" s="55" t="s">
        <v>1378</v>
      </c>
      <c r="Q349" s="9" t="s">
        <v>679</v>
      </c>
      <c r="S349" s="81" t="s">
        <v>536</v>
      </c>
      <c r="T349" s="9">
        <f ca="1">IFERROR(OFFSET(ITEM_RES!$A$5,MATCH(BUILDING!S349,ITEM_RES!$J$5:$J$229,0)-1,0),0)</f>
        <v>211020801</v>
      </c>
      <c r="U349" s="11">
        <v>1</v>
      </c>
      <c r="V349" s="81" t="s">
        <v>385</v>
      </c>
      <c r="W349" s="11">
        <f ca="1">IFERROR(OFFSET(ITEM_RES!$A$5,MATCH(BUILDING!V349,ITEM_RES!$J$5:$J$229,0)-1,0),0)</f>
        <v>211020901</v>
      </c>
      <c r="Y349" s="9" t="s">
        <v>509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3</v>
      </c>
      <c r="AJ349" s="10">
        <v>3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426</v>
      </c>
      <c r="AS349" s="11">
        <v>1080</v>
      </c>
      <c r="AV349" s="11">
        <f ca="1">IFERROR(OFFSET(ITEM_RES!$A$1,MATCH(AW349,ITEM_RES!$J:$J,0)-1,0),0)</f>
        <v>211020801</v>
      </c>
      <c r="AW349" s="10" t="s">
        <v>425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737</v>
      </c>
      <c r="P350" s="55" t="s">
        <v>1378</v>
      </c>
      <c r="Q350" s="9" t="s">
        <v>679</v>
      </c>
      <c r="S350" s="81" t="s">
        <v>536</v>
      </c>
      <c r="T350" s="9">
        <f ca="1">IFERROR(OFFSET(ITEM_RES!$A$5,MATCH(BUILDING!S350,ITEM_RES!$J$5:$J$229,0)-1,0),0)</f>
        <v>211020801</v>
      </c>
      <c r="U350" s="11">
        <v>1</v>
      </c>
      <c r="V350" s="81" t="s">
        <v>385</v>
      </c>
      <c r="W350" s="11">
        <f ca="1">IFERROR(OFFSET(ITEM_RES!$A$5,MATCH(BUILDING!V350,ITEM_RES!$J$5:$J$229,0)-1,0),0)</f>
        <v>211020901</v>
      </c>
      <c r="Y350" s="9" t="s">
        <v>509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5</v>
      </c>
      <c r="AJ350" s="10">
        <v>5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426</v>
      </c>
      <c r="AS350" s="11">
        <v>3600</v>
      </c>
      <c r="AV350" s="11">
        <f ca="1">IFERROR(OFFSET(ITEM_RES!$A$1,MATCH(AW350,ITEM_RES!$J:$J,0)-1,0),0)</f>
        <v>211020801</v>
      </c>
      <c r="AW350" s="10" t="s">
        <v>425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737</v>
      </c>
      <c r="P351" s="55" t="s">
        <v>1378</v>
      </c>
      <c r="Q351" s="9" t="s">
        <v>679</v>
      </c>
      <c r="S351" s="81" t="s">
        <v>536</v>
      </c>
      <c r="T351" s="9">
        <f ca="1">IFERROR(OFFSET(ITEM_RES!$A$5,MATCH(BUILDING!S351,ITEM_RES!$J$5:$J$229,0)-1,0),0)</f>
        <v>211020801</v>
      </c>
      <c r="U351" s="11">
        <v>1</v>
      </c>
      <c r="V351" s="81" t="s">
        <v>385</v>
      </c>
      <c r="W351" s="11">
        <f ca="1">IFERROR(OFFSET(ITEM_RES!$A$5,MATCH(BUILDING!V351,ITEM_RES!$J$5:$J$229,0)-1,0),0)</f>
        <v>211020901</v>
      </c>
      <c r="Y351" s="9" t="s">
        <v>509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8</v>
      </c>
      <c r="AJ351" s="10">
        <v>8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426</v>
      </c>
      <c r="AS351" s="11">
        <v>8000</v>
      </c>
      <c r="AV351" s="11">
        <f ca="1">IFERROR(OFFSET(ITEM_RES!$A$1,MATCH(AW351,ITEM_RES!$J:$J,0)-1,0),0)</f>
        <v>211020801</v>
      </c>
      <c r="AW351" s="10" t="s">
        <v>425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454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737</v>
      </c>
      <c r="P352" s="55" t="s">
        <v>1378</v>
      </c>
      <c r="Q352" s="9" t="s">
        <v>679</v>
      </c>
      <c r="S352" s="81" t="s">
        <v>536</v>
      </c>
      <c r="T352" s="9">
        <f ca="1">IFERROR(OFFSET(ITEM_RES!$A$5,MATCH(BUILDING!S352,ITEM_RES!$J$5:$J$229,0)-1,0),0)</f>
        <v>211020801</v>
      </c>
      <c r="U352" s="11">
        <v>1</v>
      </c>
      <c r="V352" s="81" t="s">
        <v>385</v>
      </c>
      <c r="W352" s="11">
        <f ca="1">IFERROR(OFFSET(ITEM_RES!$A$5,MATCH(BUILDING!V352,ITEM_RES!$J$5:$J$229,0)-1,0),0)</f>
        <v>211020901</v>
      </c>
      <c r="Y352" s="9" t="s">
        <v>509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10</v>
      </c>
      <c r="AJ352" s="10">
        <v>10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426</v>
      </c>
      <c r="AS352" s="11">
        <v>16800</v>
      </c>
      <c r="AV352" s="11">
        <f ca="1">IFERROR(OFFSET(ITEM_RES!$A$1,MATCH(AW352,ITEM_RES!$J:$J,0)-1,0),0)</f>
        <v>211020801</v>
      </c>
      <c r="AW352" s="10" t="s">
        <v>425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737</v>
      </c>
      <c r="P353" s="55" t="s">
        <v>1378</v>
      </c>
      <c r="Q353" s="9" t="s">
        <v>679</v>
      </c>
      <c r="S353" s="81" t="s">
        <v>536</v>
      </c>
      <c r="T353" s="9">
        <f ca="1">IFERROR(OFFSET(ITEM_RES!$A$5,MATCH(BUILDING!S353,ITEM_RES!$J$5:$J$229,0)-1,0),0)</f>
        <v>211020801</v>
      </c>
      <c r="U353" s="11">
        <v>1</v>
      </c>
      <c r="V353" s="81" t="s">
        <v>385</v>
      </c>
      <c r="W353" s="11">
        <f ca="1">IFERROR(OFFSET(ITEM_RES!$A$5,MATCH(BUILDING!V353,ITEM_RES!$J$5:$J$229,0)-1,0),0)</f>
        <v>211020901</v>
      </c>
      <c r="Y353" s="9" t="s">
        <v>509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15</v>
      </c>
      <c r="AJ353" s="10">
        <v>15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426</v>
      </c>
      <c r="AS353" s="11">
        <v>31200</v>
      </c>
      <c r="AV353" s="11">
        <f ca="1">IFERROR(OFFSET(ITEM_RES!$A$1,MATCH(AW353,ITEM_RES!$J:$J,0)-1,0),0)</f>
        <v>211020801</v>
      </c>
      <c r="AW353" s="10" t="s">
        <v>425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737</v>
      </c>
      <c r="P354" s="55" t="s">
        <v>1378</v>
      </c>
      <c r="Q354" s="9" t="s">
        <v>679</v>
      </c>
      <c r="S354" s="81" t="s">
        <v>536</v>
      </c>
      <c r="T354" s="9">
        <f ca="1">IFERROR(OFFSET(ITEM_RES!$A$5,MATCH(BUILDING!S354,ITEM_RES!$J$5:$J$229,0)-1,0),0)</f>
        <v>211020801</v>
      </c>
      <c r="U354" s="11">
        <v>1</v>
      </c>
      <c r="V354" s="81" t="s">
        <v>385</v>
      </c>
      <c r="W354" s="11">
        <f ca="1">IFERROR(OFFSET(ITEM_RES!$A$5,MATCH(BUILDING!V354,ITEM_RES!$J$5:$J$229,0)-1,0),0)</f>
        <v>211020901</v>
      </c>
      <c r="Y354" s="9" t="s">
        <v>509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30</v>
      </c>
      <c r="AJ354" s="10">
        <v>30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426</v>
      </c>
      <c r="AS354" s="11">
        <v>52000</v>
      </c>
      <c r="AV354" s="11">
        <f ca="1">IFERROR(OFFSET(ITEM_RES!$A$1,MATCH(AW354,ITEM_RES!$J:$J,0)-1,0),0)</f>
        <v>211020801</v>
      </c>
      <c r="AW354" s="10" t="s">
        <v>425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737</v>
      </c>
      <c r="P355" s="55" t="s">
        <v>1378</v>
      </c>
      <c r="Q355" s="9" t="s">
        <v>679</v>
      </c>
      <c r="S355" s="81" t="s">
        <v>536</v>
      </c>
      <c r="T355" s="9">
        <f ca="1">IFERROR(OFFSET(ITEM_RES!$A$5,MATCH(BUILDING!S355,ITEM_RES!$J$5:$J$229,0)-1,0),0)</f>
        <v>211020801</v>
      </c>
      <c r="U355" s="11">
        <v>1</v>
      </c>
      <c r="V355" s="81" t="s">
        <v>385</v>
      </c>
      <c r="W355" s="11">
        <f ca="1">IFERROR(OFFSET(ITEM_RES!$A$5,MATCH(BUILDING!V355,ITEM_RES!$J$5:$J$229,0)-1,0),0)</f>
        <v>211020901</v>
      </c>
      <c r="Y355" s="9" t="s">
        <v>509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</v>
      </c>
      <c r="AJ355" s="10">
        <v>30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426</v>
      </c>
      <c r="AS355" s="11">
        <v>88000</v>
      </c>
      <c r="AV355" s="11">
        <f ca="1">IFERROR(OFFSET(ITEM_RES!$A$1,MATCH(AW355,ITEM_RES!$J:$J,0)-1,0),0)</f>
        <v>211020801</v>
      </c>
      <c r="AW355" s="10" t="s">
        <v>425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737</v>
      </c>
      <c r="P356" s="55" t="s">
        <v>1378</v>
      </c>
      <c r="Q356" s="9" t="s">
        <v>679</v>
      </c>
      <c r="S356" s="81" t="s">
        <v>536</v>
      </c>
      <c r="T356" s="9">
        <f ca="1">IFERROR(OFFSET(ITEM_RES!$A$5,MATCH(BUILDING!S356,ITEM_RES!$J$5:$J$229,0)-1,0),0)</f>
        <v>211020801</v>
      </c>
      <c r="U356" s="11">
        <v>1</v>
      </c>
      <c r="V356" s="81" t="s">
        <v>385</v>
      </c>
      <c r="W356" s="11">
        <f ca="1">IFERROR(OFFSET(ITEM_RES!$A$5,MATCH(BUILDING!V356,ITEM_RES!$J$5:$J$229,0)-1,0),0)</f>
        <v>211020901</v>
      </c>
      <c r="Y356" s="9" t="s">
        <v>509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60</v>
      </c>
      <c r="AJ356" s="10">
        <v>60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424</v>
      </c>
      <c r="AS356" s="11">
        <v>148000</v>
      </c>
      <c r="AV356" s="11">
        <f ca="1">IFERROR(OFFSET(ITEM_RES!$A$1,MATCH(AW356,ITEM_RES!$J:$J,0)-1,0),0)</f>
        <v>211020801</v>
      </c>
      <c r="AW356" s="10" t="s">
        <v>425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737</v>
      </c>
      <c r="P357" s="55" t="s">
        <v>1378</v>
      </c>
      <c r="Q357" s="9" t="s">
        <v>679</v>
      </c>
      <c r="S357" s="81" t="s">
        <v>536</v>
      </c>
      <c r="T357" s="9">
        <f ca="1">IFERROR(OFFSET(ITEM_RES!$A$5,MATCH(BUILDING!S357,ITEM_RES!$J$5:$J$229,0)-1,0),0)</f>
        <v>211020801</v>
      </c>
      <c r="U357" s="11">
        <v>1</v>
      </c>
      <c r="V357" s="81" t="s">
        <v>385</v>
      </c>
      <c r="W357" s="11">
        <f ca="1">IFERROR(OFFSET(ITEM_RES!$A$5,MATCH(BUILDING!V357,ITEM_RES!$J$5:$J$229,0)-1,0),0)</f>
        <v>211020901</v>
      </c>
      <c r="Y357" s="9" t="s">
        <v>509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120</v>
      </c>
      <c r="AJ357" s="10">
        <v>120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424</v>
      </c>
      <c r="AS357" s="11">
        <v>248000</v>
      </c>
      <c r="AV357" s="11">
        <f ca="1">IFERROR(OFFSET(ITEM_RES!$A$1,MATCH(AW357,ITEM_RES!$J:$J,0)-1,0),0)</f>
        <v>211020801</v>
      </c>
      <c r="AW357" s="10" t="s">
        <v>425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737</v>
      </c>
      <c r="P358" s="55" t="s">
        <v>1378</v>
      </c>
      <c r="Q358" s="9" t="s">
        <v>679</v>
      </c>
      <c r="S358" s="81" t="s">
        <v>536</v>
      </c>
      <c r="T358" s="9">
        <f ca="1">IFERROR(OFFSET(ITEM_RES!$A$5,MATCH(BUILDING!S358,ITEM_RES!$J$5:$J$229,0)-1,0),0)</f>
        <v>211020801</v>
      </c>
      <c r="U358" s="11">
        <v>1</v>
      </c>
      <c r="V358" s="81" t="s">
        <v>385</v>
      </c>
      <c r="W358" s="11">
        <f ca="1">IFERROR(OFFSET(ITEM_RES!$A$5,MATCH(BUILDING!V358,ITEM_RES!$J$5:$J$229,0)-1,0),0)</f>
        <v>211020901</v>
      </c>
      <c r="Y358" s="9" t="s">
        <v>509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180</v>
      </c>
      <c r="AJ358" s="10">
        <v>180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424</v>
      </c>
      <c r="AS358" s="11">
        <v>388000</v>
      </c>
      <c r="AV358" s="11">
        <f ca="1">IFERROR(OFFSET(ITEM_RES!$A$1,MATCH(AW358,ITEM_RES!$J:$J,0)-1,0),0)</f>
        <v>211020801</v>
      </c>
      <c r="AW358" s="10" t="s">
        <v>425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737</v>
      </c>
      <c r="P359" s="55" t="s">
        <v>1378</v>
      </c>
      <c r="Q359" s="9" t="s">
        <v>679</v>
      </c>
      <c r="S359" s="81" t="s">
        <v>536</v>
      </c>
      <c r="T359" s="9">
        <f ca="1">IFERROR(OFFSET(ITEM_RES!$A$5,MATCH(BUILDING!S359,ITEM_RES!$J$5:$J$229,0)-1,0),0)</f>
        <v>211020801</v>
      </c>
      <c r="U359" s="11">
        <v>1</v>
      </c>
      <c r="V359" s="81" t="s">
        <v>385</v>
      </c>
      <c r="W359" s="11">
        <f ca="1">IFERROR(OFFSET(ITEM_RES!$A$5,MATCH(BUILDING!V359,ITEM_RES!$J$5:$J$229,0)-1,0),0)</f>
        <v>211020901</v>
      </c>
      <c r="Y359" s="9" t="s">
        <v>509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240</v>
      </c>
      <c r="AJ359" s="10">
        <v>240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424</v>
      </c>
      <c r="AS359" s="11">
        <v>840000</v>
      </c>
      <c r="AV359" s="11">
        <f ca="1">IFERROR(OFFSET(ITEM_RES!$A$1,MATCH(AW359,ITEM_RES!$J:$J,0)-1,0),0)</f>
        <v>211020801</v>
      </c>
      <c r="AW359" s="10" t="s">
        <v>425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737</v>
      </c>
      <c r="P360" s="55" t="s">
        <v>1378</v>
      </c>
      <c r="Q360" s="9" t="s">
        <v>679</v>
      </c>
      <c r="S360" s="81" t="s">
        <v>536</v>
      </c>
      <c r="T360" s="9">
        <f ca="1">IFERROR(OFFSET(ITEM_RES!$A$5,MATCH(BUILDING!S360,ITEM_RES!$J$5:$J$229,0)-1,0),0)</f>
        <v>211020801</v>
      </c>
      <c r="U360" s="11">
        <v>1</v>
      </c>
      <c r="V360" s="81" t="s">
        <v>385</v>
      </c>
      <c r="W360" s="11">
        <f ca="1">IFERROR(OFFSET(ITEM_RES!$A$5,MATCH(BUILDING!V360,ITEM_RES!$J$5:$J$229,0)-1,0),0)</f>
        <v>211020901</v>
      </c>
      <c r="Y360" s="9" t="s">
        <v>509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300</v>
      </c>
      <c r="AJ360" s="10">
        <v>300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424</v>
      </c>
      <c r="AS360" s="11">
        <v>1720000</v>
      </c>
      <c r="AV360" s="11">
        <f ca="1">IFERROR(OFFSET(ITEM_RES!$A$1,MATCH(AW360,ITEM_RES!$J:$J,0)-1,0),0)</f>
        <v>211020801</v>
      </c>
      <c r="AW360" s="10" t="s">
        <v>425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737</v>
      </c>
      <c r="P361" s="55" t="s">
        <v>1378</v>
      </c>
      <c r="Q361" s="9" t="s">
        <v>679</v>
      </c>
      <c r="S361" s="81" t="s">
        <v>536</v>
      </c>
      <c r="T361" s="9">
        <f ca="1">IFERROR(OFFSET(ITEM_RES!$A$5,MATCH(BUILDING!S361,ITEM_RES!$J$5:$J$229,0)-1,0),0)</f>
        <v>211020801</v>
      </c>
      <c r="U361" s="11">
        <v>1</v>
      </c>
      <c r="V361" s="81" t="s">
        <v>385</v>
      </c>
      <c r="W361" s="11">
        <f ca="1">IFERROR(OFFSET(ITEM_RES!$A$5,MATCH(BUILDING!V361,ITEM_RES!$J$5:$J$229,0)-1,0),0)</f>
        <v>211020901</v>
      </c>
      <c r="Y361" s="9" t="s">
        <v>509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360</v>
      </c>
      <c r="AJ361" s="10">
        <v>360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424</v>
      </c>
      <c r="AS361" s="11">
        <v>3200000</v>
      </c>
      <c r="AV361" s="11">
        <f ca="1">IFERROR(OFFSET(ITEM_RES!$A$1,MATCH(AW361,ITEM_RES!$J:$J,0)-1,0),0)</f>
        <v>211020801</v>
      </c>
      <c r="AW361" s="10" t="s">
        <v>425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737</v>
      </c>
      <c r="P362" s="55" t="s">
        <v>1378</v>
      </c>
      <c r="Q362" s="9" t="s">
        <v>679</v>
      </c>
      <c r="S362" s="81" t="s">
        <v>536</v>
      </c>
      <c r="T362" s="9">
        <f ca="1">IFERROR(OFFSET(ITEM_RES!$A$5,MATCH(BUILDING!S362,ITEM_RES!$J$5:$J$229,0)-1,0),0)</f>
        <v>211020801</v>
      </c>
      <c r="U362" s="11">
        <v>1</v>
      </c>
      <c r="V362" s="81" t="s">
        <v>385</v>
      </c>
      <c r="W362" s="11">
        <f ca="1">IFERROR(OFFSET(ITEM_RES!$A$5,MATCH(BUILDING!V362,ITEM_RES!$J$5:$J$229,0)-1,0),0)</f>
        <v>211020901</v>
      </c>
      <c r="Y362" s="9" t="s">
        <v>509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420</v>
      </c>
      <c r="AJ362" s="10">
        <v>420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424</v>
      </c>
      <c r="AS362" s="11">
        <v>5200000</v>
      </c>
      <c r="AV362" s="11">
        <f ca="1">IFERROR(OFFSET(ITEM_RES!$A$1,MATCH(AW362,ITEM_RES!$J:$J,0)-1,0),0)</f>
        <v>211020801</v>
      </c>
      <c r="AW362" s="10" t="s">
        <v>425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737</v>
      </c>
      <c r="P363" s="55" t="s">
        <v>1378</v>
      </c>
      <c r="Q363" s="9" t="s">
        <v>679</v>
      </c>
      <c r="S363" s="81" t="s">
        <v>536</v>
      </c>
      <c r="T363" s="9">
        <f ca="1">IFERROR(OFFSET(ITEM_RES!$A$5,MATCH(BUILDING!S363,ITEM_RES!$J$5:$J$229,0)-1,0),0)</f>
        <v>211020801</v>
      </c>
      <c r="U363" s="11">
        <v>1</v>
      </c>
      <c r="V363" s="81" t="s">
        <v>385</v>
      </c>
      <c r="W363" s="11">
        <f ca="1">IFERROR(OFFSET(ITEM_RES!$A$5,MATCH(BUILDING!V363,ITEM_RES!$J$5:$J$229,0)-1,0),0)</f>
        <v>211020901</v>
      </c>
      <c r="Y363" s="9" t="s">
        <v>509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480</v>
      </c>
      <c r="AJ363" s="10">
        <v>480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424</v>
      </c>
      <c r="AS363" s="11">
        <v>8000000</v>
      </c>
      <c r="AV363" s="11">
        <f ca="1">IFERROR(OFFSET(ITEM_RES!$A$1,MATCH(AW363,ITEM_RES!$J:$J,0)-1,0),0)</f>
        <v>211020801</v>
      </c>
      <c r="AW363" s="10" t="s">
        <v>425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737</v>
      </c>
      <c r="P364" s="55" t="s">
        <v>1378</v>
      </c>
      <c r="Q364" s="9" t="s">
        <v>679</v>
      </c>
      <c r="S364" s="81" t="s">
        <v>536</v>
      </c>
      <c r="T364" s="9">
        <f ca="1">IFERROR(OFFSET(ITEM_RES!$A$5,MATCH(BUILDING!S364,ITEM_RES!$J$5:$J$229,0)-1,0),0)</f>
        <v>211020801</v>
      </c>
      <c r="U364" s="11">
        <v>1</v>
      </c>
      <c r="V364" s="81" t="s">
        <v>385</v>
      </c>
      <c r="W364" s="11">
        <f ca="1">IFERROR(OFFSET(ITEM_RES!$A$5,MATCH(BUILDING!V364,ITEM_RES!$J$5:$J$229,0)-1,0),0)</f>
        <v>211020901</v>
      </c>
      <c r="Y364" s="9" t="s">
        <v>509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540</v>
      </c>
      <c r="AJ364" s="10">
        <v>540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424</v>
      </c>
      <c r="AS364" s="11">
        <v>12800000</v>
      </c>
      <c r="AV364" s="11">
        <f ca="1">IFERROR(OFFSET(ITEM_RES!$A$1,MATCH(AW364,ITEM_RES!$J:$J,0)-1,0),0)</f>
        <v>211020801</v>
      </c>
      <c r="AW364" s="10" t="s">
        <v>425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1116</v>
      </c>
      <c r="P365" s="56" t="s">
        <v>1379</v>
      </c>
      <c r="Q365" s="16" t="s">
        <v>685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531</v>
      </c>
      <c r="W365" s="18">
        <f ca="1">IFERROR(OFFSET(ITEM_RES!$A$5,MATCH(BUILDING!V365,ITEM_RES!$J$5:$J$229,0)-1,0),0)</f>
        <v>211020201</v>
      </c>
      <c r="X365" s="76"/>
      <c r="Y365" s="16" t="s">
        <v>510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2</v>
      </c>
      <c r="AJ365" s="17">
        <v>2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419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440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1117</v>
      </c>
      <c r="P366" s="55" t="s">
        <v>1379</v>
      </c>
      <c r="Q366" s="9" t="s">
        <v>685</v>
      </c>
      <c r="T366" s="9">
        <f ca="1">IFERROR(OFFSET(ITEM_RES!$A$5,MATCH(BUILDING!S366,ITEM_RES!$J$5:$J$229,0)-1,0),0)</f>
        <v>0</v>
      </c>
      <c r="V366" s="81" t="s">
        <v>531</v>
      </c>
      <c r="W366" s="11">
        <f ca="1">IFERROR(OFFSET(ITEM_RES!$A$5,MATCH(BUILDING!V366,ITEM_RES!$J$5:$J$229,0)-1,0),0)</f>
        <v>211020201</v>
      </c>
      <c r="Y366" s="9" t="s">
        <v>510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2</v>
      </c>
      <c r="AJ366" s="10">
        <v>2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419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1118</v>
      </c>
      <c r="P367" s="55" t="s">
        <v>1380</v>
      </c>
      <c r="Q367" s="9" t="s">
        <v>685</v>
      </c>
      <c r="T367" s="9">
        <f ca="1">IFERROR(OFFSET(ITEM_RES!$A$5,MATCH(BUILDING!S367,ITEM_RES!$J$5:$J$229,0)-1,0),0)</f>
        <v>0</v>
      </c>
      <c r="V367" s="81" t="s">
        <v>531</v>
      </c>
      <c r="W367" s="11">
        <f ca="1">IFERROR(OFFSET(ITEM_RES!$A$5,MATCH(BUILDING!V367,ITEM_RES!$J$5:$J$229,0)-1,0),0)</f>
        <v>211020201</v>
      </c>
      <c r="Y367" s="9" t="s">
        <v>510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2</v>
      </c>
      <c r="AJ367" s="10">
        <v>2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419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1119</v>
      </c>
      <c r="P368" s="55" t="s">
        <v>1380</v>
      </c>
      <c r="Q368" s="9" t="s">
        <v>685</v>
      </c>
      <c r="T368" s="9">
        <f ca="1">IFERROR(OFFSET(ITEM_RES!$A$5,MATCH(BUILDING!S368,ITEM_RES!$J$5:$J$229,0)-1,0),0)</f>
        <v>0</v>
      </c>
      <c r="V368" s="81" t="s">
        <v>531</v>
      </c>
      <c r="W368" s="11">
        <f ca="1">IFERROR(OFFSET(ITEM_RES!$A$5,MATCH(BUILDING!V368,ITEM_RES!$J$5:$J$229,0)-1,0),0)</f>
        <v>211020201</v>
      </c>
      <c r="Y368" s="9" t="s">
        <v>510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2</v>
      </c>
      <c r="AJ368" s="10">
        <v>2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419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1120</v>
      </c>
      <c r="P369" s="55" t="s">
        <v>1381</v>
      </c>
      <c r="Q369" s="9" t="s">
        <v>685</v>
      </c>
      <c r="T369" s="9">
        <f ca="1">IFERROR(OFFSET(ITEM_RES!$A$5,MATCH(BUILDING!S369,ITEM_RES!$J$5:$J$229,0)-1,0),0)</f>
        <v>0</v>
      </c>
      <c r="V369" s="81" t="s">
        <v>531</v>
      </c>
      <c r="W369" s="11">
        <f ca="1">IFERROR(OFFSET(ITEM_RES!$A$5,MATCH(BUILDING!V369,ITEM_RES!$J$5:$J$229,0)-1,0),0)</f>
        <v>211020201</v>
      </c>
      <c r="Y369" s="9" t="s">
        <v>510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3</v>
      </c>
      <c r="AJ369" s="10">
        <v>3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419</v>
      </c>
      <c r="AS369" s="11">
        <v>1080</v>
      </c>
      <c r="AV369" s="11">
        <f ca="1">IFERROR(OFFSET(ITEM_RES!$A$1,MATCH(AW369,ITEM_RES!$J:$J,0)-1,0),0)</f>
        <v>211020101</v>
      </c>
      <c r="AW369" s="10" t="s">
        <v>436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1121</v>
      </c>
      <c r="P370" s="55" t="s">
        <v>1381</v>
      </c>
      <c r="Q370" s="9" t="s">
        <v>685</v>
      </c>
      <c r="T370" s="9">
        <f ca="1">IFERROR(OFFSET(ITEM_RES!$A$5,MATCH(BUILDING!S370,ITEM_RES!$J$5:$J$229,0)-1,0),0)</f>
        <v>0</v>
      </c>
      <c r="V370" s="81" t="s">
        <v>531</v>
      </c>
      <c r="W370" s="11">
        <f ca="1">IFERROR(OFFSET(ITEM_RES!$A$5,MATCH(BUILDING!V370,ITEM_RES!$J$5:$J$229,0)-1,0),0)</f>
        <v>211020201</v>
      </c>
      <c r="Y370" s="9" t="s">
        <v>510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5</v>
      </c>
      <c r="AJ370" s="10">
        <v>5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419</v>
      </c>
      <c r="AS370" s="11">
        <v>3600</v>
      </c>
      <c r="AV370" s="11">
        <f ca="1">IFERROR(OFFSET(ITEM_RES!$A$1,MATCH(AW370,ITEM_RES!$J:$J,0)-1,0),0)</f>
        <v>211020101</v>
      </c>
      <c r="AW370" s="10" t="s">
        <v>436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1122</v>
      </c>
      <c r="P371" s="55" t="s">
        <v>1382</v>
      </c>
      <c r="Q371" s="9" t="s">
        <v>685</v>
      </c>
      <c r="T371" s="9">
        <f ca="1">IFERROR(OFFSET(ITEM_RES!$A$5,MATCH(BUILDING!S371,ITEM_RES!$J$5:$J$229,0)-1,0),0)</f>
        <v>0</v>
      </c>
      <c r="V371" s="81" t="s">
        <v>531</v>
      </c>
      <c r="W371" s="11">
        <f ca="1">IFERROR(OFFSET(ITEM_RES!$A$5,MATCH(BUILDING!V371,ITEM_RES!$J$5:$J$229,0)-1,0),0)</f>
        <v>211020201</v>
      </c>
      <c r="Y371" s="9" t="s">
        <v>510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8</v>
      </c>
      <c r="AJ371" s="10">
        <v>8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419</v>
      </c>
      <c r="AS371" s="11">
        <v>8000</v>
      </c>
      <c r="AV371" s="11">
        <f ca="1">IFERROR(OFFSET(ITEM_RES!$A$1,MATCH(AW371,ITEM_RES!$J:$J,0)-1,0),0)</f>
        <v>211020101</v>
      </c>
      <c r="AW371" s="10" t="s">
        <v>436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1122</v>
      </c>
      <c r="P372" s="55" t="s">
        <v>1382</v>
      </c>
      <c r="Q372" s="9" t="s">
        <v>685</v>
      </c>
      <c r="T372" s="9">
        <f ca="1">IFERROR(OFFSET(ITEM_RES!$A$5,MATCH(BUILDING!S372,ITEM_RES!$J$5:$J$229,0)-1,0),0)</f>
        <v>0</v>
      </c>
      <c r="V372" s="81" t="s">
        <v>531</v>
      </c>
      <c r="W372" s="11">
        <f ca="1">IFERROR(OFFSET(ITEM_RES!$A$5,MATCH(BUILDING!V372,ITEM_RES!$J$5:$J$229,0)-1,0),0)</f>
        <v>211020201</v>
      </c>
      <c r="Y372" s="9" t="s">
        <v>510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10</v>
      </c>
      <c r="AJ372" s="10">
        <v>10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419</v>
      </c>
      <c r="AS372" s="11">
        <v>16800</v>
      </c>
      <c r="AV372" s="11">
        <f ca="1">IFERROR(OFFSET(ITEM_RES!$A$1,MATCH(AW372,ITEM_RES!$J:$J,0)-1,0),0)</f>
        <v>211020101</v>
      </c>
      <c r="AW372" s="10" t="s">
        <v>436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1431</v>
      </c>
      <c r="P373" s="55" t="s">
        <v>1433</v>
      </c>
      <c r="Q373" s="9" t="s">
        <v>685</v>
      </c>
      <c r="T373" s="9">
        <f ca="1">IFERROR(OFFSET(ITEM_RES!$A$5,MATCH(BUILDING!S373,ITEM_RES!$J$5:$J$229,0)-1,0),0)</f>
        <v>0</v>
      </c>
      <c r="V373" s="81" t="s">
        <v>531</v>
      </c>
      <c r="W373" s="11">
        <f ca="1">IFERROR(OFFSET(ITEM_RES!$A$5,MATCH(BUILDING!V373,ITEM_RES!$J$5:$J$229,0)-1,0),0)</f>
        <v>211020201</v>
      </c>
      <c r="Y373" s="9" t="s">
        <v>510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15</v>
      </c>
      <c r="AJ373" s="10">
        <v>15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419</v>
      </c>
      <c r="AS373" s="11">
        <v>31200</v>
      </c>
      <c r="AV373" s="11">
        <f ca="1">IFERROR(OFFSET(ITEM_RES!$A$1,MATCH(AW373,ITEM_RES!$J:$J,0)-1,0),0)</f>
        <v>211020101</v>
      </c>
      <c r="AW373" s="10" t="s">
        <v>436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1431</v>
      </c>
      <c r="P374" s="55" t="s">
        <v>1433</v>
      </c>
      <c r="Q374" s="9" t="s">
        <v>685</v>
      </c>
      <c r="T374" s="9">
        <f ca="1">IFERROR(OFFSET(ITEM_RES!$A$5,MATCH(BUILDING!S374,ITEM_RES!$J$5:$J$229,0)-1,0),0)</f>
        <v>0</v>
      </c>
      <c r="V374" s="81" t="s">
        <v>531</v>
      </c>
      <c r="W374" s="11">
        <f ca="1">IFERROR(OFFSET(ITEM_RES!$A$5,MATCH(BUILDING!V374,ITEM_RES!$J$5:$J$229,0)-1,0),0)</f>
        <v>211020201</v>
      </c>
      <c r="Y374" s="9" t="s">
        <v>510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30</v>
      </c>
      <c r="AJ374" s="10">
        <v>30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419</v>
      </c>
      <c r="AS374" s="11">
        <v>52000</v>
      </c>
      <c r="AV374" s="11">
        <f ca="1">IFERROR(OFFSET(ITEM_RES!$A$1,MATCH(AW374,ITEM_RES!$J:$J,0)-1,0),0)</f>
        <v>211020101</v>
      </c>
      <c r="AW374" s="10" t="s">
        <v>436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1430</v>
      </c>
      <c r="P375" s="55" t="s">
        <v>1432</v>
      </c>
      <c r="Q375" s="9" t="s">
        <v>685</v>
      </c>
      <c r="T375" s="9">
        <f ca="1">IFERROR(OFFSET(ITEM_RES!$A$5,MATCH(BUILDING!S375,ITEM_RES!$J$5:$J$229,0)-1,0),0)</f>
        <v>0</v>
      </c>
      <c r="V375" s="81" t="s">
        <v>531</v>
      </c>
      <c r="W375" s="11">
        <f ca="1">IFERROR(OFFSET(ITEM_RES!$A$5,MATCH(BUILDING!V375,ITEM_RES!$J$5:$J$229,0)-1,0),0)</f>
        <v>211020201</v>
      </c>
      <c r="Y375" s="9" t="s">
        <v>510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</v>
      </c>
      <c r="AJ375" s="10">
        <v>30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419</v>
      </c>
      <c r="AS375" s="11">
        <v>88000</v>
      </c>
      <c r="AV375" s="11">
        <f ca="1">IFERROR(OFFSET(ITEM_RES!$A$1,MATCH(AW375,ITEM_RES!$J:$J,0)-1,0),0)</f>
        <v>211020101</v>
      </c>
      <c r="AW375" s="10" t="s">
        <v>436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1430</v>
      </c>
      <c r="P376" s="55" t="s">
        <v>1432</v>
      </c>
      <c r="Q376" s="9" t="s">
        <v>685</v>
      </c>
      <c r="T376" s="9">
        <f ca="1">IFERROR(OFFSET(ITEM_RES!$A$5,MATCH(BUILDING!S376,ITEM_RES!$J$5:$J$229,0)-1,0),0)</f>
        <v>0</v>
      </c>
      <c r="V376" s="81" t="s">
        <v>531</v>
      </c>
      <c r="W376" s="11">
        <f ca="1">IFERROR(OFFSET(ITEM_RES!$A$5,MATCH(BUILDING!V376,ITEM_RES!$J$5:$J$229,0)-1,0),0)</f>
        <v>211020201</v>
      </c>
      <c r="Y376" s="9" t="s">
        <v>510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</v>
      </c>
      <c r="AJ376" s="10">
        <v>60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419</v>
      </c>
      <c r="AS376" s="11">
        <v>148000</v>
      </c>
      <c r="AV376" s="11">
        <f ca="1">IFERROR(OFFSET(ITEM_RES!$A$1,MATCH(AW376,ITEM_RES!$J:$J,0)-1,0),0)</f>
        <v>211020101</v>
      </c>
      <c r="AW376" s="10" t="s">
        <v>436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1430</v>
      </c>
      <c r="P377" s="55" t="s">
        <v>1432</v>
      </c>
      <c r="Q377" s="9" t="s">
        <v>685</v>
      </c>
      <c r="T377" s="9">
        <f ca="1">IFERROR(OFFSET(ITEM_RES!$A$5,MATCH(BUILDING!S377,ITEM_RES!$J$5:$J$229,0)-1,0),0)</f>
        <v>0</v>
      </c>
      <c r="V377" s="81" t="s">
        <v>531</v>
      </c>
      <c r="W377" s="11">
        <f ca="1">IFERROR(OFFSET(ITEM_RES!$A$5,MATCH(BUILDING!V377,ITEM_RES!$J$5:$J$229,0)-1,0),0)</f>
        <v>211020201</v>
      </c>
      <c r="Y377" s="9" t="s">
        <v>510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120</v>
      </c>
      <c r="AJ377" s="10">
        <v>120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419</v>
      </c>
      <c r="AS377" s="11">
        <v>248000</v>
      </c>
      <c r="AV377" s="11">
        <f ca="1">IFERROR(OFFSET(ITEM_RES!$A$1,MATCH(AW377,ITEM_RES!$J:$J,0)-1,0),0)</f>
        <v>211020101</v>
      </c>
      <c r="AW377" s="10" t="s">
        <v>436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1430</v>
      </c>
      <c r="P378" s="55" t="s">
        <v>1432</v>
      </c>
      <c r="Q378" s="9" t="s">
        <v>685</v>
      </c>
      <c r="T378" s="9">
        <f ca="1">IFERROR(OFFSET(ITEM_RES!$A$5,MATCH(BUILDING!S378,ITEM_RES!$J$5:$J$229,0)-1,0),0)</f>
        <v>0</v>
      </c>
      <c r="V378" s="81" t="s">
        <v>531</v>
      </c>
      <c r="W378" s="11">
        <f ca="1">IFERROR(OFFSET(ITEM_RES!$A$5,MATCH(BUILDING!V378,ITEM_RES!$J$5:$J$229,0)-1,0),0)</f>
        <v>211020201</v>
      </c>
      <c r="Y378" s="9" t="s">
        <v>510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</v>
      </c>
      <c r="AJ378" s="10">
        <v>180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419</v>
      </c>
      <c r="AS378" s="11">
        <v>388000</v>
      </c>
      <c r="AV378" s="11">
        <f ca="1">IFERROR(OFFSET(ITEM_RES!$A$1,MATCH(AW378,ITEM_RES!$J:$J,0)-1,0),0)</f>
        <v>211020101</v>
      </c>
      <c r="AW378" s="10" t="s">
        <v>436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1430</v>
      </c>
      <c r="P379" s="55" t="s">
        <v>1432</v>
      </c>
      <c r="Q379" s="9" t="s">
        <v>685</v>
      </c>
      <c r="T379" s="9">
        <f ca="1">IFERROR(OFFSET(ITEM_RES!$A$5,MATCH(BUILDING!S379,ITEM_RES!$J$5:$J$229,0)-1,0),0)</f>
        <v>0</v>
      </c>
      <c r="V379" s="81" t="s">
        <v>531</v>
      </c>
      <c r="W379" s="11">
        <f ca="1">IFERROR(OFFSET(ITEM_RES!$A$5,MATCH(BUILDING!V379,ITEM_RES!$J$5:$J$229,0)-1,0),0)</f>
        <v>211020201</v>
      </c>
      <c r="Y379" s="9" t="s">
        <v>510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240</v>
      </c>
      <c r="AJ379" s="10">
        <v>240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432</v>
      </c>
      <c r="AS379" s="11">
        <v>840000</v>
      </c>
      <c r="AV379" s="11">
        <f ca="1">IFERROR(OFFSET(ITEM_RES!$A$1,MATCH(AW379,ITEM_RES!$J:$J,0)-1,0),0)</f>
        <v>211020101</v>
      </c>
      <c r="AW379" s="10" t="s">
        <v>436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1430</v>
      </c>
      <c r="P380" s="55" t="s">
        <v>1432</v>
      </c>
      <c r="Q380" s="9" t="s">
        <v>685</v>
      </c>
      <c r="T380" s="9">
        <f ca="1">IFERROR(OFFSET(ITEM_RES!$A$5,MATCH(BUILDING!S380,ITEM_RES!$J$5:$J$229,0)-1,0),0)</f>
        <v>0</v>
      </c>
      <c r="V380" s="81" t="s">
        <v>531</v>
      </c>
      <c r="W380" s="11">
        <f ca="1">IFERROR(OFFSET(ITEM_RES!$A$5,MATCH(BUILDING!V380,ITEM_RES!$J$5:$J$229,0)-1,0),0)</f>
        <v>211020201</v>
      </c>
      <c r="Y380" s="9" t="s">
        <v>510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300</v>
      </c>
      <c r="AJ380" s="10">
        <v>300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432</v>
      </c>
      <c r="AS380" s="11">
        <v>1720000</v>
      </c>
      <c r="AV380" s="11">
        <f ca="1">IFERROR(OFFSET(ITEM_RES!$A$1,MATCH(AW380,ITEM_RES!$J:$J,0)-1,0),0)</f>
        <v>211020101</v>
      </c>
      <c r="AW380" s="10" t="s">
        <v>436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1430</v>
      </c>
      <c r="P381" s="55" t="s">
        <v>1432</v>
      </c>
      <c r="Q381" s="9" t="s">
        <v>685</v>
      </c>
      <c r="T381" s="9">
        <f ca="1">IFERROR(OFFSET(ITEM_RES!$A$5,MATCH(BUILDING!S381,ITEM_RES!$J$5:$J$229,0)-1,0),0)</f>
        <v>0</v>
      </c>
      <c r="V381" s="81" t="s">
        <v>531</v>
      </c>
      <c r="W381" s="11">
        <f ca="1">IFERROR(OFFSET(ITEM_RES!$A$5,MATCH(BUILDING!V381,ITEM_RES!$J$5:$J$229,0)-1,0),0)</f>
        <v>211020201</v>
      </c>
      <c r="Y381" s="9" t="s">
        <v>510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360</v>
      </c>
      <c r="AJ381" s="10">
        <v>360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432</v>
      </c>
      <c r="AS381" s="11">
        <v>3200000</v>
      </c>
      <c r="AV381" s="11">
        <f ca="1">IFERROR(OFFSET(ITEM_RES!$A$1,MATCH(AW381,ITEM_RES!$J:$J,0)-1,0),0)</f>
        <v>211020101</v>
      </c>
      <c r="AW381" s="10" t="s">
        <v>436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1430</v>
      </c>
      <c r="P382" s="55" t="s">
        <v>1432</v>
      </c>
      <c r="Q382" s="9" t="s">
        <v>685</v>
      </c>
      <c r="T382" s="9">
        <f ca="1">IFERROR(OFFSET(ITEM_RES!$A$5,MATCH(BUILDING!S382,ITEM_RES!$J$5:$J$229,0)-1,0),0)</f>
        <v>0</v>
      </c>
      <c r="V382" s="81" t="s">
        <v>531</v>
      </c>
      <c r="W382" s="11">
        <f ca="1">IFERROR(OFFSET(ITEM_RES!$A$5,MATCH(BUILDING!V382,ITEM_RES!$J$5:$J$229,0)-1,0),0)</f>
        <v>211020201</v>
      </c>
      <c r="Y382" s="9" t="s">
        <v>510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420</v>
      </c>
      <c r="AJ382" s="10">
        <v>420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432</v>
      </c>
      <c r="AS382" s="11">
        <v>5200000</v>
      </c>
      <c r="AV382" s="11">
        <f ca="1">IFERROR(OFFSET(ITEM_RES!$A$1,MATCH(AW382,ITEM_RES!$J:$J,0)-1,0),0)</f>
        <v>211020101</v>
      </c>
      <c r="AW382" s="10" t="s">
        <v>436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1430</v>
      </c>
      <c r="P383" s="55" t="s">
        <v>1432</v>
      </c>
      <c r="Q383" s="9" t="s">
        <v>685</v>
      </c>
      <c r="T383" s="9">
        <f ca="1">IFERROR(OFFSET(ITEM_RES!$A$5,MATCH(BUILDING!S383,ITEM_RES!$J$5:$J$229,0)-1,0),0)</f>
        <v>0</v>
      </c>
      <c r="V383" s="81" t="s">
        <v>531</v>
      </c>
      <c r="W383" s="11">
        <f ca="1">IFERROR(OFFSET(ITEM_RES!$A$5,MATCH(BUILDING!V383,ITEM_RES!$J$5:$J$229,0)-1,0),0)</f>
        <v>211020201</v>
      </c>
      <c r="Y383" s="9" t="s">
        <v>510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480</v>
      </c>
      <c r="AJ383" s="10">
        <v>480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432</v>
      </c>
      <c r="AS383" s="11">
        <v>8000000</v>
      </c>
      <c r="AV383" s="11">
        <f ca="1">IFERROR(OFFSET(ITEM_RES!$A$1,MATCH(AW383,ITEM_RES!$J:$J,0)-1,0),0)</f>
        <v>211020101</v>
      </c>
      <c r="AW383" s="10" t="s">
        <v>436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1430</v>
      </c>
      <c r="P384" s="55" t="s">
        <v>1432</v>
      </c>
      <c r="Q384" s="9" t="s">
        <v>685</v>
      </c>
      <c r="T384" s="9">
        <f ca="1">IFERROR(OFFSET(ITEM_RES!$A$5,MATCH(BUILDING!S384,ITEM_RES!$J$5:$J$229,0)-1,0),0)</f>
        <v>0</v>
      </c>
      <c r="V384" s="81" t="s">
        <v>531</v>
      </c>
      <c r="W384" s="11">
        <f ca="1">IFERROR(OFFSET(ITEM_RES!$A$5,MATCH(BUILDING!V384,ITEM_RES!$J$5:$J$229,0)-1,0),0)</f>
        <v>211020201</v>
      </c>
      <c r="Y384" s="9" t="s">
        <v>510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540</v>
      </c>
      <c r="AJ384" s="10">
        <v>540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432</v>
      </c>
      <c r="AS384" s="11">
        <v>12800000</v>
      </c>
      <c r="AV384" s="11">
        <f ca="1">IFERROR(OFFSET(ITEM_RES!$A$1,MATCH(AW384,ITEM_RES!$J:$J,0)-1,0),0)</f>
        <v>211020101</v>
      </c>
      <c r="AW384" s="10" t="s">
        <v>436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414</v>
      </c>
      <c r="L385" s="16">
        <v>7</v>
      </c>
      <c r="M385" s="16">
        <v>1</v>
      </c>
      <c r="N385" s="16">
        <v>15</v>
      </c>
      <c r="O385" s="16" t="s">
        <v>1017</v>
      </c>
      <c r="P385" s="56" t="s">
        <v>1383</v>
      </c>
      <c r="Q385" s="16" t="s">
        <v>684</v>
      </c>
      <c r="R385" s="76"/>
      <c r="S385" s="83" t="s">
        <v>537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532</v>
      </c>
      <c r="W385" s="18">
        <f ca="1">IFERROR(OFFSET(ITEM_RES!$A$5,MATCH(BUILDING!V385,ITEM_RES!$J$5:$J$229,0)-1,0),0)</f>
        <v>211020501</v>
      </c>
      <c r="X385" s="76"/>
      <c r="Y385" s="16" t="s">
        <v>511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2</v>
      </c>
      <c r="AJ385" s="17">
        <v>2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427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440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414</v>
      </c>
      <c r="M386" s="9">
        <v>1</v>
      </c>
      <c r="N386" s="9">
        <v>15</v>
      </c>
      <c r="O386" s="9" t="s">
        <v>1017</v>
      </c>
      <c r="P386" s="55" t="s">
        <v>1383</v>
      </c>
      <c r="Q386" s="9" t="s">
        <v>684</v>
      </c>
      <c r="S386" s="81" t="s">
        <v>537</v>
      </c>
      <c r="T386" s="9">
        <f ca="1">IFERROR(OFFSET(ITEM_RES!$A$5,MATCH(BUILDING!S386,ITEM_RES!$J$5:$J$229,0)-1,0),0)</f>
        <v>211020401</v>
      </c>
      <c r="U386" s="11">
        <v>1</v>
      </c>
      <c r="V386" s="81" t="s">
        <v>532</v>
      </c>
      <c r="W386" s="11">
        <f ca="1">IFERROR(OFFSET(ITEM_RES!$A$5,MATCH(BUILDING!V386,ITEM_RES!$J$5:$J$229,0)-1,0),0)</f>
        <v>211020501</v>
      </c>
      <c r="Y386" s="9" t="s">
        <v>511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2</v>
      </c>
      <c r="AJ386" s="10">
        <v>2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427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414</v>
      </c>
      <c r="M387" s="9">
        <v>1</v>
      </c>
      <c r="N387" s="9">
        <v>15</v>
      </c>
      <c r="O387" s="9" t="s">
        <v>1017</v>
      </c>
      <c r="P387" s="55" t="s">
        <v>1383</v>
      </c>
      <c r="Q387" s="9" t="s">
        <v>684</v>
      </c>
      <c r="S387" s="81" t="s">
        <v>537</v>
      </c>
      <c r="T387" s="9">
        <f ca="1">IFERROR(OFFSET(ITEM_RES!$A$5,MATCH(BUILDING!S387,ITEM_RES!$J$5:$J$229,0)-1,0),0)</f>
        <v>211020401</v>
      </c>
      <c r="U387" s="11">
        <v>1</v>
      </c>
      <c r="V387" s="81" t="s">
        <v>532</v>
      </c>
      <c r="W387" s="11">
        <f ca="1">IFERROR(OFFSET(ITEM_RES!$A$5,MATCH(BUILDING!V387,ITEM_RES!$J$5:$J$229,0)-1,0),0)</f>
        <v>211020501</v>
      </c>
      <c r="Y387" s="9" t="s">
        <v>511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2</v>
      </c>
      <c r="AJ387" s="10">
        <v>2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427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414</v>
      </c>
      <c r="M388" s="9">
        <v>1</v>
      </c>
      <c r="N388" s="9">
        <v>15</v>
      </c>
      <c r="O388" s="9" t="s">
        <v>1017</v>
      </c>
      <c r="P388" s="55" t="s">
        <v>1383</v>
      </c>
      <c r="Q388" s="9" t="s">
        <v>684</v>
      </c>
      <c r="S388" s="81" t="s">
        <v>537</v>
      </c>
      <c r="T388" s="9">
        <f ca="1">IFERROR(OFFSET(ITEM_RES!$A$5,MATCH(BUILDING!S388,ITEM_RES!$J$5:$J$229,0)-1,0),0)</f>
        <v>211020401</v>
      </c>
      <c r="U388" s="11">
        <v>1</v>
      </c>
      <c r="V388" s="81" t="s">
        <v>532</v>
      </c>
      <c r="W388" s="11">
        <f ca="1">IFERROR(OFFSET(ITEM_RES!$A$5,MATCH(BUILDING!V388,ITEM_RES!$J$5:$J$229,0)-1,0),0)</f>
        <v>211020501</v>
      </c>
      <c r="Y388" s="9" t="s">
        <v>511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2</v>
      </c>
      <c r="AJ388" s="10">
        <v>2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427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414</v>
      </c>
      <c r="M389" s="9">
        <v>1</v>
      </c>
      <c r="N389" s="9">
        <v>15</v>
      </c>
      <c r="O389" s="9" t="s">
        <v>1017</v>
      </c>
      <c r="P389" s="55" t="s">
        <v>1383</v>
      </c>
      <c r="Q389" s="9" t="s">
        <v>684</v>
      </c>
      <c r="S389" s="81" t="s">
        <v>537</v>
      </c>
      <c r="T389" s="9">
        <f ca="1">IFERROR(OFFSET(ITEM_RES!$A$5,MATCH(BUILDING!S389,ITEM_RES!$J$5:$J$229,0)-1,0),0)</f>
        <v>211020401</v>
      </c>
      <c r="U389" s="11">
        <v>1</v>
      </c>
      <c r="V389" s="81" t="s">
        <v>532</v>
      </c>
      <c r="W389" s="11">
        <f ca="1">IFERROR(OFFSET(ITEM_RES!$A$5,MATCH(BUILDING!V389,ITEM_RES!$J$5:$J$229,0)-1,0),0)</f>
        <v>211020501</v>
      </c>
      <c r="Y389" s="9" t="s">
        <v>511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3</v>
      </c>
      <c r="AJ389" s="10">
        <v>3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427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414</v>
      </c>
      <c r="M390" s="9">
        <v>1</v>
      </c>
      <c r="N390" s="9">
        <v>15</v>
      </c>
      <c r="O390" s="9" t="s">
        <v>1017</v>
      </c>
      <c r="P390" s="55" t="s">
        <v>1383</v>
      </c>
      <c r="Q390" s="9" t="s">
        <v>684</v>
      </c>
      <c r="S390" s="81" t="s">
        <v>537</v>
      </c>
      <c r="T390" s="9">
        <f ca="1">IFERROR(OFFSET(ITEM_RES!$A$5,MATCH(BUILDING!S390,ITEM_RES!$J$5:$J$229,0)-1,0),0)</f>
        <v>211020401</v>
      </c>
      <c r="U390" s="11">
        <v>1</v>
      </c>
      <c r="V390" s="81" t="s">
        <v>532</v>
      </c>
      <c r="W390" s="11">
        <f ca="1">IFERROR(OFFSET(ITEM_RES!$A$5,MATCH(BUILDING!V390,ITEM_RES!$J$5:$J$229,0)-1,0),0)</f>
        <v>211020501</v>
      </c>
      <c r="Y390" s="9" t="s">
        <v>511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5</v>
      </c>
      <c r="AJ390" s="10">
        <v>5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427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457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414</v>
      </c>
      <c r="M391" s="9">
        <v>1</v>
      </c>
      <c r="N391" s="9">
        <v>15</v>
      </c>
      <c r="O391" s="9" t="s">
        <v>1017</v>
      </c>
      <c r="P391" s="55" t="s">
        <v>1383</v>
      </c>
      <c r="Q391" s="9" t="s">
        <v>684</v>
      </c>
      <c r="S391" s="81" t="s">
        <v>537</v>
      </c>
      <c r="T391" s="9">
        <f ca="1">IFERROR(OFFSET(ITEM_RES!$A$5,MATCH(BUILDING!S391,ITEM_RES!$J$5:$J$229,0)-1,0),0)</f>
        <v>211020401</v>
      </c>
      <c r="U391" s="11">
        <v>1</v>
      </c>
      <c r="V391" s="81" t="s">
        <v>532</v>
      </c>
      <c r="W391" s="11">
        <f ca="1">IFERROR(OFFSET(ITEM_RES!$A$5,MATCH(BUILDING!V391,ITEM_RES!$J$5:$J$229,0)-1,0),0)</f>
        <v>211020501</v>
      </c>
      <c r="Y391" s="9" t="s">
        <v>511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8</v>
      </c>
      <c r="AJ391" s="10">
        <v>8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427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414</v>
      </c>
      <c r="M392" s="9">
        <v>1</v>
      </c>
      <c r="N392" s="9">
        <v>15</v>
      </c>
      <c r="O392" s="9" t="s">
        <v>1017</v>
      </c>
      <c r="P392" s="55" t="s">
        <v>1383</v>
      </c>
      <c r="Q392" s="9" t="s">
        <v>684</v>
      </c>
      <c r="S392" s="81" t="s">
        <v>537</v>
      </c>
      <c r="T392" s="9">
        <f ca="1">IFERROR(OFFSET(ITEM_RES!$A$5,MATCH(BUILDING!S392,ITEM_RES!$J$5:$J$229,0)-1,0),0)</f>
        <v>211020401</v>
      </c>
      <c r="U392" s="11">
        <v>1</v>
      </c>
      <c r="V392" s="81" t="s">
        <v>532</v>
      </c>
      <c r="W392" s="11">
        <f ca="1">IFERROR(OFFSET(ITEM_RES!$A$5,MATCH(BUILDING!V392,ITEM_RES!$J$5:$J$229,0)-1,0),0)</f>
        <v>211020501</v>
      </c>
      <c r="Y392" s="9" t="s">
        <v>511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10</v>
      </c>
      <c r="AJ392" s="10">
        <v>10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427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414</v>
      </c>
      <c r="M393" s="9">
        <v>1</v>
      </c>
      <c r="N393" s="9">
        <v>15</v>
      </c>
      <c r="O393" s="9" t="s">
        <v>1017</v>
      </c>
      <c r="P393" s="55" t="s">
        <v>1383</v>
      </c>
      <c r="Q393" s="9" t="s">
        <v>684</v>
      </c>
      <c r="S393" s="81" t="s">
        <v>537</v>
      </c>
      <c r="T393" s="9">
        <f ca="1">IFERROR(OFFSET(ITEM_RES!$A$5,MATCH(BUILDING!S393,ITEM_RES!$J$5:$J$229,0)-1,0),0)</f>
        <v>211020401</v>
      </c>
      <c r="U393" s="11">
        <v>1</v>
      </c>
      <c r="V393" s="81" t="s">
        <v>532</v>
      </c>
      <c r="W393" s="11">
        <f ca="1">IFERROR(OFFSET(ITEM_RES!$A$5,MATCH(BUILDING!V393,ITEM_RES!$J$5:$J$229,0)-1,0),0)</f>
        <v>211020501</v>
      </c>
      <c r="Y393" s="9" t="s">
        <v>511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15</v>
      </c>
      <c r="AJ393" s="10">
        <v>15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427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414</v>
      </c>
      <c r="M394" s="9">
        <v>1</v>
      </c>
      <c r="N394" s="9">
        <v>15</v>
      </c>
      <c r="O394" s="9" t="s">
        <v>1017</v>
      </c>
      <c r="P394" s="55" t="s">
        <v>1383</v>
      </c>
      <c r="Q394" s="9" t="s">
        <v>684</v>
      </c>
      <c r="S394" s="81" t="s">
        <v>537</v>
      </c>
      <c r="T394" s="9">
        <f ca="1">IFERROR(OFFSET(ITEM_RES!$A$5,MATCH(BUILDING!S394,ITEM_RES!$J$5:$J$229,0)-1,0),0)</f>
        <v>211020401</v>
      </c>
      <c r="U394" s="11">
        <v>1</v>
      </c>
      <c r="V394" s="81" t="s">
        <v>532</v>
      </c>
      <c r="W394" s="11">
        <f ca="1">IFERROR(OFFSET(ITEM_RES!$A$5,MATCH(BUILDING!V394,ITEM_RES!$J$5:$J$229,0)-1,0),0)</f>
        <v>211020501</v>
      </c>
      <c r="Y394" s="9" t="s">
        <v>511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30</v>
      </c>
      <c r="AJ394" s="10">
        <v>30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427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414</v>
      </c>
      <c r="M395" s="9">
        <v>1</v>
      </c>
      <c r="N395" s="9">
        <v>15</v>
      </c>
      <c r="O395" s="9" t="s">
        <v>1017</v>
      </c>
      <c r="P395" s="55" t="s">
        <v>1383</v>
      </c>
      <c r="Q395" s="9" t="s">
        <v>684</v>
      </c>
      <c r="S395" s="81" t="s">
        <v>537</v>
      </c>
      <c r="T395" s="9">
        <f ca="1">IFERROR(OFFSET(ITEM_RES!$A$5,MATCH(BUILDING!S395,ITEM_RES!$J$5:$J$229,0)-1,0),0)</f>
        <v>211020401</v>
      </c>
      <c r="U395" s="11">
        <v>1</v>
      </c>
      <c r="V395" s="81" t="s">
        <v>532</v>
      </c>
      <c r="W395" s="11">
        <f ca="1">IFERROR(OFFSET(ITEM_RES!$A$5,MATCH(BUILDING!V395,ITEM_RES!$J$5:$J$229,0)-1,0),0)</f>
        <v>211020501</v>
      </c>
      <c r="Y395" s="9" t="s">
        <v>511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</v>
      </c>
      <c r="AJ395" s="10">
        <v>30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427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414</v>
      </c>
      <c r="M396" s="9">
        <v>1</v>
      </c>
      <c r="N396" s="9">
        <v>15</v>
      </c>
      <c r="O396" s="9" t="s">
        <v>1017</v>
      </c>
      <c r="P396" s="55" t="s">
        <v>1383</v>
      </c>
      <c r="Q396" s="9" t="s">
        <v>684</v>
      </c>
      <c r="S396" s="81" t="s">
        <v>537</v>
      </c>
      <c r="T396" s="9">
        <f ca="1">IFERROR(OFFSET(ITEM_RES!$A$5,MATCH(BUILDING!S396,ITEM_RES!$J$5:$J$229,0)-1,0),0)</f>
        <v>211020401</v>
      </c>
      <c r="U396" s="11">
        <v>1</v>
      </c>
      <c r="V396" s="81" t="s">
        <v>532</v>
      </c>
      <c r="W396" s="11">
        <f ca="1">IFERROR(OFFSET(ITEM_RES!$A$5,MATCH(BUILDING!V396,ITEM_RES!$J$5:$J$229,0)-1,0),0)</f>
        <v>211020501</v>
      </c>
      <c r="Y396" s="9" t="s">
        <v>511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</v>
      </c>
      <c r="AJ396" s="10">
        <v>60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427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414</v>
      </c>
      <c r="M397" s="9">
        <v>1</v>
      </c>
      <c r="N397" s="9">
        <v>15</v>
      </c>
      <c r="O397" s="9" t="s">
        <v>1017</v>
      </c>
      <c r="P397" s="55" t="s">
        <v>1383</v>
      </c>
      <c r="Q397" s="9" t="s">
        <v>684</v>
      </c>
      <c r="S397" s="81" t="s">
        <v>537</v>
      </c>
      <c r="T397" s="9">
        <f ca="1">IFERROR(OFFSET(ITEM_RES!$A$5,MATCH(BUILDING!S397,ITEM_RES!$J$5:$J$229,0)-1,0),0)</f>
        <v>211020401</v>
      </c>
      <c r="U397" s="11">
        <v>1</v>
      </c>
      <c r="V397" s="81" t="s">
        <v>532</v>
      </c>
      <c r="W397" s="11">
        <f ca="1">IFERROR(OFFSET(ITEM_RES!$A$5,MATCH(BUILDING!V397,ITEM_RES!$J$5:$J$229,0)-1,0),0)</f>
        <v>211020501</v>
      </c>
      <c r="Y397" s="9" t="s">
        <v>511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120</v>
      </c>
      <c r="AJ397" s="10">
        <v>120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427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414</v>
      </c>
      <c r="M398" s="9">
        <v>1</v>
      </c>
      <c r="N398" s="9">
        <v>15</v>
      </c>
      <c r="O398" s="9" t="s">
        <v>1017</v>
      </c>
      <c r="P398" s="55" t="s">
        <v>1383</v>
      </c>
      <c r="Q398" s="9" t="s">
        <v>684</v>
      </c>
      <c r="S398" s="81" t="s">
        <v>537</v>
      </c>
      <c r="T398" s="9">
        <f ca="1">IFERROR(OFFSET(ITEM_RES!$A$5,MATCH(BUILDING!S398,ITEM_RES!$J$5:$J$229,0)-1,0),0)</f>
        <v>211020401</v>
      </c>
      <c r="U398" s="11">
        <v>1</v>
      </c>
      <c r="V398" s="81" t="s">
        <v>532</v>
      </c>
      <c r="W398" s="11">
        <f ca="1">IFERROR(OFFSET(ITEM_RES!$A$5,MATCH(BUILDING!V398,ITEM_RES!$J$5:$J$229,0)-1,0),0)</f>
        <v>211020501</v>
      </c>
      <c r="Y398" s="9" t="s">
        <v>511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</v>
      </c>
      <c r="AJ398" s="10">
        <v>180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427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414</v>
      </c>
      <c r="M399" s="9">
        <v>1</v>
      </c>
      <c r="N399" s="9">
        <v>15</v>
      </c>
      <c r="O399" s="9" t="s">
        <v>1017</v>
      </c>
      <c r="P399" s="55" t="s">
        <v>1383</v>
      </c>
      <c r="Q399" s="9" t="s">
        <v>684</v>
      </c>
      <c r="S399" s="81" t="s">
        <v>537</v>
      </c>
      <c r="T399" s="9">
        <f ca="1">IFERROR(OFFSET(ITEM_RES!$A$5,MATCH(BUILDING!S399,ITEM_RES!$J$5:$J$229,0)-1,0),0)</f>
        <v>211020401</v>
      </c>
      <c r="U399" s="11">
        <v>1</v>
      </c>
      <c r="V399" s="81" t="s">
        <v>532</v>
      </c>
      <c r="W399" s="11">
        <f ca="1">IFERROR(OFFSET(ITEM_RES!$A$5,MATCH(BUILDING!V399,ITEM_RES!$J$5:$J$229,0)-1,0),0)</f>
        <v>211020501</v>
      </c>
      <c r="Y399" s="9" t="s">
        <v>511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240</v>
      </c>
      <c r="AJ399" s="10">
        <v>240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427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414</v>
      </c>
      <c r="M400" s="9">
        <v>0</v>
      </c>
      <c r="N400" s="9">
        <v>15</v>
      </c>
      <c r="O400" s="9" t="s">
        <v>1017</v>
      </c>
      <c r="P400" s="55" t="s">
        <v>1383</v>
      </c>
      <c r="Q400" s="9" t="s">
        <v>684</v>
      </c>
      <c r="S400" s="81" t="s">
        <v>537</v>
      </c>
      <c r="T400" s="9">
        <f ca="1">IFERROR(OFFSET(ITEM_RES!$A$5,MATCH(BUILDING!S400,ITEM_RES!$J$5:$J$229,0)-1,0),0)</f>
        <v>211020401</v>
      </c>
      <c r="U400" s="11">
        <v>1</v>
      </c>
      <c r="V400" s="81" t="s">
        <v>532</v>
      </c>
      <c r="W400" s="11">
        <f ca="1">IFERROR(OFFSET(ITEM_RES!$A$5,MATCH(BUILDING!V400,ITEM_RES!$J$5:$J$229,0)-1,0),0)</f>
        <v>211020501</v>
      </c>
      <c r="Y400" s="9" t="s">
        <v>511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</v>
      </c>
      <c r="AJ400" s="10">
        <v>300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427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414</v>
      </c>
      <c r="M401" s="9">
        <v>0</v>
      </c>
      <c r="N401" s="9">
        <v>15</v>
      </c>
      <c r="O401" s="9" t="s">
        <v>1017</v>
      </c>
      <c r="P401" s="55" t="s">
        <v>1383</v>
      </c>
      <c r="Q401" s="9" t="s">
        <v>684</v>
      </c>
      <c r="S401" s="81" t="s">
        <v>537</v>
      </c>
      <c r="T401" s="9">
        <f ca="1">IFERROR(OFFSET(ITEM_RES!$A$5,MATCH(BUILDING!S401,ITEM_RES!$J$5:$J$229,0)-1,0),0)</f>
        <v>211020401</v>
      </c>
      <c r="U401" s="11">
        <v>1</v>
      </c>
      <c r="V401" s="81" t="s">
        <v>532</v>
      </c>
      <c r="W401" s="11">
        <f ca="1">IFERROR(OFFSET(ITEM_RES!$A$5,MATCH(BUILDING!V401,ITEM_RES!$J$5:$J$229,0)-1,0),0)</f>
        <v>211020501</v>
      </c>
      <c r="Y401" s="9" t="s">
        <v>511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360</v>
      </c>
      <c r="AJ401" s="10">
        <v>360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427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414</v>
      </c>
      <c r="M402" s="9">
        <v>0</v>
      </c>
      <c r="N402" s="9">
        <v>15</v>
      </c>
      <c r="O402" s="9" t="s">
        <v>1017</v>
      </c>
      <c r="P402" s="55" t="s">
        <v>1383</v>
      </c>
      <c r="Q402" s="9" t="s">
        <v>684</v>
      </c>
      <c r="S402" s="81" t="s">
        <v>537</v>
      </c>
      <c r="T402" s="9">
        <f ca="1">IFERROR(OFFSET(ITEM_RES!$A$5,MATCH(BUILDING!S402,ITEM_RES!$J$5:$J$229,0)-1,0),0)</f>
        <v>211020401</v>
      </c>
      <c r="U402" s="11">
        <v>1</v>
      </c>
      <c r="V402" s="81" t="s">
        <v>532</v>
      </c>
      <c r="W402" s="11">
        <f ca="1">IFERROR(OFFSET(ITEM_RES!$A$5,MATCH(BUILDING!V402,ITEM_RES!$J$5:$J$229,0)-1,0),0)</f>
        <v>211020501</v>
      </c>
      <c r="Y402" s="9" t="s">
        <v>511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420</v>
      </c>
      <c r="AJ402" s="10">
        <v>420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427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414</v>
      </c>
      <c r="M403" s="9">
        <v>0</v>
      </c>
      <c r="N403" s="9">
        <v>15</v>
      </c>
      <c r="O403" s="9" t="s">
        <v>1017</v>
      </c>
      <c r="P403" s="55" t="s">
        <v>1383</v>
      </c>
      <c r="Q403" s="9" t="s">
        <v>684</v>
      </c>
      <c r="S403" s="81" t="s">
        <v>537</v>
      </c>
      <c r="T403" s="9">
        <f ca="1">IFERROR(OFFSET(ITEM_RES!$A$5,MATCH(BUILDING!S403,ITEM_RES!$J$5:$J$229,0)-1,0),0)</f>
        <v>211020401</v>
      </c>
      <c r="U403" s="11">
        <v>1</v>
      </c>
      <c r="V403" s="81" t="s">
        <v>532</v>
      </c>
      <c r="W403" s="11">
        <f ca="1">IFERROR(OFFSET(ITEM_RES!$A$5,MATCH(BUILDING!V403,ITEM_RES!$J$5:$J$229,0)-1,0),0)</f>
        <v>211020501</v>
      </c>
      <c r="Y403" s="9" t="s">
        <v>511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480</v>
      </c>
      <c r="AJ403" s="10">
        <v>480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427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414</v>
      </c>
      <c r="M404" s="9">
        <v>0</v>
      </c>
      <c r="N404" s="9">
        <v>15</v>
      </c>
      <c r="O404" s="9" t="s">
        <v>1017</v>
      </c>
      <c r="P404" s="55" t="s">
        <v>1383</v>
      </c>
      <c r="Q404" s="9" t="s">
        <v>684</v>
      </c>
      <c r="S404" s="81" t="s">
        <v>537</v>
      </c>
      <c r="T404" s="9">
        <f ca="1">IFERROR(OFFSET(ITEM_RES!$A$5,MATCH(BUILDING!S404,ITEM_RES!$J$5:$J$229,0)-1,0),0)</f>
        <v>211020401</v>
      </c>
      <c r="U404" s="11">
        <v>1</v>
      </c>
      <c r="V404" s="81" t="s">
        <v>532</v>
      </c>
      <c r="W404" s="11">
        <f ca="1">IFERROR(OFFSET(ITEM_RES!$A$5,MATCH(BUILDING!V404,ITEM_RES!$J$5:$J$229,0)-1,0),0)</f>
        <v>211020501</v>
      </c>
      <c r="Y404" s="9" t="s">
        <v>511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540</v>
      </c>
      <c r="AJ404" s="10">
        <v>540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427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517</v>
      </c>
      <c r="L405" s="16">
        <v>3</v>
      </c>
      <c r="M405" s="16">
        <v>1</v>
      </c>
      <c r="N405" s="16">
        <v>15</v>
      </c>
      <c r="O405" s="16" t="s">
        <v>1123</v>
      </c>
      <c r="P405" s="56" t="s">
        <v>1384</v>
      </c>
      <c r="Q405" s="16" t="s">
        <v>680</v>
      </c>
      <c r="R405" s="76"/>
      <c r="S405" s="83" t="s">
        <v>531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533</v>
      </c>
      <c r="W405" s="18">
        <f ca="1">IFERROR(OFFSET(ITEM_RES!$A$5,MATCH(BUILDING!V405,ITEM_RES!$J$5:$J$229,0)-1,0),0)</f>
        <v>211020301</v>
      </c>
      <c r="X405" s="76"/>
      <c r="Y405" s="16" t="s">
        <v>512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2</v>
      </c>
      <c r="AJ405" s="17">
        <v>2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1442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426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440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1123</v>
      </c>
      <c r="P406" s="55" t="s">
        <v>1384</v>
      </c>
      <c r="Q406" s="9" t="s">
        <v>680</v>
      </c>
      <c r="S406" s="81" t="s">
        <v>531</v>
      </c>
      <c r="T406" s="9">
        <f ca="1">IFERROR(OFFSET(ITEM_RES!$A$5,MATCH(BUILDING!S406,ITEM_RES!$J$5:$J$229,0)-1,0),0)</f>
        <v>211020201</v>
      </c>
      <c r="U406" s="11">
        <v>1</v>
      </c>
      <c r="V406" s="81" t="s">
        <v>533</v>
      </c>
      <c r="W406" s="11">
        <f ca="1">IFERROR(OFFSET(ITEM_RES!$A$5,MATCH(BUILDING!V406,ITEM_RES!$J$5:$J$229,0)-1,0),0)</f>
        <v>211020301</v>
      </c>
      <c r="Y406" s="9" t="s">
        <v>512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2</v>
      </c>
      <c r="AJ406" s="10">
        <v>2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1442</v>
      </c>
      <c r="AS406" s="11">
        <v>10</v>
      </c>
      <c r="AV406" s="11">
        <f ca="1">IFERROR(OFFSET(ITEM_RES!$A$1,MATCH(AW406,ITEM_RES!$J:$J,0)-1,0),0)</f>
        <v>211020401</v>
      </c>
      <c r="AW406" s="10" t="s">
        <v>426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1124</v>
      </c>
      <c r="P407" s="55" t="s">
        <v>1385</v>
      </c>
      <c r="Q407" s="9" t="s">
        <v>680</v>
      </c>
      <c r="S407" s="81" t="s">
        <v>531</v>
      </c>
      <c r="T407" s="9">
        <f ca="1">IFERROR(OFFSET(ITEM_RES!$A$5,MATCH(BUILDING!S407,ITEM_RES!$J$5:$J$229,0)-1,0),0)</f>
        <v>211020201</v>
      </c>
      <c r="U407" s="11">
        <v>1</v>
      </c>
      <c r="V407" s="81" t="s">
        <v>533</v>
      </c>
      <c r="W407" s="11">
        <f ca="1">IFERROR(OFFSET(ITEM_RES!$A$5,MATCH(BUILDING!V407,ITEM_RES!$J$5:$J$229,0)-1,0),0)</f>
        <v>211020301</v>
      </c>
      <c r="Y407" s="9" t="s">
        <v>512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2</v>
      </c>
      <c r="AJ407" s="10">
        <v>2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1442</v>
      </c>
      <c r="AS407" s="11">
        <v>15</v>
      </c>
      <c r="AV407" s="11">
        <f ca="1">IFERROR(OFFSET(ITEM_RES!$A$1,MATCH(AW407,ITEM_RES!$J:$J,0)-1,0),0)</f>
        <v>211020401</v>
      </c>
      <c r="AW407" s="10" t="s">
        <v>426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1125</v>
      </c>
      <c r="P408" s="55" t="s">
        <v>1385</v>
      </c>
      <c r="Q408" s="9" t="s">
        <v>680</v>
      </c>
      <c r="S408" s="81" t="s">
        <v>531</v>
      </c>
      <c r="T408" s="9">
        <f ca="1">IFERROR(OFFSET(ITEM_RES!$A$5,MATCH(BUILDING!S408,ITEM_RES!$J$5:$J$229,0)-1,0),0)</f>
        <v>211020201</v>
      </c>
      <c r="U408" s="11">
        <v>1</v>
      </c>
      <c r="V408" s="81" t="s">
        <v>533</v>
      </c>
      <c r="W408" s="11">
        <f ca="1">IFERROR(OFFSET(ITEM_RES!$A$5,MATCH(BUILDING!V408,ITEM_RES!$J$5:$J$229,0)-1,0),0)</f>
        <v>211020301</v>
      </c>
      <c r="Y408" s="9" t="s">
        <v>512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2</v>
      </c>
      <c r="AJ408" s="10">
        <v>2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1442</v>
      </c>
      <c r="AS408" s="11">
        <v>20</v>
      </c>
      <c r="AV408" s="11">
        <f ca="1">IFERROR(OFFSET(ITEM_RES!$A$1,MATCH(AW408,ITEM_RES!$J:$J,0)-1,0),0)</f>
        <v>211020401</v>
      </c>
      <c r="AW408" s="10" t="s">
        <v>426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1126</v>
      </c>
      <c r="P409" s="55" t="s">
        <v>1386</v>
      </c>
      <c r="Q409" s="9" t="s">
        <v>680</v>
      </c>
      <c r="S409" s="81" t="s">
        <v>531</v>
      </c>
      <c r="T409" s="9">
        <f ca="1">IFERROR(OFFSET(ITEM_RES!$A$5,MATCH(BUILDING!S409,ITEM_RES!$J$5:$J$229,0)-1,0),0)</f>
        <v>211020201</v>
      </c>
      <c r="U409" s="11">
        <v>1</v>
      </c>
      <c r="V409" s="81" t="s">
        <v>533</v>
      </c>
      <c r="W409" s="11">
        <f ca="1">IFERROR(OFFSET(ITEM_RES!$A$5,MATCH(BUILDING!V409,ITEM_RES!$J$5:$J$229,0)-1,0),0)</f>
        <v>211020301</v>
      </c>
      <c r="Y409" s="9" t="s">
        <v>512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3</v>
      </c>
      <c r="AJ409" s="10">
        <v>3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1442</v>
      </c>
      <c r="AS409" s="11">
        <v>30</v>
      </c>
      <c r="AV409" s="11">
        <f ca="1">IFERROR(OFFSET(ITEM_RES!$A$1,MATCH(AW409,ITEM_RES!$J:$J,0)-1,0),0)</f>
        <v>211020401</v>
      </c>
      <c r="AW409" s="10" t="s">
        <v>426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1127</v>
      </c>
      <c r="P410" s="55" t="s">
        <v>1386</v>
      </c>
      <c r="Q410" s="9" t="s">
        <v>680</v>
      </c>
      <c r="S410" s="81" t="s">
        <v>531</v>
      </c>
      <c r="T410" s="9">
        <f ca="1">IFERROR(OFFSET(ITEM_RES!$A$5,MATCH(BUILDING!S410,ITEM_RES!$J$5:$J$229,0)-1,0),0)</f>
        <v>211020201</v>
      </c>
      <c r="U410" s="11">
        <v>1</v>
      </c>
      <c r="V410" s="81" t="s">
        <v>533</v>
      </c>
      <c r="W410" s="11">
        <f ca="1">IFERROR(OFFSET(ITEM_RES!$A$5,MATCH(BUILDING!V410,ITEM_RES!$J$5:$J$229,0)-1,0),0)</f>
        <v>211020301</v>
      </c>
      <c r="Y410" s="9" t="s">
        <v>512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5</v>
      </c>
      <c r="AJ410" s="10">
        <v>5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1442</v>
      </c>
      <c r="AS410" s="11">
        <v>45</v>
      </c>
      <c r="AV410" s="11">
        <f ca="1">IFERROR(OFFSET(ITEM_RES!$A$1,MATCH(AW410,ITEM_RES!$J:$J,0)-1,0),0)</f>
        <v>211020401</v>
      </c>
      <c r="AW410" s="10" t="s">
        <v>426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1128</v>
      </c>
      <c r="P411" s="55" t="s">
        <v>1387</v>
      </c>
      <c r="Q411" s="9" t="s">
        <v>680</v>
      </c>
      <c r="S411" s="81" t="s">
        <v>531</v>
      </c>
      <c r="T411" s="9">
        <f ca="1">IFERROR(OFFSET(ITEM_RES!$A$5,MATCH(BUILDING!S411,ITEM_RES!$J$5:$J$229,0)-1,0),0)</f>
        <v>211020201</v>
      </c>
      <c r="U411" s="11">
        <v>1</v>
      </c>
      <c r="V411" s="81" t="s">
        <v>533</v>
      </c>
      <c r="W411" s="11">
        <f ca="1">IFERROR(OFFSET(ITEM_RES!$A$5,MATCH(BUILDING!V411,ITEM_RES!$J$5:$J$229,0)-1,0),0)</f>
        <v>211020301</v>
      </c>
      <c r="Y411" s="9" t="s">
        <v>512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8</v>
      </c>
      <c r="AJ411" s="10">
        <v>8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1442</v>
      </c>
      <c r="AS411" s="11">
        <v>180</v>
      </c>
      <c r="AV411" s="11">
        <f ca="1">IFERROR(OFFSET(ITEM_RES!$A$1,MATCH(AW411,ITEM_RES!$J:$J,0)-1,0),0)</f>
        <v>211020401</v>
      </c>
      <c r="AW411" s="10" t="s">
        <v>426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1128</v>
      </c>
      <c r="P412" s="55" t="s">
        <v>1387</v>
      </c>
      <c r="Q412" s="9" t="s">
        <v>680</v>
      </c>
      <c r="S412" s="81" t="s">
        <v>531</v>
      </c>
      <c r="T412" s="9">
        <f ca="1">IFERROR(OFFSET(ITEM_RES!$A$5,MATCH(BUILDING!S412,ITEM_RES!$J$5:$J$229,0)-1,0),0)</f>
        <v>211020201</v>
      </c>
      <c r="U412" s="11">
        <v>1</v>
      </c>
      <c r="V412" s="81" t="s">
        <v>533</v>
      </c>
      <c r="W412" s="11">
        <f ca="1">IFERROR(OFFSET(ITEM_RES!$A$5,MATCH(BUILDING!V412,ITEM_RES!$J$5:$J$229,0)-1,0),0)</f>
        <v>211020301</v>
      </c>
      <c r="Y412" s="9" t="s">
        <v>512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10</v>
      </c>
      <c r="AJ412" s="10">
        <v>10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1442</v>
      </c>
      <c r="AS412" s="11">
        <v>810</v>
      </c>
      <c r="AV412" s="11">
        <f ca="1">IFERROR(OFFSET(ITEM_RES!$A$1,MATCH(AW412,ITEM_RES!$J:$J,0)-1,0),0)</f>
        <v>211020401</v>
      </c>
      <c r="AW412" s="10" t="s">
        <v>426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1435</v>
      </c>
      <c r="P413" s="55" t="s">
        <v>1437</v>
      </c>
      <c r="Q413" s="9" t="s">
        <v>680</v>
      </c>
      <c r="S413" s="81" t="s">
        <v>531</v>
      </c>
      <c r="T413" s="9">
        <f ca="1">IFERROR(OFFSET(ITEM_RES!$A$5,MATCH(BUILDING!S413,ITEM_RES!$J$5:$J$229,0)-1,0),0)</f>
        <v>211020201</v>
      </c>
      <c r="U413" s="11">
        <v>1</v>
      </c>
      <c r="V413" s="81" t="s">
        <v>533</v>
      </c>
      <c r="W413" s="11">
        <f ca="1">IFERROR(OFFSET(ITEM_RES!$A$5,MATCH(BUILDING!V413,ITEM_RES!$J$5:$J$229,0)-1,0),0)</f>
        <v>211020301</v>
      </c>
      <c r="Y413" s="9" t="s">
        <v>512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15</v>
      </c>
      <c r="AJ413" s="10">
        <v>15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1442</v>
      </c>
      <c r="AS413" s="11">
        <v>2700</v>
      </c>
      <c r="AV413" s="11">
        <f ca="1">IFERROR(OFFSET(ITEM_RES!$A$1,MATCH(AW413,ITEM_RES!$J:$J,0)-1,0),0)</f>
        <v>211020401</v>
      </c>
      <c r="AW413" s="10" t="s">
        <v>426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1435</v>
      </c>
      <c r="P414" s="55" t="s">
        <v>1437</v>
      </c>
      <c r="Q414" s="9" t="s">
        <v>680</v>
      </c>
      <c r="S414" s="81" t="s">
        <v>531</v>
      </c>
      <c r="T414" s="9">
        <f ca="1">IFERROR(OFFSET(ITEM_RES!$A$5,MATCH(BUILDING!S414,ITEM_RES!$J$5:$J$229,0)-1,0),0)</f>
        <v>211020201</v>
      </c>
      <c r="U414" s="11">
        <v>1</v>
      </c>
      <c r="V414" s="81" t="s">
        <v>533</v>
      </c>
      <c r="W414" s="11">
        <f ca="1">IFERROR(OFFSET(ITEM_RES!$A$5,MATCH(BUILDING!V414,ITEM_RES!$J$5:$J$229,0)-1,0),0)</f>
        <v>211020301</v>
      </c>
      <c r="Y414" s="9" t="s">
        <v>512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30</v>
      </c>
      <c r="AJ414" s="10">
        <v>30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1442</v>
      </c>
      <c r="AS414" s="11">
        <v>6000</v>
      </c>
      <c r="AV414" s="11">
        <f ca="1">IFERROR(OFFSET(ITEM_RES!$A$1,MATCH(AW414,ITEM_RES!$J:$J,0)-1,0),0)</f>
        <v>211020401</v>
      </c>
      <c r="AW414" s="10" t="s">
        <v>426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1434</v>
      </c>
      <c r="P415" s="55" t="s">
        <v>1436</v>
      </c>
      <c r="Q415" s="9" t="s">
        <v>680</v>
      </c>
      <c r="S415" s="81" t="s">
        <v>531</v>
      </c>
      <c r="T415" s="9">
        <f ca="1">IFERROR(OFFSET(ITEM_RES!$A$5,MATCH(BUILDING!S415,ITEM_RES!$J$5:$J$229,0)-1,0),0)</f>
        <v>211020201</v>
      </c>
      <c r="U415" s="11">
        <v>1</v>
      </c>
      <c r="V415" s="81" t="s">
        <v>533</v>
      </c>
      <c r="W415" s="11">
        <f ca="1">IFERROR(OFFSET(ITEM_RES!$A$5,MATCH(BUILDING!V415,ITEM_RES!$J$5:$J$229,0)-1,0),0)</f>
        <v>211020301</v>
      </c>
      <c r="Y415" s="9" t="s">
        <v>512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</v>
      </c>
      <c r="AJ415" s="10">
        <v>30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1442</v>
      </c>
      <c r="AS415" s="11">
        <v>12600</v>
      </c>
      <c r="AV415" s="11">
        <f ca="1">IFERROR(OFFSET(ITEM_RES!$A$1,MATCH(AW415,ITEM_RES!$J:$J,0)-1,0),0)</f>
        <v>211020401</v>
      </c>
      <c r="AW415" s="10" t="s">
        <v>426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455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1434</v>
      </c>
      <c r="P416" s="55" t="s">
        <v>1436</v>
      </c>
      <c r="Q416" s="9" t="s">
        <v>680</v>
      </c>
      <c r="S416" s="81" t="s">
        <v>531</v>
      </c>
      <c r="T416" s="9">
        <f ca="1">IFERROR(OFFSET(ITEM_RES!$A$5,MATCH(BUILDING!S416,ITEM_RES!$J$5:$J$229,0)-1,0),0)</f>
        <v>211020201</v>
      </c>
      <c r="U416" s="11">
        <v>1</v>
      </c>
      <c r="V416" s="81" t="s">
        <v>533</v>
      </c>
      <c r="W416" s="11">
        <f ca="1">IFERROR(OFFSET(ITEM_RES!$A$5,MATCH(BUILDING!V416,ITEM_RES!$J$5:$J$229,0)-1,0),0)</f>
        <v>211020301</v>
      </c>
      <c r="Y416" s="9" t="s">
        <v>512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</v>
      </c>
      <c r="AJ416" s="10">
        <v>60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1442</v>
      </c>
      <c r="AS416" s="11">
        <v>23400</v>
      </c>
      <c r="AV416" s="11">
        <f ca="1">IFERROR(OFFSET(ITEM_RES!$A$1,MATCH(AW416,ITEM_RES!$J:$J,0)-1,0),0)</f>
        <v>211020401</v>
      </c>
      <c r="AW416" s="10" t="s">
        <v>426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1434</v>
      </c>
      <c r="P417" s="55" t="s">
        <v>1436</v>
      </c>
      <c r="Q417" s="9" t="s">
        <v>680</v>
      </c>
      <c r="S417" s="81" t="s">
        <v>531</v>
      </c>
      <c r="T417" s="9">
        <f ca="1">IFERROR(OFFSET(ITEM_RES!$A$5,MATCH(BUILDING!S417,ITEM_RES!$J$5:$J$229,0)-1,0),0)</f>
        <v>211020201</v>
      </c>
      <c r="U417" s="11">
        <v>1</v>
      </c>
      <c r="V417" s="81" t="s">
        <v>533</v>
      </c>
      <c r="W417" s="11">
        <f ca="1">IFERROR(OFFSET(ITEM_RES!$A$5,MATCH(BUILDING!V417,ITEM_RES!$J$5:$J$229,0)-1,0),0)</f>
        <v>211020301</v>
      </c>
      <c r="Y417" s="9" t="s">
        <v>512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120</v>
      </c>
      <c r="AJ417" s="10">
        <v>120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1442</v>
      </c>
      <c r="AS417" s="11">
        <v>39000</v>
      </c>
      <c r="AV417" s="11">
        <f ca="1">IFERROR(OFFSET(ITEM_RES!$A$1,MATCH(AW417,ITEM_RES!$J:$J,0)-1,0),0)</f>
        <v>211020401</v>
      </c>
      <c r="AW417" s="10" t="s">
        <v>426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1434</v>
      </c>
      <c r="P418" s="55" t="s">
        <v>1436</v>
      </c>
      <c r="Q418" s="9" t="s">
        <v>680</v>
      </c>
      <c r="S418" s="81" t="s">
        <v>531</v>
      </c>
      <c r="T418" s="9">
        <f ca="1">IFERROR(OFFSET(ITEM_RES!$A$5,MATCH(BUILDING!S418,ITEM_RES!$J$5:$J$229,0)-1,0),0)</f>
        <v>211020201</v>
      </c>
      <c r="U418" s="11">
        <v>1</v>
      </c>
      <c r="V418" s="81" t="s">
        <v>533</v>
      </c>
      <c r="W418" s="11">
        <f ca="1">IFERROR(OFFSET(ITEM_RES!$A$5,MATCH(BUILDING!V418,ITEM_RES!$J$5:$J$229,0)-1,0),0)</f>
        <v>211020301</v>
      </c>
      <c r="Y418" s="9" t="s">
        <v>512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180</v>
      </c>
      <c r="AJ418" s="10">
        <v>180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1443</v>
      </c>
      <c r="AS418" s="11">
        <v>66000</v>
      </c>
      <c r="AV418" s="11">
        <f ca="1">IFERROR(OFFSET(ITEM_RES!$A$1,MATCH(AW418,ITEM_RES!$J:$J,0)-1,0),0)</f>
        <v>211020401</v>
      </c>
      <c r="AW418" s="10" t="s">
        <v>426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1434</v>
      </c>
      <c r="P419" s="55" t="s">
        <v>1436</v>
      </c>
      <c r="Q419" s="9" t="s">
        <v>680</v>
      </c>
      <c r="S419" s="81" t="s">
        <v>531</v>
      </c>
      <c r="T419" s="9">
        <f ca="1">IFERROR(OFFSET(ITEM_RES!$A$5,MATCH(BUILDING!S419,ITEM_RES!$J$5:$J$229,0)-1,0),0)</f>
        <v>211020201</v>
      </c>
      <c r="U419" s="11">
        <v>1</v>
      </c>
      <c r="V419" s="81" t="s">
        <v>533</v>
      </c>
      <c r="W419" s="11">
        <f ca="1">IFERROR(OFFSET(ITEM_RES!$A$5,MATCH(BUILDING!V419,ITEM_RES!$J$5:$J$229,0)-1,0),0)</f>
        <v>211020301</v>
      </c>
      <c r="Y419" s="9" t="s">
        <v>512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240</v>
      </c>
      <c r="AJ419" s="10">
        <v>240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1443</v>
      </c>
      <c r="AS419" s="11">
        <v>111000</v>
      </c>
      <c r="AV419" s="11">
        <f ca="1">IFERROR(OFFSET(ITEM_RES!$A$1,MATCH(AW419,ITEM_RES!$J:$J,0)-1,0),0)</f>
        <v>211020501</v>
      </c>
      <c r="AW419" s="10" t="s">
        <v>417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1434</v>
      </c>
      <c r="P420" s="55" t="s">
        <v>1436</v>
      </c>
      <c r="Q420" s="9" t="s">
        <v>680</v>
      </c>
      <c r="S420" s="81" t="s">
        <v>531</v>
      </c>
      <c r="T420" s="9">
        <f ca="1">IFERROR(OFFSET(ITEM_RES!$A$5,MATCH(BUILDING!S420,ITEM_RES!$J$5:$J$229,0)-1,0),0)</f>
        <v>211020201</v>
      </c>
      <c r="U420" s="11">
        <v>1</v>
      </c>
      <c r="V420" s="81" t="s">
        <v>533</v>
      </c>
      <c r="W420" s="11">
        <f ca="1">IFERROR(OFFSET(ITEM_RES!$A$5,MATCH(BUILDING!V420,ITEM_RES!$J$5:$J$229,0)-1,0),0)</f>
        <v>211020301</v>
      </c>
      <c r="Y420" s="9" t="s">
        <v>512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300</v>
      </c>
      <c r="AJ420" s="10">
        <v>300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1443</v>
      </c>
      <c r="AS420" s="11">
        <v>186000</v>
      </c>
      <c r="AV420" s="11">
        <f ca="1">IFERROR(OFFSET(ITEM_RES!$A$1,MATCH(AW420,ITEM_RES!$J:$J,0)-1,0),0)</f>
        <v>211020501</v>
      </c>
      <c r="AW420" s="10" t="s">
        <v>417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1434</v>
      </c>
      <c r="P421" s="55" t="s">
        <v>1436</v>
      </c>
      <c r="Q421" s="9" t="s">
        <v>680</v>
      </c>
      <c r="S421" s="81" t="s">
        <v>531</v>
      </c>
      <c r="T421" s="9">
        <f ca="1">IFERROR(OFFSET(ITEM_RES!$A$5,MATCH(BUILDING!S421,ITEM_RES!$J$5:$J$229,0)-1,0),0)</f>
        <v>211020201</v>
      </c>
      <c r="U421" s="11">
        <v>1</v>
      </c>
      <c r="V421" s="81" t="s">
        <v>533</v>
      </c>
      <c r="W421" s="11">
        <f ca="1">IFERROR(OFFSET(ITEM_RES!$A$5,MATCH(BUILDING!V421,ITEM_RES!$J$5:$J$229,0)-1,0),0)</f>
        <v>211020301</v>
      </c>
      <c r="Y421" s="9" t="s">
        <v>512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360</v>
      </c>
      <c r="AJ421" s="10">
        <v>360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1443</v>
      </c>
      <c r="AS421" s="11">
        <v>291000</v>
      </c>
      <c r="AV421" s="11">
        <f ca="1">IFERROR(OFFSET(ITEM_RES!$A$1,MATCH(AW421,ITEM_RES!$J:$J,0)-1,0),0)</f>
        <v>211020501</v>
      </c>
      <c r="AW421" s="10" t="s">
        <v>417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1434</v>
      </c>
      <c r="P422" s="55" t="s">
        <v>1436</v>
      </c>
      <c r="Q422" s="9" t="s">
        <v>680</v>
      </c>
      <c r="S422" s="81" t="s">
        <v>531</v>
      </c>
      <c r="T422" s="9">
        <f ca="1">IFERROR(OFFSET(ITEM_RES!$A$5,MATCH(BUILDING!S422,ITEM_RES!$J$5:$J$229,0)-1,0),0)</f>
        <v>211020201</v>
      </c>
      <c r="U422" s="11">
        <v>1</v>
      </c>
      <c r="V422" s="81" t="s">
        <v>533</v>
      </c>
      <c r="W422" s="11">
        <f ca="1">IFERROR(OFFSET(ITEM_RES!$A$5,MATCH(BUILDING!V422,ITEM_RES!$J$5:$J$229,0)-1,0),0)</f>
        <v>211020301</v>
      </c>
      <c r="Y422" s="9" t="s">
        <v>512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420</v>
      </c>
      <c r="AJ422" s="10">
        <v>420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1443</v>
      </c>
      <c r="AS422" s="11">
        <v>630000</v>
      </c>
      <c r="AV422" s="11">
        <f ca="1">IFERROR(OFFSET(ITEM_RES!$A$1,MATCH(AW422,ITEM_RES!$J:$J,0)-1,0),0)</f>
        <v>211020501</v>
      </c>
      <c r="AW422" s="10" t="s">
        <v>417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1434</v>
      </c>
      <c r="P423" s="55" t="s">
        <v>1436</v>
      </c>
      <c r="Q423" s="9" t="s">
        <v>680</v>
      </c>
      <c r="S423" s="81" t="s">
        <v>531</v>
      </c>
      <c r="T423" s="9">
        <f ca="1">IFERROR(OFFSET(ITEM_RES!$A$5,MATCH(BUILDING!S423,ITEM_RES!$J$5:$J$229,0)-1,0),0)</f>
        <v>211020201</v>
      </c>
      <c r="U423" s="11">
        <v>1</v>
      </c>
      <c r="V423" s="81" t="s">
        <v>533</v>
      </c>
      <c r="W423" s="11">
        <f ca="1">IFERROR(OFFSET(ITEM_RES!$A$5,MATCH(BUILDING!V423,ITEM_RES!$J$5:$J$229,0)-1,0),0)</f>
        <v>211020301</v>
      </c>
      <c r="Y423" s="9" t="s">
        <v>512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480</v>
      </c>
      <c r="AJ423" s="10">
        <v>480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1443</v>
      </c>
      <c r="AS423" s="11">
        <v>1290000</v>
      </c>
      <c r="AV423" s="11">
        <f ca="1">IFERROR(OFFSET(ITEM_RES!$A$1,MATCH(AW423,ITEM_RES!$J:$J,0)-1,0),0)</f>
        <v>211020501</v>
      </c>
      <c r="AW423" s="10" t="s">
        <v>417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1434</v>
      </c>
      <c r="P424" s="55" t="s">
        <v>1436</v>
      </c>
      <c r="Q424" s="9" t="s">
        <v>680</v>
      </c>
      <c r="S424" s="81" t="s">
        <v>531</v>
      </c>
      <c r="T424" s="9">
        <f ca="1">IFERROR(OFFSET(ITEM_RES!$A$5,MATCH(BUILDING!S424,ITEM_RES!$J$5:$J$229,0)-1,0),0)</f>
        <v>211020201</v>
      </c>
      <c r="U424" s="11">
        <v>1</v>
      </c>
      <c r="V424" s="81" t="s">
        <v>533</v>
      </c>
      <c r="W424" s="11">
        <f ca="1">IFERROR(OFFSET(ITEM_RES!$A$5,MATCH(BUILDING!V424,ITEM_RES!$J$5:$J$229,0)-1,0),0)</f>
        <v>211020301</v>
      </c>
      <c r="Y424" s="9" t="s">
        <v>512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540</v>
      </c>
      <c r="AJ424" s="10">
        <v>540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1443</v>
      </c>
      <c r="AS424" s="11">
        <v>2400000</v>
      </c>
      <c r="AV424" s="11">
        <f ca="1">IFERROR(OFFSET(ITEM_RES!$A$1,MATCH(AW424,ITEM_RES!$J:$J,0)-1,0),0)</f>
        <v>211020501</v>
      </c>
      <c r="AW424" s="10" t="s">
        <v>417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428</v>
      </c>
      <c r="L425" s="16"/>
      <c r="M425" s="16">
        <v>1</v>
      </c>
      <c r="N425" s="16">
        <v>15</v>
      </c>
      <c r="O425" s="137"/>
      <c r="P425" s="56"/>
      <c r="Q425" s="16" t="s">
        <v>681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513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2</v>
      </c>
      <c r="AJ425" s="17">
        <v>2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426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440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428</v>
      </c>
      <c r="M426" s="9">
        <v>1</v>
      </c>
      <c r="N426" s="9">
        <v>15</v>
      </c>
      <c r="O426" s="138"/>
      <c r="Q426" s="9" t="s">
        <v>681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513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2</v>
      </c>
      <c r="AJ426" s="10">
        <v>2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426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428</v>
      </c>
      <c r="M427" s="9">
        <v>1</v>
      </c>
      <c r="N427" s="9">
        <v>15</v>
      </c>
      <c r="O427" s="138"/>
      <c r="Q427" s="9" t="s">
        <v>681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513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2</v>
      </c>
      <c r="AJ427" s="10">
        <v>2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426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428</v>
      </c>
      <c r="M428" s="9">
        <v>1</v>
      </c>
      <c r="N428" s="9">
        <v>15</v>
      </c>
      <c r="O428" s="138"/>
      <c r="Q428" s="9" t="s">
        <v>681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513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2</v>
      </c>
      <c r="AJ428" s="10">
        <v>2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426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428</v>
      </c>
      <c r="M429" s="9">
        <v>1</v>
      </c>
      <c r="N429" s="9">
        <v>15</v>
      </c>
      <c r="O429" s="138"/>
      <c r="Q429" s="9" t="s">
        <v>681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513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3</v>
      </c>
      <c r="AJ429" s="10">
        <v>3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426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428</v>
      </c>
      <c r="M430" s="9">
        <v>1</v>
      </c>
      <c r="N430" s="9">
        <v>15</v>
      </c>
      <c r="O430" s="138"/>
      <c r="Q430" s="9" t="s">
        <v>681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513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5</v>
      </c>
      <c r="AJ430" s="10">
        <v>5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426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428</v>
      </c>
      <c r="M431" s="9">
        <v>1</v>
      </c>
      <c r="N431" s="9">
        <v>15</v>
      </c>
      <c r="O431" s="138"/>
      <c r="Q431" s="9" t="s">
        <v>681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513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8</v>
      </c>
      <c r="AJ431" s="10">
        <v>8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426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682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513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10</v>
      </c>
      <c r="AJ432" s="10">
        <v>10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424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682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513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15</v>
      </c>
      <c r="AJ433" s="10">
        <v>15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424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682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513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30</v>
      </c>
      <c r="AJ434" s="10">
        <v>30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424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682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513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30</v>
      </c>
      <c r="AJ435" s="10">
        <v>30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424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682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513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60</v>
      </c>
      <c r="AJ436" s="10">
        <v>60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424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682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513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120</v>
      </c>
      <c r="AJ437" s="10">
        <v>120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424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458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682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513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180</v>
      </c>
      <c r="AJ438" s="10">
        <v>180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424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682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513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240</v>
      </c>
      <c r="AJ439" s="10">
        <v>240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424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682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513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300</v>
      </c>
      <c r="AJ440" s="10">
        <v>300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424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682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513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360</v>
      </c>
      <c r="AJ441" s="10">
        <v>360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424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682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513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420</v>
      </c>
      <c r="AJ442" s="10">
        <v>420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424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682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513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480</v>
      </c>
      <c r="AJ443" s="10">
        <v>480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424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682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513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540</v>
      </c>
      <c r="AJ444" s="10">
        <v>540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424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1131</v>
      </c>
      <c r="P445" s="56" t="s">
        <v>1388</v>
      </c>
      <c r="Q445" s="16" t="s">
        <v>683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514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2</v>
      </c>
      <c r="AJ445" s="17">
        <v>2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1328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1442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440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1129</v>
      </c>
      <c r="P446" s="55" t="s">
        <v>1388</v>
      </c>
      <c r="Q446" s="9" t="s">
        <v>683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514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2</v>
      </c>
      <c r="AJ446" s="10">
        <v>2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1328</v>
      </c>
      <c r="AS446" s="11">
        <v>10</v>
      </c>
      <c r="AV446" s="11">
        <f ca="1">IFERROR(OFFSET(ITEM_RES!$A$1,MATCH(AW446,ITEM_RES!$J:$J,0)-1,0),0)</f>
        <v>211020801</v>
      </c>
      <c r="AW446" s="10" t="s">
        <v>1442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1130</v>
      </c>
      <c r="P447" s="55" t="s">
        <v>1389</v>
      </c>
      <c r="Q447" s="9" t="s">
        <v>683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514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2</v>
      </c>
      <c r="AJ447" s="10">
        <v>2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1328</v>
      </c>
      <c r="AS447" s="11">
        <v>150</v>
      </c>
      <c r="AV447" s="11">
        <f ca="1">IFERROR(OFFSET(ITEM_RES!$A$1,MATCH(AW447,ITEM_RES!$J:$J,0)-1,0),0)</f>
        <v>211020801</v>
      </c>
      <c r="AW447" s="10" t="s">
        <v>1442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1130</v>
      </c>
      <c r="P448" s="55" t="s">
        <v>1389</v>
      </c>
      <c r="Q448" s="9" t="s">
        <v>683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514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2</v>
      </c>
      <c r="AJ448" s="10">
        <v>2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1328</v>
      </c>
      <c r="AS448" s="11">
        <v>600</v>
      </c>
      <c r="AV448" s="11">
        <f ca="1">IFERROR(OFFSET(ITEM_RES!$A$1,MATCH(AW448,ITEM_RES!$J:$J,0)-1,0),0)</f>
        <v>211020801</v>
      </c>
      <c r="AW448" s="10" t="s">
        <v>1442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1132</v>
      </c>
      <c r="P449" s="55" t="s">
        <v>1390</v>
      </c>
      <c r="Q449" s="9" t="s">
        <v>683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514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3</v>
      </c>
      <c r="AJ449" s="10">
        <v>3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1328</v>
      </c>
      <c r="AS449" s="11">
        <v>2700</v>
      </c>
      <c r="AV449" s="11">
        <f ca="1">IFERROR(OFFSET(ITEM_RES!$A$1,MATCH(AW449,ITEM_RES!$J:$J,0)-1,0),0)</f>
        <v>211020801</v>
      </c>
      <c r="AW449" s="10" t="s">
        <v>1442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1132</v>
      </c>
      <c r="P450" s="55" t="s">
        <v>1390</v>
      </c>
      <c r="Q450" s="9" t="s">
        <v>683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514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5</v>
      </c>
      <c r="AJ450" s="10">
        <v>5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1328</v>
      </c>
      <c r="AS450" s="11">
        <v>9000</v>
      </c>
      <c r="AV450" s="11">
        <f ca="1">IFERROR(OFFSET(ITEM_RES!$A$1,MATCH(AW450,ITEM_RES!$J:$J,0)-1,0),0)</f>
        <v>211020801</v>
      </c>
      <c r="AW450" s="10" t="s">
        <v>1442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1133</v>
      </c>
      <c r="P451" s="55" t="s">
        <v>1391</v>
      </c>
      <c r="Q451" s="9" t="s">
        <v>683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514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8</v>
      </c>
      <c r="AJ451" s="10">
        <v>8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1328</v>
      </c>
      <c r="AS451" s="11">
        <v>20000</v>
      </c>
      <c r="AV451" s="11">
        <f ca="1">IFERROR(OFFSET(ITEM_RES!$A$1,MATCH(AW451,ITEM_RES!$J:$J,0)-1,0),0)</f>
        <v>211020801</v>
      </c>
      <c r="AW451" s="10" t="s">
        <v>1442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1133</v>
      </c>
      <c r="P452" s="55" t="s">
        <v>1391</v>
      </c>
      <c r="Q452" s="9" t="s">
        <v>683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514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10</v>
      </c>
      <c r="AJ452" s="10">
        <v>10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1329</v>
      </c>
      <c r="AS452" s="11">
        <v>42000</v>
      </c>
      <c r="AV452" s="11">
        <f ca="1">IFERROR(OFFSET(ITEM_RES!$A$1,MATCH(AW452,ITEM_RES!$J:$J,0)-1,0),0)</f>
        <v>211020801</v>
      </c>
      <c r="AW452" s="10" t="s">
        <v>1442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1439</v>
      </c>
      <c r="P453" s="55" t="s">
        <v>1441</v>
      </c>
      <c r="Q453" s="9" t="s">
        <v>683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514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15</v>
      </c>
      <c r="AJ453" s="10">
        <v>15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1329</v>
      </c>
      <c r="AS453" s="11">
        <v>78000</v>
      </c>
      <c r="AV453" s="11">
        <f ca="1">IFERROR(OFFSET(ITEM_RES!$A$1,MATCH(AW453,ITEM_RES!$J:$J,0)-1,0),0)</f>
        <v>211020801</v>
      </c>
      <c r="AW453" s="10" t="s">
        <v>1442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1439</v>
      </c>
      <c r="P454" s="55" t="s">
        <v>1441</v>
      </c>
      <c r="Q454" s="9" t="s">
        <v>683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514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30</v>
      </c>
      <c r="AJ454" s="10">
        <v>30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1329</v>
      </c>
      <c r="AS454" s="11">
        <v>130000</v>
      </c>
      <c r="AV454" s="11">
        <f ca="1">IFERROR(OFFSET(ITEM_RES!$A$1,MATCH(AW454,ITEM_RES!$J:$J,0)-1,0),0)</f>
        <v>211020801</v>
      </c>
      <c r="AW454" s="10" t="s">
        <v>1442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1438</v>
      </c>
      <c r="P455" s="55" t="s">
        <v>1440</v>
      </c>
      <c r="Q455" s="9" t="s">
        <v>683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514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30</v>
      </c>
      <c r="AJ455" s="10">
        <v>30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1329</v>
      </c>
      <c r="AS455" s="11">
        <v>220000</v>
      </c>
      <c r="AV455" s="11">
        <f ca="1">IFERROR(OFFSET(ITEM_RES!$A$1,MATCH(AW455,ITEM_RES!$J:$J,0)-1,0),0)</f>
        <v>211020801</v>
      </c>
      <c r="AW455" s="10" t="s">
        <v>1442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1438</v>
      </c>
      <c r="P456" s="55" t="s">
        <v>1440</v>
      </c>
      <c r="Q456" s="9" t="s">
        <v>683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514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60</v>
      </c>
      <c r="AJ456" s="10">
        <v>60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384</v>
      </c>
      <c r="AS456" s="11">
        <v>370000</v>
      </c>
      <c r="AV456" s="11">
        <f ca="1">IFERROR(OFFSET(ITEM_RES!$A$1,MATCH(AW456,ITEM_RES!$J:$J,0)-1,0),0)</f>
        <v>211020801</v>
      </c>
      <c r="AW456" s="10" t="s">
        <v>1442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459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1438</v>
      </c>
      <c r="P457" s="55" t="s">
        <v>1440</v>
      </c>
      <c r="Q457" s="9" t="s">
        <v>683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514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120</v>
      </c>
      <c r="AJ457" s="10">
        <v>120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384</v>
      </c>
      <c r="AS457" s="11">
        <v>620000</v>
      </c>
      <c r="AV457" s="11">
        <f ca="1">IFERROR(OFFSET(ITEM_RES!$A$1,MATCH(AW457,ITEM_RES!$J:$J,0)-1,0),0)</f>
        <v>211020801</v>
      </c>
      <c r="AW457" s="10" t="s">
        <v>1442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1438</v>
      </c>
      <c r="P458" s="55" t="s">
        <v>1440</v>
      </c>
      <c r="Q458" s="9" t="s">
        <v>683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514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180</v>
      </c>
      <c r="AJ458" s="10">
        <v>180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384</v>
      </c>
      <c r="AS458" s="11">
        <v>970000</v>
      </c>
      <c r="AV458" s="11">
        <f ca="1">IFERROR(OFFSET(ITEM_RES!$A$1,MATCH(AW458,ITEM_RES!$J:$J,0)-1,0),0)</f>
        <v>211020901</v>
      </c>
      <c r="AW458" s="10" t="s">
        <v>1443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1438</v>
      </c>
      <c r="P459" s="55" t="s">
        <v>1440</v>
      </c>
      <c r="Q459" s="9" t="s">
        <v>683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514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240</v>
      </c>
      <c r="AJ459" s="10">
        <v>240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384</v>
      </c>
      <c r="AS459" s="11">
        <v>2100000</v>
      </c>
      <c r="AV459" s="11">
        <f ca="1">IFERROR(OFFSET(ITEM_RES!$A$1,MATCH(AW459,ITEM_RES!$J:$J,0)-1,0),0)</f>
        <v>211020901</v>
      </c>
      <c r="AW459" s="10" t="s">
        <v>1443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1438</v>
      </c>
      <c r="P460" s="55" t="s">
        <v>1440</v>
      </c>
      <c r="Q460" s="9" t="s">
        <v>683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514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300</v>
      </c>
      <c r="AJ460" s="10">
        <v>300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435</v>
      </c>
      <c r="AS460" s="11">
        <v>4300000</v>
      </c>
      <c r="AV460" s="11">
        <f ca="1">IFERROR(OFFSET(ITEM_RES!$A$1,MATCH(AW460,ITEM_RES!$J:$J,0)-1,0),0)</f>
        <v>211020901</v>
      </c>
      <c r="AW460" s="10" t="s">
        <v>1443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1438</v>
      </c>
      <c r="P461" s="55" t="s">
        <v>1440</v>
      </c>
      <c r="Q461" s="9" t="s">
        <v>683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514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360</v>
      </c>
      <c r="AJ461" s="10">
        <v>360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435</v>
      </c>
      <c r="AS461" s="11">
        <v>8000000</v>
      </c>
      <c r="AV461" s="11">
        <f ca="1">IFERROR(OFFSET(ITEM_RES!$A$1,MATCH(AW461,ITEM_RES!$J:$J,0)-1,0),0)</f>
        <v>211020901</v>
      </c>
      <c r="AW461" s="10" t="s">
        <v>1443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1438</v>
      </c>
      <c r="P462" s="55" t="s">
        <v>1440</v>
      </c>
      <c r="Q462" s="9" t="s">
        <v>683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514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420</v>
      </c>
      <c r="AJ462" s="10">
        <v>420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435</v>
      </c>
      <c r="AS462" s="11">
        <v>13000000</v>
      </c>
      <c r="AV462" s="11">
        <f ca="1">IFERROR(OFFSET(ITEM_RES!$A$1,MATCH(AW462,ITEM_RES!$J:$J,0)-1,0),0)</f>
        <v>211020901</v>
      </c>
      <c r="AW462" s="10" t="s">
        <v>1443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1438</v>
      </c>
      <c r="P463" s="55" t="s">
        <v>1440</v>
      </c>
      <c r="Q463" s="9" t="s">
        <v>683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514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480</v>
      </c>
      <c r="AJ463" s="10">
        <v>480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435</v>
      </c>
      <c r="AS463" s="11">
        <v>20000000</v>
      </c>
      <c r="AV463" s="11">
        <f ca="1">IFERROR(OFFSET(ITEM_RES!$A$1,MATCH(AW463,ITEM_RES!$J:$J,0)-1,0),0)</f>
        <v>211020901</v>
      </c>
      <c r="AW463" s="10" t="s">
        <v>1443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1438</v>
      </c>
      <c r="P464" s="55" t="s">
        <v>1440</v>
      </c>
      <c r="Q464" s="9" t="s">
        <v>683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514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540</v>
      </c>
      <c r="AJ464" s="10">
        <v>540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435</v>
      </c>
      <c r="AS464" s="11">
        <v>32000000</v>
      </c>
      <c r="AV464" s="11">
        <f ca="1">IFERROR(OFFSET(ITEM_RES!$A$1,MATCH(AW464,ITEM_RES!$J:$J,0)-1,0),0)</f>
        <v>211020901</v>
      </c>
      <c r="AW464" s="10" t="s">
        <v>1443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999</v>
      </c>
      <c r="L465" s="16">
        <v>5</v>
      </c>
      <c r="M465" s="16">
        <v>1</v>
      </c>
      <c r="N465" s="16">
        <v>15</v>
      </c>
      <c r="O465" s="16" t="s">
        <v>1134</v>
      </c>
      <c r="P465" s="56" t="s">
        <v>1392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515</v>
      </c>
      <c r="Z465" s="16">
        <v>1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2</v>
      </c>
      <c r="AJ465" s="17">
        <v>2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427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440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462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999</v>
      </c>
      <c r="M466" s="9">
        <v>1</v>
      </c>
      <c r="N466" s="9">
        <v>15</v>
      </c>
      <c r="O466" s="9" t="s">
        <v>1135</v>
      </c>
      <c r="P466" s="55" t="s">
        <v>1392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515</v>
      </c>
      <c r="Z466" s="9">
        <v>2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2</v>
      </c>
      <c r="AJ466" s="10">
        <v>2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427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1136</v>
      </c>
      <c r="P467" s="55" t="s">
        <v>1393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515</v>
      </c>
      <c r="Z467" s="9">
        <v>3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2</v>
      </c>
      <c r="AJ467" s="10">
        <v>2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427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1136</v>
      </c>
      <c r="P468" s="55" t="s">
        <v>1393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515</v>
      </c>
      <c r="Z468" s="9">
        <v>4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2</v>
      </c>
      <c r="AJ468" s="10">
        <v>2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427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1136</v>
      </c>
      <c r="P469" s="55" t="s">
        <v>1393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515</v>
      </c>
      <c r="Z469" s="9">
        <v>5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3</v>
      </c>
      <c r="AJ469" s="10">
        <v>3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427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1136</v>
      </c>
      <c r="P470" s="55" t="s">
        <v>1393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515</v>
      </c>
      <c r="Z470" s="9">
        <v>6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5</v>
      </c>
      <c r="AJ470" s="10">
        <v>5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427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1136</v>
      </c>
      <c r="P471" s="55" t="s">
        <v>1393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515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8</v>
      </c>
      <c r="AJ471" s="10">
        <v>8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427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1136</v>
      </c>
      <c r="P472" s="55" t="s">
        <v>1393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515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10</v>
      </c>
      <c r="AJ472" s="10">
        <v>10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427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1137</v>
      </c>
      <c r="P473" s="55" t="s">
        <v>1394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515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15</v>
      </c>
      <c r="AJ473" s="10">
        <v>15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427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1137</v>
      </c>
      <c r="P474" s="55" t="s">
        <v>1394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515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30</v>
      </c>
      <c r="AJ474" s="10">
        <v>30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427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463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1137</v>
      </c>
      <c r="P475" s="55" t="s">
        <v>1394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515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</v>
      </c>
      <c r="AJ475" s="10">
        <v>30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427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1137</v>
      </c>
      <c r="P476" s="55" t="s">
        <v>1394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515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</v>
      </c>
      <c r="AJ476" s="10">
        <v>60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427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1138</v>
      </c>
      <c r="P477" s="55" t="s">
        <v>1395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515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120</v>
      </c>
      <c r="AJ477" s="10">
        <v>120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427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1138</v>
      </c>
      <c r="P478" s="55" t="s">
        <v>1395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515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</v>
      </c>
      <c r="AJ478" s="10">
        <v>180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427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1139</v>
      </c>
      <c r="P479" s="55" t="s">
        <v>1396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515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240</v>
      </c>
      <c r="AJ479" s="10">
        <v>240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427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1139</v>
      </c>
      <c r="P480" s="55" t="s">
        <v>1396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515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300</v>
      </c>
      <c r="AJ480" s="10">
        <v>300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433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1139</v>
      </c>
      <c r="P481" s="55" t="s">
        <v>1396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515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360</v>
      </c>
      <c r="AJ481" s="10">
        <v>360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433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1139</v>
      </c>
      <c r="P482" s="55" t="s">
        <v>1396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515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420</v>
      </c>
      <c r="AJ482" s="10">
        <v>420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433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1139</v>
      </c>
      <c r="P483" s="55" t="s">
        <v>1396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515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480</v>
      </c>
      <c r="AJ483" s="10">
        <v>480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433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1139</v>
      </c>
      <c r="P484" s="55" t="s">
        <v>1396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515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540</v>
      </c>
      <c r="AJ484" s="10">
        <v>540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433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1000</v>
      </c>
      <c r="L485" s="16">
        <v>2</v>
      </c>
      <c r="M485" s="16">
        <v>1</v>
      </c>
      <c r="N485" s="16">
        <v>15</v>
      </c>
      <c r="O485" s="16" t="s">
        <v>1140</v>
      </c>
      <c r="P485" s="56" t="s">
        <v>1397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2</v>
      </c>
      <c r="AJ485" s="17">
        <v>2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427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440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462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1000</v>
      </c>
      <c r="M486" s="9">
        <v>1</v>
      </c>
      <c r="N486" s="9">
        <v>15</v>
      </c>
      <c r="O486" s="9" t="s">
        <v>1141</v>
      </c>
      <c r="P486" s="55" t="s">
        <v>1397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2</v>
      </c>
      <c r="AJ486" s="10">
        <v>2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427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1000</v>
      </c>
      <c r="M487" s="9">
        <v>1</v>
      </c>
      <c r="N487" s="9">
        <v>15</v>
      </c>
      <c r="O487" s="9" t="s">
        <v>1141</v>
      </c>
      <c r="P487" s="55" t="s">
        <v>1397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2</v>
      </c>
      <c r="AJ487" s="10">
        <v>2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427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1000</v>
      </c>
      <c r="M488" s="9">
        <v>1</v>
      </c>
      <c r="N488" s="9">
        <v>15</v>
      </c>
      <c r="O488" s="9" t="s">
        <v>1142</v>
      </c>
      <c r="P488" s="55" t="s">
        <v>1398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2</v>
      </c>
      <c r="AJ488" s="10">
        <v>2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427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1000</v>
      </c>
      <c r="M489" s="9">
        <v>1</v>
      </c>
      <c r="N489" s="9">
        <v>15</v>
      </c>
      <c r="O489" s="9" t="s">
        <v>1142</v>
      </c>
      <c r="P489" s="55" t="s">
        <v>1398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3</v>
      </c>
      <c r="AJ489" s="10">
        <v>3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427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1000</v>
      </c>
      <c r="M490" s="9">
        <v>1</v>
      </c>
      <c r="N490" s="9">
        <v>15</v>
      </c>
      <c r="O490" s="9" t="s">
        <v>1142</v>
      </c>
      <c r="P490" s="55" t="s">
        <v>1398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5</v>
      </c>
      <c r="AJ490" s="10">
        <v>5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427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1000</v>
      </c>
      <c r="M491" s="9">
        <v>1</v>
      </c>
      <c r="N491" s="9">
        <v>15</v>
      </c>
      <c r="O491" s="9" t="s">
        <v>1143</v>
      </c>
      <c r="P491" s="55" t="s">
        <v>1399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8</v>
      </c>
      <c r="AJ491" s="10">
        <v>8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427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1000</v>
      </c>
      <c r="M492" s="9">
        <v>1</v>
      </c>
      <c r="N492" s="9">
        <v>15</v>
      </c>
      <c r="O492" s="9" t="s">
        <v>1143</v>
      </c>
      <c r="P492" s="55" t="s">
        <v>1399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10</v>
      </c>
      <c r="AJ492" s="10">
        <v>10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427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1000</v>
      </c>
      <c r="M493" s="9">
        <v>1</v>
      </c>
      <c r="N493" s="9">
        <v>15</v>
      </c>
      <c r="O493" s="9" t="s">
        <v>1143</v>
      </c>
      <c r="P493" s="55" t="s">
        <v>1399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15</v>
      </c>
      <c r="AJ493" s="10">
        <v>15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427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1000</v>
      </c>
      <c r="M494" s="9">
        <v>1</v>
      </c>
      <c r="N494" s="9">
        <v>15</v>
      </c>
      <c r="O494" s="9" t="s">
        <v>1143</v>
      </c>
      <c r="P494" s="55" t="s">
        <v>1399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30</v>
      </c>
      <c r="AJ494" s="10">
        <v>30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427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468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1000</v>
      </c>
      <c r="M495" s="9">
        <v>1</v>
      </c>
      <c r="N495" s="9">
        <v>15</v>
      </c>
      <c r="O495" s="9" t="s">
        <v>1144</v>
      </c>
      <c r="P495" s="55" t="s">
        <v>1400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</v>
      </c>
      <c r="AJ495" s="10">
        <v>30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427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1000</v>
      </c>
      <c r="M496" s="9">
        <v>1</v>
      </c>
      <c r="N496" s="9">
        <v>15</v>
      </c>
      <c r="O496" s="9" t="s">
        <v>1144</v>
      </c>
      <c r="P496" s="55" t="s">
        <v>1400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</v>
      </c>
      <c r="AJ496" s="10">
        <v>60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427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1000</v>
      </c>
      <c r="M497" s="9">
        <v>1</v>
      </c>
      <c r="N497" s="9">
        <v>15</v>
      </c>
      <c r="O497" s="9" t="s">
        <v>1144</v>
      </c>
      <c r="P497" s="55" t="s">
        <v>1400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120</v>
      </c>
      <c r="AJ497" s="10">
        <v>120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427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1000</v>
      </c>
      <c r="M498" s="9">
        <v>1</v>
      </c>
      <c r="N498" s="9">
        <v>15</v>
      </c>
      <c r="O498" s="9" t="s">
        <v>1144</v>
      </c>
      <c r="P498" s="55" t="s">
        <v>1400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</v>
      </c>
      <c r="AJ498" s="10">
        <v>180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427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1000</v>
      </c>
      <c r="M499" s="9">
        <v>1</v>
      </c>
      <c r="N499" s="9">
        <v>15</v>
      </c>
      <c r="O499" s="9" t="s">
        <v>1144</v>
      </c>
      <c r="P499" s="55" t="s">
        <v>1400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240</v>
      </c>
      <c r="AJ499" s="10">
        <v>240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433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1000</v>
      </c>
      <c r="M500" s="9">
        <v>0</v>
      </c>
      <c r="N500" s="9">
        <v>15</v>
      </c>
      <c r="O500" s="9" t="s">
        <v>1144</v>
      </c>
      <c r="P500" s="55" t="s">
        <v>1400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300</v>
      </c>
      <c r="AJ500" s="10">
        <v>300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385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1000</v>
      </c>
      <c r="M501" s="9">
        <v>0</v>
      </c>
      <c r="N501" s="9">
        <v>15</v>
      </c>
      <c r="O501" s="9" t="s">
        <v>1144</v>
      </c>
      <c r="P501" s="55" t="s">
        <v>1400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360</v>
      </c>
      <c r="AJ501" s="10">
        <v>360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433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1000</v>
      </c>
      <c r="M502" s="9">
        <v>0</v>
      </c>
      <c r="N502" s="9">
        <v>15</v>
      </c>
      <c r="O502" s="9" t="s">
        <v>1144</v>
      </c>
      <c r="P502" s="55" t="s">
        <v>1400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420</v>
      </c>
      <c r="AJ502" s="10">
        <v>420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433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1000</v>
      </c>
      <c r="M503" s="9">
        <v>0</v>
      </c>
      <c r="N503" s="9">
        <v>15</v>
      </c>
      <c r="O503" s="9" t="s">
        <v>1144</v>
      </c>
      <c r="P503" s="55" t="s">
        <v>1400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480</v>
      </c>
      <c r="AJ503" s="10">
        <v>480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433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1000</v>
      </c>
      <c r="M504" s="9">
        <v>0</v>
      </c>
      <c r="N504" s="9">
        <v>15</v>
      </c>
      <c r="O504" s="9" t="s">
        <v>1144</v>
      </c>
      <c r="P504" s="55" t="s">
        <v>1400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540</v>
      </c>
      <c r="AJ504" s="10">
        <v>540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433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K8" sqref="K8:P13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779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573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778</v>
      </c>
      <c r="N2" s="34" t="s">
        <v>62</v>
      </c>
      <c r="O2" s="35" t="s">
        <v>62</v>
      </c>
      <c r="P2" s="35" t="s">
        <v>62</v>
      </c>
      <c r="Q2" s="67"/>
      <c r="R2" s="34" t="s">
        <v>780</v>
      </c>
      <c r="T2" s="67"/>
      <c r="U2" s="1" t="s">
        <v>61</v>
      </c>
      <c r="V2" s="67"/>
      <c r="W2" s="98" t="s">
        <v>492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1252</v>
      </c>
      <c r="AG2" s="35" t="s">
        <v>1252</v>
      </c>
      <c r="AH2" s="35" t="s">
        <v>1252</v>
      </c>
      <c r="AI2" s="35" t="s">
        <v>1252</v>
      </c>
      <c r="AJ2" s="35" t="s">
        <v>1252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777</v>
      </c>
      <c r="N3" s="34" t="s">
        <v>322</v>
      </c>
      <c r="O3" s="35" t="s">
        <v>347</v>
      </c>
      <c r="P3" s="35" t="s">
        <v>324</v>
      </c>
      <c r="Q3" s="67"/>
      <c r="R3" s="34" t="s">
        <v>413</v>
      </c>
      <c r="T3" s="67"/>
      <c r="U3" s="1" t="s">
        <v>336</v>
      </c>
      <c r="V3" s="67"/>
      <c r="W3" s="98" t="s">
        <v>1164</v>
      </c>
      <c r="X3" s="1" t="s">
        <v>1165</v>
      </c>
      <c r="Y3" s="144" t="s">
        <v>1166</v>
      </c>
      <c r="Z3" s="144" t="s">
        <v>1162</v>
      </c>
      <c r="AA3" s="144" t="s">
        <v>1163</v>
      </c>
      <c r="AB3" s="1" t="s">
        <v>1167</v>
      </c>
      <c r="AC3" s="144" t="s">
        <v>1168</v>
      </c>
      <c r="AD3" s="1" t="s">
        <v>1169</v>
      </c>
      <c r="AE3" s="67"/>
      <c r="AF3" s="35" t="s">
        <v>1246</v>
      </c>
      <c r="AG3" s="35" t="s">
        <v>1247</v>
      </c>
      <c r="AH3" s="35" t="s">
        <v>1248</v>
      </c>
      <c r="AI3" s="35" t="s">
        <v>1249</v>
      </c>
      <c r="AJ3" s="35" t="s">
        <v>1251</v>
      </c>
    </row>
    <row r="4" spans="1:36" s="77" customFormat="1" ht="99.75" thickBot="1" x14ac:dyDescent="0.2">
      <c r="A4" s="77" t="s">
        <v>337</v>
      </c>
      <c r="B4" s="78" t="s">
        <v>406</v>
      </c>
      <c r="C4" s="78" t="s">
        <v>576</v>
      </c>
      <c r="D4" s="78" t="s">
        <v>577</v>
      </c>
      <c r="E4" s="78" t="s">
        <v>407</v>
      </c>
      <c r="F4" s="78" t="s">
        <v>408</v>
      </c>
      <c r="G4" s="68" t="s">
        <v>353</v>
      </c>
      <c r="H4" s="79" t="s">
        <v>344</v>
      </c>
      <c r="I4" s="68" t="s">
        <v>352</v>
      </c>
      <c r="J4" s="79" t="s">
        <v>404</v>
      </c>
      <c r="K4" s="79" t="s">
        <v>783</v>
      </c>
      <c r="L4" s="80" t="s">
        <v>402</v>
      </c>
      <c r="M4" s="80" t="s">
        <v>403</v>
      </c>
      <c r="N4" s="77" t="s">
        <v>323</v>
      </c>
      <c r="O4" s="79" t="s">
        <v>348</v>
      </c>
      <c r="P4" s="79" t="s">
        <v>325</v>
      </c>
      <c r="Q4" s="68" t="s">
        <v>831</v>
      </c>
      <c r="R4" s="77" t="s">
        <v>829</v>
      </c>
      <c r="S4" s="78" t="s">
        <v>830</v>
      </c>
      <c r="T4" s="68" t="s">
        <v>346</v>
      </c>
      <c r="U4" s="2" t="s">
        <v>405</v>
      </c>
      <c r="V4" s="68" t="s">
        <v>822</v>
      </c>
      <c r="W4" s="184" t="s">
        <v>1253</v>
      </c>
      <c r="X4" s="2" t="s">
        <v>821</v>
      </c>
      <c r="Y4" s="145" t="s">
        <v>1170</v>
      </c>
      <c r="Z4" s="145" t="s">
        <v>825</v>
      </c>
      <c r="AA4" s="145" t="s">
        <v>827</v>
      </c>
      <c r="AB4" s="2" t="s">
        <v>828</v>
      </c>
      <c r="AC4" s="145" t="s">
        <v>826</v>
      </c>
      <c r="AD4" s="2" t="s">
        <v>1171</v>
      </c>
      <c r="AE4" s="68" t="s">
        <v>1228</v>
      </c>
      <c r="AF4" s="79" t="s">
        <v>1242</v>
      </c>
      <c r="AG4" s="79" t="s">
        <v>1243</v>
      </c>
      <c r="AH4" s="79" t="s">
        <v>1244</v>
      </c>
      <c r="AI4" s="79" t="s">
        <v>1245</v>
      </c>
      <c r="AJ4" s="79" t="s">
        <v>1250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1172</v>
      </c>
      <c r="L5" s="39" t="s">
        <v>401</v>
      </c>
      <c r="M5" s="39" t="s">
        <v>398</v>
      </c>
      <c r="N5" s="37" t="s">
        <v>758</v>
      </c>
      <c r="O5" s="38"/>
      <c r="P5" s="38" t="s">
        <v>689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1173</v>
      </c>
      <c r="L6" s="39" t="s">
        <v>401</v>
      </c>
      <c r="M6" s="39" t="s">
        <v>398</v>
      </c>
      <c r="N6" s="66" t="s">
        <v>759</v>
      </c>
      <c r="O6" s="61"/>
      <c r="P6" s="38" t="s">
        <v>690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1458</v>
      </c>
      <c r="K7" s="61" t="s">
        <v>1174</v>
      </c>
      <c r="L7" s="39" t="s">
        <v>401</v>
      </c>
      <c r="M7" s="39" t="s">
        <v>398</v>
      </c>
      <c r="N7" s="66" t="s">
        <v>760</v>
      </c>
      <c r="O7" s="61"/>
      <c r="P7" s="38" t="s">
        <v>1459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438</v>
      </c>
      <c r="K8" s="61" t="s">
        <v>1175</v>
      </c>
      <c r="L8" s="39" t="s">
        <v>430</v>
      </c>
      <c r="M8" s="39" t="s">
        <v>439</v>
      </c>
      <c r="N8" s="66" t="s">
        <v>761</v>
      </c>
      <c r="O8" s="61"/>
      <c r="P8" s="38" t="s">
        <v>691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378</v>
      </c>
      <c r="K9" s="35" t="s">
        <v>1176</v>
      </c>
      <c r="L9" s="39" t="s">
        <v>401</v>
      </c>
      <c r="M9" s="39" t="s">
        <v>398</v>
      </c>
      <c r="N9" s="66" t="s">
        <v>762</v>
      </c>
      <c r="O9" s="61"/>
      <c r="P9" s="38" t="s">
        <v>692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516</v>
      </c>
      <c r="K10" s="35" t="s">
        <v>1177</v>
      </c>
      <c r="L10" s="39" t="s">
        <v>401</v>
      </c>
      <c r="M10" s="39" t="s">
        <v>398</v>
      </c>
      <c r="N10" s="34" t="s">
        <v>763</v>
      </c>
      <c r="P10" s="38" t="s">
        <v>693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437</v>
      </c>
      <c r="K11" s="35" t="s">
        <v>1178</v>
      </c>
      <c r="L11" s="39" t="s">
        <v>398</v>
      </c>
      <c r="M11" s="39"/>
      <c r="N11" s="34" t="s">
        <v>764</v>
      </c>
      <c r="P11" s="38" t="s">
        <v>694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397</v>
      </c>
      <c r="K12" s="61" t="s">
        <v>1179</v>
      </c>
      <c r="L12" s="39" t="s">
        <v>398</v>
      </c>
      <c r="N12" s="34" t="s">
        <v>765</v>
      </c>
      <c r="P12" s="38" t="s">
        <v>823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382</v>
      </c>
      <c r="K13" s="35" t="s">
        <v>1180</v>
      </c>
      <c r="L13" s="36" t="s">
        <v>398</v>
      </c>
      <c r="N13" s="34" t="s">
        <v>766</v>
      </c>
      <c r="P13" s="38" t="s">
        <v>695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384</v>
      </c>
      <c r="K14" s="35" t="s">
        <v>1181</v>
      </c>
      <c r="L14" s="36" t="s">
        <v>398</v>
      </c>
      <c r="N14" s="34" t="s">
        <v>767</v>
      </c>
      <c r="P14" s="38" t="s">
        <v>696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485</v>
      </c>
      <c r="K15" s="35" t="s">
        <v>1182</v>
      </c>
      <c r="L15" s="36" t="s">
        <v>486</v>
      </c>
      <c r="M15" s="36" t="s">
        <v>487</v>
      </c>
      <c r="N15" s="34" t="s">
        <v>1018</v>
      </c>
      <c r="P15" s="38" t="s">
        <v>697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387</v>
      </c>
      <c r="K16" s="35" t="s">
        <v>1183</v>
      </c>
      <c r="L16" s="36" t="s">
        <v>398</v>
      </c>
      <c r="N16" s="34" t="s">
        <v>768</v>
      </c>
      <c r="P16" s="38" t="s">
        <v>698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388</v>
      </c>
      <c r="K17" s="35" t="s">
        <v>1184</v>
      </c>
      <c r="L17" s="36" t="s">
        <v>398</v>
      </c>
      <c r="N17" s="34" t="s">
        <v>769</v>
      </c>
      <c r="P17" s="38" t="s">
        <v>699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389</v>
      </c>
      <c r="K18" s="35" t="s">
        <v>1185</v>
      </c>
      <c r="L18" s="36" t="s">
        <v>398</v>
      </c>
      <c r="N18" s="34" t="s">
        <v>769</v>
      </c>
      <c r="P18" s="38" t="s">
        <v>700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390</v>
      </c>
      <c r="K19" s="35" t="s">
        <v>1186</v>
      </c>
      <c r="L19" s="36" t="s">
        <v>398</v>
      </c>
      <c r="N19" s="34" t="s">
        <v>769</v>
      </c>
      <c r="P19" s="38" t="s">
        <v>701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441</v>
      </c>
      <c r="K20" s="35" t="s">
        <v>1187</v>
      </c>
      <c r="L20" s="36" t="s">
        <v>439</v>
      </c>
      <c r="N20" s="34" t="s">
        <v>768</v>
      </c>
      <c r="P20" s="38" t="s">
        <v>702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442</v>
      </c>
      <c r="K21" s="35" t="s">
        <v>1188</v>
      </c>
      <c r="L21" s="36" t="s">
        <v>439</v>
      </c>
      <c r="N21" s="34" t="s">
        <v>768</v>
      </c>
      <c r="P21" s="38" t="s">
        <v>703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443</v>
      </c>
      <c r="K22" s="35" t="s">
        <v>1189</v>
      </c>
      <c r="L22" s="36" t="s">
        <v>439</v>
      </c>
      <c r="N22" s="34" t="s">
        <v>768</v>
      </c>
      <c r="P22" s="38" t="s">
        <v>704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450</v>
      </c>
      <c r="K23" s="35" t="s">
        <v>1190</v>
      </c>
      <c r="L23" s="36" t="s">
        <v>439</v>
      </c>
      <c r="N23" s="34" t="s">
        <v>768</v>
      </c>
      <c r="P23" s="38" t="s">
        <v>705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444</v>
      </c>
      <c r="K24" s="35" t="s">
        <v>1191</v>
      </c>
      <c r="L24" s="36" t="s">
        <v>439</v>
      </c>
      <c r="N24" s="34" t="s">
        <v>768</v>
      </c>
      <c r="P24" s="38" t="s">
        <v>707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445</v>
      </c>
      <c r="K25" s="35" t="s">
        <v>1192</v>
      </c>
      <c r="L25" s="36" t="s">
        <v>439</v>
      </c>
      <c r="N25" s="34" t="s">
        <v>768</v>
      </c>
      <c r="P25" s="38" t="s">
        <v>706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446</v>
      </c>
      <c r="K26" s="35" t="s">
        <v>1193</v>
      </c>
      <c r="L26" s="36" t="s">
        <v>439</v>
      </c>
      <c r="N26" s="34" t="s">
        <v>768</v>
      </c>
      <c r="P26" s="38" t="s">
        <v>708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456</v>
      </c>
      <c r="K27" s="35" t="s">
        <v>1194</v>
      </c>
      <c r="L27" s="36" t="s">
        <v>439</v>
      </c>
      <c r="N27" s="34" t="s">
        <v>768</v>
      </c>
      <c r="P27" s="38" t="s">
        <v>709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460</v>
      </c>
      <c r="K28" s="35" t="s">
        <v>1195</v>
      </c>
      <c r="L28" s="36" t="s">
        <v>439</v>
      </c>
      <c r="N28" s="34" t="s">
        <v>768</v>
      </c>
      <c r="P28" s="38" t="s">
        <v>710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461</v>
      </c>
      <c r="K29" s="35" t="s">
        <v>1196</v>
      </c>
      <c r="L29" s="36" t="s">
        <v>439</v>
      </c>
      <c r="N29" s="34" t="s">
        <v>768</v>
      </c>
      <c r="P29" s="38" t="s">
        <v>711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464</v>
      </c>
      <c r="K30" s="35" t="s">
        <v>1197</v>
      </c>
      <c r="L30" s="36" t="s">
        <v>439</v>
      </c>
      <c r="N30" s="34" t="s">
        <v>768</v>
      </c>
      <c r="P30" s="38" t="s">
        <v>712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469</v>
      </c>
      <c r="K31" s="35" t="s">
        <v>1198</v>
      </c>
      <c r="L31" s="36" t="s">
        <v>439</v>
      </c>
      <c r="N31" s="34" t="s">
        <v>768</v>
      </c>
      <c r="P31" s="38" t="s">
        <v>713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465</v>
      </c>
      <c r="K32" s="35" t="s">
        <v>1199</v>
      </c>
      <c r="L32" s="36" t="s">
        <v>439</v>
      </c>
      <c r="N32" s="34" t="s">
        <v>768</v>
      </c>
      <c r="P32" s="38" t="s">
        <v>714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466</v>
      </c>
      <c r="K33" s="35" t="s">
        <v>1200</v>
      </c>
      <c r="L33" s="36" t="s">
        <v>439</v>
      </c>
      <c r="N33" s="34" t="s">
        <v>768</v>
      </c>
      <c r="P33" s="38" t="s">
        <v>715</v>
      </c>
      <c r="Q33" s="84" t="s">
        <v>488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467</v>
      </c>
      <c r="K34" s="35" t="s">
        <v>1201</v>
      </c>
      <c r="L34" s="36" t="s">
        <v>439</v>
      </c>
      <c r="N34" s="34" t="s">
        <v>768</v>
      </c>
      <c r="P34" s="38" t="s">
        <v>716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475</v>
      </c>
      <c r="K35" s="35" t="s">
        <v>1202</v>
      </c>
      <c r="L35" s="36" t="s">
        <v>484</v>
      </c>
      <c r="N35" s="34" t="s">
        <v>1001</v>
      </c>
      <c r="P35" s="38" t="s">
        <v>717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476</v>
      </c>
      <c r="K36" s="35" t="s">
        <v>1203</v>
      </c>
      <c r="L36" s="36" t="s">
        <v>484</v>
      </c>
      <c r="N36" s="34" t="s">
        <v>1002</v>
      </c>
      <c r="P36" s="38" t="s">
        <v>717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477</v>
      </c>
      <c r="K37" s="35" t="s">
        <v>1204</v>
      </c>
      <c r="L37" s="36" t="s">
        <v>484</v>
      </c>
      <c r="N37" s="34" t="s">
        <v>1003</v>
      </c>
      <c r="P37" s="38" t="s">
        <v>717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391</v>
      </c>
      <c r="K38" s="35" t="s">
        <v>1205</v>
      </c>
      <c r="L38" s="36" t="s">
        <v>398</v>
      </c>
      <c r="N38" s="34" t="s">
        <v>1004</v>
      </c>
      <c r="P38" s="38" t="s">
        <v>718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392</v>
      </c>
      <c r="K39" s="35" t="s">
        <v>1206</v>
      </c>
      <c r="L39" s="36" t="s">
        <v>398</v>
      </c>
      <c r="N39" s="34" t="s">
        <v>1005</v>
      </c>
      <c r="P39" s="38" t="s">
        <v>719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393</v>
      </c>
      <c r="K40" s="35" t="s">
        <v>1207</v>
      </c>
      <c r="L40" s="36" t="s">
        <v>398</v>
      </c>
      <c r="N40" s="34" t="s">
        <v>1006</v>
      </c>
      <c r="P40" s="38" t="s">
        <v>720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394</v>
      </c>
      <c r="K41" s="35" t="s">
        <v>1208</v>
      </c>
      <c r="L41" s="36" t="s">
        <v>398</v>
      </c>
      <c r="N41" s="34" t="s">
        <v>1007</v>
      </c>
      <c r="P41" s="38" t="s">
        <v>721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395</v>
      </c>
      <c r="K42" s="35" t="s">
        <v>1209</v>
      </c>
      <c r="L42" s="36" t="s">
        <v>398</v>
      </c>
      <c r="N42" s="34" t="s">
        <v>1008</v>
      </c>
      <c r="P42" s="38" t="s">
        <v>722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396</v>
      </c>
      <c r="K43" s="35" t="s">
        <v>1210</v>
      </c>
      <c r="L43" s="36" t="s">
        <v>398</v>
      </c>
      <c r="N43" s="34" t="s">
        <v>1009</v>
      </c>
      <c r="P43" s="38" t="s">
        <v>723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478</v>
      </c>
      <c r="K44" s="35" t="s">
        <v>1211</v>
      </c>
      <c r="L44" s="36" t="s">
        <v>398</v>
      </c>
      <c r="N44" s="34" t="s">
        <v>1010</v>
      </c>
      <c r="P44" s="38" t="s">
        <v>724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479</v>
      </c>
      <c r="K45" s="35" t="s">
        <v>1212</v>
      </c>
      <c r="L45" s="36" t="s">
        <v>398</v>
      </c>
      <c r="N45" s="34" t="s">
        <v>1011</v>
      </c>
      <c r="P45" s="38" t="s">
        <v>725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480</v>
      </c>
      <c r="K46" s="35" t="s">
        <v>1213</v>
      </c>
      <c r="L46" s="36" t="s">
        <v>398</v>
      </c>
      <c r="N46" s="34" t="s">
        <v>1012</v>
      </c>
      <c r="P46" s="38" t="s">
        <v>726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481</v>
      </c>
      <c r="K47" s="35" t="s">
        <v>1214</v>
      </c>
      <c r="L47" s="36" t="s">
        <v>398</v>
      </c>
      <c r="N47" s="34" t="s">
        <v>1013</v>
      </c>
      <c r="P47" s="38" t="s">
        <v>727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482</v>
      </c>
      <c r="K48" s="35" t="s">
        <v>1215</v>
      </c>
      <c r="L48" s="36" t="s">
        <v>398</v>
      </c>
      <c r="N48" s="34" t="s">
        <v>1014</v>
      </c>
      <c r="P48" s="38" t="s">
        <v>728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483</v>
      </c>
      <c r="K49" s="35" t="s">
        <v>1216</v>
      </c>
      <c r="L49" s="36" t="s">
        <v>398</v>
      </c>
      <c r="N49" s="34" t="s">
        <v>1015</v>
      </c>
      <c r="P49" s="38" t="s">
        <v>729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7">
        <v>6</v>
      </c>
      <c r="E50" s="36">
        <v>1</v>
      </c>
      <c r="F50" s="39">
        <v>1</v>
      </c>
      <c r="G50" s="70"/>
      <c r="H50" s="38">
        <v>1</v>
      </c>
      <c r="J50" s="35" t="s">
        <v>1229</v>
      </c>
      <c r="K50" s="35" t="s">
        <v>1232</v>
      </c>
      <c r="L50" s="36" t="s">
        <v>1235</v>
      </c>
      <c r="N50" s="34" t="s">
        <v>1236</v>
      </c>
      <c r="P50" s="38" t="s">
        <v>1239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7">
        <v>6</v>
      </c>
      <c r="E51" s="36">
        <v>2</v>
      </c>
      <c r="F51" s="39">
        <v>1</v>
      </c>
      <c r="G51" s="70"/>
      <c r="H51" s="38">
        <v>1</v>
      </c>
      <c r="J51" s="35" t="s">
        <v>1230</v>
      </c>
      <c r="K51" s="35" t="s">
        <v>1233</v>
      </c>
      <c r="L51" s="36" t="s">
        <v>1235</v>
      </c>
      <c r="N51" s="34" t="s">
        <v>1237</v>
      </c>
      <c r="P51" s="38" t="s">
        <v>1240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7">
        <v>6</v>
      </c>
      <c r="E52" s="36">
        <v>3</v>
      </c>
      <c r="F52" s="39">
        <v>1</v>
      </c>
      <c r="G52" s="70"/>
      <c r="H52" s="38">
        <v>1</v>
      </c>
      <c r="J52" s="35" t="s">
        <v>1231</v>
      </c>
      <c r="K52" s="35" t="s">
        <v>1234</v>
      </c>
      <c r="L52" s="36" t="s">
        <v>1235</v>
      </c>
      <c r="N52" s="34" t="s">
        <v>1238</v>
      </c>
      <c r="P52" s="38" t="s">
        <v>1241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379</v>
      </c>
      <c r="K53" s="35" t="s">
        <v>1217</v>
      </c>
      <c r="L53" s="36" t="s">
        <v>400</v>
      </c>
      <c r="N53" s="34" t="s">
        <v>770</v>
      </c>
      <c r="P53" s="38" t="s">
        <v>730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381</v>
      </c>
      <c r="K54" s="35" t="s">
        <v>1218</v>
      </c>
      <c r="L54" s="36" t="s">
        <v>400</v>
      </c>
      <c r="N54" s="34" t="s">
        <v>771</v>
      </c>
      <c r="P54" s="38" t="s">
        <v>824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380</v>
      </c>
      <c r="K55" s="35" t="s">
        <v>1219</v>
      </c>
      <c r="L55" s="36" t="s">
        <v>399</v>
      </c>
      <c r="N55" s="34" t="s">
        <v>772</v>
      </c>
      <c r="P55" s="38" t="s">
        <v>731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383</v>
      </c>
      <c r="K56" s="35" t="s">
        <v>1220</v>
      </c>
      <c r="L56" s="36" t="s">
        <v>399</v>
      </c>
      <c r="N56" s="34" t="s">
        <v>773</v>
      </c>
      <c r="P56" s="38" t="s">
        <v>732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385</v>
      </c>
      <c r="K57" s="35" t="s">
        <v>1221</v>
      </c>
      <c r="L57" s="36" t="s">
        <v>399</v>
      </c>
      <c r="N57" s="34" t="s">
        <v>774</v>
      </c>
      <c r="P57" s="38" t="s">
        <v>733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386</v>
      </c>
      <c r="K58" s="35" t="s">
        <v>1222</v>
      </c>
      <c r="L58" s="36" t="s">
        <v>399</v>
      </c>
      <c r="N58" s="34" t="s">
        <v>775</v>
      </c>
      <c r="P58" s="38" t="s">
        <v>734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417</v>
      </c>
      <c r="K59" s="35" t="s">
        <v>1223</v>
      </c>
      <c r="L59" s="36" t="s">
        <v>399</v>
      </c>
      <c r="N59" s="34" t="s">
        <v>776</v>
      </c>
      <c r="P59" s="38" t="s">
        <v>735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19" sqref="G19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558</v>
      </c>
      <c r="B3" s="38" t="s">
        <v>1172</v>
      </c>
      <c r="C3" s="61" t="s">
        <v>1173</v>
      </c>
      <c r="D3" s="61" t="s">
        <v>1174</v>
      </c>
      <c r="E3" s="61" t="s">
        <v>1175</v>
      </c>
      <c r="F3" s="35" t="s">
        <v>1176</v>
      </c>
      <c r="G3" s="35" t="s">
        <v>1177</v>
      </c>
      <c r="H3" s="35" t="s">
        <v>1178</v>
      </c>
      <c r="I3" s="61" t="s">
        <v>1179</v>
      </c>
      <c r="J3" s="35" t="s">
        <v>1180</v>
      </c>
      <c r="K3" s="35" t="s">
        <v>1181</v>
      </c>
      <c r="L3" s="35" t="s">
        <v>1182</v>
      </c>
      <c r="M3" s="35" t="s">
        <v>1183</v>
      </c>
      <c r="N3" s="35" t="s">
        <v>1184</v>
      </c>
      <c r="O3" s="35" t="s">
        <v>1185</v>
      </c>
      <c r="P3" s="35" t="s">
        <v>1186</v>
      </c>
      <c r="Q3" s="35" t="s">
        <v>1187</v>
      </c>
      <c r="R3" s="35" t="s">
        <v>1188</v>
      </c>
      <c r="S3" s="35" t="s">
        <v>1189</v>
      </c>
      <c r="T3" s="35" t="s">
        <v>1190</v>
      </c>
      <c r="U3" s="35" t="s">
        <v>1191</v>
      </c>
      <c r="V3" s="35" t="s">
        <v>1192</v>
      </c>
      <c r="W3" s="35" t="s">
        <v>1193</v>
      </c>
      <c r="X3" s="35" t="s">
        <v>1194</v>
      </c>
      <c r="Y3" s="35" t="s">
        <v>1195</v>
      </c>
      <c r="Z3" s="35" t="s">
        <v>1196</v>
      </c>
      <c r="AA3" s="35" t="s">
        <v>1197</v>
      </c>
      <c r="AB3" s="35" t="s">
        <v>1198</v>
      </c>
      <c r="AC3" s="35" t="s">
        <v>1199</v>
      </c>
      <c r="AD3" s="35" t="s">
        <v>1200</v>
      </c>
      <c r="AE3" s="35" t="s">
        <v>1201</v>
      </c>
      <c r="AF3" s="35" t="s">
        <v>1202</v>
      </c>
      <c r="AG3" s="35" t="s">
        <v>1203</v>
      </c>
      <c r="AH3" s="35" t="s">
        <v>1204</v>
      </c>
      <c r="AI3" s="35" t="s">
        <v>1205</v>
      </c>
      <c r="AJ3" s="35" t="s">
        <v>1206</v>
      </c>
      <c r="AK3" s="35" t="s">
        <v>1207</v>
      </c>
      <c r="AL3" s="35" t="s">
        <v>1208</v>
      </c>
      <c r="AM3" s="35" t="s">
        <v>1209</v>
      </c>
      <c r="AN3" s="35" t="s">
        <v>1210</v>
      </c>
      <c r="AO3" s="35" t="s">
        <v>1211</v>
      </c>
      <c r="AP3" s="35" t="s">
        <v>1212</v>
      </c>
      <c r="AQ3" s="35" t="s">
        <v>1213</v>
      </c>
      <c r="AR3" s="35" t="s">
        <v>1214</v>
      </c>
      <c r="AS3" s="35" t="s">
        <v>1215</v>
      </c>
      <c r="AT3" s="35" t="s">
        <v>1216</v>
      </c>
      <c r="AU3" s="35" t="s">
        <v>1263</v>
      </c>
      <c r="AV3" s="35" t="s">
        <v>1264</v>
      </c>
      <c r="AW3" s="35" t="s">
        <v>1265</v>
      </c>
      <c r="AX3" s="35" t="s">
        <v>1217</v>
      </c>
      <c r="AY3" s="35" t="s">
        <v>1218</v>
      </c>
      <c r="AZ3" s="35" t="s">
        <v>1219</v>
      </c>
      <c r="BA3" s="35" t="s">
        <v>1220</v>
      </c>
      <c r="BB3" s="35" t="s">
        <v>1221</v>
      </c>
      <c r="BC3" s="35" t="s">
        <v>1222</v>
      </c>
      <c r="BD3" s="35" t="s">
        <v>1223</v>
      </c>
    </row>
    <row r="4" spans="1:56" ht="18" customHeight="1" thickBot="1" x14ac:dyDescent="0.2">
      <c r="A4" s="86" t="s">
        <v>544</v>
      </c>
      <c r="B4" s="38" t="s">
        <v>376</v>
      </c>
      <c r="C4" s="61" t="s">
        <v>377</v>
      </c>
      <c r="D4" s="61" t="s">
        <v>1460</v>
      </c>
      <c r="E4" s="61" t="s">
        <v>436</v>
      </c>
      <c r="F4" s="35" t="s">
        <v>378</v>
      </c>
      <c r="G4" s="35" t="s">
        <v>422</v>
      </c>
      <c r="H4" s="35" t="s">
        <v>426</v>
      </c>
      <c r="I4" s="61" t="s">
        <v>397</v>
      </c>
      <c r="J4" s="35" t="s">
        <v>382</v>
      </c>
      <c r="K4" s="35" t="s">
        <v>384</v>
      </c>
      <c r="L4" s="35" t="s">
        <v>485</v>
      </c>
      <c r="M4" s="35" t="s">
        <v>387</v>
      </c>
      <c r="N4" s="35" t="s">
        <v>388</v>
      </c>
      <c r="O4" s="35" t="s">
        <v>389</v>
      </c>
      <c r="P4" s="35" t="s">
        <v>390</v>
      </c>
      <c r="Q4" s="35" t="s">
        <v>441</v>
      </c>
      <c r="R4" s="35" t="s">
        <v>442</v>
      </c>
      <c r="S4" s="35" t="s">
        <v>443</v>
      </c>
      <c r="T4" s="35" t="s">
        <v>450</v>
      </c>
      <c r="U4" s="35" t="s">
        <v>444</v>
      </c>
      <c r="V4" s="35" t="s">
        <v>445</v>
      </c>
      <c r="W4" s="35" t="s">
        <v>446</v>
      </c>
      <c r="X4" s="35" t="s">
        <v>456</v>
      </c>
      <c r="Y4" s="35" t="s">
        <v>458</v>
      </c>
      <c r="Z4" s="35" t="s">
        <v>459</v>
      </c>
      <c r="AA4" s="35" t="s">
        <v>464</v>
      </c>
      <c r="AB4" s="35" t="s">
        <v>469</v>
      </c>
      <c r="AC4" s="35" t="s">
        <v>465</v>
      </c>
      <c r="AD4" s="35" t="s">
        <v>466</v>
      </c>
      <c r="AE4" s="35" t="s">
        <v>467</v>
      </c>
      <c r="AF4" s="35" t="s">
        <v>475</v>
      </c>
      <c r="AG4" s="35" t="s">
        <v>476</v>
      </c>
      <c r="AH4" s="35" t="s">
        <v>477</v>
      </c>
      <c r="AI4" s="35" t="s">
        <v>391</v>
      </c>
      <c r="AJ4" s="35" t="s">
        <v>392</v>
      </c>
      <c r="AK4" s="35" t="s">
        <v>393</v>
      </c>
      <c r="AL4" s="35" t="s">
        <v>394</v>
      </c>
      <c r="AM4" s="35" t="s">
        <v>395</v>
      </c>
      <c r="AN4" s="35" t="s">
        <v>396</v>
      </c>
      <c r="AO4" s="35" t="s">
        <v>478</v>
      </c>
      <c r="AP4" s="35" t="s">
        <v>479</v>
      </c>
      <c r="AQ4" s="35" t="s">
        <v>480</v>
      </c>
      <c r="AR4" s="35" t="s">
        <v>481</v>
      </c>
      <c r="AS4" s="35" t="s">
        <v>482</v>
      </c>
      <c r="AT4" s="35" t="s">
        <v>483</v>
      </c>
      <c r="AU4" s="35" t="s">
        <v>1266</v>
      </c>
      <c r="AV4" s="35" t="s">
        <v>1267</v>
      </c>
      <c r="AW4" s="35" t="s">
        <v>1268</v>
      </c>
      <c r="AX4" s="35" t="s">
        <v>379</v>
      </c>
      <c r="AY4" s="35" t="s">
        <v>381</v>
      </c>
      <c r="AZ4" s="35" t="s">
        <v>380</v>
      </c>
      <c r="BA4" s="35" t="s">
        <v>383</v>
      </c>
      <c r="BB4" s="35" t="s">
        <v>385</v>
      </c>
      <c r="BC4" s="35" t="s">
        <v>386</v>
      </c>
      <c r="BD4" s="35" t="s">
        <v>417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551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645</v>
      </c>
      <c r="B3" s="55" t="s">
        <v>548</v>
      </c>
    </row>
    <row r="4" spans="1:13" ht="17.25" thickBot="1" x14ac:dyDescent="0.2">
      <c r="A4" s="57" t="s">
        <v>546</v>
      </c>
      <c r="B4" s="57" t="s">
        <v>547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645</v>
      </c>
      <c r="B3" s="55" t="s">
        <v>543</v>
      </c>
    </row>
    <row r="4" spans="1:10" ht="17.25" thickBot="1" x14ac:dyDescent="0.2">
      <c r="A4" s="57" t="s">
        <v>544</v>
      </c>
      <c r="B4" s="57" t="s">
        <v>545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750</v>
      </c>
      <c r="B1" s="91" t="s">
        <v>751</v>
      </c>
      <c r="C1" s="139" t="s">
        <v>751</v>
      </c>
      <c r="D1" s="91" t="s">
        <v>751</v>
      </c>
      <c r="E1" s="139" t="s">
        <v>751</v>
      </c>
      <c r="F1" s="91" t="s">
        <v>751</v>
      </c>
    </row>
    <row r="2" spans="1:6" x14ac:dyDescent="0.15">
      <c r="A2" s="98" t="s">
        <v>752</v>
      </c>
      <c r="B2" s="91" t="s">
        <v>752</v>
      </c>
      <c r="C2" s="139" t="s">
        <v>752</v>
      </c>
      <c r="D2" s="91" t="s">
        <v>752</v>
      </c>
      <c r="E2" s="139" t="s">
        <v>752</v>
      </c>
      <c r="F2" s="91" t="s">
        <v>752</v>
      </c>
    </row>
    <row r="3" spans="1:6" x14ac:dyDescent="0.15">
      <c r="A3" s="98" t="s">
        <v>753</v>
      </c>
      <c r="B3" s="91" t="s">
        <v>746</v>
      </c>
      <c r="C3" s="139" t="s">
        <v>747</v>
      </c>
      <c r="D3" s="91" t="s">
        <v>744</v>
      </c>
      <c r="E3" s="139" t="s">
        <v>745</v>
      </c>
      <c r="F3" s="91" t="s">
        <v>743</v>
      </c>
    </row>
    <row r="4" spans="1:6" ht="22.5" customHeight="1" thickBot="1" x14ac:dyDescent="0.2">
      <c r="A4" s="98" t="s">
        <v>749</v>
      </c>
      <c r="B4" s="91" t="s">
        <v>754</v>
      </c>
      <c r="C4" s="139" t="s">
        <v>755</v>
      </c>
      <c r="D4" s="91" t="s">
        <v>756</v>
      </c>
      <c r="E4" s="139" t="s">
        <v>748</v>
      </c>
      <c r="F4" s="91" t="s">
        <v>757</v>
      </c>
    </row>
    <row r="5" spans="1:6" s="110" customFormat="1" x14ac:dyDescent="0.15">
      <c r="A5" s="185">
        <v>1</v>
      </c>
      <c r="B5" s="110">
        <v>50</v>
      </c>
      <c r="C5" s="186">
        <v>20</v>
      </c>
      <c r="D5" s="110">
        <v>620</v>
      </c>
      <c r="E5" s="186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573</v>
      </c>
      <c r="J1" s="123" t="s">
        <v>603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778</v>
      </c>
      <c r="J2" s="123" t="s">
        <v>598</v>
      </c>
      <c r="L2" s="123" t="s">
        <v>598</v>
      </c>
      <c r="M2" s="123" t="s">
        <v>598</v>
      </c>
      <c r="O2" s="123" t="s">
        <v>598</v>
      </c>
      <c r="Q2" s="123" t="s">
        <v>598</v>
      </c>
      <c r="R2" s="123" t="s">
        <v>598</v>
      </c>
      <c r="S2" s="123" t="s">
        <v>598</v>
      </c>
      <c r="U2" s="123" t="s">
        <v>598</v>
      </c>
      <c r="V2" s="123" t="s">
        <v>598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816</v>
      </c>
      <c r="J3" s="123" t="s">
        <v>604</v>
      </c>
      <c r="L3" s="123" t="s">
        <v>605</v>
      </c>
      <c r="M3" s="123" t="s">
        <v>606</v>
      </c>
      <c r="O3" s="123" t="s">
        <v>607</v>
      </c>
      <c r="Q3" s="123" t="s">
        <v>608</v>
      </c>
      <c r="R3" s="123" t="s">
        <v>609</v>
      </c>
      <c r="S3" s="123" t="s">
        <v>610</v>
      </c>
      <c r="U3" s="123" t="s">
        <v>611</v>
      </c>
      <c r="V3" s="123" t="s">
        <v>612</v>
      </c>
    </row>
    <row r="4" spans="1:22" ht="55.5" customHeight="1" thickBot="1" x14ac:dyDescent="0.35">
      <c r="A4" s="85" t="s">
        <v>581</v>
      </c>
      <c r="B4" s="87" t="s">
        <v>579</v>
      </c>
      <c r="C4" s="103" t="s">
        <v>580</v>
      </c>
      <c r="D4" s="87"/>
      <c r="E4" s="87"/>
      <c r="F4" s="103" t="s">
        <v>602</v>
      </c>
      <c r="G4" s="129" t="s">
        <v>582</v>
      </c>
      <c r="H4" s="86"/>
      <c r="I4" s="87" t="s">
        <v>583</v>
      </c>
      <c r="J4" s="86" t="s">
        <v>584</v>
      </c>
      <c r="K4" s="129" t="s">
        <v>636</v>
      </c>
      <c r="L4" s="86" t="s">
        <v>637</v>
      </c>
      <c r="M4" s="86" t="s">
        <v>638</v>
      </c>
      <c r="N4" s="129" t="s">
        <v>626</v>
      </c>
      <c r="O4" s="86" t="s">
        <v>585</v>
      </c>
      <c r="P4" s="129" t="s">
        <v>630</v>
      </c>
      <c r="Q4" s="86" t="s">
        <v>601</v>
      </c>
      <c r="R4" s="86" t="s">
        <v>599</v>
      </c>
      <c r="S4" s="86" t="s">
        <v>600</v>
      </c>
      <c r="T4" s="129" t="s">
        <v>586</v>
      </c>
      <c r="U4" s="86" t="s">
        <v>599</v>
      </c>
      <c r="V4" s="86" t="s">
        <v>600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587</v>
      </c>
      <c r="H5" s="125"/>
      <c r="J5" s="125">
        <v>100</v>
      </c>
      <c r="K5" s="132"/>
      <c r="L5" s="125"/>
      <c r="M5" s="125"/>
      <c r="N5" s="134" t="s">
        <v>627</v>
      </c>
      <c r="O5" s="125">
        <v>50</v>
      </c>
      <c r="P5" s="134" t="s">
        <v>632</v>
      </c>
      <c r="Q5" s="125"/>
      <c r="R5" s="125">
        <v>2000</v>
      </c>
      <c r="S5" s="125">
        <v>200</v>
      </c>
      <c r="T5" s="132" t="s">
        <v>633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588</v>
      </c>
      <c r="I6" s="122" t="s">
        <v>613</v>
      </c>
      <c r="J6" s="123">
        <v>50</v>
      </c>
      <c r="N6" s="135" t="s">
        <v>628</v>
      </c>
      <c r="O6" s="123">
        <v>200</v>
      </c>
      <c r="P6" s="133" t="s">
        <v>631</v>
      </c>
      <c r="R6" s="123">
        <v>2000</v>
      </c>
      <c r="S6" s="123">
        <v>200</v>
      </c>
      <c r="T6" s="128" t="s">
        <v>635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589</v>
      </c>
      <c r="I7" s="122" t="s">
        <v>613</v>
      </c>
      <c r="J7" s="123">
        <v>30</v>
      </c>
      <c r="N7" s="135" t="s">
        <v>629</v>
      </c>
      <c r="O7" s="123">
        <v>200</v>
      </c>
      <c r="P7" s="133" t="s">
        <v>631</v>
      </c>
      <c r="R7" s="123">
        <v>2000</v>
      </c>
      <c r="S7" s="123">
        <v>200</v>
      </c>
      <c r="T7" s="128" t="s">
        <v>634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590</v>
      </c>
      <c r="H8" s="143" t="s">
        <v>817</v>
      </c>
      <c r="I8" s="122" t="s">
        <v>614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591</v>
      </c>
      <c r="H9" s="143" t="s">
        <v>818</v>
      </c>
      <c r="I9" s="122" t="s">
        <v>615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592</v>
      </c>
      <c r="J10" s="123">
        <v>50</v>
      </c>
      <c r="K10" s="133" t="s">
        <v>621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593</v>
      </c>
      <c r="J11" s="123">
        <v>50</v>
      </c>
      <c r="K11" s="133" t="s">
        <v>621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594</v>
      </c>
      <c r="I12" s="122" t="s">
        <v>616</v>
      </c>
      <c r="J12" s="123">
        <v>50</v>
      </c>
      <c r="K12" s="133" t="s">
        <v>622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595</v>
      </c>
      <c r="I13" s="122" t="s">
        <v>617</v>
      </c>
      <c r="J13" s="123">
        <v>50</v>
      </c>
      <c r="K13" s="133" t="s">
        <v>1021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596</v>
      </c>
      <c r="I14" s="122" t="s">
        <v>618</v>
      </c>
      <c r="J14" s="123">
        <v>50</v>
      </c>
      <c r="K14" s="133" t="s">
        <v>1022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597</v>
      </c>
      <c r="I15" s="122" t="s">
        <v>620</v>
      </c>
      <c r="J15" s="123">
        <v>50</v>
      </c>
      <c r="K15" s="133" t="s">
        <v>625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619</v>
      </c>
      <c r="I16" s="122" t="s">
        <v>620</v>
      </c>
      <c r="J16" s="123">
        <v>50</v>
      </c>
      <c r="K16" s="133" t="s">
        <v>624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16" sqref="M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9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3" customWidth="1"/>
    <col min="22" max="22" width="10.75" style="183" customWidth="1"/>
    <col min="23" max="23" width="12.625" style="183" customWidth="1"/>
    <col min="24" max="16384" width="9" style="183"/>
  </cols>
  <sheetData>
    <row r="1" spans="1:23" s="180" customFormat="1" x14ac:dyDescent="0.15">
      <c r="A1" s="11" t="s">
        <v>1145</v>
      </c>
      <c r="B1" s="13"/>
      <c r="C1" s="12"/>
      <c r="D1" s="13"/>
      <c r="E1" s="13"/>
      <c r="F1" s="12"/>
      <c r="G1" s="55" t="s">
        <v>1146</v>
      </c>
      <c r="H1" s="55" t="s">
        <v>1146</v>
      </c>
      <c r="I1" s="55" t="s">
        <v>1146</v>
      </c>
      <c r="J1" s="55" t="s">
        <v>1146</v>
      </c>
      <c r="K1" s="55" t="s">
        <v>1146</v>
      </c>
      <c r="L1" s="10"/>
      <c r="M1" s="10"/>
      <c r="N1" s="10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N2" s="189"/>
      <c r="O2" s="55"/>
      <c r="Q2" s="55"/>
      <c r="R2" s="55"/>
    </row>
    <row r="3" spans="1:23" s="180" customFormat="1" x14ac:dyDescent="0.15">
      <c r="A3" s="11" t="s">
        <v>1147</v>
      </c>
      <c r="B3" s="13"/>
      <c r="C3" s="12"/>
      <c r="D3" s="13"/>
      <c r="E3" s="13"/>
      <c r="F3" s="12"/>
      <c r="G3" s="55" t="s">
        <v>1148</v>
      </c>
      <c r="H3" s="55" t="s">
        <v>1149</v>
      </c>
      <c r="I3" s="55" t="s">
        <v>1150</v>
      </c>
      <c r="J3" s="55" t="s">
        <v>1151</v>
      </c>
      <c r="K3" s="55" t="s">
        <v>1152</v>
      </c>
      <c r="L3" s="10"/>
      <c r="M3" s="10"/>
      <c r="N3" s="189"/>
    </row>
    <row r="4" spans="1:23" s="181" customFormat="1" ht="57.75" customHeight="1" thickBot="1" x14ac:dyDescent="0.2">
      <c r="A4" s="94" t="s">
        <v>1153</v>
      </c>
      <c r="B4" s="106" t="s">
        <v>1154</v>
      </c>
      <c r="C4" s="107"/>
      <c r="D4" s="106"/>
      <c r="E4" s="106"/>
      <c r="F4" s="107"/>
      <c r="G4" s="89" t="s">
        <v>1155</v>
      </c>
      <c r="H4" s="89" t="s">
        <v>1156</v>
      </c>
      <c r="I4" s="89" t="s">
        <v>1157</v>
      </c>
      <c r="J4" s="89" t="s">
        <v>1158</v>
      </c>
      <c r="K4" s="89" t="s">
        <v>1159</v>
      </c>
      <c r="L4" s="90" t="s">
        <v>1160</v>
      </c>
      <c r="M4" s="90" t="s">
        <v>1161</v>
      </c>
      <c r="N4" s="190" t="s">
        <v>1462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800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  <c r="N5" s="191">
        <f>J5*K5</f>
        <v>500</v>
      </c>
      <c r="O5" s="182">
        <f>AVERAGE(N5:N14)</f>
        <v>950</v>
      </c>
      <c r="P5" s="182">
        <f>O5/10</f>
        <v>95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800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92">
        <f t="shared" ref="N6:N69" si="1">J6*K6</f>
        <v>600</v>
      </c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800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92">
        <f t="shared" si="1"/>
        <v>700</v>
      </c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800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  <c r="N8" s="189">
        <f t="shared" si="1"/>
        <v>800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800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  <c r="N9" s="189">
        <f t="shared" si="1"/>
        <v>900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800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  <c r="N10" s="189">
        <f t="shared" si="1"/>
        <v>1000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800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  <c r="N11" s="189">
        <f t="shared" si="1"/>
        <v>1100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800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  <c r="N12" s="189">
        <f t="shared" si="1"/>
        <v>1200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800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  <c r="N13" s="189">
        <f t="shared" si="1"/>
        <v>1300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800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  <c r="N14" s="189">
        <f t="shared" si="1"/>
        <v>1400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2300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  <c r="N15" s="191">
        <f t="shared" si="1"/>
        <v>600</v>
      </c>
      <c r="O15" s="182">
        <f>AVERAGE(N15:N24)</f>
        <v>1140</v>
      </c>
      <c r="P15" s="182">
        <f>O15/10</f>
        <v>114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2300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  <c r="N16" s="189">
        <f t="shared" si="1"/>
        <v>700</v>
      </c>
    </row>
    <row r="17" spans="1:16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2300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  <c r="N17" s="189">
        <f t="shared" si="1"/>
        <v>850</v>
      </c>
    </row>
    <row r="18" spans="1:16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2300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  <c r="N18" s="189">
        <f t="shared" si="1"/>
        <v>950</v>
      </c>
    </row>
    <row r="19" spans="1:16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2300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  <c r="N19" s="189">
        <f t="shared" si="1"/>
        <v>1100</v>
      </c>
    </row>
    <row r="20" spans="1:16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2300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  <c r="N20" s="189">
        <f t="shared" si="1"/>
        <v>1200</v>
      </c>
    </row>
    <row r="21" spans="1:16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2300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  <c r="N21" s="189">
        <f t="shared" si="1"/>
        <v>1300</v>
      </c>
    </row>
    <row r="22" spans="1:16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2300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  <c r="N22" s="189">
        <f t="shared" si="1"/>
        <v>1450</v>
      </c>
    </row>
    <row r="23" spans="1:16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2300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  <c r="N23" s="189">
        <f t="shared" si="1"/>
        <v>1550</v>
      </c>
    </row>
    <row r="24" spans="1:16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2300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  <c r="N24" s="189">
        <f t="shared" si="1"/>
        <v>1700</v>
      </c>
    </row>
    <row r="25" spans="1:16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7000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  <c r="N25" s="191">
        <f t="shared" si="1"/>
        <v>700</v>
      </c>
      <c r="O25" s="182">
        <f>AVERAGE(N25:N34)</f>
        <v>1365</v>
      </c>
      <c r="P25" s="182">
        <f>O25/10</f>
        <v>136.5</v>
      </c>
    </row>
    <row r="26" spans="1:16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7000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  <c r="N26" s="189">
        <f t="shared" si="1"/>
        <v>850</v>
      </c>
    </row>
    <row r="27" spans="1:16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7000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  <c r="N27" s="189">
        <f t="shared" si="1"/>
        <v>1000</v>
      </c>
    </row>
    <row r="28" spans="1:16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7000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  <c r="N28" s="189">
        <f t="shared" si="1"/>
        <v>1150</v>
      </c>
    </row>
    <row r="29" spans="1:16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7000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  <c r="N29" s="189">
        <f t="shared" si="1"/>
        <v>1300</v>
      </c>
    </row>
    <row r="30" spans="1:16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7000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  <c r="N30" s="189">
        <f t="shared" si="1"/>
        <v>1450</v>
      </c>
    </row>
    <row r="31" spans="1:16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7000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  <c r="N31" s="189">
        <f t="shared" si="1"/>
        <v>1550</v>
      </c>
    </row>
    <row r="32" spans="1:16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7000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  <c r="N32" s="189">
        <f t="shared" si="1"/>
        <v>1750</v>
      </c>
    </row>
    <row r="33" spans="1:16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7000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  <c r="N33" s="189">
        <f t="shared" si="1"/>
        <v>1850</v>
      </c>
    </row>
    <row r="34" spans="1:16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7000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  <c r="N34" s="189">
        <f t="shared" si="1"/>
        <v>2050</v>
      </c>
    </row>
    <row r="35" spans="1:16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11000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  <c r="N35" s="191">
        <f t="shared" si="1"/>
        <v>850</v>
      </c>
      <c r="O35" s="182">
        <f>AVERAGE(N35:N44)</f>
        <v>1635</v>
      </c>
      <c r="P35" s="182">
        <f>O35/10</f>
        <v>163.5</v>
      </c>
    </row>
    <row r="36" spans="1:16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11000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  <c r="N36" s="189">
        <f t="shared" si="1"/>
        <v>1000</v>
      </c>
    </row>
    <row r="37" spans="1:16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11000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  <c r="N37" s="189">
        <f t="shared" si="1"/>
        <v>1200</v>
      </c>
    </row>
    <row r="38" spans="1:16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11000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  <c r="N38" s="189">
        <f t="shared" si="1"/>
        <v>1400</v>
      </c>
    </row>
    <row r="39" spans="1:16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11000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  <c r="N39" s="189">
        <f t="shared" si="1"/>
        <v>1550</v>
      </c>
    </row>
    <row r="40" spans="1:16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11000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  <c r="N40" s="189">
        <f t="shared" si="1"/>
        <v>1750</v>
      </c>
    </row>
    <row r="41" spans="1:16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11000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  <c r="N41" s="189">
        <f t="shared" si="1"/>
        <v>1850</v>
      </c>
    </row>
    <row r="42" spans="1:16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11000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  <c r="N42" s="189">
        <f t="shared" si="1"/>
        <v>2100</v>
      </c>
    </row>
    <row r="43" spans="1:16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11000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  <c r="N43" s="189">
        <f t="shared" si="1"/>
        <v>2200</v>
      </c>
    </row>
    <row r="44" spans="1:16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11000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  <c r="N44" s="189">
        <f t="shared" si="1"/>
        <v>2450</v>
      </c>
    </row>
    <row r="45" spans="1:16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17000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  <c r="N45" s="191">
        <f t="shared" si="1"/>
        <v>1000</v>
      </c>
      <c r="O45" s="182">
        <f>AVERAGE(N45:N54)</f>
        <v>1960</v>
      </c>
      <c r="P45" s="182">
        <f>O45/10</f>
        <v>196</v>
      </c>
    </row>
    <row r="46" spans="1:16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17000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  <c r="N46" s="189">
        <f t="shared" si="1"/>
        <v>1200</v>
      </c>
    </row>
    <row r="47" spans="1:16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17000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  <c r="N47" s="189">
        <f t="shared" si="1"/>
        <v>1450</v>
      </c>
    </row>
    <row r="48" spans="1:16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17000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  <c r="N48" s="189">
        <f t="shared" si="1"/>
        <v>1700</v>
      </c>
    </row>
    <row r="49" spans="1:16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17000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  <c r="N49" s="189">
        <f t="shared" si="1"/>
        <v>1850</v>
      </c>
    </row>
    <row r="50" spans="1:16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17000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  <c r="N50" s="189">
        <f t="shared" si="1"/>
        <v>2100</v>
      </c>
    </row>
    <row r="51" spans="1:16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17000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  <c r="N51" s="189">
        <f t="shared" si="1"/>
        <v>2200</v>
      </c>
    </row>
    <row r="52" spans="1:16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17000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  <c r="N52" s="189">
        <f t="shared" si="1"/>
        <v>2500</v>
      </c>
    </row>
    <row r="53" spans="1:16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17000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  <c r="N53" s="189">
        <f t="shared" si="1"/>
        <v>2650</v>
      </c>
    </row>
    <row r="54" spans="1:16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17000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  <c r="N54" s="189">
        <f t="shared" si="1"/>
        <v>2950</v>
      </c>
    </row>
    <row r="55" spans="1:16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40000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  <c r="N55" s="191">
        <f t="shared" si="1"/>
        <v>1200</v>
      </c>
      <c r="O55" s="182">
        <f>AVERAGE(N55:N64)</f>
        <v>2355</v>
      </c>
      <c r="P55" s="182">
        <f>O55/10</f>
        <v>235.5</v>
      </c>
    </row>
    <row r="56" spans="1:16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40000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  <c r="N56" s="189">
        <f t="shared" si="1"/>
        <v>1450</v>
      </c>
    </row>
    <row r="57" spans="1:16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40000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  <c r="N57" s="189">
        <f t="shared" si="1"/>
        <v>1750</v>
      </c>
    </row>
    <row r="58" spans="1:16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40000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  <c r="N58" s="189">
        <f t="shared" si="1"/>
        <v>2050</v>
      </c>
    </row>
    <row r="59" spans="1:16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40000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  <c r="N59" s="189">
        <f t="shared" si="1"/>
        <v>2200</v>
      </c>
    </row>
    <row r="60" spans="1:16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40000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  <c r="N60" s="189">
        <f t="shared" si="1"/>
        <v>2500</v>
      </c>
    </row>
    <row r="61" spans="1:16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40000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  <c r="N61" s="189">
        <f t="shared" si="1"/>
        <v>2650</v>
      </c>
    </row>
    <row r="62" spans="1:16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40000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  <c r="N62" s="189">
        <f t="shared" si="1"/>
        <v>3000</v>
      </c>
    </row>
    <row r="63" spans="1:16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40000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  <c r="N63" s="189">
        <f t="shared" si="1"/>
        <v>3200</v>
      </c>
    </row>
    <row r="64" spans="1:16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40000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  <c r="N64" s="189">
        <f t="shared" si="1"/>
        <v>3550</v>
      </c>
    </row>
    <row r="65" spans="1:16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100000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  <c r="N65" s="191">
        <f t="shared" si="1"/>
        <v>1450</v>
      </c>
      <c r="O65" s="182">
        <f>AVERAGE(N65:N74)</f>
        <v>2830</v>
      </c>
      <c r="P65" s="182">
        <f>O65/10</f>
        <v>283</v>
      </c>
    </row>
    <row r="66" spans="1:16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100000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  <c r="N66" s="189">
        <f t="shared" si="1"/>
        <v>1750</v>
      </c>
    </row>
    <row r="67" spans="1:16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100000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  <c r="N67" s="189">
        <f t="shared" si="1"/>
        <v>2100</v>
      </c>
    </row>
    <row r="68" spans="1:16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100000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  <c r="N68" s="189">
        <f t="shared" si="1"/>
        <v>2450</v>
      </c>
    </row>
    <row r="69" spans="1:16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100000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  <c r="N69" s="189">
        <f t="shared" si="1"/>
        <v>2650</v>
      </c>
    </row>
    <row r="70" spans="1:16" s="180" customFormat="1" x14ac:dyDescent="0.15">
      <c r="A70" s="11">
        <f t="shared" ref="A70:A133" si="2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100000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  <c r="N70" s="189">
        <f t="shared" ref="N70:N133" si="3">J70*K70</f>
        <v>3000</v>
      </c>
    </row>
    <row r="71" spans="1:16" s="180" customFormat="1" x14ac:dyDescent="0.15">
      <c r="A71" s="11">
        <f t="shared" si="2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100000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  <c r="N71" s="189">
        <f t="shared" si="3"/>
        <v>3200</v>
      </c>
    </row>
    <row r="72" spans="1:16" s="180" customFormat="1" x14ac:dyDescent="0.15">
      <c r="A72" s="11">
        <f t="shared" si="2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100000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  <c r="N72" s="189">
        <f t="shared" si="3"/>
        <v>3600</v>
      </c>
    </row>
    <row r="73" spans="1:16" s="180" customFormat="1" x14ac:dyDescent="0.15">
      <c r="A73" s="11">
        <f t="shared" si="2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100000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  <c r="N73" s="189">
        <f t="shared" si="3"/>
        <v>3850</v>
      </c>
    </row>
    <row r="74" spans="1:16" s="180" customFormat="1" ht="17.25" thickBot="1" x14ac:dyDescent="0.2">
      <c r="A74" s="11">
        <f t="shared" si="2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100000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  <c r="N74" s="189">
        <f t="shared" si="3"/>
        <v>4250</v>
      </c>
    </row>
    <row r="75" spans="1:16" s="182" customFormat="1" x14ac:dyDescent="0.15">
      <c r="A75" s="18">
        <f t="shared" si="2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300000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  <c r="N75" s="191">
        <f t="shared" si="3"/>
        <v>1750</v>
      </c>
      <c r="O75" s="182">
        <f>AVERAGE(N75:N84)</f>
        <v>3395</v>
      </c>
      <c r="P75" s="182">
        <f>O75/10</f>
        <v>339.5</v>
      </c>
    </row>
    <row r="76" spans="1:16" s="180" customFormat="1" x14ac:dyDescent="0.15">
      <c r="A76" s="11">
        <f t="shared" si="2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300000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  <c r="N76" s="189">
        <f t="shared" si="3"/>
        <v>2100</v>
      </c>
    </row>
    <row r="77" spans="1:16" s="180" customFormat="1" x14ac:dyDescent="0.15">
      <c r="A77" s="11">
        <f t="shared" si="2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300000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  <c r="N77" s="189">
        <f t="shared" si="3"/>
        <v>2500</v>
      </c>
    </row>
    <row r="78" spans="1:16" s="180" customFormat="1" x14ac:dyDescent="0.15">
      <c r="A78" s="11">
        <f t="shared" si="2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300000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  <c r="N78" s="189">
        <f t="shared" si="3"/>
        <v>2950</v>
      </c>
    </row>
    <row r="79" spans="1:16" s="180" customFormat="1" x14ac:dyDescent="0.15">
      <c r="A79" s="11">
        <f t="shared" si="2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300000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  <c r="N79" s="189">
        <f t="shared" si="3"/>
        <v>3200</v>
      </c>
    </row>
    <row r="80" spans="1:16" s="180" customFormat="1" x14ac:dyDescent="0.15">
      <c r="A80" s="11">
        <f t="shared" si="2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300000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  <c r="N80" s="189">
        <f t="shared" si="3"/>
        <v>3600</v>
      </c>
    </row>
    <row r="81" spans="1:16" s="180" customFormat="1" x14ac:dyDescent="0.15">
      <c r="A81" s="11">
        <f t="shared" si="2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300000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  <c r="N81" s="189">
        <f t="shared" si="3"/>
        <v>3850</v>
      </c>
    </row>
    <row r="82" spans="1:16" s="180" customFormat="1" x14ac:dyDescent="0.15">
      <c r="A82" s="11">
        <f t="shared" si="2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300000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  <c r="N82" s="189">
        <f t="shared" si="3"/>
        <v>4300</v>
      </c>
    </row>
    <row r="83" spans="1:16" s="180" customFormat="1" x14ac:dyDescent="0.15">
      <c r="A83" s="11">
        <f t="shared" si="2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300000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  <c r="N83" s="189">
        <f t="shared" si="3"/>
        <v>4600</v>
      </c>
    </row>
    <row r="84" spans="1:16" s="180" customFormat="1" ht="17.25" thickBot="1" x14ac:dyDescent="0.2">
      <c r="A84" s="11">
        <f t="shared" si="2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300000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  <c r="N84" s="189">
        <f t="shared" si="3"/>
        <v>5100</v>
      </c>
    </row>
    <row r="85" spans="1:16" s="182" customFormat="1" x14ac:dyDescent="0.15">
      <c r="A85" s="18">
        <f t="shared" si="2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600000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  <c r="N85" s="191">
        <f t="shared" si="3"/>
        <v>2100</v>
      </c>
      <c r="O85" s="182">
        <f>AVERAGE(N85:N94)</f>
        <v>4065</v>
      </c>
      <c r="P85" s="182">
        <f>O85/10</f>
        <v>406.5</v>
      </c>
    </row>
    <row r="86" spans="1:16" s="180" customFormat="1" x14ac:dyDescent="0.15">
      <c r="A86" s="11">
        <f t="shared" si="2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600000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  <c r="N86" s="189">
        <f t="shared" si="3"/>
        <v>2500</v>
      </c>
    </row>
    <row r="87" spans="1:16" s="180" customFormat="1" x14ac:dyDescent="0.15">
      <c r="A87" s="11">
        <f t="shared" si="2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600000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  <c r="N87" s="189">
        <f t="shared" si="3"/>
        <v>3000</v>
      </c>
    </row>
    <row r="88" spans="1:16" s="180" customFormat="1" x14ac:dyDescent="0.15">
      <c r="A88" s="11">
        <f t="shared" si="2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600000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  <c r="N88" s="189">
        <f t="shared" si="3"/>
        <v>3550</v>
      </c>
    </row>
    <row r="89" spans="1:16" s="180" customFormat="1" x14ac:dyDescent="0.15">
      <c r="A89" s="11">
        <f t="shared" si="2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600000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  <c r="N89" s="189">
        <f t="shared" si="3"/>
        <v>3850</v>
      </c>
    </row>
    <row r="90" spans="1:16" s="180" customFormat="1" x14ac:dyDescent="0.15">
      <c r="A90" s="11">
        <f t="shared" si="2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600000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  <c r="N90" s="189">
        <f t="shared" si="3"/>
        <v>4300</v>
      </c>
    </row>
    <row r="91" spans="1:16" s="180" customFormat="1" x14ac:dyDescent="0.15">
      <c r="A91" s="11">
        <f t="shared" si="2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600000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  <c r="N91" s="189">
        <f t="shared" si="3"/>
        <v>4600</v>
      </c>
    </row>
    <row r="92" spans="1:16" s="180" customFormat="1" x14ac:dyDescent="0.15">
      <c r="A92" s="11">
        <f t="shared" si="2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600000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  <c r="N92" s="189">
        <f t="shared" si="3"/>
        <v>5150</v>
      </c>
    </row>
    <row r="93" spans="1:16" s="180" customFormat="1" x14ac:dyDescent="0.15">
      <c r="A93" s="11">
        <f t="shared" si="2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600000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  <c r="N93" s="189">
        <f t="shared" si="3"/>
        <v>5500</v>
      </c>
    </row>
    <row r="94" spans="1:16" s="180" customFormat="1" ht="17.25" thickBot="1" x14ac:dyDescent="0.2">
      <c r="A94" s="11">
        <f t="shared" si="2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600000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  <c r="N94" s="189">
        <f t="shared" si="3"/>
        <v>6100</v>
      </c>
    </row>
    <row r="95" spans="1:16" s="182" customFormat="1" x14ac:dyDescent="0.15">
      <c r="A95" s="18">
        <f t="shared" si="2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1200000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  <c r="N95" s="191">
        <f t="shared" si="3"/>
        <v>2500</v>
      </c>
      <c r="O95" s="182">
        <f>AVERAGE(N95:N104)</f>
        <v>4870</v>
      </c>
      <c r="P95" s="182">
        <f>O95/10</f>
        <v>487</v>
      </c>
    </row>
    <row r="96" spans="1:16" s="180" customFormat="1" x14ac:dyDescent="0.15">
      <c r="A96" s="11">
        <f t="shared" si="2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1200000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  <c r="N96" s="189">
        <f t="shared" si="3"/>
        <v>3000</v>
      </c>
    </row>
    <row r="97" spans="1:16" s="180" customFormat="1" x14ac:dyDescent="0.15">
      <c r="A97" s="11">
        <f t="shared" si="2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1200000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  <c r="N97" s="189">
        <f t="shared" si="3"/>
        <v>3600</v>
      </c>
    </row>
    <row r="98" spans="1:16" s="180" customFormat="1" x14ac:dyDescent="0.15">
      <c r="A98" s="11">
        <f t="shared" si="2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1200000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  <c r="N98" s="189">
        <f t="shared" si="3"/>
        <v>4250</v>
      </c>
    </row>
    <row r="99" spans="1:16" s="180" customFormat="1" x14ac:dyDescent="0.15">
      <c r="A99" s="11">
        <f t="shared" si="2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1200000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  <c r="N99" s="189">
        <f t="shared" si="3"/>
        <v>4600</v>
      </c>
    </row>
    <row r="100" spans="1:16" s="180" customFormat="1" x14ac:dyDescent="0.15">
      <c r="A100" s="11">
        <f t="shared" si="2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1200000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  <c r="N100" s="189">
        <f t="shared" si="3"/>
        <v>5150</v>
      </c>
    </row>
    <row r="101" spans="1:16" s="180" customFormat="1" x14ac:dyDescent="0.15">
      <c r="A101" s="11">
        <f t="shared" si="2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1200000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  <c r="N101" s="189">
        <f t="shared" si="3"/>
        <v>5500</v>
      </c>
    </row>
    <row r="102" spans="1:16" s="180" customFormat="1" x14ac:dyDescent="0.15">
      <c r="A102" s="11">
        <f t="shared" si="2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1200000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  <c r="N102" s="189">
        <f t="shared" si="3"/>
        <v>6200</v>
      </c>
    </row>
    <row r="103" spans="1:16" s="180" customFormat="1" x14ac:dyDescent="0.15">
      <c r="A103" s="11">
        <f t="shared" si="2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1200000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  <c r="N103" s="189">
        <f t="shared" si="3"/>
        <v>6600</v>
      </c>
    </row>
    <row r="104" spans="1:16" s="180" customFormat="1" ht="17.25" thickBot="1" x14ac:dyDescent="0.2">
      <c r="A104" s="11">
        <f t="shared" si="2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1200000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  <c r="N104" s="189">
        <f t="shared" si="3"/>
        <v>7300</v>
      </c>
    </row>
    <row r="105" spans="1:16" s="182" customFormat="1" x14ac:dyDescent="0.15">
      <c r="A105" s="18">
        <f t="shared" si="2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2800000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  <c r="N105" s="191">
        <f t="shared" si="3"/>
        <v>3000</v>
      </c>
      <c r="O105" s="182">
        <f>AVERAGE(N105:N114)</f>
        <v>5840</v>
      </c>
      <c r="P105" s="182">
        <f>O105/10</f>
        <v>584</v>
      </c>
    </row>
    <row r="106" spans="1:16" s="180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2800000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  <c r="N106" s="189">
        <f t="shared" si="3"/>
        <v>3600</v>
      </c>
    </row>
    <row r="107" spans="1:16" s="180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2800000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  <c r="N107" s="189">
        <f t="shared" si="3"/>
        <v>4300</v>
      </c>
    </row>
    <row r="108" spans="1:16" s="180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2800000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  <c r="N108" s="189">
        <f t="shared" si="3"/>
        <v>5100</v>
      </c>
    </row>
    <row r="109" spans="1:16" s="180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2800000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  <c r="N109" s="189">
        <f t="shared" si="3"/>
        <v>5500</v>
      </c>
    </row>
    <row r="110" spans="1:16" s="180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2800000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  <c r="N110" s="189">
        <f t="shared" si="3"/>
        <v>6200</v>
      </c>
    </row>
    <row r="111" spans="1:16" s="180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2800000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  <c r="N111" s="189">
        <f t="shared" si="3"/>
        <v>6600</v>
      </c>
    </row>
    <row r="112" spans="1:16" s="180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2800000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  <c r="N112" s="189">
        <f t="shared" si="3"/>
        <v>7450</v>
      </c>
    </row>
    <row r="113" spans="1:16" s="180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2800000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  <c r="N113" s="189">
        <f t="shared" si="3"/>
        <v>7900</v>
      </c>
    </row>
    <row r="114" spans="1:16" s="180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2800000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  <c r="N114" s="189">
        <f t="shared" si="3"/>
        <v>8750</v>
      </c>
    </row>
    <row r="115" spans="1:16" s="182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6000000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  <c r="N115" s="191">
        <f t="shared" si="3"/>
        <v>3600</v>
      </c>
      <c r="O115" s="182">
        <f>AVERAGE(N115:N124)</f>
        <v>7005</v>
      </c>
      <c r="P115" s="182">
        <f>O115/10</f>
        <v>700.5</v>
      </c>
    </row>
    <row r="116" spans="1:16" s="180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6000000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  <c r="N116" s="189">
        <f t="shared" si="3"/>
        <v>4300</v>
      </c>
    </row>
    <row r="117" spans="1:16" s="180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6000000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  <c r="N117" s="189">
        <f t="shared" si="3"/>
        <v>5150</v>
      </c>
    </row>
    <row r="118" spans="1:16" s="180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6000000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  <c r="N118" s="189">
        <f t="shared" si="3"/>
        <v>6100</v>
      </c>
    </row>
    <row r="119" spans="1:16" s="180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6000000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  <c r="N119" s="189">
        <f t="shared" si="3"/>
        <v>6600</v>
      </c>
    </row>
    <row r="120" spans="1:16" s="180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6000000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  <c r="N120" s="189">
        <f t="shared" si="3"/>
        <v>7450</v>
      </c>
    </row>
    <row r="121" spans="1:16" s="180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6000000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  <c r="N121" s="189">
        <f t="shared" si="3"/>
        <v>7900</v>
      </c>
    </row>
    <row r="122" spans="1:16" s="180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6000000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  <c r="N122" s="189">
        <f t="shared" si="3"/>
        <v>8950</v>
      </c>
    </row>
    <row r="123" spans="1:16" s="180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6000000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  <c r="N123" s="189">
        <f t="shared" si="3"/>
        <v>9500</v>
      </c>
    </row>
    <row r="124" spans="1:16" s="180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6000000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  <c r="N124" s="189">
        <f t="shared" si="3"/>
        <v>10500</v>
      </c>
    </row>
    <row r="125" spans="1:16" s="182" customFormat="1" x14ac:dyDescent="0.15">
      <c r="A125" s="18">
        <f t="shared" si="2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10000000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  <c r="N125" s="191">
        <f t="shared" si="3"/>
        <v>4300</v>
      </c>
      <c r="O125" s="182">
        <f>AVERAGE(N125:N134)</f>
        <v>8405</v>
      </c>
      <c r="P125" s="182">
        <f>O125/10</f>
        <v>840.5</v>
      </c>
    </row>
    <row r="126" spans="1:16" s="180" customFormat="1" x14ac:dyDescent="0.15">
      <c r="A126" s="11">
        <f t="shared" si="2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10000000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  <c r="N126" s="189">
        <f t="shared" si="3"/>
        <v>5150</v>
      </c>
    </row>
    <row r="127" spans="1:16" s="180" customFormat="1" x14ac:dyDescent="0.15">
      <c r="A127" s="11">
        <f t="shared" si="2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10000000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  <c r="N127" s="189">
        <f t="shared" si="3"/>
        <v>6200</v>
      </c>
    </row>
    <row r="128" spans="1:16" s="180" customFormat="1" x14ac:dyDescent="0.15">
      <c r="A128" s="11">
        <f t="shared" si="2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10000000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  <c r="N128" s="189">
        <f t="shared" si="3"/>
        <v>7300</v>
      </c>
    </row>
    <row r="129" spans="1:16" s="180" customFormat="1" x14ac:dyDescent="0.15">
      <c r="A129" s="11">
        <f t="shared" si="2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10000000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  <c r="N129" s="189">
        <f t="shared" si="3"/>
        <v>7900</v>
      </c>
    </row>
    <row r="130" spans="1:16" s="180" customFormat="1" x14ac:dyDescent="0.15">
      <c r="A130" s="11">
        <f t="shared" si="2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10000000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  <c r="N130" s="189">
        <f t="shared" si="3"/>
        <v>8950</v>
      </c>
    </row>
    <row r="131" spans="1:16" s="180" customFormat="1" x14ac:dyDescent="0.15">
      <c r="A131" s="11">
        <f t="shared" si="2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10000000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  <c r="N131" s="189">
        <f t="shared" si="3"/>
        <v>9500</v>
      </c>
    </row>
    <row r="132" spans="1:16" s="180" customFormat="1" x14ac:dyDescent="0.15">
      <c r="A132" s="11">
        <f t="shared" si="2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10000000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  <c r="N132" s="189">
        <f t="shared" si="3"/>
        <v>10750</v>
      </c>
    </row>
    <row r="133" spans="1:16" s="180" customFormat="1" x14ac:dyDescent="0.15">
      <c r="A133" s="11">
        <f t="shared" si="2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10000000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  <c r="N133" s="189">
        <f t="shared" si="3"/>
        <v>11400</v>
      </c>
    </row>
    <row r="134" spans="1:16" s="180" customFormat="1" ht="17.25" thickBot="1" x14ac:dyDescent="0.2">
      <c r="A134" s="11">
        <f t="shared" ref="A134:A197" si="4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10000000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  <c r="N134" s="189">
        <f t="shared" ref="N134:N197" si="5">J134*K134</f>
        <v>12600</v>
      </c>
    </row>
    <row r="135" spans="1:16" s="182" customFormat="1" x14ac:dyDescent="0.15">
      <c r="A135" s="18">
        <f t="shared" si="4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17000000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  <c r="N135" s="191">
        <f t="shared" si="5"/>
        <v>5150</v>
      </c>
      <c r="O135" s="182">
        <f>AVERAGE(N135:N144)</f>
        <v>10090</v>
      </c>
      <c r="P135" s="182">
        <f>O135/10</f>
        <v>1009</v>
      </c>
    </row>
    <row r="136" spans="1:16" s="180" customFormat="1" x14ac:dyDescent="0.15">
      <c r="A136" s="11">
        <f t="shared" si="4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17000000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  <c r="N136" s="189">
        <f t="shared" si="5"/>
        <v>6200</v>
      </c>
    </row>
    <row r="137" spans="1:16" s="180" customFormat="1" x14ac:dyDescent="0.15">
      <c r="A137" s="11">
        <f t="shared" si="4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17000000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  <c r="N137" s="189">
        <f t="shared" si="5"/>
        <v>7450</v>
      </c>
    </row>
    <row r="138" spans="1:16" s="180" customFormat="1" x14ac:dyDescent="0.15">
      <c r="A138" s="11">
        <f t="shared" si="4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17000000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  <c r="N138" s="189">
        <f t="shared" si="5"/>
        <v>8750</v>
      </c>
    </row>
    <row r="139" spans="1:16" s="180" customFormat="1" x14ac:dyDescent="0.15">
      <c r="A139" s="11">
        <f t="shared" si="4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17000000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  <c r="N139" s="189">
        <f t="shared" si="5"/>
        <v>9500</v>
      </c>
    </row>
    <row r="140" spans="1:16" s="180" customFormat="1" x14ac:dyDescent="0.15">
      <c r="A140" s="11">
        <f t="shared" si="4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17000000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  <c r="N140" s="189">
        <f t="shared" si="5"/>
        <v>10750</v>
      </c>
    </row>
    <row r="141" spans="1:16" s="180" customFormat="1" x14ac:dyDescent="0.15">
      <c r="A141" s="11">
        <f t="shared" si="4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17000000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  <c r="N141" s="189">
        <f t="shared" si="5"/>
        <v>11400</v>
      </c>
    </row>
    <row r="142" spans="1:16" s="180" customFormat="1" x14ac:dyDescent="0.15">
      <c r="A142" s="11">
        <f t="shared" si="4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17000000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  <c r="N142" s="189">
        <f t="shared" si="5"/>
        <v>12900</v>
      </c>
    </row>
    <row r="143" spans="1:16" s="180" customFormat="1" x14ac:dyDescent="0.15">
      <c r="A143" s="11">
        <f t="shared" si="4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17000000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  <c r="N143" s="189">
        <f t="shared" si="5"/>
        <v>13700</v>
      </c>
    </row>
    <row r="144" spans="1:16" s="180" customFormat="1" ht="17.25" thickBot="1" x14ac:dyDescent="0.2">
      <c r="A144" s="11">
        <f t="shared" si="4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17000000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  <c r="N144" s="189">
        <f t="shared" si="5"/>
        <v>15100</v>
      </c>
    </row>
    <row r="145" spans="1:16" s="182" customFormat="1" x14ac:dyDescent="0.15">
      <c r="A145" s="18">
        <f t="shared" si="4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37000000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  <c r="N145" s="191">
        <f t="shared" si="5"/>
        <v>6200</v>
      </c>
      <c r="O145" s="182">
        <f>AVERAGE(N145:N154)</f>
        <v>12115</v>
      </c>
      <c r="P145" s="182">
        <f>O145/10</f>
        <v>1211.5</v>
      </c>
    </row>
    <row r="146" spans="1:16" s="180" customFormat="1" x14ac:dyDescent="0.15">
      <c r="A146" s="11">
        <f t="shared" si="4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37000000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  <c r="N146" s="189">
        <f t="shared" si="5"/>
        <v>7450</v>
      </c>
    </row>
    <row r="147" spans="1:16" s="180" customFormat="1" x14ac:dyDescent="0.15">
      <c r="A147" s="11">
        <f t="shared" si="4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37000000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  <c r="N147" s="189">
        <f t="shared" si="5"/>
        <v>8950</v>
      </c>
    </row>
    <row r="148" spans="1:16" s="180" customFormat="1" x14ac:dyDescent="0.15">
      <c r="A148" s="11">
        <f t="shared" si="4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37000000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  <c r="N148" s="189">
        <f t="shared" si="5"/>
        <v>10500</v>
      </c>
    </row>
    <row r="149" spans="1:16" s="180" customFormat="1" x14ac:dyDescent="0.15">
      <c r="A149" s="11">
        <f t="shared" si="4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37000000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  <c r="N149" s="189">
        <f t="shared" si="5"/>
        <v>11400</v>
      </c>
    </row>
    <row r="150" spans="1:16" s="180" customFormat="1" x14ac:dyDescent="0.15">
      <c r="A150" s="11">
        <f t="shared" si="4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37000000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  <c r="N150" s="189">
        <f t="shared" si="5"/>
        <v>12900</v>
      </c>
    </row>
    <row r="151" spans="1:16" s="180" customFormat="1" x14ac:dyDescent="0.15">
      <c r="A151" s="11">
        <f t="shared" si="4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37000000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  <c r="N151" s="189">
        <f t="shared" si="5"/>
        <v>13700</v>
      </c>
    </row>
    <row r="152" spans="1:16" s="180" customFormat="1" x14ac:dyDescent="0.15">
      <c r="A152" s="11">
        <f t="shared" si="4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37000000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  <c r="N152" s="189">
        <f t="shared" si="5"/>
        <v>15500</v>
      </c>
    </row>
    <row r="153" spans="1:16" s="180" customFormat="1" x14ac:dyDescent="0.15">
      <c r="A153" s="11">
        <f t="shared" si="4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37000000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  <c r="N153" s="189">
        <f t="shared" si="5"/>
        <v>16450</v>
      </c>
    </row>
    <row r="154" spans="1:16" s="180" customFormat="1" ht="17.25" thickBot="1" x14ac:dyDescent="0.2">
      <c r="A154" s="11">
        <f t="shared" si="4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37000000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  <c r="N154" s="189">
        <f t="shared" si="5"/>
        <v>18100</v>
      </c>
    </row>
    <row r="155" spans="1:16" s="182" customFormat="1" x14ac:dyDescent="0.15">
      <c r="A155" s="18">
        <f t="shared" si="4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85000000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  <c r="N155" s="191">
        <f t="shared" si="5"/>
        <v>7450</v>
      </c>
      <c r="O155" s="182">
        <f>AVERAGE(N155:N164)</f>
        <v>14545</v>
      </c>
      <c r="P155" s="182">
        <f>O155/10</f>
        <v>1454.5</v>
      </c>
    </row>
    <row r="156" spans="1:16" s="180" customFormat="1" x14ac:dyDescent="0.15">
      <c r="A156" s="11">
        <f t="shared" si="4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85000000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  <c r="N156" s="189">
        <f t="shared" si="5"/>
        <v>8950</v>
      </c>
    </row>
    <row r="157" spans="1:16" s="180" customFormat="1" x14ac:dyDescent="0.15">
      <c r="A157" s="11">
        <f t="shared" si="4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85000000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  <c r="N157" s="189">
        <f t="shared" si="5"/>
        <v>10750</v>
      </c>
    </row>
    <row r="158" spans="1:16" s="180" customFormat="1" x14ac:dyDescent="0.15">
      <c r="A158" s="11">
        <f t="shared" si="4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85000000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  <c r="N158" s="189">
        <f t="shared" si="5"/>
        <v>12600</v>
      </c>
    </row>
    <row r="159" spans="1:16" s="180" customFormat="1" x14ac:dyDescent="0.15">
      <c r="A159" s="11">
        <f t="shared" si="4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85000000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  <c r="N159" s="189">
        <f t="shared" si="5"/>
        <v>13700</v>
      </c>
    </row>
    <row r="160" spans="1:16" s="180" customFormat="1" x14ac:dyDescent="0.15">
      <c r="A160" s="11">
        <f t="shared" si="4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85000000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  <c r="N160" s="189">
        <f t="shared" si="5"/>
        <v>15500</v>
      </c>
    </row>
    <row r="161" spans="1:16" s="180" customFormat="1" x14ac:dyDescent="0.15">
      <c r="A161" s="11">
        <f t="shared" si="4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85000000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  <c r="N161" s="189">
        <f t="shared" si="5"/>
        <v>16450</v>
      </c>
    </row>
    <row r="162" spans="1:16" s="180" customFormat="1" x14ac:dyDescent="0.15">
      <c r="A162" s="11">
        <f t="shared" si="4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85000000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  <c r="N162" s="189">
        <f t="shared" si="5"/>
        <v>18600</v>
      </c>
    </row>
    <row r="163" spans="1:16" s="180" customFormat="1" x14ac:dyDescent="0.15">
      <c r="A163" s="11">
        <f t="shared" si="4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85000000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  <c r="N163" s="189">
        <f t="shared" si="5"/>
        <v>19750</v>
      </c>
    </row>
    <row r="164" spans="1:16" s="180" customFormat="1" ht="17.25" thickBot="1" x14ac:dyDescent="0.2">
      <c r="A164" s="11">
        <f t="shared" si="4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85000000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  <c r="N164" s="189">
        <f t="shared" si="5"/>
        <v>21700</v>
      </c>
    </row>
    <row r="165" spans="1:16" s="182" customFormat="1" x14ac:dyDescent="0.15">
      <c r="A165" s="18">
        <f t="shared" si="4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345433600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  <c r="N165" s="191">
        <f t="shared" si="5"/>
        <v>8950</v>
      </c>
      <c r="O165" s="182">
        <f>AVERAGE(N165:N174)</f>
        <v>17455</v>
      </c>
      <c r="P165" s="182">
        <f>O165/10</f>
        <v>1745.5</v>
      </c>
    </row>
    <row r="166" spans="1:16" s="180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345433600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  <c r="N166" s="189">
        <f t="shared" si="5"/>
        <v>10750</v>
      </c>
    </row>
    <row r="167" spans="1:16" s="180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345433600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  <c r="N167" s="189">
        <f t="shared" si="5"/>
        <v>12900</v>
      </c>
    </row>
    <row r="168" spans="1:16" s="180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345433600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  <c r="N168" s="189">
        <f t="shared" si="5"/>
        <v>15100</v>
      </c>
    </row>
    <row r="169" spans="1:16" s="180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345433600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  <c r="N169" s="189">
        <f t="shared" si="5"/>
        <v>16450</v>
      </c>
    </row>
    <row r="170" spans="1:16" s="180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345433600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  <c r="N170" s="189">
        <f t="shared" si="5"/>
        <v>18600</v>
      </c>
    </row>
    <row r="171" spans="1:16" s="180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345433600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  <c r="N171" s="189">
        <f t="shared" si="5"/>
        <v>19750</v>
      </c>
    </row>
    <row r="172" spans="1:16" s="180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345433600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  <c r="N172" s="189">
        <f t="shared" si="5"/>
        <v>22300</v>
      </c>
    </row>
    <row r="173" spans="1:16" s="180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345433600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  <c r="N173" s="189">
        <f t="shared" si="5"/>
        <v>23700</v>
      </c>
    </row>
    <row r="174" spans="1:16" s="180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345433600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  <c r="N174" s="189">
        <f t="shared" si="5"/>
        <v>26050</v>
      </c>
    </row>
    <row r="175" spans="1:16" s="182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629433600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  <c r="N175" s="191">
        <f t="shared" si="5"/>
        <v>10750</v>
      </c>
      <c r="O175" s="182">
        <f>AVERAGE(N175:N184)</f>
        <v>20945</v>
      </c>
      <c r="P175" s="182">
        <f>O175/10</f>
        <v>2094.5</v>
      </c>
    </row>
    <row r="176" spans="1:16" s="180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629433600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  <c r="N176" s="189">
        <f t="shared" si="5"/>
        <v>12900</v>
      </c>
    </row>
    <row r="177" spans="1:16" s="180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629433600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  <c r="N177" s="189">
        <f t="shared" si="5"/>
        <v>15500</v>
      </c>
    </row>
    <row r="178" spans="1:16" s="180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629433600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  <c r="N178" s="189">
        <f t="shared" si="5"/>
        <v>18100</v>
      </c>
    </row>
    <row r="179" spans="1:16" s="180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629433600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  <c r="N179" s="189">
        <f t="shared" si="5"/>
        <v>19750</v>
      </c>
    </row>
    <row r="180" spans="1:16" s="180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629433600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  <c r="N180" s="189">
        <f t="shared" si="5"/>
        <v>22300</v>
      </c>
    </row>
    <row r="181" spans="1:16" s="180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629433600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  <c r="N181" s="189">
        <f t="shared" si="5"/>
        <v>23700</v>
      </c>
    </row>
    <row r="182" spans="1:16" s="180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629433600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  <c r="N182" s="189">
        <f t="shared" si="5"/>
        <v>26750</v>
      </c>
    </row>
    <row r="183" spans="1:16" s="180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629433600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  <c r="N183" s="189">
        <f t="shared" si="5"/>
        <v>28450</v>
      </c>
    </row>
    <row r="184" spans="1:16" s="180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629433600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  <c r="N184" s="189">
        <f t="shared" si="5"/>
        <v>31250</v>
      </c>
    </row>
    <row r="185" spans="1:16" s="182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1077433600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  <c r="N185" s="191">
        <f t="shared" si="5"/>
        <v>12900</v>
      </c>
      <c r="O185" s="182">
        <f>AVERAGE(N185:N194)</f>
        <v>25135</v>
      </c>
      <c r="P185" s="182">
        <f>O185/10</f>
        <v>2513.5</v>
      </c>
    </row>
    <row r="186" spans="1:16" s="180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1077433600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  <c r="N186" s="189">
        <f t="shared" si="5"/>
        <v>15500</v>
      </c>
    </row>
    <row r="187" spans="1:16" s="180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1077433600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  <c r="N187" s="189">
        <f t="shared" si="5"/>
        <v>18600</v>
      </c>
    </row>
    <row r="188" spans="1:16" s="180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1077433600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  <c r="N188" s="189">
        <f t="shared" si="5"/>
        <v>21700</v>
      </c>
    </row>
    <row r="189" spans="1:16" s="180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1077433600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  <c r="N189" s="189">
        <f t="shared" si="5"/>
        <v>23700</v>
      </c>
    </row>
    <row r="190" spans="1:16" s="180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1077433600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  <c r="N190" s="189">
        <f t="shared" si="5"/>
        <v>26750</v>
      </c>
    </row>
    <row r="191" spans="1:16" s="180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1077433600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  <c r="N191" s="189">
        <f t="shared" si="5"/>
        <v>28450</v>
      </c>
    </row>
    <row r="192" spans="1:16" s="180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1077433600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  <c r="N192" s="189">
        <f t="shared" si="5"/>
        <v>32100</v>
      </c>
    </row>
    <row r="193" spans="1:16" s="180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1077433600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  <c r="N193" s="189">
        <f t="shared" si="5"/>
        <v>34150</v>
      </c>
    </row>
    <row r="194" spans="1:16" s="180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1077433600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  <c r="N194" s="189">
        <f t="shared" si="5"/>
        <v>37500</v>
      </c>
    </row>
    <row r="195" spans="1:16" s="182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1795833600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  <c r="N195" s="191">
        <f t="shared" si="5"/>
        <v>15500</v>
      </c>
      <c r="O195" s="182">
        <f>AVERAGE(N195:N204)</f>
        <v>30165</v>
      </c>
      <c r="P195" s="182">
        <f>O195/10</f>
        <v>3016.5</v>
      </c>
    </row>
    <row r="196" spans="1:16" s="180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1795833600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  <c r="N196" s="189">
        <f t="shared" si="5"/>
        <v>18600</v>
      </c>
    </row>
    <row r="197" spans="1:16" s="180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1795833600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  <c r="N197" s="189">
        <f t="shared" si="5"/>
        <v>22300</v>
      </c>
    </row>
    <row r="198" spans="1:16" s="180" customFormat="1" x14ac:dyDescent="0.15">
      <c r="A198" s="11">
        <f t="shared" ref="A198:A204" si="6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1795833600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  <c r="N198" s="189">
        <f t="shared" ref="N198:N204" si="7">J198*K198</f>
        <v>26050</v>
      </c>
    </row>
    <row r="199" spans="1:16" s="180" customFormat="1" x14ac:dyDescent="0.15">
      <c r="A199" s="11">
        <f t="shared" si="6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1795833600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  <c r="N199" s="189">
        <f t="shared" si="7"/>
        <v>28450</v>
      </c>
    </row>
    <row r="200" spans="1:16" s="180" customFormat="1" x14ac:dyDescent="0.15">
      <c r="A200" s="11">
        <f t="shared" si="6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1795833600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  <c r="N200" s="189">
        <f t="shared" si="7"/>
        <v>32100</v>
      </c>
    </row>
    <row r="201" spans="1:16" s="180" customFormat="1" x14ac:dyDescent="0.15">
      <c r="A201" s="11">
        <f t="shared" si="6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1795833600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  <c r="N201" s="189">
        <f t="shared" si="7"/>
        <v>34150</v>
      </c>
    </row>
    <row r="202" spans="1:16" s="180" customFormat="1" x14ac:dyDescent="0.15">
      <c r="A202" s="11">
        <f t="shared" si="6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1795833600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  <c r="N202" s="189">
        <f t="shared" si="7"/>
        <v>38500</v>
      </c>
    </row>
    <row r="203" spans="1:16" s="180" customFormat="1" x14ac:dyDescent="0.15">
      <c r="A203" s="11">
        <f t="shared" si="6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1795833600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  <c r="N203" s="189">
        <f t="shared" si="7"/>
        <v>41000</v>
      </c>
    </row>
    <row r="204" spans="1:16" s="180" customFormat="1" ht="17.25" thickBot="1" x14ac:dyDescent="0.2">
      <c r="A204" s="11">
        <f t="shared" si="6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1795833600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  <c r="N204" s="189">
        <f t="shared" si="7"/>
        <v>45000</v>
      </c>
    </row>
    <row r="205" spans="1:16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  <c r="N205" s="191"/>
    </row>
    <row r="206" spans="1:16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  <c r="N206" s="189"/>
    </row>
    <row r="207" spans="1:16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  <c r="N207" s="189"/>
    </row>
    <row r="208" spans="1:16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  <c r="N208" s="189"/>
    </row>
    <row r="209" spans="1:14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  <c r="N209" s="189"/>
    </row>
    <row r="210" spans="1:14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  <c r="N210" s="189"/>
    </row>
    <row r="211" spans="1:14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  <c r="N211" s="189"/>
    </row>
    <row r="212" spans="1:14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  <c r="N212" s="189"/>
    </row>
    <row r="213" spans="1:14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  <c r="N213" s="189"/>
    </row>
    <row r="214" spans="1:14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  <c r="N214" s="189"/>
    </row>
    <row r="215" spans="1:14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  <c r="N215" s="189"/>
    </row>
    <row r="216" spans="1:14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  <c r="N216" s="189"/>
    </row>
    <row r="217" spans="1:14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  <c r="N217" s="189"/>
    </row>
    <row r="218" spans="1:14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  <c r="N218" s="189"/>
    </row>
    <row r="219" spans="1:14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  <c r="N219" s="189"/>
    </row>
    <row r="220" spans="1:14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  <c r="N220" s="189"/>
    </row>
    <row r="221" spans="1:14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  <c r="N221" s="189"/>
    </row>
    <row r="222" spans="1:14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  <c r="N222" s="189"/>
    </row>
    <row r="223" spans="1:14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  <c r="N223" s="189"/>
    </row>
    <row r="224" spans="1:14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  <c r="N224" s="189"/>
    </row>
    <row r="225" spans="1:14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  <c r="N225" s="189"/>
    </row>
    <row r="226" spans="1:14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  <c r="N226" s="189"/>
    </row>
    <row r="227" spans="1:14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  <c r="N227" s="189"/>
    </row>
    <row r="228" spans="1:14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  <c r="N228" s="189"/>
    </row>
    <row r="229" spans="1:14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  <c r="N229" s="189"/>
    </row>
    <row r="230" spans="1:14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  <c r="N230" s="189"/>
    </row>
    <row r="231" spans="1:14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  <c r="N231" s="189"/>
    </row>
    <row r="232" spans="1:14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  <c r="N232" s="189"/>
    </row>
    <row r="233" spans="1:14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  <c r="N233" s="189"/>
    </row>
    <row r="234" spans="1:14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  <c r="N234" s="189"/>
    </row>
    <row r="235" spans="1:14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  <c r="N235" s="189"/>
    </row>
    <row r="236" spans="1:14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  <c r="N236" s="189"/>
    </row>
    <row r="237" spans="1:14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  <c r="N237" s="189"/>
    </row>
    <row r="238" spans="1:14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  <c r="N238" s="189"/>
    </row>
    <row r="239" spans="1:14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  <c r="N239" s="189"/>
    </row>
    <row r="240" spans="1:14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  <c r="N240" s="189"/>
    </row>
    <row r="241" spans="1:14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  <c r="N241" s="189"/>
    </row>
    <row r="242" spans="1:14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  <c r="N242" s="189"/>
    </row>
    <row r="243" spans="1:14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  <c r="N243" s="189"/>
    </row>
    <row r="244" spans="1:14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  <c r="N244" s="189"/>
    </row>
    <row r="245" spans="1:14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  <c r="N245" s="189"/>
    </row>
    <row r="246" spans="1:14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  <c r="N246" s="189"/>
    </row>
    <row r="247" spans="1:14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  <c r="N247" s="189"/>
    </row>
    <row r="248" spans="1:14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  <c r="N248" s="189"/>
    </row>
    <row r="249" spans="1:14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  <c r="N249" s="189"/>
    </row>
    <row r="250" spans="1:14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  <c r="N250" s="189"/>
    </row>
    <row r="251" spans="1:14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  <c r="N251" s="189"/>
    </row>
    <row r="252" spans="1:14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  <c r="N252" s="189"/>
    </row>
    <row r="253" spans="1:14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  <c r="N253" s="189"/>
    </row>
    <row r="254" spans="1:14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  <c r="N254" s="189"/>
    </row>
    <row r="255" spans="1:14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  <c r="N255" s="189"/>
    </row>
    <row r="256" spans="1:14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  <c r="N256" s="189"/>
    </row>
    <row r="257" spans="1:14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  <c r="N257" s="189"/>
    </row>
    <row r="258" spans="1:14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  <c r="N258" s="189"/>
    </row>
    <row r="259" spans="1:14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  <c r="N259" s="189"/>
    </row>
    <row r="260" spans="1:14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  <c r="N260" s="189"/>
    </row>
    <row r="261" spans="1:14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  <c r="N261" s="189"/>
    </row>
    <row r="262" spans="1:14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  <c r="N262" s="189"/>
    </row>
    <row r="263" spans="1:14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  <c r="N263" s="189"/>
    </row>
    <row r="264" spans="1:14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  <c r="N264" s="189"/>
    </row>
    <row r="265" spans="1:14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  <c r="N265" s="189"/>
    </row>
    <row r="266" spans="1:14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  <c r="N266" s="189"/>
    </row>
    <row r="267" spans="1:14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  <c r="N267" s="189"/>
    </row>
    <row r="268" spans="1:14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  <c r="N268" s="189"/>
    </row>
    <row r="269" spans="1:14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  <c r="N269" s="189"/>
    </row>
    <row r="270" spans="1:14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  <c r="N270" s="189"/>
    </row>
    <row r="271" spans="1:14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  <c r="N271" s="189"/>
    </row>
    <row r="272" spans="1:14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  <c r="N272" s="189"/>
    </row>
    <row r="273" spans="1:14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  <c r="N273" s="189"/>
    </row>
    <row r="274" spans="1:14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  <c r="N274" s="189"/>
    </row>
    <row r="275" spans="1:14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  <c r="N275" s="189"/>
    </row>
    <row r="276" spans="1:14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  <c r="N276" s="189"/>
    </row>
    <row r="277" spans="1:14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  <c r="N277" s="189"/>
    </row>
    <row r="278" spans="1:14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  <c r="N278" s="189"/>
    </row>
    <row r="279" spans="1:14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  <c r="N279" s="189"/>
    </row>
    <row r="280" spans="1:14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  <c r="N280" s="189"/>
    </row>
    <row r="281" spans="1:14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  <c r="N281" s="189"/>
    </row>
    <row r="282" spans="1:14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  <c r="N282" s="189"/>
    </row>
    <row r="283" spans="1:14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  <c r="N283" s="189"/>
    </row>
    <row r="284" spans="1:14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  <c r="N284" s="189"/>
    </row>
    <row r="285" spans="1:14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  <c r="N285" s="189"/>
    </row>
    <row r="286" spans="1:14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  <c r="N286" s="189"/>
    </row>
    <row r="287" spans="1:14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  <c r="N287" s="189"/>
    </row>
    <row r="288" spans="1:14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  <c r="N288" s="189"/>
    </row>
    <row r="289" spans="1:14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  <c r="N289" s="189"/>
    </row>
    <row r="290" spans="1:14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  <c r="N290" s="189"/>
    </row>
    <row r="291" spans="1:14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  <c r="N291" s="189"/>
    </row>
    <row r="292" spans="1:14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  <c r="N292" s="189"/>
    </row>
    <row r="293" spans="1:14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  <c r="N293" s="189"/>
    </row>
    <row r="294" spans="1:14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  <c r="N294" s="189"/>
    </row>
    <row r="295" spans="1:14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  <c r="N295" s="189"/>
    </row>
    <row r="296" spans="1:14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  <c r="N296" s="189"/>
    </row>
    <row r="297" spans="1:14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  <c r="N297" s="189"/>
    </row>
    <row r="298" spans="1:14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  <c r="N298" s="189"/>
    </row>
    <row r="299" spans="1:14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  <c r="N299" s="189"/>
    </row>
    <row r="300" spans="1:14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  <c r="N300" s="189"/>
    </row>
    <row r="301" spans="1:14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  <c r="N301" s="189"/>
    </row>
    <row r="302" spans="1:14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  <c r="N302" s="189"/>
    </row>
    <row r="303" spans="1:14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  <c r="N303" s="189"/>
    </row>
    <row r="304" spans="1:14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  <c r="N304" s="189"/>
    </row>
    <row r="305" spans="1:14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  <c r="N305" s="189"/>
    </row>
    <row r="306" spans="1:14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  <c r="N306" s="189"/>
    </row>
    <row r="307" spans="1:14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  <c r="N307" s="189"/>
    </row>
    <row r="308" spans="1:14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  <c r="N308" s="189"/>
    </row>
    <row r="309" spans="1:14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  <c r="N309" s="189"/>
    </row>
    <row r="310" spans="1:14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  <c r="N310" s="189"/>
    </row>
    <row r="311" spans="1:14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  <c r="N311" s="189"/>
    </row>
    <row r="312" spans="1:14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  <c r="N312" s="189"/>
    </row>
    <row r="313" spans="1:14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  <c r="N313" s="189"/>
    </row>
    <row r="314" spans="1:14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  <c r="N314" s="189"/>
    </row>
    <row r="315" spans="1:14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  <c r="N315" s="189"/>
    </row>
    <row r="316" spans="1:14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  <c r="N316" s="189"/>
    </row>
    <row r="317" spans="1:14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  <c r="N317" s="189"/>
    </row>
    <row r="318" spans="1:14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  <c r="N318" s="189"/>
    </row>
    <row r="319" spans="1:14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  <c r="N319" s="189"/>
    </row>
    <row r="320" spans="1:14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  <c r="N320" s="189"/>
    </row>
    <row r="321" spans="1:14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  <c r="N321" s="189"/>
    </row>
    <row r="322" spans="1:14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  <c r="N322" s="189"/>
    </row>
    <row r="323" spans="1:14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  <c r="N323" s="189"/>
    </row>
    <row r="324" spans="1:14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  <c r="N324" s="189"/>
    </row>
    <row r="325" spans="1:14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  <c r="N325" s="189"/>
    </row>
    <row r="326" spans="1:14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  <c r="N326" s="189"/>
    </row>
    <row r="327" spans="1:14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  <c r="N327" s="189"/>
    </row>
    <row r="328" spans="1:14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  <c r="N328" s="189"/>
    </row>
    <row r="329" spans="1:14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  <c r="N329" s="189"/>
    </row>
    <row r="330" spans="1:14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  <c r="N330" s="189"/>
    </row>
    <row r="331" spans="1:14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  <c r="N331" s="189"/>
    </row>
    <row r="332" spans="1:14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  <c r="N332" s="189"/>
    </row>
    <row r="333" spans="1:14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  <c r="N333" s="189"/>
    </row>
    <row r="334" spans="1:14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  <c r="N334" s="189"/>
    </row>
    <row r="335" spans="1:14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  <c r="N335" s="189"/>
    </row>
    <row r="336" spans="1:14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  <c r="N336" s="189"/>
    </row>
    <row r="337" spans="1:14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  <c r="N337" s="189"/>
    </row>
    <row r="338" spans="1:14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  <c r="N338" s="189"/>
    </row>
    <row r="339" spans="1:14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  <c r="N339" s="189"/>
    </row>
    <row r="340" spans="1:14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  <c r="N340" s="189"/>
    </row>
    <row r="341" spans="1:14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  <c r="N341" s="189"/>
    </row>
    <row r="342" spans="1:14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  <c r="N342" s="189"/>
    </row>
    <row r="343" spans="1:14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  <c r="N343" s="189"/>
    </row>
    <row r="344" spans="1:14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  <c r="N344" s="189"/>
    </row>
    <row r="345" spans="1:14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  <c r="N345" s="189"/>
    </row>
    <row r="346" spans="1:14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  <c r="N346" s="189"/>
    </row>
    <row r="347" spans="1:14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  <c r="N347" s="189"/>
    </row>
    <row r="348" spans="1:14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  <c r="N348" s="189"/>
    </row>
    <row r="349" spans="1:14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  <c r="N349" s="189"/>
    </row>
    <row r="350" spans="1:14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  <c r="N350" s="189"/>
    </row>
    <row r="351" spans="1:14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  <c r="N351" s="189"/>
    </row>
    <row r="352" spans="1:14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  <c r="N352" s="189"/>
    </row>
    <row r="353" spans="1:14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  <c r="N353" s="189"/>
    </row>
    <row r="354" spans="1:14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  <c r="N354" s="189"/>
    </row>
    <row r="355" spans="1:14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  <c r="N355" s="189"/>
    </row>
    <row r="356" spans="1:14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  <c r="N356" s="189"/>
    </row>
    <row r="357" spans="1:14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  <c r="N357" s="189"/>
    </row>
    <row r="358" spans="1:14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  <c r="N358" s="189"/>
    </row>
    <row r="359" spans="1:14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  <c r="N359" s="189"/>
    </row>
    <row r="360" spans="1:14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  <c r="N360" s="189"/>
    </row>
    <row r="361" spans="1:14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  <c r="N361" s="189"/>
    </row>
    <row r="362" spans="1:14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  <c r="N362" s="189"/>
    </row>
    <row r="363" spans="1:14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  <c r="N363" s="189"/>
    </row>
    <row r="364" spans="1:14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  <c r="N364" s="189"/>
    </row>
    <row r="365" spans="1:14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  <c r="N365" s="189"/>
    </row>
    <row r="366" spans="1:14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  <c r="N366" s="189"/>
    </row>
    <row r="367" spans="1:14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  <c r="N367" s="189"/>
    </row>
    <row r="368" spans="1:14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  <c r="N368" s="189"/>
    </row>
    <row r="369" spans="1:14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  <c r="N369" s="189"/>
    </row>
    <row r="370" spans="1:14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  <c r="N370" s="189"/>
    </row>
    <row r="371" spans="1:14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  <c r="N371" s="189"/>
    </row>
    <row r="372" spans="1:14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  <c r="N372" s="189"/>
    </row>
    <row r="373" spans="1:14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  <c r="N373" s="189"/>
    </row>
    <row r="374" spans="1:14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  <c r="N374" s="189"/>
    </row>
    <row r="375" spans="1:14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  <c r="N375" s="189"/>
    </row>
    <row r="376" spans="1:14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  <c r="N376" s="189"/>
    </row>
    <row r="377" spans="1:14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  <c r="N377" s="189"/>
    </row>
    <row r="378" spans="1:14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  <c r="N378" s="189"/>
    </row>
    <row r="379" spans="1:14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  <c r="N379" s="189"/>
    </row>
    <row r="380" spans="1:14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  <c r="N380" s="189"/>
    </row>
    <row r="381" spans="1:14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  <c r="N381" s="189"/>
    </row>
    <row r="382" spans="1:14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  <c r="N382" s="189"/>
    </row>
    <row r="383" spans="1:14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  <c r="N383" s="189"/>
    </row>
    <row r="384" spans="1:14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  <c r="N384" s="189"/>
    </row>
    <row r="385" spans="1:14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  <c r="N385" s="189"/>
    </row>
    <row r="386" spans="1:14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  <c r="N386" s="189"/>
    </row>
    <row r="387" spans="1:14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  <c r="N387" s="189"/>
    </row>
    <row r="388" spans="1:14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  <c r="N388" s="189"/>
    </row>
    <row r="389" spans="1:14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  <c r="N389" s="189"/>
    </row>
    <row r="390" spans="1:14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  <c r="N390" s="189"/>
    </row>
    <row r="391" spans="1:14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  <c r="N391" s="189"/>
    </row>
    <row r="392" spans="1:14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  <c r="N392" s="189"/>
    </row>
    <row r="393" spans="1:14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  <c r="N393" s="189"/>
    </row>
    <row r="394" spans="1:14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  <c r="N394" s="189"/>
    </row>
    <row r="395" spans="1:14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  <c r="N395" s="189"/>
    </row>
    <row r="396" spans="1:14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  <c r="N396" s="189"/>
    </row>
    <row r="397" spans="1:14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  <c r="N397" s="189"/>
    </row>
    <row r="398" spans="1:14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  <c r="N398" s="189"/>
    </row>
    <row r="399" spans="1:14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  <c r="N399" s="189"/>
    </row>
    <row r="400" spans="1:14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  <c r="N400" s="189"/>
    </row>
    <row r="401" spans="1:14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  <c r="N401" s="189"/>
    </row>
    <row r="402" spans="1:14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  <c r="N402" s="189"/>
    </row>
    <row r="403" spans="1:14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  <c r="N403" s="189"/>
    </row>
    <row r="404" spans="1:14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  <c r="N404" s="189"/>
    </row>
    <row r="405" spans="1:14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  <c r="N405" s="189"/>
    </row>
    <row r="406" spans="1:14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  <c r="N406" s="189"/>
    </row>
    <row r="407" spans="1:14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  <c r="N407" s="189"/>
    </row>
    <row r="408" spans="1:14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  <c r="N408" s="189"/>
    </row>
    <row r="409" spans="1:14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  <c r="N409" s="189"/>
    </row>
    <row r="410" spans="1:14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  <c r="N410" s="189"/>
    </row>
    <row r="411" spans="1:14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  <c r="N411" s="189"/>
    </row>
    <row r="412" spans="1:14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  <c r="N412" s="189"/>
    </row>
    <row r="413" spans="1:14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  <c r="N413" s="189"/>
    </row>
    <row r="414" spans="1:14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  <c r="N414" s="189"/>
    </row>
    <row r="415" spans="1:14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  <c r="N415" s="189"/>
    </row>
    <row r="416" spans="1:14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  <c r="N416" s="189"/>
    </row>
    <row r="417" spans="1:14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  <c r="N417" s="189"/>
    </row>
    <row r="418" spans="1:14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  <c r="N418" s="189"/>
    </row>
    <row r="419" spans="1:14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  <c r="N419" s="189"/>
    </row>
    <row r="420" spans="1:14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  <c r="N420" s="189"/>
    </row>
    <row r="421" spans="1:14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  <c r="N421" s="189"/>
    </row>
    <row r="422" spans="1:14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  <c r="N422" s="189"/>
    </row>
    <row r="423" spans="1:14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  <c r="N423" s="189"/>
    </row>
    <row r="424" spans="1:14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  <c r="N424" s="189"/>
    </row>
    <row r="425" spans="1:14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  <c r="N425" s="189"/>
    </row>
    <row r="426" spans="1:14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  <c r="N426" s="189"/>
    </row>
    <row r="427" spans="1:14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  <c r="N427" s="189"/>
    </row>
    <row r="428" spans="1:14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  <c r="N428" s="189"/>
    </row>
    <row r="429" spans="1:14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  <c r="N429" s="189"/>
    </row>
    <row r="430" spans="1:14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  <c r="N430" s="189"/>
    </row>
    <row r="431" spans="1:14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  <c r="N431" s="189"/>
    </row>
    <row r="432" spans="1:14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  <c r="N432" s="189"/>
    </row>
    <row r="433" spans="1:14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  <c r="N433" s="189"/>
    </row>
    <row r="434" spans="1:14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  <c r="N434" s="189"/>
    </row>
    <row r="435" spans="1:14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  <c r="N435" s="189"/>
    </row>
    <row r="436" spans="1:14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  <c r="N436" s="189"/>
    </row>
    <row r="437" spans="1:14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  <c r="N437" s="189"/>
    </row>
    <row r="438" spans="1:14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  <c r="N438" s="189"/>
    </row>
    <row r="439" spans="1:14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  <c r="N439" s="189"/>
    </row>
    <row r="440" spans="1:14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  <c r="N440" s="189"/>
    </row>
    <row r="441" spans="1:14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  <c r="N441" s="189"/>
    </row>
    <row r="442" spans="1:14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  <c r="N442" s="189"/>
    </row>
    <row r="443" spans="1:14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  <c r="N443" s="189"/>
    </row>
    <row r="444" spans="1:14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  <c r="N444" s="189"/>
    </row>
    <row r="445" spans="1:14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  <c r="N445" s="189"/>
    </row>
    <row r="446" spans="1:14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  <c r="N446" s="189"/>
    </row>
    <row r="447" spans="1:14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  <c r="N447" s="189"/>
    </row>
    <row r="448" spans="1:14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  <c r="N448" s="189"/>
    </row>
    <row r="449" spans="1:14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  <c r="N449" s="189"/>
    </row>
    <row r="450" spans="1:14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  <c r="N450" s="189"/>
    </row>
    <row r="451" spans="1:14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  <c r="N451" s="189"/>
    </row>
    <row r="452" spans="1:14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  <c r="N452" s="189"/>
    </row>
    <row r="453" spans="1:14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  <c r="N453" s="189"/>
    </row>
    <row r="454" spans="1:14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  <c r="N454" s="189"/>
    </row>
    <row r="455" spans="1:14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  <c r="N455" s="189"/>
    </row>
    <row r="456" spans="1:14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  <c r="N456" s="189"/>
    </row>
    <row r="457" spans="1:14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  <c r="N457" s="189"/>
    </row>
    <row r="458" spans="1:14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  <c r="N458" s="189"/>
    </row>
    <row r="459" spans="1:14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  <c r="N459" s="189"/>
    </row>
    <row r="460" spans="1:14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  <c r="N460" s="189"/>
    </row>
    <row r="461" spans="1:14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  <c r="N461" s="189"/>
    </row>
    <row r="462" spans="1:14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  <c r="N462" s="189"/>
    </row>
    <row r="463" spans="1:14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  <c r="N463" s="189"/>
    </row>
    <row r="464" spans="1:14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  <c r="N464" s="189"/>
    </row>
    <row r="465" spans="1:14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  <c r="N465" s="189"/>
    </row>
    <row r="466" spans="1:14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  <c r="N466" s="189"/>
    </row>
    <row r="467" spans="1:14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  <c r="N467" s="189"/>
    </row>
    <row r="468" spans="1:14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  <c r="N468" s="189"/>
    </row>
    <row r="469" spans="1:14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  <c r="N469" s="189"/>
    </row>
    <row r="470" spans="1:14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  <c r="N470" s="189"/>
    </row>
    <row r="471" spans="1:14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  <c r="N471" s="189"/>
    </row>
    <row r="472" spans="1:14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  <c r="N472" s="189"/>
    </row>
    <row r="473" spans="1:14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  <c r="N473" s="189"/>
    </row>
    <row r="474" spans="1:14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  <c r="N474" s="189"/>
    </row>
    <row r="475" spans="1:14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  <c r="N475" s="189"/>
    </row>
    <row r="476" spans="1:14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  <c r="N476" s="189"/>
    </row>
    <row r="477" spans="1:14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  <c r="N477" s="189"/>
    </row>
    <row r="478" spans="1:14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  <c r="N478" s="189"/>
    </row>
    <row r="479" spans="1:14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  <c r="N479" s="189"/>
    </row>
    <row r="480" spans="1:14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  <c r="N480" s="189"/>
    </row>
    <row r="481" spans="1:14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  <c r="N481" s="189"/>
    </row>
    <row r="482" spans="1:14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  <c r="N482" s="189"/>
    </row>
    <row r="483" spans="1:14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  <c r="N483" s="189"/>
    </row>
    <row r="484" spans="1:14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  <c r="N484" s="189"/>
    </row>
    <row r="485" spans="1:14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  <c r="N485" s="189"/>
    </row>
    <row r="486" spans="1:14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  <c r="N486" s="189"/>
    </row>
    <row r="487" spans="1:14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  <c r="N487" s="189"/>
    </row>
    <row r="488" spans="1:14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  <c r="N488" s="189"/>
    </row>
    <row r="489" spans="1:14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  <c r="N489" s="189"/>
    </row>
    <row r="490" spans="1:14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  <c r="N490" s="189"/>
    </row>
    <row r="491" spans="1:14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  <c r="N491" s="189"/>
    </row>
    <row r="492" spans="1:14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  <c r="N492" s="189"/>
    </row>
    <row r="493" spans="1:14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  <c r="N493" s="189"/>
    </row>
    <row r="494" spans="1:14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  <c r="N494" s="189"/>
    </row>
    <row r="495" spans="1:14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  <c r="N495" s="189"/>
    </row>
    <row r="496" spans="1:14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  <c r="N496" s="189"/>
    </row>
    <row r="497" spans="1:14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  <c r="N497" s="189"/>
    </row>
    <row r="498" spans="1:14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  <c r="N498" s="189"/>
    </row>
    <row r="499" spans="1:14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  <c r="N499" s="189"/>
    </row>
    <row r="500" spans="1:14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  <c r="N500" s="189"/>
    </row>
    <row r="501" spans="1:14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  <c r="N501" s="189"/>
    </row>
    <row r="502" spans="1:14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  <c r="N502" s="189"/>
    </row>
    <row r="503" spans="1:14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  <c r="N503" s="189"/>
    </row>
    <row r="504" spans="1:14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  <c r="N504" s="189"/>
    </row>
    <row r="505" spans="1:14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  <c r="N505" s="189"/>
    </row>
    <row r="506" spans="1:14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  <c r="N506" s="189"/>
    </row>
    <row r="507" spans="1:14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  <c r="N507" s="189"/>
    </row>
    <row r="508" spans="1:14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  <c r="N508" s="189"/>
    </row>
    <row r="509" spans="1:14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  <c r="N509" s="189"/>
    </row>
    <row r="510" spans="1:14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  <c r="N510" s="189"/>
    </row>
    <row r="511" spans="1:14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  <c r="N511" s="189"/>
    </row>
    <row r="512" spans="1:14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  <c r="N512" s="189"/>
    </row>
    <row r="513" spans="1:14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  <c r="N513" s="189"/>
    </row>
    <row r="514" spans="1:14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  <c r="N514" s="189"/>
    </row>
    <row r="515" spans="1:14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  <c r="N515" s="189"/>
    </row>
    <row r="516" spans="1:14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  <c r="N516" s="189"/>
    </row>
    <row r="517" spans="1:14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  <c r="N517" s="189"/>
    </row>
    <row r="518" spans="1:14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  <c r="N518" s="189"/>
    </row>
    <row r="519" spans="1:14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  <c r="N519" s="189"/>
    </row>
    <row r="520" spans="1:14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  <c r="N520" s="189"/>
    </row>
    <row r="521" spans="1:14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  <c r="N521" s="189"/>
    </row>
    <row r="522" spans="1:14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  <c r="N522" s="189"/>
    </row>
    <row r="523" spans="1:14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  <c r="N523" s="189"/>
    </row>
    <row r="524" spans="1:14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  <c r="N524" s="189"/>
    </row>
    <row r="525" spans="1:14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  <c r="N525" s="189"/>
    </row>
    <row r="526" spans="1:14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  <c r="N526" s="189"/>
    </row>
    <row r="527" spans="1:14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  <c r="N527" s="189"/>
    </row>
    <row r="528" spans="1:14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  <c r="N528" s="189"/>
    </row>
    <row r="529" spans="1:14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  <c r="N529" s="189"/>
    </row>
    <row r="530" spans="1:14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  <c r="N530" s="189"/>
    </row>
    <row r="531" spans="1:14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  <c r="N531" s="189"/>
    </row>
    <row r="532" spans="1:14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  <c r="N532" s="189"/>
    </row>
    <row r="533" spans="1:14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  <c r="N533" s="189"/>
    </row>
    <row r="534" spans="1:14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  <c r="N534" s="189"/>
    </row>
    <row r="535" spans="1:14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  <c r="N535" s="189"/>
    </row>
    <row r="536" spans="1:14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  <c r="N536" s="189"/>
    </row>
    <row r="537" spans="1:14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  <c r="N537" s="189"/>
    </row>
    <row r="538" spans="1:14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  <c r="N538" s="189"/>
    </row>
    <row r="539" spans="1:14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  <c r="N539" s="189"/>
    </row>
    <row r="540" spans="1:14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  <c r="N540" s="189"/>
    </row>
    <row r="541" spans="1:14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  <c r="N541" s="189"/>
    </row>
    <row r="542" spans="1:14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  <c r="N542" s="189"/>
    </row>
    <row r="543" spans="1:14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  <c r="N543" s="189"/>
    </row>
    <row r="544" spans="1:14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  <c r="N544" s="189"/>
    </row>
    <row r="545" spans="1:14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  <c r="N545" s="189"/>
    </row>
    <row r="546" spans="1:14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  <c r="N546" s="189"/>
    </row>
    <row r="547" spans="1:14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  <c r="N547" s="189"/>
    </row>
    <row r="548" spans="1:14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  <c r="N548" s="189"/>
    </row>
    <row r="549" spans="1:14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  <c r="N549" s="189"/>
    </row>
    <row r="550" spans="1:14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  <c r="N550" s="189"/>
    </row>
    <row r="551" spans="1:14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  <c r="N551" s="189"/>
    </row>
    <row r="552" spans="1:14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  <c r="N552" s="189"/>
    </row>
    <row r="553" spans="1:14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  <c r="N553" s="189"/>
    </row>
    <row r="554" spans="1:14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  <c r="N554" s="189"/>
    </row>
    <row r="555" spans="1:14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  <c r="N555" s="189"/>
    </row>
    <row r="556" spans="1:14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  <c r="N556" s="189"/>
    </row>
    <row r="557" spans="1:14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  <c r="N557" s="189"/>
    </row>
    <row r="558" spans="1:14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  <c r="N558" s="189"/>
    </row>
    <row r="559" spans="1:14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  <c r="N559" s="189"/>
    </row>
    <row r="560" spans="1:14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  <c r="N560" s="189"/>
    </row>
    <row r="561" spans="1:14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  <c r="N561" s="189"/>
    </row>
    <row r="562" spans="1:14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  <c r="N562" s="189"/>
    </row>
    <row r="563" spans="1:14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  <c r="N563" s="189"/>
    </row>
    <row r="564" spans="1:14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  <c r="N564" s="189"/>
    </row>
    <row r="565" spans="1:14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  <c r="N565" s="189"/>
    </row>
    <row r="566" spans="1:14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  <c r="N566" s="189"/>
    </row>
    <row r="567" spans="1:14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  <c r="N567" s="189"/>
    </row>
    <row r="568" spans="1:14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  <c r="N568" s="189"/>
    </row>
    <row r="569" spans="1:14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  <c r="N569" s="189"/>
    </row>
    <row r="570" spans="1:14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  <c r="N570" s="189"/>
    </row>
    <row r="571" spans="1:14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  <c r="N571" s="189"/>
    </row>
    <row r="572" spans="1:14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  <c r="N572" s="189"/>
    </row>
    <row r="573" spans="1:14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  <c r="N573" s="189"/>
    </row>
    <row r="574" spans="1:14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  <c r="N574" s="189"/>
    </row>
    <row r="575" spans="1:14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  <c r="N575" s="189"/>
    </row>
    <row r="576" spans="1:14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  <c r="N576" s="189"/>
    </row>
    <row r="577" spans="1:14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  <c r="N577" s="189"/>
    </row>
    <row r="578" spans="1:14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  <c r="N578" s="189"/>
    </row>
    <row r="579" spans="1:14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  <c r="N579" s="189"/>
    </row>
    <row r="580" spans="1:14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  <c r="N580" s="189"/>
    </row>
    <row r="581" spans="1:14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  <c r="N581" s="189"/>
    </row>
    <row r="582" spans="1:14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  <c r="N582" s="189"/>
    </row>
    <row r="583" spans="1:14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  <c r="N583" s="189"/>
    </row>
    <row r="584" spans="1:14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  <c r="N584" s="189"/>
    </row>
    <row r="585" spans="1:14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  <c r="N585" s="189"/>
    </row>
    <row r="586" spans="1:14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  <c r="N586" s="189"/>
    </row>
    <row r="587" spans="1:14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  <c r="N587" s="189"/>
    </row>
    <row r="588" spans="1:14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  <c r="N588" s="189"/>
    </row>
    <row r="589" spans="1:14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  <c r="N589" s="189"/>
    </row>
    <row r="590" spans="1:14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  <c r="N590" s="189"/>
    </row>
    <row r="591" spans="1:14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  <c r="N591" s="189"/>
    </row>
    <row r="592" spans="1:14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  <c r="N592" s="189"/>
    </row>
    <row r="593" spans="1:14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  <c r="N593" s="189"/>
    </row>
    <row r="594" spans="1:14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  <c r="N594" s="189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Q18" sqref="Q18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552</v>
      </c>
      <c r="B1" s="13"/>
      <c r="C1" s="12"/>
      <c r="D1" s="13"/>
      <c r="E1" s="13"/>
      <c r="F1" s="12"/>
      <c r="G1" s="55" t="s">
        <v>779</v>
      </c>
      <c r="H1" s="55" t="s">
        <v>573</v>
      </c>
      <c r="I1" s="55" t="s">
        <v>779</v>
      </c>
      <c r="J1" s="55" t="s">
        <v>573</v>
      </c>
      <c r="K1" s="55" t="s">
        <v>573</v>
      </c>
      <c r="L1" s="158" t="s">
        <v>779</v>
      </c>
      <c r="M1" s="10"/>
      <c r="N1" s="55" t="s">
        <v>779</v>
      </c>
      <c r="O1" s="55" t="s">
        <v>779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971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573</v>
      </c>
      <c r="AL1" s="55" t="s">
        <v>573</v>
      </c>
      <c r="AM1" s="55" t="s">
        <v>573</v>
      </c>
      <c r="AN1" s="55" t="s">
        <v>573</v>
      </c>
      <c r="AO1" s="55" t="s">
        <v>573</v>
      </c>
      <c r="AP1" s="55" t="s">
        <v>573</v>
      </c>
      <c r="AQ1" s="55" t="s">
        <v>1257</v>
      </c>
      <c r="AR1" s="55" t="s">
        <v>1257</v>
      </c>
      <c r="AS1" s="165"/>
      <c r="AT1" s="55" t="s">
        <v>573</v>
      </c>
      <c r="AU1" s="55" t="s">
        <v>573</v>
      </c>
      <c r="AV1" s="55" t="s">
        <v>573</v>
      </c>
      <c r="AW1" s="55" t="s">
        <v>573</v>
      </c>
      <c r="AX1" s="55" t="s">
        <v>573</v>
      </c>
      <c r="AY1" s="55" t="s">
        <v>573</v>
      </c>
      <c r="AZ1" s="55" t="s">
        <v>573</v>
      </c>
      <c r="BA1" s="55" t="s">
        <v>1257</v>
      </c>
      <c r="BB1" s="165"/>
      <c r="BC1" s="55" t="s">
        <v>573</v>
      </c>
      <c r="BD1" s="55" t="s">
        <v>573</v>
      </c>
      <c r="BE1" s="55" t="s">
        <v>1029</v>
      </c>
      <c r="BF1" s="165"/>
      <c r="BG1" s="55" t="s">
        <v>573</v>
      </c>
      <c r="BH1" s="10"/>
      <c r="BI1" s="55" t="s">
        <v>573</v>
      </c>
      <c r="BJ1" s="55" t="s">
        <v>573</v>
      </c>
      <c r="BK1" s="55" t="s">
        <v>573</v>
      </c>
      <c r="BL1" s="55" t="s">
        <v>573</v>
      </c>
      <c r="BM1" s="55" t="s">
        <v>573</v>
      </c>
      <c r="BN1" s="55" t="s">
        <v>573</v>
      </c>
      <c r="BO1" s="55" t="s">
        <v>573</v>
      </c>
      <c r="BP1" s="55" t="s">
        <v>573</v>
      </c>
      <c r="BQ1" s="55" t="s">
        <v>573</v>
      </c>
      <c r="BR1" s="55" t="s">
        <v>573</v>
      </c>
      <c r="BS1" s="55" t="s">
        <v>573</v>
      </c>
      <c r="BT1" s="10"/>
      <c r="BU1" s="55" t="s">
        <v>573</v>
      </c>
      <c r="BV1" s="55" t="s">
        <v>573</v>
      </c>
      <c r="BW1" s="55" t="s">
        <v>573</v>
      </c>
      <c r="BX1" s="55" t="s">
        <v>573</v>
      </c>
      <c r="BY1" s="55" t="s">
        <v>573</v>
      </c>
      <c r="BZ1" s="55" t="s">
        <v>573</v>
      </c>
      <c r="CA1" s="55" t="s">
        <v>573</v>
      </c>
      <c r="CB1" s="55" t="s">
        <v>573</v>
      </c>
      <c r="CC1" s="55" t="s">
        <v>573</v>
      </c>
      <c r="CD1" s="55" t="s">
        <v>573</v>
      </c>
      <c r="CE1" s="55" t="s">
        <v>573</v>
      </c>
      <c r="CF1" s="55" t="s">
        <v>573</v>
      </c>
      <c r="CG1" s="55" t="s">
        <v>573</v>
      </c>
      <c r="CH1" s="55" t="s">
        <v>573</v>
      </c>
      <c r="CI1" s="55" t="s">
        <v>573</v>
      </c>
      <c r="CJ1" s="55" t="s">
        <v>573</v>
      </c>
      <c r="CK1" s="55" t="s">
        <v>573</v>
      </c>
      <c r="CL1" s="55" t="s">
        <v>573</v>
      </c>
      <c r="CM1" s="55" t="s">
        <v>573</v>
      </c>
      <c r="CN1" s="10"/>
      <c r="CO1" s="55" t="s">
        <v>573</v>
      </c>
      <c r="CP1" s="55" t="s">
        <v>573</v>
      </c>
      <c r="CQ1" s="55" t="s">
        <v>573</v>
      </c>
      <c r="CR1" s="55" t="s">
        <v>573</v>
      </c>
      <c r="CS1" s="55" t="s">
        <v>573</v>
      </c>
      <c r="CT1" s="55" t="s">
        <v>573</v>
      </c>
      <c r="CU1" s="55" t="s">
        <v>573</v>
      </c>
      <c r="CV1" s="55" t="s">
        <v>573</v>
      </c>
      <c r="CW1" s="55" t="s">
        <v>573</v>
      </c>
      <c r="CX1" s="55" t="s">
        <v>573</v>
      </c>
      <c r="CY1" s="55" t="s">
        <v>573</v>
      </c>
      <c r="CZ1" s="55" t="s">
        <v>573</v>
      </c>
      <c r="DA1" s="55" t="s">
        <v>573</v>
      </c>
      <c r="DB1" s="55" t="s">
        <v>573</v>
      </c>
      <c r="DC1" s="55" t="s">
        <v>573</v>
      </c>
      <c r="DD1" s="55" t="s">
        <v>60</v>
      </c>
      <c r="DE1" s="55" t="s">
        <v>60</v>
      </c>
      <c r="DF1" s="55" t="s">
        <v>60</v>
      </c>
      <c r="DG1" s="10"/>
      <c r="DH1" s="55" t="s">
        <v>573</v>
      </c>
      <c r="DI1" s="55" t="s">
        <v>573</v>
      </c>
      <c r="DJ1" s="55" t="s">
        <v>573</v>
      </c>
      <c r="DK1" s="55" t="s">
        <v>573</v>
      </c>
      <c r="DL1" s="55" t="s">
        <v>573</v>
      </c>
      <c r="DM1" s="55" t="s">
        <v>573</v>
      </c>
      <c r="DN1" s="55" t="s">
        <v>573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778</v>
      </c>
      <c r="H2" s="55" t="s">
        <v>947</v>
      </c>
      <c r="I2" s="55" t="s">
        <v>778</v>
      </c>
      <c r="J2" s="55" t="s">
        <v>470</v>
      </c>
      <c r="K2" s="55" t="s">
        <v>470</v>
      </c>
      <c r="L2" s="158" t="s">
        <v>780</v>
      </c>
      <c r="M2" s="10"/>
      <c r="N2" s="55" t="s">
        <v>778</v>
      </c>
      <c r="O2" s="55" t="s">
        <v>780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970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1256</v>
      </c>
      <c r="AR2" s="55" t="s">
        <v>1256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1256</v>
      </c>
      <c r="BB2" s="165"/>
      <c r="BC2" s="55" t="s">
        <v>61</v>
      </c>
      <c r="BD2" s="55" t="s">
        <v>61</v>
      </c>
      <c r="BE2" s="55" t="s">
        <v>1028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558</v>
      </c>
      <c r="B3" s="13"/>
      <c r="C3" s="12"/>
      <c r="D3" s="13"/>
      <c r="E3" s="13"/>
      <c r="F3" s="12"/>
      <c r="G3" s="55" t="s">
        <v>789</v>
      </c>
      <c r="H3" s="55" t="s">
        <v>946</v>
      </c>
      <c r="I3" s="55" t="s">
        <v>792</v>
      </c>
      <c r="J3" s="55" t="s">
        <v>957</v>
      </c>
      <c r="K3" s="55" t="s">
        <v>958</v>
      </c>
      <c r="L3" s="158" t="s">
        <v>809</v>
      </c>
      <c r="M3" s="10"/>
      <c r="N3" s="55" t="s">
        <v>782</v>
      </c>
      <c r="O3" s="55" t="s">
        <v>801</v>
      </c>
      <c r="P3" s="10"/>
      <c r="Q3" s="10"/>
      <c r="R3" s="155"/>
      <c r="S3" s="171"/>
      <c r="T3" s="161"/>
      <c r="U3" s="55" t="s">
        <v>962</v>
      </c>
      <c r="V3" s="55"/>
      <c r="W3" s="55"/>
      <c r="X3" s="155"/>
      <c r="Y3" s="171"/>
      <c r="Z3" s="165"/>
      <c r="AA3" s="10"/>
      <c r="AB3" s="55" t="s">
        <v>969</v>
      </c>
      <c r="AC3" s="55" t="s">
        <v>784</v>
      </c>
      <c r="AD3" s="55" t="s">
        <v>785</v>
      </c>
      <c r="AE3" s="55" t="s">
        <v>786</v>
      </c>
      <c r="AF3" s="55" t="s">
        <v>787</v>
      </c>
      <c r="AG3" s="167"/>
      <c r="AH3" s="55" t="s">
        <v>1224</v>
      </c>
      <c r="AI3" s="55" t="s">
        <v>1225</v>
      </c>
      <c r="AJ3" s="165"/>
      <c r="AK3" s="38" t="s">
        <v>832</v>
      </c>
      <c r="AL3" s="61" t="s">
        <v>833</v>
      </c>
      <c r="AM3" s="61" t="s">
        <v>834</v>
      </c>
      <c r="AN3" s="61" t="s">
        <v>835</v>
      </c>
      <c r="AO3" s="61" t="s">
        <v>836</v>
      </c>
      <c r="AP3" s="61" t="s">
        <v>837</v>
      </c>
      <c r="AQ3" s="61" t="s">
        <v>1261</v>
      </c>
      <c r="AR3" s="61" t="s">
        <v>1255</v>
      </c>
      <c r="AS3" s="165"/>
      <c r="AT3" s="38" t="s">
        <v>838</v>
      </c>
      <c r="AU3" s="61" t="s">
        <v>839</v>
      </c>
      <c r="AV3" s="61" t="s">
        <v>840</v>
      </c>
      <c r="AW3" s="61" t="s">
        <v>841</v>
      </c>
      <c r="AX3" s="61" t="s">
        <v>842</v>
      </c>
      <c r="AY3" s="61" t="s">
        <v>843</v>
      </c>
      <c r="AZ3" s="61" t="s">
        <v>1262</v>
      </c>
      <c r="BA3" s="61" t="s">
        <v>1259</v>
      </c>
      <c r="BB3" s="165"/>
      <c r="BC3" s="38" t="s">
        <v>882</v>
      </c>
      <c r="BD3" s="61" t="s">
        <v>819</v>
      </c>
      <c r="BE3" s="61" t="s">
        <v>1026</v>
      </c>
      <c r="BF3" s="165"/>
      <c r="BG3" s="38" t="s">
        <v>798</v>
      </c>
      <c r="BH3" s="10"/>
      <c r="BI3" s="38" t="s">
        <v>1172</v>
      </c>
      <c r="BJ3" s="61" t="s">
        <v>1173</v>
      </c>
      <c r="BK3" s="61" t="s">
        <v>1174</v>
      </c>
      <c r="BL3" s="61" t="s">
        <v>1175</v>
      </c>
      <c r="BM3" s="35" t="s">
        <v>1176</v>
      </c>
      <c r="BN3" s="35" t="s">
        <v>1177</v>
      </c>
      <c r="BO3" s="35" t="s">
        <v>1178</v>
      </c>
      <c r="BP3" s="61" t="s">
        <v>1179</v>
      </c>
      <c r="BQ3" s="35" t="s">
        <v>1180</v>
      </c>
      <c r="BR3" s="35" t="s">
        <v>1181</v>
      </c>
      <c r="BS3" s="35" t="s">
        <v>1182</v>
      </c>
      <c r="BT3" s="36"/>
      <c r="BU3" s="35" t="s">
        <v>1183</v>
      </c>
      <c r="BV3" s="35" t="s">
        <v>1184</v>
      </c>
      <c r="BW3" s="35" t="s">
        <v>1185</v>
      </c>
      <c r="BX3" s="35" t="s">
        <v>1186</v>
      </c>
      <c r="BY3" s="35" t="s">
        <v>1187</v>
      </c>
      <c r="BZ3" s="35" t="s">
        <v>1188</v>
      </c>
      <c r="CA3" s="35" t="s">
        <v>1189</v>
      </c>
      <c r="CB3" s="35" t="s">
        <v>1190</v>
      </c>
      <c r="CC3" s="35" t="s">
        <v>1191</v>
      </c>
      <c r="CD3" s="35" t="s">
        <v>1192</v>
      </c>
      <c r="CE3" s="35" t="s">
        <v>1193</v>
      </c>
      <c r="CF3" s="35" t="s">
        <v>1194</v>
      </c>
      <c r="CG3" s="35" t="s">
        <v>1195</v>
      </c>
      <c r="CH3" s="35" t="s">
        <v>1196</v>
      </c>
      <c r="CI3" s="35" t="s">
        <v>1197</v>
      </c>
      <c r="CJ3" s="35" t="s">
        <v>1198</v>
      </c>
      <c r="CK3" s="35" t="s">
        <v>1199</v>
      </c>
      <c r="CL3" s="35" t="s">
        <v>1200</v>
      </c>
      <c r="CM3" s="35" t="s">
        <v>1201</v>
      </c>
      <c r="CN3" s="36"/>
      <c r="CO3" s="35" t="s">
        <v>1202</v>
      </c>
      <c r="CP3" s="35" t="s">
        <v>1203</v>
      </c>
      <c r="CQ3" s="35" t="s">
        <v>1204</v>
      </c>
      <c r="CR3" s="35" t="s">
        <v>1205</v>
      </c>
      <c r="CS3" s="35" t="s">
        <v>1206</v>
      </c>
      <c r="CT3" s="35" t="s">
        <v>1207</v>
      </c>
      <c r="CU3" s="35" t="s">
        <v>1208</v>
      </c>
      <c r="CV3" s="35" t="s">
        <v>1209</v>
      </c>
      <c r="CW3" s="35" t="s">
        <v>1210</v>
      </c>
      <c r="CX3" s="35" t="s">
        <v>1211</v>
      </c>
      <c r="CY3" s="35" t="s">
        <v>1212</v>
      </c>
      <c r="CZ3" s="35" t="s">
        <v>1213</v>
      </c>
      <c r="DA3" s="35" t="s">
        <v>1214</v>
      </c>
      <c r="DB3" s="35" t="s">
        <v>1215</v>
      </c>
      <c r="DC3" s="35" t="s">
        <v>1216</v>
      </c>
      <c r="DD3" s="35" t="s">
        <v>1450</v>
      </c>
      <c r="DE3" s="35" t="s">
        <v>1452</v>
      </c>
      <c r="DF3" s="35" t="s">
        <v>1451</v>
      </c>
      <c r="DG3" s="36"/>
      <c r="DH3" s="35" t="s">
        <v>1217</v>
      </c>
      <c r="DI3" s="35" t="s">
        <v>1218</v>
      </c>
      <c r="DJ3" s="35" t="s">
        <v>1219</v>
      </c>
      <c r="DK3" s="35" t="s">
        <v>1220</v>
      </c>
      <c r="DL3" s="35" t="s">
        <v>1221</v>
      </c>
      <c r="DM3" s="35" t="s">
        <v>1222</v>
      </c>
      <c r="DN3" s="35" t="s">
        <v>1223</v>
      </c>
    </row>
    <row r="4" spans="1:118" s="92" customFormat="1" ht="118.5" customHeight="1" thickBot="1" x14ac:dyDescent="0.2">
      <c r="A4" s="94" t="s">
        <v>558</v>
      </c>
      <c r="B4" s="106" t="s">
        <v>575</v>
      </c>
      <c r="C4" s="107" t="s">
        <v>1323</v>
      </c>
      <c r="D4" s="106" t="s">
        <v>861</v>
      </c>
      <c r="E4" s="106" t="s">
        <v>862</v>
      </c>
      <c r="F4" s="107"/>
      <c r="G4" s="57" t="s">
        <v>790</v>
      </c>
      <c r="H4" s="57" t="s">
        <v>948</v>
      </c>
      <c r="I4" s="57" t="s">
        <v>1031</v>
      </c>
      <c r="J4" s="57" t="s">
        <v>1032</v>
      </c>
      <c r="K4" s="57" t="s">
        <v>1033</v>
      </c>
      <c r="L4" s="159" t="s">
        <v>808</v>
      </c>
      <c r="M4" s="142" t="s">
        <v>791</v>
      </c>
      <c r="N4" s="89" t="s">
        <v>781</v>
      </c>
      <c r="O4" s="55" t="s">
        <v>949</v>
      </c>
      <c r="P4" s="10"/>
      <c r="Q4" s="10" t="s">
        <v>1326</v>
      </c>
      <c r="R4" s="155" t="s">
        <v>989</v>
      </c>
      <c r="S4" s="171" t="s">
        <v>963</v>
      </c>
      <c r="T4" s="161" t="s">
        <v>966</v>
      </c>
      <c r="U4" s="55" t="s">
        <v>967</v>
      </c>
      <c r="V4" s="55" t="s">
        <v>983</v>
      </c>
      <c r="W4" s="55" t="s">
        <v>984</v>
      </c>
      <c r="X4" s="155" t="s">
        <v>980</v>
      </c>
      <c r="Y4" s="171" t="s">
        <v>964</v>
      </c>
      <c r="Z4" s="165" t="s">
        <v>797</v>
      </c>
      <c r="AA4" s="10" t="s">
        <v>788</v>
      </c>
      <c r="AB4" s="55" t="s">
        <v>968</v>
      </c>
      <c r="AC4" s="55" t="s">
        <v>863</v>
      </c>
      <c r="AD4" s="55" t="s">
        <v>864</v>
      </c>
      <c r="AE4" s="55" t="s">
        <v>865</v>
      </c>
      <c r="AF4" s="55" t="s">
        <v>866</v>
      </c>
      <c r="AG4" s="168" t="s">
        <v>965</v>
      </c>
      <c r="AH4" s="55" t="s">
        <v>867</v>
      </c>
      <c r="AI4" s="55" t="s">
        <v>868</v>
      </c>
      <c r="AJ4" s="170" t="s">
        <v>950</v>
      </c>
      <c r="AK4" s="38" t="s">
        <v>869</v>
      </c>
      <c r="AL4" s="61" t="s">
        <v>870</v>
      </c>
      <c r="AM4" s="61" t="s">
        <v>871</v>
      </c>
      <c r="AN4" s="61" t="s">
        <v>872</v>
      </c>
      <c r="AO4" s="61" t="s">
        <v>873</v>
      </c>
      <c r="AP4" s="61" t="s">
        <v>874</v>
      </c>
      <c r="AQ4" s="61" t="s">
        <v>1260</v>
      </c>
      <c r="AR4" s="61" t="s">
        <v>1254</v>
      </c>
      <c r="AS4" s="165" t="s">
        <v>875</v>
      </c>
      <c r="AT4" s="38" t="s">
        <v>876</v>
      </c>
      <c r="AU4" s="61" t="s">
        <v>877</v>
      </c>
      <c r="AV4" s="61" t="s">
        <v>878</v>
      </c>
      <c r="AW4" s="61" t="s">
        <v>879</v>
      </c>
      <c r="AX4" s="61" t="s">
        <v>880</v>
      </c>
      <c r="AY4" s="61" t="s">
        <v>881</v>
      </c>
      <c r="AZ4" s="61" t="s">
        <v>886</v>
      </c>
      <c r="BA4" s="61" t="s">
        <v>1258</v>
      </c>
      <c r="BB4" s="165" t="s">
        <v>820</v>
      </c>
      <c r="BC4" s="38" t="s">
        <v>883</v>
      </c>
      <c r="BD4" s="61" t="s">
        <v>884</v>
      </c>
      <c r="BE4" s="61" t="s">
        <v>1027</v>
      </c>
      <c r="BF4" s="165" t="s">
        <v>844</v>
      </c>
      <c r="BG4" s="38" t="s">
        <v>887</v>
      </c>
      <c r="BH4" s="10" t="s">
        <v>975</v>
      </c>
      <c r="BI4" s="38" t="s">
        <v>888</v>
      </c>
      <c r="BJ4" s="61" t="s">
        <v>889</v>
      </c>
      <c r="BK4" s="61" t="s">
        <v>890</v>
      </c>
      <c r="BL4" s="61" t="s">
        <v>891</v>
      </c>
      <c r="BM4" s="35" t="s">
        <v>892</v>
      </c>
      <c r="BN4" s="35" t="s">
        <v>893</v>
      </c>
      <c r="BO4" s="35" t="s">
        <v>894</v>
      </c>
      <c r="BP4" s="61" t="s">
        <v>895</v>
      </c>
      <c r="BQ4" s="35" t="s">
        <v>896</v>
      </c>
      <c r="BR4" s="35" t="s">
        <v>897</v>
      </c>
      <c r="BS4" s="35" t="s">
        <v>898</v>
      </c>
      <c r="BT4" s="36" t="s">
        <v>974</v>
      </c>
      <c r="BU4" s="35" t="s">
        <v>899</v>
      </c>
      <c r="BV4" s="35" t="s">
        <v>900</v>
      </c>
      <c r="BW4" s="35" t="s">
        <v>901</v>
      </c>
      <c r="BX4" s="35" t="s">
        <v>902</v>
      </c>
      <c r="BY4" s="35" t="s">
        <v>903</v>
      </c>
      <c r="BZ4" s="35" t="s">
        <v>904</v>
      </c>
      <c r="CA4" s="35" t="s">
        <v>905</v>
      </c>
      <c r="CB4" s="35" t="s">
        <v>906</v>
      </c>
      <c r="CC4" s="35" t="s">
        <v>907</v>
      </c>
      <c r="CD4" s="35" t="s">
        <v>908</v>
      </c>
      <c r="CE4" s="35" t="s">
        <v>909</v>
      </c>
      <c r="CF4" s="35" t="s">
        <v>910</v>
      </c>
      <c r="CG4" s="35" t="s">
        <v>911</v>
      </c>
      <c r="CH4" s="35" t="s">
        <v>912</v>
      </c>
      <c r="CI4" s="35" t="s">
        <v>913</v>
      </c>
      <c r="CJ4" s="35" t="s">
        <v>914</v>
      </c>
      <c r="CK4" s="35" t="s">
        <v>915</v>
      </c>
      <c r="CL4" s="35" t="s">
        <v>916</v>
      </c>
      <c r="CM4" s="35" t="s">
        <v>917</v>
      </c>
      <c r="CN4" s="36" t="s">
        <v>973</v>
      </c>
      <c r="CO4" s="35" t="s">
        <v>918</v>
      </c>
      <c r="CP4" s="35" t="s">
        <v>919</v>
      </c>
      <c r="CQ4" s="35" t="s">
        <v>920</v>
      </c>
      <c r="CR4" s="35" t="s">
        <v>921</v>
      </c>
      <c r="CS4" s="35" t="s">
        <v>922</v>
      </c>
      <c r="CT4" s="35" t="s">
        <v>923</v>
      </c>
      <c r="CU4" s="35" t="s">
        <v>924</v>
      </c>
      <c r="CV4" s="35" t="s">
        <v>925</v>
      </c>
      <c r="CW4" s="35" t="s">
        <v>939</v>
      </c>
      <c r="CX4" s="35" t="s">
        <v>938</v>
      </c>
      <c r="CY4" s="35" t="s">
        <v>937</v>
      </c>
      <c r="CZ4" s="35" t="s">
        <v>936</v>
      </c>
      <c r="DA4" s="35" t="s">
        <v>935</v>
      </c>
      <c r="DB4" s="35" t="s">
        <v>934</v>
      </c>
      <c r="DC4" s="35" t="s">
        <v>933</v>
      </c>
      <c r="DD4" s="35" t="s">
        <v>1446</v>
      </c>
      <c r="DE4" s="35" t="s">
        <v>1447</v>
      </c>
      <c r="DF4" s="35" t="s">
        <v>1448</v>
      </c>
      <c r="DG4" s="36" t="s">
        <v>972</v>
      </c>
      <c r="DH4" s="35" t="s">
        <v>932</v>
      </c>
      <c r="DI4" s="35" t="s">
        <v>931</v>
      </c>
      <c r="DJ4" s="35" t="s">
        <v>930</v>
      </c>
      <c r="DK4" s="35" t="s">
        <v>929</v>
      </c>
      <c r="DL4" s="35" t="s">
        <v>928</v>
      </c>
      <c r="DM4" s="35" t="s">
        <v>927</v>
      </c>
      <c r="DN4" s="35" t="s">
        <v>926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845</v>
      </c>
      <c r="H5" s="56">
        <v>1</v>
      </c>
      <c r="I5" s="56" t="s">
        <v>1030</v>
      </c>
      <c r="J5" s="56" t="s">
        <v>1046</v>
      </c>
      <c r="K5" s="56" t="s">
        <v>1059</v>
      </c>
      <c r="L5" s="160">
        <v>120</v>
      </c>
      <c r="M5" s="17" t="s">
        <v>943</v>
      </c>
      <c r="N5" s="56" t="s">
        <v>1276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793</v>
      </c>
      <c r="H6" s="55">
        <v>3</v>
      </c>
      <c r="I6" s="55" t="s">
        <v>1030</v>
      </c>
      <c r="J6" s="55" t="s">
        <v>1046</v>
      </c>
      <c r="L6" s="158">
        <v>120</v>
      </c>
      <c r="M6" s="10" t="s">
        <v>944</v>
      </c>
      <c r="N6" s="55" t="s">
        <v>1277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794</v>
      </c>
      <c r="H7" s="55">
        <v>5</v>
      </c>
      <c r="I7" s="55" t="s">
        <v>1030</v>
      </c>
      <c r="J7" s="55" t="s">
        <v>1046</v>
      </c>
      <c r="L7" s="158">
        <v>120</v>
      </c>
      <c r="M7" s="153" t="s">
        <v>945</v>
      </c>
      <c r="N7" s="55" t="s">
        <v>1278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846</v>
      </c>
      <c r="H8" s="55">
        <v>1</v>
      </c>
      <c r="I8" s="55" t="s">
        <v>1036</v>
      </c>
      <c r="J8" s="55" t="s">
        <v>1047</v>
      </c>
      <c r="L8" s="158">
        <v>120</v>
      </c>
      <c r="N8" s="55" t="s">
        <v>1279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847</v>
      </c>
      <c r="H9" s="55">
        <v>3</v>
      </c>
      <c r="I9" s="55" t="s">
        <v>1034</v>
      </c>
      <c r="J9" s="55" t="s">
        <v>1047</v>
      </c>
      <c r="L9" s="158">
        <v>120</v>
      </c>
      <c r="N9" s="55" t="s">
        <v>1280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848</v>
      </c>
      <c r="H10" s="55">
        <v>5</v>
      </c>
      <c r="I10" s="55" t="s">
        <v>1034</v>
      </c>
      <c r="J10" s="55" t="s">
        <v>1047</v>
      </c>
      <c r="L10" s="158">
        <v>120</v>
      </c>
      <c r="N10" s="55" t="s">
        <v>1281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849</v>
      </c>
      <c r="H11" s="55">
        <v>1</v>
      </c>
      <c r="I11" s="55" t="s">
        <v>1035</v>
      </c>
      <c r="J11" s="55" t="s">
        <v>1048</v>
      </c>
      <c r="L11" s="158">
        <v>120</v>
      </c>
      <c r="N11" s="55" t="s">
        <v>1282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795</v>
      </c>
      <c r="H12" s="55">
        <v>3</v>
      </c>
      <c r="I12" s="55" t="s">
        <v>1035</v>
      </c>
      <c r="J12" s="55" t="s">
        <v>1048</v>
      </c>
      <c r="L12" s="158">
        <v>120</v>
      </c>
      <c r="N12" s="55" t="s">
        <v>1283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796</v>
      </c>
      <c r="H13" s="55">
        <v>5</v>
      </c>
      <c r="I13" s="55" t="s">
        <v>1035</v>
      </c>
      <c r="J13" s="55" t="s">
        <v>1048</v>
      </c>
      <c r="L13" s="158">
        <v>120</v>
      </c>
      <c r="N13" s="55" t="s">
        <v>1284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940</v>
      </c>
      <c r="H25" s="56">
        <v>1</v>
      </c>
      <c r="I25" s="56" t="s">
        <v>1037</v>
      </c>
      <c r="J25" s="56" t="s">
        <v>1049</v>
      </c>
      <c r="K25" s="56"/>
      <c r="L25" s="160">
        <v>120</v>
      </c>
      <c r="M25" s="17"/>
      <c r="N25" s="56" t="s">
        <v>1285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941</v>
      </c>
      <c r="H26" s="55">
        <v>3</v>
      </c>
      <c r="I26" s="55" t="s">
        <v>1037</v>
      </c>
      <c r="J26" s="55" t="s">
        <v>1049</v>
      </c>
      <c r="L26" s="158">
        <v>120</v>
      </c>
      <c r="N26" s="55" t="s">
        <v>1286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942</v>
      </c>
      <c r="H27" s="55">
        <v>5</v>
      </c>
      <c r="I27" s="55" t="s">
        <v>1037</v>
      </c>
      <c r="J27" s="55" t="s">
        <v>1049</v>
      </c>
      <c r="L27" s="158">
        <v>120</v>
      </c>
      <c r="N27" s="55" t="s">
        <v>1287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954</v>
      </c>
      <c r="H28" s="55">
        <v>1</v>
      </c>
      <c r="I28" s="55" t="s">
        <v>1051</v>
      </c>
      <c r="J28" s="55" t="s">
        <v>1050</v>
      </c>
      <c r="L28" s="158">
        <v>120</v>
      </c>
      <c r="N28" s="55" t="s">
        <v>1288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955</v>
      </c>
      <c r="H29" s="55">
        <v>3</v>
      </c>
      <c r="I29" s="55" t="s">
        <v>1051</v>
      </c>
      <c r="J29" s="55" t="s">
        <v>1050</v>
      </c>
      <c r="L29" s="158">
        <v>120</v>
      </c>
      <c r="N29" s="55" t="s">
        <v>1289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956</v>
      </c>
      <c r="H30" s="55">
        <v>5</v>
      </c>
      <c r="I30" s="55" t="s">
        <v>1051</v>
      </c>
      <c r="J30" s="55" t="s">
        <v>1050</v>
      </c>
      <c r="L30" s="158">
        <v>120</v>
      </c>
      <c r="N30" s="55" t="s">
        <v>1290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802</v>
      </c>
      <c r="H45" s="56">
        <v>1</v>
      </c>
      <c r="I45" s="56" t="s">
        <v>1038</v>
      </c>
      <c r="J45" s="56" t="s">
        <v>1052</v>
      </c>
      <c r="K45" s="56"/>
      <c r="L45" s="160">
        <v>120</v>
      </c>
      <c r="M45" s="17"/>
      <c r="N45" s="56" t="s">
        <v>1291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803</v>
      </c>
      <c r="H46" s="55">
        <v>3</v>
      </c>
      <c r="I46" s="55" t="s">
        <v>1038</v>
      </c>
      <c r="J46" s="55" t="s">
        <v>1052</v>
      </c>
      <c r="L46" s="158">
        <v>120</v>
      </c>
      <c r="N46" s="55" t="s">
        <v>1292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804</v>
      </c>
      <c r="H47" s="55">
        <v>5</v>
      </c>
      <c r="I47" s="55" t="s">
        <v>1038</v>
      </c>
      <c r="J47" s="55" t="s">
        <v>1052</v>
      </c>
      <c r="L47" s="158">
        <v>120</v>
      </c>
      <c r="N47" s="55" t="s">
        <v>1293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805</v>
      </c>
      <c r="H48" s="55">
        <v>1</v>
      </c>
      <c r="I48" s="55" t="s">
        <v>1039</v>
      </c>
      <c r="J48" s="55" t="s">
        <v>1054</v>
      </c>
      <c r="L48" s="158">
        <v>120</v>
      </c>
      <c r="N48" s="55" t="s">
        <v>1294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806</v>
      </c>
      <c r="H49" s="55">
        <v>3</v>
      </c>
      <c r="I49" s="55" t="s">
        <v>1039</v>
      </c>
      <c r="J49" s="55" t="s">
        <v>1054</v>
      </c>
      <c r="L49" s="158">
        <v>120</v>
      </c>
      <c r="N49" s="55" t="s">
        <v>1296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807</v>
      </c>
      <c r="H50" s="55">
        <v>5</v>
      </c>
      <c r="I50" s="55" t="s">
        <v>1039</v>
      </c>
      <c r="J50" s="55" t="s">
        <v>1054</v>
      </c>
      <c r="L50" s="158">
        <v>120</v>
      </c>
      <c r="N50" s="55" t="s">
        <v>1295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850</v>
      </c>
      <c r="H51" s="55">
        <v>1</v>
      </c>
      <c r="I51" s="55" t="s">
        <v>1040</v>
      </c>
      <c r="J51" s="55" t="s">
        <v>1053</v>
      </c>
      <c r="L51" s="158">
        <v>120</v>
      </c>
      <c r="N51" s="55" t="s">
        <v>1297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851</v>
      </c>
      <c r="H52" s="55">
        <v>3</v>
      </c>
      <c r="I52" s="55" t="s">
        <v>1040</v>
      </c>
      <c r="J52" s="55" t="s">
        <v>1053</v>
      </c>
      <c r="L52" s="158">
        <v>120</v>
      </c>
      <c r="N52" s="55" t="s">
        <v>1299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852</v>
      </c>
      <c r="H53" s="55">
        <v>5</v>
      </c>
      <c r="I53" s="55" t="s">
        <v>1040</v>
      </c>
      <c r="J53" s="55" t="s">
        <v>1053</v>
      </c>
      <c r="L53" s="158">
        <v>120</v>
      </c>
      <c r="N53" s="55" t="s">
        <v>1298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959</v>
      </c>
      <c r="H54" s="55">
        <v>1</v>
      </c>
      <c r="I54" s="55" t="s">
        <v>1303</v>
      </c>
      <c r="J54" s="55" t="s">
        <v>1304</v>
      </c>
      <c r="L54" s="158">
        <v>120</v>
      </c>
      <c r="N54" s="55" t="s">
        <v>1300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960</v>
      </c>
      <c r="H55" s="55">
        <v>3</v>
      </c>
      <c r="I55" s="55" t="s">
        <v>1303</v>
      </c>
      <c r="J55" s="55" t="s">
        <v>1304</v>
      </c>
      <c r="K55" s="55"/>
      <c r="L55" s="158">
        <v>120</v>
      </c>
      <c r="M55" s="10"/>
      <c r="N55" s="55" t="s">
        <v>1302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961</v>
      </c>
      <c r="H56" s="55">
        <v>5</v>
      </c>
      <c r="I56" s="55" t="s">
        <v>1303</v>
      </c>
      <c r="J56" s="55" t="s">
        <v>1304</v>
      </c>
      <c r="K56" s="55"/>
      <c r="L56" s="158">
        <v>120</v>
      </c>
      <c r="M56" s="10"/>
      <c r="N56" s="55" t="s">
        <v>1301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1041</v>
      </c>
      <c r="H57" s="55">
        <v>1</v>
      </c>
      <c r="I57" s="55" t="s">
        <v>1042</v>
      </c>
      <c r="J57" s="55" t="s">
        <v>1055</v>
      </c>
      <c r="K57" s="55"/>
      <c r="L57" s="158">
        <v>120</v>
      </c>
      <c r="M57" s="10"/>
      <c r="N57" s="55" t="s">
        <v>1305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853</v>
      </c>
      <c r="H58" s="55">
        <v>3</v>
      </c>
      <c r="I58" s="55" t="s">
        <v>1042</v>
      </c>
      <c r="J58" s="55" t="s">
        <v>1055</v>
      </c>
      <c r="K58" s="55"/>
      <c r="L58" s="158">
        <v>120</v>
      </c>
      <c r="M58" s="10"/>
      <c r="N58" s="55" t="s">
        <v>1307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854</v>
      </c>
      <c r="H59" s="55">
        <v>5</v>
      </c>
      <c r="I59" s="55" t="s">
        <v>1042</v>
      </c>
      <c r="J59" s="55" t="s">
        <v>1055</v>
      </c>
      <c r="K59" s="55"/>
      <c r="L59" s="158">
        <v>120</v>
      </c>
      <c r="M59" s="10"/>
      <c r="N59" s="55" t="s">
        <v>1306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810</v>
      </c>
      <c r="H60" s="55">
        <v>1</v>
      </c>
      <c r="I60" s="55" t="s">
        <v>1043</v>
      </c>
      <c r="J60" s="55" t="s">
        <v>1056</v>
      </c>
      <c r="K60" s="55"/>
      <c r="L60" s="158">
        <v>120</v>
      </c>
      <c r="M60" s="10"/>
      <c r="N60" s="55" t="s">
        <v>1308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811</v>
      </c>
      <c r="H61" s="55">
        <v>3</v>
      </c>
      <c r="I61" s="55" t="s">
        <v>1043</v>
      </c>
      <c r="J61" s="55" t="s">
        <v>1056</v>
      </c>
      <c r="K61" s="55"/>
      <c r="L61" s="158">
        <v>120</v>
      </c>
      <c r="M61" s="10"/>
      <c r="N61" s="55" t="s">
        <v>1310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812</v>
      </c>
      <c r="H62" s="55">
        <v>5</v>
      </c>
      <c r="I62" s="55" t="s">
        <v>1043</v>
      </c>
      <c r="J62" s="55" t="s">
        <v>1056</v>
      </c>
      <c r="K62" s="55"/>
      <c r="L62" s="158">
        <v>120</v>
      </c>
      <c r="M62" s="10"/>
      <c r="N62" s="55" t="s">
        <v>1309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855</v>
      </c>
      <c r="H63" s="55">
        <v>1</v>
      </c>
      <c r="I63" s="55" t="s">
        <v>1044</v>
      </c>
      <c r="J63" s="55" t="s">
        <v>1057</v>
      </c>
      <c r="K63" s="55"/>
      <c r="L63" s="158">
        <v>120</v>
      </c>
      <c r="M63" s="10"/>
      <c r="N63" s="55" t="s">
        <v>1311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856</v>
      </c>
      <c r="H64" s="55">
        <v>3</v>
      </c>
      <c r="I64" s="55" t="s">
        <v>1044</v>
      </c>
      <c r="J64" s="55" t="s">
        <v>1057</v>
      </c>
      <c r="K64" s="55"/>
      <c r="L64" s="158">
        <v>120</v>
      </c>
      <c r="M64" s="10"/>
      <c r="N64" s="55" t="s">
        <v>1313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857</v>
      </c>
      <c r="H65" s="55">
        <v>5</v>
      </c>
      <c r="I65" s="55" t="s">
        <v>1044</v>
      </c>
      <c r="J65" s="55" t="s">
        <v>1057</v>
      </c>
      <c r="K65" s="55"/>
      <c r="L65" s="158">
        <v>120</v>
      </c>
      <c r="M65" s="10"/>
      <c r="N65" s="55" t="s">
        <v>1312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951</v>
      </c>
      <c r="H66" s="55">
        <v>1</v>
      </c>
      <c r="I66" s="55" t="s">
        <v>1045</v>
      </c>
      <c r="J66" s="55" t="s">
        <v>1058</v>
      </c>
      <c r="L66" s="158">
        <v>120</v>
      </c>
      <c r="N66" s="55" t="s">
        <v>1314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952</v>
      </c>
      <c r="H67" s="55">
        <v>3</v>
      </c>
      <c r="I67" s="55" t="s">
        <v>1045</v>
      </c>
      <c r="J67" s="55" t="s">
        <v>1058</v>
      </c>
      <c r="L67" s="158">
        <v>120</v>
      </c>
      <c r="N67" s="55" t="s">
        <v>1315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953</v>
      </c>
      <c r="H68" s="55">
        <v>5</v>
      </c>
      <c r="I68" s="55" t="s">
        <v>1045</v>
      </c>
      <c r="J68" s="55" t="s">
        <v>1058</v>
      </c>
      <c r="L68" s="158">
        <v>120</v>
      </c>
      <c r="N68" s="55" t="s">
        <v>1316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813</v>
      </c>
      <c r="H85" s="56">
        <v>1</v>
      </c>
      <c r="I85" s="56"/>
      <c r="J85" s="56"/>
      <c r="K85" s="56"/>
      <c r="L85" s="160">
        <v>120</v>
      </c>
      <c r="M85" s="17"/>
      <c r="N85" s="56" t="s">
        <v>1317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981</v>
      </c>
      <c r="U85" s="56">
        <v>100</v>
      </c>
      <c r="V85" s="56" t="s">
        <v>985</v>
      </c>
      <c r="W85" s="56" t="s">
        <v>986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814</v>
      </c>
      <c r="H86" s="55">
        <v>3</v>
      </c>
      <c r="L86" s="158">
        <v>120</v>
      </c>
      <c r="N86" s="55" t="s">
        <v>1318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982</v>
      </c>
      <c r="U86" s="55">
        <v>200</v>
      </c>
      <c r="V86" s="55" t="s">
        <v>985</v>
      </c>
      <c r="W86" s="55" t="s">
        <v>987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815</v>
      </c>
      <c r="H87" s="55">
        <v>5</v>
      </c>
      <c r="L87" s="158">
        <v>120</v>
      </c>
      <c r="N87" s="55" t="s">
        <v>1319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982</v>
      </c>
      <c r="U87" s="55">
        <v>300</v>
      </c>
      <c r="V87" s="55" t="s">
        <v>985</v>
      </c>
      <c r="W87" s="55" t="s">
        <v>988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858</v>
      </c>
      <c r="H88" s="55">
        <v>1</v>
      </c>
      <c r="L88" s="158">
        <v>120</v>
      </c>
      <c r="N88" s="55" t="s">
        <v>1320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982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859</v>
      </c>
      <c r="H89" s="55">
        <v>3</v>
      </c>
      <c r="L89" s="158">
        <v>120</v>
      </c>
      <c r="N89" s="55" t="s">
        <v>1321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982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860</v>
      </c>
      <c r="H90" s="55">
        <v>5</v>
      </c>
      <c r="L90" s="158">
        <v>120</v>
      </c>
      <c r="N90" s="55" t="s">
        <v>1322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982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G13" sqref="G13:L1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552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558</v>
      </c>
      <c r="I3" s="55" t="s">
        <v>565</v>
      </c>
      <c r="J3" s="55" t="s">
        <v>566</v>
      </c>
      <c r="K3" s="55" t="s">
        <v>567</v>
      </c>
      <c r="L3" s="55" t="s">
        <v>572</v>
      </c>
      <c r="M3" s="55" t="s">
        <v>578</v>
      </c>
    </row>
    <row r="4" spans="1:24" s="99" customFormat="1" ht="64.5" customHeight="1" thickBot="1" x14ac:dyDescent="0.2">
      <c r="A4" s="94" t="s">
        <v>555</v>
      </c>
      <c r="B4" s="87" t="s">
        <v>650</v>
      </c>
      <c r="C4" s="103"/>
      <c r="D4" s="87"/>
      <c r="E4" s="87"/>
      <c r="F4" s="103"/>
      <c r="G4" s="90" t="s">
        <v>559</v>
      </c>
      <c r="H4" s="90" t="s">
        <v>562</v>
      </c>
      <c r="I4" s="89" t="s">
        <v>641</v>
      </c>
      <c r="J4" s="89" t="s">
        <v>642</v>
      </c>
      <c r="K4" s="89" t="s">
        <v>643</v>
      </c>
      <c r="L4" s="89" t="s">
        <v>570</v>
      </c>
      <c r="M4" s="89" t="s">
        <v>647</v>
      </c>
      <c r="N4" s="90"/>
      <c r="O4" s="100" t="s">
        <v>1327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560</v>
      </c>
      <c r="H5" s="11" t="s">
        <v>1444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1227</v>
      </c>
      <c r="H6" s="11" t="s">
        <v>1226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563</v>
      </c>
      <c r="H7" s="11" t="s">
        <v>571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561</v>
      </c>
      <c r="H8" s="11" t="s">
        <v>1445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564</v>
      </c>
      <c r="H9" s="11" t="s">
        <v>1457</v>
      </c>
      <c r="I9" s="55">
        <v>105</v>
      </c>
      <c r="J9" s="55">
        <v>85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655</v>
      </c>
      <c r="H10" s="11" t="s">
        <v>623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639</v>
      </c>
      <c r="H11" s="10" t="s">
        <v>644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640</v>
      </c>
      <c r="H12" s="10" t="s">
        <v>644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646</v>
      </c>
      <c r="H13" s="10" t="s">
        <v>648</v>
      </c>
      <c r="L13" s="55">
        <v>10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652</v>
      </c>
      <c r="H14" s="10" t="s">
        <v>653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657</v>
      </c>
      <c r="H15" s="10" t="s">
        <v>651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658</v>
      </c>
      <c r="H16" s="10" t="s">
        <v>656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659</v>
      </c>
      <c r="H17" s="10" t="s">
        <v>660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799</v>
      </c>
      <c r="H18" s="10" t="s">
        <v>800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1330</v>
      </c>
      <c r="H19" s="11" t="s">
        <v>1331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T24" sqref="T24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1453</v>
      </c>
      <c r="B3" s="91" t="s">
        <v>1454</v>
      </c>
    </row>
    <row r="4" spans="1:3" ht="45.75" customHeight="1" thickBot="1" x14ac:dyDescent="0.2">
      <c r="A4" s="91" t="s">
        <v>1455</v>
      </c>
      <c r="B4" s="91" t="s">
        <v>1456</v>
      </c>
    </row>
    <row r="5" spans="1:3" s="110" customFormat="1" x14ac:dyDescent="0.15">
      <c r="A5" s="110">
        <v>1</v>
      </c>
      <c r="B5" s="110">
        <f>C5*1000</f>
        <v>12000</v>
      </c>
      <c r="C5" s="110">
        <v>12</v>
      </c>
    </row>
    <row r="6" spans="1:3" x14ac:dyDescent="0.15">
      <c r="A6" s="91">
        <v>2</v>
      </c>
      <c r="B6" s="91">
        <f t="shared" ref="B6:B24" si="0">C6*1000</f>
        <v>7000</v>
      </c>
      <c r="C6" s="91">
        <v>7</v>
      </c>
    </row>
    <row r="7" spans="1:3" x14ac:dyDescent="0.15">
      <c r="A7" s="91">
        <v>3</v>
      </c>
      <c r="B7" s="91">
        <f t="shared" si="0"/>
        <v>4000</v>
      </c>
      <c r="C7" s="91">
        <v>4</v>
      </c>
    </row>
    <row r="8" spans="1:3" x14ac:dyDescent="0.15">
      <c r="A8" s="91">
        <v>4</v>
      </c>
      <c r="B8" s="91">
        <f t="shared" si="0"/>
        <v>3000</v>
      </c>
      <c r="C8" s="91">
        <v>3</v>
      </c>
    </row>
    <row r="9" spans="1:3" x14ac:dyDescent="0.15">
      <c r="A9" s="91">
        <v>5</v>
      </c>
      <c r="B9" s="91">
        <f t="shared" si="0"/>
        <v>1000</v>
      </c>
      <c r="C9" s="91">
        <v>1</v>
      </c>
    </row>
    <row r="10" spans="1:3" x14ac:dyDescent="0.15">
      <c r="A10" s="91">
        <v>6</v>
      </c>
      <c r="B10" s="91">
        <f t="shared" si="0"/>
        <v>500</v>
      </c>
      <c r="C10" s="91">
        <v>0.5</v>
      </c>
    </row>
    <row r="11" spans="1:3" x14ac:dyDescent="0.15">
      <c r="A11" s="91">
        <v>7</v>
      </c>
      <c r="B11" s="91">
        <f t="shared" si="0"/>
        <v>350</v>
      </c>
      <c r="C11" s="91">
        <v>0.35</v>
      </c>
    </row>
    <row r="12" spans="1:3" x14ac:dyDescent="0.15">
      <c r="A12" s="91">
        <v>8</v>
      </c>
      <c r="B12" s="91">
        <f t="shared" si="0"/>
        <v>300</v>
      </c>
      <c r="C12" s="91">
        <v>0.3</v>
      </c>
    </row>
    <row r="13" spans="1:3" x14ac:dyDescent="0.15">
      <c r="A13" s="91">
        <v>9</v>
      </c>
      <c r="B13" s="91">
        <f t="shared" si="0"/>
        <v>280</v>
      </c>
      <c r="C13" s="91">
        <v>0.28000000000000003</v>
      </c>
    </row>
    <row r="14" spans="1:3" x14ac:dyDescent="0.15">
      <c r="A14" s="91">
        <v>10</v>
      </c>
      <c r="B14" s="91">
        <f t="shared" si="0"/>
        <v>270</v>
      </c>
      <c r="C14" s="91">
        <v>0.27</v>
      </c>
    </row>
    <row r="15" spans="1:3" x14ac:dyDescent="0.15">
      <c r="A15" s="91">
        <v>11</v>
      </c>
      <c r="B15" s="91">
        <f t="shared" si="0"/>
        <v>260</v>
      </c>
      <c r="C15" s="91">
        <v>0.26</v>
      </c>
    </row>
    <row r="16" spans="1:3" x14ac:dyDescent="0.15">
      <c r="A16" s="91">
        <v>12</v>
      </c>
      <c r="B16" s="91">
        <f t="shared" si="0"/>
        <v>250</v>
      </c>
      <c r="C16" s="91">
        <v>0.25</v>
      </c>
    </row>
    <row r="17" spans="1:3" x14ac:dyDescent="0.15">
      <c r="A17" s="91">
        <v>13</v>
      </c>
      <c r="B17" s="91">
        <f t="shared" si="0"/>
        <v>240</v>
      </c>
      <c r="C17" s="91">
        <v>0.24</v>
      </c>
    </row>
    <row r="18" spans="1:3" x14ac:dyDescent="0.15">
      <c r="A18" s="91">
        <v>14</v>
      </c>
      <c r="B18" s="91">
        <f t="shared" si="0"/>
        <v>230</v>
      </c>
      <c r="C18" s="91">
        <v>0.23</v>
      </c>
    </row>
    <row r="19" spans="1:3" x14ac:dyDescent="0.15">
      <c r="A19" s="91">
        <v>15</v>
      </c>
      <c r="B19" s="91">
        <f t="shared" si="0"/>
        <v>220</v>
      </c>
      <c r="C19" s="91">
        <v>0.22</v>
      </c>
    </row>
    <row r="20" spans="1:3" x14ac:dyDescent="0.15">
      <c r="A20" s="91">
        <v>16</v>
      </c>
      <c r="B20" s="91">
        <f t="shared" si="0"/>
        <v>210</v>
      </c>
      <c r="C20" s="91">
        <v>0.21</v>
      </c>
    </row>
    <row r="21" spans="1:3" x14ac:dyDescent="0.15">
      <c r="A21" s="91">
        <v>17</v>
      </c>
      <c r="B21" s="91">
        <f t="shared" si="0"/>
        <v>200</v>
      </c>
      <c r="C21" s="91">
        <v>0.2</v>
      </c>
    </row>
    <row r="22" spans="1:3" x14ac:dyDescent="0.15">
      <c r="A22" s="91">
        <v>18</v>
      </c>
      <c r="B22" s="91">
        <f t="shared" si="0"/>
        <v>190</v>
      </c>
      <c r="C22" s="91">
        <v>0.19</v>
      </c>
    </row>
    <row r="23" spans="1:3" x14ac:dyDescent="0.15">
      <c r="A23" s="91">
        <v>19</v>
      </c>
      <c r="B23" s="91">
        <f t="shared" si="0"/>
        <v>180</v>
      </c>
      <c r="C23" s="91">
        <v>0.18</v>
      </c>
    </row>
    <row r="24" spans="1:3" x14ac:dyDescent="0.15">
      <c r="A24" s="91">
        <v>20</v>
      </c>
      <c r="B24" s="91">
        <f t="shared" si="0"/>
        <v>170</v>
      </c>
      <c r="C24" s="91">
        <v>0.17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2018-09-23T12:54:36Z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