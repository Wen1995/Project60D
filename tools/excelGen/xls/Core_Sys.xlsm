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2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J24" i="45" l="1"/>
  <c r="J23" i="45"/>
  <c r="J22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21" i="45"/>
  <c r="H22" i="45"/>
  <c r="H23" i="45"/>
  <c r="H24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AI21" i="9"/>
  <c r="BM21" i="9"/>
  <c r="C22" i="9"/>
  <c r="F22" i="9"/>
  <c r="A22" i="9"/>
  <c r="AI22" i="9"/>
  <c r="BM22" i="9"/>
  <c r="C23" i="9"/>
  <c r="F23" i="9"/>
  <c r="AI23" i="9"/>
  <c r="BM23" i="9"/>
  <c r="AO23" i="9"/>
  <c r="C24" i="9"/>
  <c r="F24" i="9"/>
  <c r="AI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AI20" i="9"/>
  <c r="F20" i="9"/>
  <c r="A20" i="9"/>
  <c r="C20" i="9"/>
  <c r="BM19" i="9"/>
  <c r="AI19" i="9"/>
  <c r="F19" i="9"/>
  <c r="C19" i="9"/>
  <c r="A19" i="9"/>
  <c r="BM18" i="9"/>
  <c r="AO18" i="9"/>
  <c r="AI18" i="9"/>
  <c r="F18" i="9"/>
  <c r="C18" i="9"/>
  <c r="BM17" i="9"/>
  <c r="AI17" i="9"/>
  <c r="F17" i="9"/>
  <c r="C17" i="9"/>
  <c r="A17" i="9"/>
  <c r="BM16" i="9"/>
  <c r="AO16" i="9"/>
  <c r="AI16" i="9"/>
  <c r="F16" i="9"/>
  <c r="A16" i="9"/>
  <c r="C16" i="9"/>
  <c r="BM15" i="9"/>
  <c r="AI15" i="9"/>
  <c r="F15" i="9"/>
  <c r="C15" i="9"/>
  <c r="A15" i="9"/>
  <c r="BM14" i="9"/>
  <c r="AO14" i="9"/>
  <c r="AI14" i="9"/>
  <c r="F14" i="9"/>
  <c r="A14" i="9"/>
  <c r="C14" i="9"/>
  <c r="BM13" i="9"/>
  <c r="AI13" i="9"/>
  <c r="F13" i="9"/>
  <c r="C13" i="9"/>
  <c r="BM12" i="9"/>
  <c r="AO12" i="9"/>
  <c r="AI12" i="9"/>
  <c r="F12" i="9"/>
  <c r="A12" i="9"/>
  <c r="C12" i="9"/>
  <c r="BM11" i="9"/>
  <c r="AI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<sst xmlns="http://schemas.openxmlformats.org/spreadsheetml/2006/main" count="5498" uniqueCount="1455">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</sst>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topLeftCell="A175" zoomScaleNormal="100" workbookViewId="0">
      <pane xSplit="12" topLeftCell="M1" activePane="topRight" state="frozen"/>
      <selection pane="topRight" activeCell="O197" sqref="O197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1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18">
        <f t="shared" ref="AE5:AE24" ca="1" si="3">ROUND(AF5,0)</f>
        <v>1050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1050</v>
      </c>
      <c r="AG5" s="178">
        <f ca="1">AE5</f>
        <v>1050</v>
      </c>
      <c r="AH5" s="76"/>
      <c r="AI5" s="18">
        <f t="shared" ref="AI5:AI68" si="4">ROUND(AJ5,0)</f>
        <v>3</v>
      </c>
      <c r="AJ5" s="17">
        <v>3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50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11">
        <f t="shared" ca="1" si="3"/>
        <v>100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100</v>
      </c>
      <c r="AG6" s="176">
        <f ca="1">AG5+AE6</f>
        <v>1150</v>
      </c>
      <c r="AI6" s="11">
        <f t="shared" si="4"/>
        <v>5</v>
      </c>
      <c r="AJ6" s="10">
        <v>5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100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150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150</v>
      </c>
      <c r="AG7" s="176">
        <f t="shared" ref="AG7:AG24" ca="1" si="9">AG6+AE7</f>
        <v>1300</v>
      </c>
      <c r="AI7" s="11">
        <f t="shared" si="4"/>
        <v>5</v>
      </c>
      <c r="AJ7" s="10">
        <v>5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150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600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600</v>
      </c>
      <c r="AG8" s="176">
        <f t="shared" ca="1" si="9"/>
        <v>1900</v>
      </c>
      <c r="AI8" s="11">
        <f t="shared" si="4"/>
        <v>10</v>
      </c>
      <c r="AJ8" s="10">
        <v>10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600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5500</v>
      </c>
      <c r="AC9" s="55">
        <v>4</v>
      </c>
      <c r="AE9" s="11">
        <f t="shared" ca="1" si="3"/>
        <v>2700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2700</v>
      </c>
      <c r="AG9" s="176">
        <f t="shared" ca="1" si="9"/>
        <v>4600</v>
      </c>
      <c r="AI9" s="11">
        <f t="shared" si="4"/>
        <v>15</v>
      </c>
      <c r="AJ9" s="10">
        <v>15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2700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5500</v>
      </c>
      <c r="AC10" s="55">
        <v>4</v>
      </c>
      <c r="AE10" s="11">
        <f t="shared" ca="1" si="3"/>
        <v>9000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9000</v>
      </c>
      <c r="AG10" s="176">
        <f t="shared" ca="1" si="9"/>
        <v>13600</v>
      </c>
      <c r="AI10" s="11">
        <f t="shared" si="4"/>
        <v>30</v>
      </c>
      <c r="AJ10" s="10">
        <v>30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9000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5500</v>
      </c>
      <c r="AC11" s="55">
        <v>4</v>
      </c>
      <c r="AE11" s="11">
        <f t="shared" ca="1" si="3"/>
        <v>20000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20000</v>
      </c>
      <c r="AG11" s="176">
        <f t="shared" ca="1" si="9"/>
        <v>33600</v>
      </c>
      <c r="AI11" s="11">
        <f t="shared" si="4"/>
        <v>300</v>
      </c>
      <c r="AJ11" s="10">
        <v>300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20000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10000</v>
      </c>
      <c r="AC12" s="55">
        <v>5</v>
      </c>
      <c r="AE12" s="11">
        <f t="shared" ca="1" si="3"/>
        <v>42000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42000</v>
      </c>
      <c r="AG12" s="176">
        <f t="shared" ca="1" si="9"/>
        <v>75600</v>
      </c>
      <c r="AI12" s="11">
        <f t="shared" si="4"/>
        <v>600</v>
      </c>
      <c r="AJ12" s="10">
        <v>600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42000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18000</v>
      </c>
      <c r="AC13" s="55">
        <v>6</v>
      </c>
      <c r="AE13" s="11">
        <f t="shared" ca="1" si="3"/>
        <v>78000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78000</v>
      </c>
      <c r="AG13" s="176">
        <f t="shared" ca="1" si="9"/>
        <v>153600</v>
      </c>
      <c r="AI13" s="11">
        <f t="shared" si="4"/>
        <v>900</v>
      </c>
      <c r="AJ13" s="10">
        <v>900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78000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50000</v>
      </c>
      <c r="AC14" s="55">
        <v>7</v>
      </c>
      <c r="AE14" s="11">
        <f t="shared" ca="1" si="3"/>
        <v>152000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152000</v>
      </c>
      <c r="AG14" s="176">
        <f t="shared" ca="1" si="9"/>
        <v>305600</v>
      </c>
      <c r="AI14" s="11">
        <f t="shared" si="4"/>
        <v>1200</v>
      </c>
      <c r="AJ14" s="10">
        <v>1200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130000</v>
      </c>
      <c r="AV14" s="11">
        <f ca="1">IFERROR(OFFSET(ITEM_RES!$A$1,MATCH(AW14,ITEM_RES!$J:$J,0)-1,0),0)</f>
        <v>211020101</v>
      </c>
      <c r="AW14" s="10" t="s">
        <v>437</v>
      </c>
      <c r="AX14" s="11">
        <v>42000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259000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259000</v>
      </c>
      <c r="AG15" s="176">
        <f t="shared" ca="1" si="9"/>
        <v>564600</v>
      </c>
      <c r="AI15" s="11">
        <f t="shared" si="4"/>
        <v>1500</v>
      </c>
      <c r="AJ15" s="10">
        <v>1500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220000</v>
      </c>
      <c r="AV15" s="11">
        <f ca="1">IFERROR(OFFSET(ITEM_RES!$A$1,MATCH(AW15,ITEM_RES!$J:$J,0)-1,0),0)</f>
        <v>211020101</v>
      </c>
      <c r="AW15" s="10" t="s">
        <v>437</v>
      </c>
      <c r="AX15" s="11">
        <v>78000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435000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435000</v>
      </c>
      <c r="AG16" s="176">
        <f t="shared" ca="1" si="9"/>
        <v>999600</v>
      </c>
      <c r="AI16" s="11">
        <f t="shared" si="4"/>
        <v>1800</v>
      </c>
      <c r="AJ16" s="10">
        <v>1800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370000</v>
      </c>
      <c r="AV16" s="11">
        <f ca="1">IFERROR(OFFSET(ITEM_RES!$A$1,MATCH(AW16,ITEM_RES!$J:$J,0)-1,0),0)</f>
        <v>211020101</v>
      </c>
      <c r="AW16" s="10" t="s">
        <v>437</v>
      </c>
      <c r="AX16" s="11">
        <v>130000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730000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730000</v>
      </c>
      <c r="AG17" s="176">
        <f t="shared" ca="1" si="9"/>
        <v>1729600</v>
      </c>
      <c r="AI17" s="11">
        <f t="shared" si="4"/>
        <v>2100</v>
      </c>
      <c r="AJ17" s="10">
        <v>2100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620000</v>
      </c>
      <c r="AV17" s="11">
        <f ca="1">IFERROR(OFFSET(ITEM_RES!$A$1,MATCH(AW17,ITEM_RES!$J:$J,0)-1,0),0)</f>
        <v>211020101</v>
      </c>
      <c r="AW17" s="10" t="s">
        <v>437</v>
      </c>
      <c r="AX17" s="11">
        <v>220000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1155000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1155000</v>
      </c>
      <c r="AG18" s="176">
        <f t="shared" ca="1" si="9"/>
        <v>2884600</v>
      </c>
      <c r="AI18" s="11">
        <f t="shared" si="4"/>
        <v>2400</v>
      </c>
      <c r="AJ18" s="10">
        <v>2400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970000</v>
      </c>
      <c r="AV18" s="11">
        <f ca="1">IFERROR(OFFSET(ITEM_RES!$A$1,MATCH(AW18,ITEM_RES!$J:$J,0)-1,0),0)</f>
        <v>211020101</v>
      </c>
      <c r="AW18" s="10" t="s">
        <v>437</v>
      </c>
      <c r="AX18" s="11">
        <v>370000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2410000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2410000</v>
      </c>
      <c r="AG19" s="176">
        <f t="shared" ca="1" si="9"/>
        <v>5294600</v>
      </c>
      <c r="AI19" s="11">
        <f t="shared" si="4"/>
        <v>2700</v>
      </c>
      <c r="AJ19" s="10">
        <v>2700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2100000</v>
      </c>
      <c r="AV19" s="11">
        <f ca="1">IFERROR(OFFSET(ITEM_RES!$A$1,MATCH(AW19,ITEM_RES!$J:$J,0)-1,0),0)</f>
        <v>211020101</v>
      </c>
      <c r="AW19" s="10" t="s">
        <v>437</v>
      </c>
      <c r="AX19" s="11">
        <v>620000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5645000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5645000</v>
      </c>
      <c r="AG20" s="176">
        <f t="shared" ca="1" si="9"/>
        <v>10939600</v>
      </c>
      <c r="AI20" s="11">
        <f t="shared" si="4"/>
        <v>3000</v>
      </c>
      <c r="AJ20" s="10">
        <v>3000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4300000</v>
      </c>
      <c r="AV20" s="11">
        <f ca="1">IFERROR(OFFSET(ITEM_RES!$A$1,MATCH(AW20,ITEM_RES!$J:$J,0)-1,0),0)</f>
        <v>211020101</v>
      </c>
      <c r="AW20" s="10" t="s">
        <v>437</v>
      </c>
      <c r="AX20" s="11">
        <v>970000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10650000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10650000</v>
      </c>
      <c r="AG21" s="176">
        <f t="shared" ca="1" si="9"/>
        <v>21589600</v>
      </c>
      <c r="AI21" s="11">
        <f t="shared" si="4"/>
        <v>3300</v>
      </c>
      <c r="AJ21" s="10">
        <v>3300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8000000</v>
      </c>
      <c r="AV21" s="11">
        <f ca="1">IFERROR(OFFSET(ITEM_RES!$A$1,MATCH(AW21,ITEM_RES!$J:$J,0)-1,0),0)</f>
        <v>211020101</v>
      </c>
      <c r="AW21" s="10" t="s">
        <v>437</v>
      </c>
      <c r="AX21" s="11">
        <v>2100000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17750000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17750000</v>
      </c>
      <c r="AG22" s="176">
        <f t="shared" ca="1" si="9"/>
        <v>39339600</v>
      </c>
      <c r="AI22" s="11">
        <f t="shared" si="4"/>
        <v>3600</v>
      </c>
      <c r="AJ22" s="10">
        <v>3600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13000000</v>
      </c>
      <c r="AV22" s="11">
        <f ca="1">IFERROR(OFFSET(ITEM_RES!$A$1,MATCH(AW22,ITEM_RES!$J:$J,0)-1,0),0)</f>
        <v>211020101</v>
      </c>
      <c r="AW22" s="10" t="s">
        <v>437</v>
      </c>
      <c r="AX22" s="11">
        <v>4300000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28000000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28000000</v>
      </c>
      <c r="AG23" s="176">
        <f t="shared" ca="1" si="9"/>
        <v>67339600</v>
      </c>
      <c r="AI23" s="11">
        <f t="shared" si="4"/>
        <v>3900</v>
      </c>
      <c r="AJ23" s="10">
        <v>3900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20000000</v>
      </c>
      <c r="AV23" s="11">
        <f ca="1">IFERROR(OFFSET(ITEM_RES!$A$1,MATCH(AW23,ITEM_RES!$J:$J,0)-1,0),0)</f>
        <v>211020101</v>
      </c>
      <c r="AW23" s="10" t="s">
        <v>437</v>
      </c>
      <c r="AX23" s="11">
        <v>8000000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44900000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44900000</v>
      </c>
      <c r="AG24" s="176">
        <f t="shared" ca="1" si="9"/>
        <v>112239600</v>
      </c>
      <c r="AI24" s="11">
        <f t="shared" si="4"/>
        <v>4200</v>
      </c>
      <c r="AJ24" s="10">
        <v>4200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32000000</v>
      </c>
      <c r="AV24" s="11">
        <f ca="1">IFERROR(OFFSET(ITEM_RES!$A$1,MATCH(AW24,ITEM_RES!$J:$J,0)-1,0),0)</f>
        <v>211020101</v>
      </c>
      <c r="AW24" s="10" t="s">
        <v>437</v>
      </c>
      <c r="AX24" s="11">
        <v>13000000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2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18000</v>
      </c>
      <c r="AC25" s="56">
        <v>6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3</v>
      </c>
      <c r="AJ25" s="17">
        <v>3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18000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5</v>
      </c>
      <c r="AJ26" s="10">
        <v>5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50000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5</v>
      </c>
      <c r="AJ27" s="10">
        <v>5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50000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10</v>
      </c>
      <c r="AJ28" s="10">
        <v>10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50000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15</v>
      </c>
      <c r="AJ29" s="10">
        <v>15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50000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30</v>
      </c>
      <c r="AJ30" s="10">
        <v>30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50000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300</v>
      </c>
      <c r="AJ31" s="10">
        <v>300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46500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46500</v>
      </c>
      <c r="AG32" s="176">
        <f t="shared" ca="1" si="11"/>
        <v>66500</v>
      </c>
      <c r="AI32" s="11">
        <f t="shared" si="4"/>
        <v>600</v>
      </c>
      <c r="AJ32" s="10">
        <v>600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9000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88000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88000</v>
      </c>
      <c r="AG33" s="176">
        <f t="shared" ca="1" si="11"/>
        <v>134500</v>
      </c>
      <c r="AI33" s="11">
        <f t="shared" si="4"/>
        <v>900</v>
      </c>
      <c r="AJ33" s="10">
        <v>900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20000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151000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151000</v>
      </c>
      <c r="AG34" s="176">
        <f t="shared" ca="1" si="11"/>
        <v>239000</v>
      </c>
      <c r="AI34" s="11">
        <f t="shared" si="4"/>
        <v>1200</v>
      </c>
      <c r="AJ34" s="10">
        <v>1200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42000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259000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259000</v>
      </c>
      <c r="AG35" s="176">
        <f t="shared" ca="1" si="11"/>
        <v>410000</v>
      </c>
      <c r="AI35" s="11">
        <f t="shared" si="4"/>
        <v>1500</v>
      </c>
      <c r="AJ35" s="10">
        <v>1500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78000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435000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435000</v>
      </c>
      <c r="AG36" s="176">
        <f t="shared" ca="1" si="11"/>
        <v>694000</v>
      </c>
      <c r="AI36" s="11">
        <f t="shared" si="4"/>
        <v>1800</v>
      </c>
      <c r="AJ36" s="10">
        <v>1800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130000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730000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730000</v>
      </c>
      <c r="AG37" s="176">
        <f t="shared" ca="1" si="11"/>
        <v>1165000</v>
      </c>
      <c r="AI37" s="11">
        <f t="shared" si="4"/>
        <v>2100</v>
      </c>
      <c r="AJ37" s="10">
        <v>2100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220000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1155000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1155000</v>
      </c>
      <c r="AG38" s="176">
        <f t="shared" ca="1" si="11"/>
        <v>1885000</v>
      </c>
      <c r="AI38" s="11">
        <f t="shared" si="4"/>
        <v>2400</v>
      </c>
      <c r="AJ38" s="10">
        <v>2400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370000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2830000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2830000</v>
      </c>
      <c r="AG39" s="176">
        <f t="shared" ca="1" si="11"/>
        <v>3985000</v>
      </c>
      <c r="AI39" s="11">
        <f t="shared" si="4"/>
        <v>2700</v>
      </c>
      <c r="AJ39" s="10">
        <v>2700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620000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5645000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5645000</v>
      </c>
      <c r="AG40" s="176">
        <f t="shared" ca="1" si="11"/>
        <v>8475000</v>
      </c>
      <c r="AI40" s="11">
        <f t="shared" si="4"/>
        <v>3000</v>
      </c>
      <c r="AJ40" s="10">
        <v>3000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970000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10650000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10650000</v>
      </c>
      <c r="AG41" s="176">
        <f t="shared" ca="1" si="11"/>
        <v>16295000</v>
      </c>
      <c r="AI41" s="11">
        <f t="shared" si="4"/>
        <v>3300</v>
      </c>
      <c r="AJ41" s="10">
        <v>3300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2100000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17750000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17750000</v>
      </c>
      <c r="AG42" s="176">
        <f t="shared" ca="1" si="11"/>
        <v>28400000</v>
      </c>
      <c r="AI42" s="11">
        <f t="shared" si="4"/>
        <v>3600</v>
      </c>
      <c r="AJ42" s="10">
        <v>3600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4300000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28000000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28000000</v>
      </c>
      <c r="AG43" s="176">
        <f t="shared" ca="1" si="11"/>
        <v>45750000</v>
      </c>
      <c r="AI43" s="11">
        <f t="shared" si="4"/>
        <v>3900</v>
      </c>
      <c r="AJ43" s="10">
        <v>3900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8000000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44900000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44900000</v>
      </c>
      <c r="AG44" s="176">
        <f t="shared" ca="1" si="11"/>
        <v>72900000</v>
      </c>
      <c r="AI44" s="11">
        <f t="shared" si="4"/>
        <v>4200</v>
      </c>
      <c r="AJ44" s="10">
        <v>4200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13000000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10000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3</v>
      </c>
      <c r="AJ45" s="17">
        <v>3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10000</v>
      </c>
      <c r="AC46" s="55">
        <v>5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5</v>
      </c>
      <c r="AJ46" s="10">
        <v>5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10000</v>
      </c>
      <c r="AC47" s="55">
        <v>5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5</v>
      </c>
      <c r="AJ47" s="10">
        <v>5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18000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10</v>
      </c>
      <c r="AJ48" s="10">
        <v>10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18000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15</v>
      </c>
      <c r="AJ49" s="10">
        <v>15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18000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30</v>
      </c>
      <c r="AJ50" s="10">
        <v>30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18000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300</v>
      </c>
      <c r="AJ51" s="10">
        <v>300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50000</v>
      </c>
      <c r="AC52" s="55">
        <v>7</v>
      </c>
      <c r="AE52" s="11">
        <f t="shared" ca="1" si="10"/>
        <v>46500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46500</v>
      </c>
      <c r="AG52" s="176">
        <f t="shared" ca="1" si="12"/>
        <v>66500</v>
      </c>
      <c r="AI52" s="11">
        <f t="shared" si="4"/>
        <v>600</v>
      </c>
      <c r="AJ52" s="10">
        <v>600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9000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50000</v>
      </c>
      <c r="AC53" s="55">
        <v>7</v>
      </c>
      <c r="AE53" s="11">
        <f t="shared" ca="1" si="10"/>
        <v>88000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88000</v>
      </c>
      <c r="AG53" s="176">
        <f t="shared" ca="1" si="12"/>
        <v>134500</v>
      </c>
      <c r="AI53" s="11">
        <f t="shared" si="4"/>
        <v>900</v>
      </c>
      <c r="AJ53" s="10">
        <v>900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20000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50000</v>
      </c>
      <c r="AC54" s="55">
        <v>7</v>
      </c>
      <c r="AE54" s="11">
        <f t="shared" ca="1" si="10"/>
        <v>151000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151000</v>
      </c>
      <c r="AG54" s="176">
        <f t="shared" ca="1" si="12"/>
        <v>239000</v>
      </c>
      <c r="AI54" s="11">
        <f t="shared" si="4"/>
        <v>1200</v>
      </c>
      <c r="AJ54" s="10">
        <v>1200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42000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50000</v>
      </c>
      <c r="AC55" s="55">
        <v>7</v>
      </c>
      <c r="AE55" s="11">
        <f t="shared" ca="1" si="10"/>
        <v>259000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259000</v>
      </c>
      <c r="AG55" s="176">
        <f t="shared" ca="1" si="12"/>
        <v>410000</v>
      </c>
      <c r="AI55" s="11">
        <f t="shared" si="4"/>
        <v>1500</v>
      </c>
      <c r="AJ55" s="10">
        <v>1500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78000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435000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435000</v>
      </c>
      <c r="AG56" s="176">
        <f t="shared" ca="1" si="12"/>
        <v>694000</v>
      </c>
      <c r="AI56" s="11">
        <f t="shared" si="4"/>
        <v>1800</v>
      </c>
      <c r="AJ56" s="10">
        <v>1800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130000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730000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730000</v>
      </c>
      <c r="AG57" s="176">
        <f t="shared" ca="1" si="12"/>
        <v>1165000</v>
      </c>
      <c r="AI57" s="11">
        <f t="shared" si="4"/>
        <v>2100</v>
      </c>
      <c r="AJ57" s="10">
        <v>2100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220000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1349000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1349000</v>
      </c>
      <c r="AG58" s="176">
        <f t="shared" ca="1" si="12"/>
        <v>2079000</v>
      </c>
      <c r="AI58" s="11">
        <f t="shared" si="4"/>
        <v>2400</v>
      </c>
      <c r="AJ58" s="10">
        <v>2400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370000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2830000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2830000</v>
      </c>
      <c r="AG59" s="176">
        <f t="shared" ca="1" si="12"/>
        <v>4179000</v>
      </c>
      <c r="AI59" s="11">
        <f t="shared" si="4"/>
        <v>2700</v>
      </c>
      <c r="AJ59" s="10">
        <v>2700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620000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5645000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5645000</v>
      </c>
      <c r="AG60" s="176">
        <f t="shared" ca="1" si="12"/>
        <v>8475000</v>
      </c>
      <c r="AI60" s="11">
        <f t="shared" si="4"/>
        <v>3000</v>
      </c>
      <c r="AJ60" s="10">
        <v>3000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970000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10650000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10650000</v>
      </c>
      <c r="AG61" s="176">
        <f t="shared" ca="1" si="12"/>
        <v>16295000</v>
      </c>
      <c r="AI61" s="11">
        <f t="shared" si="4"/>
        <v>3300</v>
      </c>
      <c r="AJ61" s="10">
        <v>3300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2100000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17750000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17750000</v>
      </c>
      <c r="AG62" s="176">
        <f t="shared" ca="1" si="12"/>
        <v>28400000</v>
      </c>
      <c r="AI62" s="11">
        <f t="shared" si="4"/>
        <v>3600</v>
      </c>
      <c r="AJ62" s="10">
        <v>3600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4300000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28000000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28000000</v>
      </c>
      <c r="AG63" s="176">
        <f t="shared" ca="1" si="12"/>
        <v>45750000</v>
      </c>
      <c r="AI63" s="11">
        <f t="shared" si="4"/>
        <v>3900</v>
      </c>
      <c r="AJ63" s="10">
        <v>3900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8000000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44900000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44900000</v>
      </c>
      <c r="AG64" s="176">
        <f t="shared" ca="1" si="12"/>
        <v>72900000</v>
      </c>
      <c r="AI64" s="11">
        <f t="shared" si="4"/>
        <v>4200</v>
      </c>
      <c r="AJ64" s="10">
        <v>4200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13000000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5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1</v>
      </c>
      <c r="AA65" s="76"/>
      <c r="AB65" s="18">
        <f ca="1">IFERROR(OFFSET(MANOR_LEVEL!$B$1,MATCH(AC65-1,MANOR_LEVEL!$A:$A,0)-1,0),0)</f>
        <v>10000</v>
      </c>
      <c r="AC65" s="56">
        <v>5</v>
      </c>
      <c r="AD65" s="76"/>
      <c r="AE65" s="18">
        <f t="shared" ca="1" si="10"/>
        <v>1150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1150</v>
      </c>
      <c r="AG65" s="178">
        <f ca="1">AE65</f>
        <v>1150</v>
      </c>
      <c r="AH65" s="76"/>
      <c r="AI65" s="18">
        <f t="shared" si="4"/>
        <v>3</v>
      </c>
      <c r="AJ65" s="17">
        <v>3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25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2</v>
      </c>
      <c r="AB66" s="11">
        <f ca="1">IFERROR(OFFSET(MANOR_LEVEL!$B$1,MATCH(AC66-1,MANOR_LEVEL!$A:$A,0)-1,0),0)</f>
        <v>10000</v>
      </c>
      <c r="AC66" s="55">
        <v>5</v>
      </c>
      <c r="AE66" s="11">
        <f t="shared" ca="1" si="10"/>
        <v>300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300</v>
      </c>
      <c r="AG66" s="176">
        <f ca="1">AE65+AE66</f>
        <v>1450</v>
      </c>
      <c r="AI66" s="11">
        <f t="shared" si="4"/>
        <v>5</v>
      </c>
      <c r="AJ66" s="10">
        <v>5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50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3</v>
      </c>
      <c r="AB67" s="11">
        <f ca="1">IFERROR(OFFSET(MANOR_LEVEL!$B$1,MATCH(AC67-1,MANOR_LEVEL!$A:$A,0)-1,0),0)</f>
        <v>10000</v>
      </c>
      <c r="AC67" s="55">
        <v>5</v>
      </c>
      <c r="AE67" s="11">
        <f t="shared" ca="1" si="10"/>
        <v>450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450</v>
      </c>
      <c r="AG67" s="176">
        <f t="shared" ref="AG67:AG84" ca="1" si="18">AE66+AE67</f>
        <v>750</v>
      </c>
      <c r="AI67" s="11">
        <f t="shared" si="4"/>
        <v>5</v>
      </c>
      <c r="AJ67" s="10">
        <v>5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75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4</v>
      </c>
      <c r="AB68" s="11">
        <f ca="1">IFERROR(OFFSET(MANOR_LEVEL!$B$1,MATCH(AC68-1,MANOR_LEVEL!$A:$A,0)-1,0),0)</f>
        <v>10000</v>
      </c>
      <c r="AC68" s="55">
        <v>5</v>
      </c>
      <c r="AE68" s="11">
        <f t="shared" ca="1" si="10"/>
        <v>1800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1800</v>
      </c>
      <c r="AG68" s="176">
        <f t="shared" ca="1" si="18"/>
        <v>2250</v>
      </c>
      <c r="AI68" s="11">
        <f t="shared" si="4"/>
        <v>10</v>
      </c>
      <c r="AJ68" s="10">
        <v>10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300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5</v>
      </c>
      <c r="AB69" s="11">
        <f ca="1">IFERROR(OFFSET(MANOR_LEVEL!$B$1,MATCH(AC69-1,MANOR_LEVEL!$A:$A,0)-1,0),0)</f>
        <v>18000</v>
      </c>
      <c r="AC69" s="55">
        <v>6</v>
      </c>
      <c r="AE69" s="11">
        <f t="shared" ca="1" si="10"/>
        <v>8100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8100</v>
      </c>
      <c r="AG69" s="176">
        <f t="shared" ca="1" si="18"/>
        <v>9900</v>
      </c>
      <c r="AI69" s="11">
        <f t="shared" ref="AI69:AI132" si="21">ROUND(AJ69,0)</f>
        <v>15</v>
      </c>
      <c r="AJ69" s="10">
        <v>15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1350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6</v>
      </c>
      <c r="AB70" s="11">
        <f ca="1">IFERROR(OFFSET(MANOR_LEVEL!$B$1,MATCH(AC70-1,MANOR_LEVEL!$A:$A,0)-1,0),0)</f>
        <v>18000</v>
      </c>
      <c r="AC70" s="55">
        <v>6</v>
      </c>
      <c r="AE70" s="11">
        <f t="shared" ca="1" si="10"/>
        <v>27000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27000</v>
      </c>
      <c r="AG70" s="176">
        <f t="shared" ca="1" si="18"/>
        <v>35100</v>
      </c>
      <c r="AI70" s="11">
        <f t="shared" si="21"/>
        <v>30</v>
      </c>
      <c r="AJ70" s="10">
        <v>30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4500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7</v>
      </c>
      <c r="AB71" s="11">
        <f ca="1">IFERROR(OFFSET(MANOR_LEVEL!$B$1,MATCH(AC71-1,MANOR_LEVEL!$A:$A,0)-1,0),0)</f>
        <v>18000</v>
      </c>
      <c r="AC71" s="55">
        <v>6</v>
      </c>
      <c r="AE71" s="11">
        <f t="shared" ca="1" si="10"/>
        <v>60000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60000</v>
      </c>
      <c r="AG71" s="176">
        <f t="shared" ca="1" si="18"/>
        <v>87000</v>
      </c>
      <c r="AI71" s="11">
        <f t="shared" si="21"/>
        <v>300</v>
      </c>
      <c r="AJ71" s="10">
        <v>300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10000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8</v>
      </c>
      <c r="AB72" s="11">
        <f ca="1">IFERROR(OFFSET(MANOR_LEVEL!$B$1,MATCH(AC72-1,MANOR_LEVEL!$A:$A,0)-1,0),0)</f>
        <v>18000</v>
      </c>
      <c r="AC72" s="55">
        <v>6</v>
      </c>
      <c r="AE72" s="11">
        <f t="shared" ca="1" si="10"/>
        <v>126000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126000</v>
      </c>
      <c r="AG72" s="176">
        <f t="shared" ca="1" si="18"/>
        <v>186000</v>
      </c>
      <c r="AI72" s="11">
        <f t="shared" si="21"/>
        <v>600</v>
      </c>
      <c r="AJ72" s="10">
        <v>600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21000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18000</v>
      </c>
      <c r="AC73" s="55">
        <v>6</v>
      </c>
      <c r="AE73" s="11">
        <f t="shared" ca="1" si="10"/>
        <v>234000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234000</v>
      </c>
      <c r="AG73" s="176">
        <f t="shared" ca="1" si="18"/>
        <v>360000</v>
      </c>
      <c r="AI73" s="11">
        <f t="shared" si="21"/>
        <v>900</v>
      </c>
      <c r="AJ73" s="10">
        <v>900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39000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50000</v>
      </c>
      <c r="AC74" s="55">
        <v>7</v>
      </c>
      <c r="AE74" s="11">
        <f t="shared" ca="1" si="10"/>
        <v>390000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390000</v>
      </c>
      <c r="AG74" s="176">
        <f t="shared" ca="1" si="18"/>
        <v>624000</v>
      </c>
      <c r="AI74" s="11">
        <f t="shared" si="21"/>
        <v>1200</v>
      </c>
      <c r="AJ74" s="10">
        <v>1200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65000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661000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661000</v>
      </c>
      <c r="AG75" s="176">
        <f t="shared" ca="1" si="18"/>
        <v>1051000</v>
      </c>
      <c r="AI75" s="11">
        <f t="shared" si="21"/>
        <v>1500</v>
      </c>
      <c r="AJ75" s="10">
        <v>1500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110000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1110000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1110000</v>
      </c>
      <c r="AG76" s="176">
        <f t="shared" ca="1" si="18"/>
        <v>1771000</v>
      </c>
      <c r="AI76" s="11">
        <f t="shared" si="21"/>
        <v>1800</v>
      </c>
      <c r="AJ76" s="10">
        <v>1800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185000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1860000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1860000</v>
      </c>
      <c r="AG77" s="176">
        <f t="shared" ca="1" si="18"/>
        <v>2970000</v>
      </c>
      <c r="AI77" s="11">
        <f t="shared" si="21"/>
        <v>2100</v>
      </c>
      <c r="AJ77" s="10">
        <v>2100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310000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3880000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3880000</v>
      </c>
      <c r="AG78" s="176">
        <f t="shared" ca="1" si="18"/>
        <v>5740000</v>
      </c>
      <c r="AI78" s="11">
        <f t="shared" si="21"/>
        <v>2400</v>
      </c>
      <c r="AJ78" s="10">
        <v>2400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485000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8400000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8400000</v>
      </c>
      <c r="AG79" s="176">
        <f t="shared" ca="1" si="18"/>
        <v>12280000</v>
      </c>
      <c r="AI79" s="11">
        <f t="shared" si="21"/>
        <v>2700</v>
      </c>
      <c r="AJ79" s="10">
        <v>2700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1050000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17200000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17200000</v>
      </c>
      <c r="AG80" s="176">
        <f t="shared" ca="1" si="18"/>
        <v>25600000</v>
      </c>
      <c r="AI80" s="11">
        <f t="shared" si="21"/>
        <v>3000</v>
      </c>
      <c r="AJ80" s="10">
        <v>3000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2150000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32000000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32000000</v>
      </c>
      <c r="AG81" s="176">
        <f t="shared" ca="1" si="18"/>
        <v>49200000</v>
      </c>
      <c r="AI81" s="11">
        <f t="shared" si="21"/>
        <v>3300</v>
      </c>
      <c r="AJ81" s="10">
        <v>3300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4000000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52000000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52000000</v>
      </c>
      <c r="AG82" s="176">
        <f t="shared" ca="1" si="18"/>
        <v>84000000</v>
      </c>
      <c r="AI82" s="11">
        <f t="shared" si="21"/>
        <v>3600</v>
      </c>
      <c r="AJ82" s="10">
        <v>3600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6500000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80000000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80000000</v>
      </c>
      <c r="AG83" s="176">
        <f t="shared" ca="1" si="18"/>
        <v>132000000</v>
      </c>
      <c r="AI83" s="11">
        <f t="shared" si="21"/>
        <v>3900</v>
      </c>
      <c r="AJ83" s="10">
        <v>3900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10000000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128000000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128000000</v>
      </c>
      <c r="AG84" s="176">
        <f t="shared" ca="1" si="18"/>
        <v>208000000</v>
      </c>
      <c r="AI84" s="11">
        <f t="shared" si="21"/>
        <v>4200</v>
      </c>
      <c r="AJ84" s="10">
        <v>4200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16000000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1325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1325</v>
      </c>
      <c r="AG85" s="178">
        <f ca="1">AE85</f>
        <v>1325</v>
      </c>
      <c r="AH85" s="76"/>
      <c r="AI85" s="18">
        <f t="shared" si="21"/>
        <v>3</v>
      </c>
      <c r="AJ85" s="17">
        <v>3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650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650</v>
      </c>
      <c r="AG86" s="176">
        <f ca="1">AE85+AE86</f>
        <v>1975</v>
      </c>
      <c r="AI86" s="11">
        <f t="shared" si="21"/>
        <v>5</v>
      </c>
      <c r="AJ86" s="10">
        <v>5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975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975</v>
      </c>
      <c r="AG87" s="176">
        <f t="shared" ref="AG87:AG104" ca="1" si="40">AE86+AE87</f>
        <v>1625</v>
      </c>
      <c r="AI87" s="11">
        <f t="shared" si="21"/>
        <v>5</v>
      </c>
      <c r="AJ87" s="10">
        <v>5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3900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3900</v>
      </c>
      <c r="AG88" s="176">
        <f t="shared" ca="1" si="40"/>
        <v>4875</v>
      </c>
      <c r="AI88" s="11">
        <f t="shared" si="21"/>
        <v>10</v>
      </c>
      <c r="AJ88" s="10">
        <v>10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17550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17550</v>
      </c>
      <c r="AG89" s="176">
        <f t="shared" ca="1" si="40"/>
        <v>21450</v>
      </c>
      <c r="AI89" s="11">
        <f t="shared" si="21"/>
        <v>15</v>
      </c>
      <c r="AJ89" s="10">
        <v>15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58500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58500</v>
      </c>
      <c r="AG90" s="176">
        <f t="shared" ca="1" si="40"/>
        <v>76050</v>
      </c>
      <c r="AI90" s="11">
        <f t="shared" si="21"/>
        <v>30</v>
      </c>
      <c r="AJ90" s="10">
        <v>30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112500</v>
      </c>
      <c r="AI91" s="11">
        <f t="shared" si="21"/>
        <v>300</v>
      </c>
      <c r="AJ91" s="10">
        <v>300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600</v>
      </c>
      <c r="AJ92" s="10">
        <v>600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900</v>
      </c>
      <c r="AJ93" s="10">
        <v>900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1200</v>
      </c>
      <c r="AJ94" s="10">
        <v>1200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1500</v>
      </c>
      <c r="AJ95" s="10">
        <v>1500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1800</v>
      </c>
      <c r="AJ96" s="10">
        <v>1800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2100</v>
      </c>
      <c r="AJ97" s="10">
        <v>2100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2400</v>
      </c>
      <c r="AJ98" s="10">
        <v>2400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2700</v>
      </c>
      <c r="AJ99" s="10">
        <v>2700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3000</v>
      </c>
      <c r="AJ100" s="10">
        <v>3000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3300</v>
      </c>
      <c r="AJ101" s="10">
        <v>3300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3600</v>
      </c>
      <c r="AJ102" s="10">
        <v>3600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3900</v>
      </c>
      <c r="AJ103" s="10">
        <v>3900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4200</v>
      </c>
      <c r="AJ104" s="10">
        <v>4200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5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1160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1160</v>
      </c>
      <c r="AG105" s="178">
        <f ca="1">AE105</f>
        <v>1160</v>
      </c>
      <c r="AH105" s="76"/>
      <c r="AI105" s="18">
        <f t="shared" si="21"/>
        <v>3</v>
      </c>
      <c r="AJ105" s="17">
        <v>3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320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320</v>
      </c>
      <c r="AG106" s="176">
        <f ca="1">AE105+AE106</f>
        <v>1480</v>
      </c>
      <c r="AI106" s="11">
        <f t="shared" si="21"/>
        <v>5</v>
      </c>
      <c r="AJ106" s="10">
        <v>5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480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480</v>
      </c>
      <c r="AG107" s="176">
        <f t="shared" ref="AG107:AG124" ca="1" si="47">AE106+AE107</f>
        <v>800</v>
      </c>
      <c r="AI107" s="11">
        <f t="shared" si="21"/>
        <v>5</v>
      </c>
      <c r="AJ107" s="10">
        <v>5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1920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1920</v>
      </c>
      <c r="AG108" s="176">
        <f t="shared" ca="1" si="47"/>
        <v>2400</v>
      </c>
      <c r="AI108" s="11">
        <f t="shared" si="21"/>
        <v>10</v>
      </c>
      <c r="AJ108" s="10">
        <v>10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8640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8640</v>
      </c>
      <c r="AG109" s="176">
        <f t="shared" ca="1" si="47"/>
        <v>10560</v>
      </c>
      <c r="AI109" s="11">
        <f t="shared" si="21"/>
        <v>15</v>
      </c>
      <c r="AJ109" s="10">
        <v>15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28800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28800</v>
      </c>
      <c r="AG110" s="176">
        <f t="shared" ca="1" si="47"/>
        <v>37440</v>
      </c>
      <c r="AI110" s="11">
        <f t="shared" si="21"/>
        <v>30</v>
      </c>
      <c r="AJ110" s="10">
        <v>30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64000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64000</v>
      </c>
      <c r="AG111" s="176">
        <f t="shared" ca="1" si="47"/>
        <v>92800</v>
      </c>
      <c r="AI111" s="11">
        <f t="shared" si="21"/>
        <v>300</v>
      </c>
      <c r="AJ111" s="10">
        <v>300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134400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134400</v>
      </c>
      <c r="AG112" s="176">
        <f t="shared" ca="1" si="47"/>
        <v>198400</v>
      </c>
      <c r="AI112" s="11">
        <f t="shared" si="21"/>
        <v>600</v>
      </c>
      <c r="AJ112" s="10">
        <v>600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249600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249600</v>
      </c>
      <c r="AG113" s="176">
        <f t="shared" ca="1" si="47"/>
        <v>384000</v>
      </c>
      <c r="AI113" s="11">
        <f t="shared" si="21"/>
        <v>900</v>
      </c>
      <c r="AJ113" s="10">
        <v>900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416000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416000</v>
      </c>
      <c r="AG114" s="176">
        <f t="shared" ca="1" si="47"/>
        <v>665600</v>
      </c>
      <c r="AI114" s="11">
        <f t="shared" si="21"/>
        <v>1200</v>
      </c>
      <c r="AJ114" s="10">
        <v>1200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785600</v>
      </c>
      <c r="AI115" s="11">
        <f t="shared" si="21"/>
        <v>1500</v>
      </c>
      <c r="AJ115" s="10">
        <v>1500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1800</v>
      </c>
      <c r="AJ116" s="10">
        <v>1800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2100</v>
      </c>
      <c r="AJ117" s="10">
        <v>2100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2400</v>
      </c>
      <c r="AJ118" s="10">
        <v>2400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2700</v>
      </c>
      <c r="AJ119" s="10">
        <v>2700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3000</v>
      </c>
      <c r="AJ120" s="10">
        <v>3000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3300</v>
      </c>
      <c r="AJ121" s="10">
        <v>3300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3600</v>
      </c>
      <c r="AJ122" s="10">
        <v>3600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3900</v>
      </c>
      <c r="AJ123" s="10">
        <v>3900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4200</v>
      </c>
      <c r="AJ124" s="10">
        <v>4200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3</v>
      </c>
      <c r="AJ125" s="17">
        <v>3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800</v>
      </c>
      <c r="AC126" s="55">
        <v>2</v>
      </c>
      <c r="AE126" s="11">
        <f t="shared" ca="1" si="45"/>
        <v>10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10</v>
      </c>
      <c r="AG126" s="176">
        <f ca="1">AE125+AE126</f>
        <v>1015</v>
      </c>
      <c r="AI126" s="11">
        <f t="shared" si="21"/>
        <v>5</v>
      </c>
      <c r="AJ126" s="10">
        <v>5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2300</v>
      </c>
      <c r="AC127" s="55">
        <v>3</v>
      </c>
      <c r="AE127" s="11">
        <f t="shared" ca="1" si="45"/>
        <v>15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15</v>
      </c>
      <c r="AG127" s="176">
        <f t="shared" ref="AG127:AG144" ca="1" si="48">AE126+AE127</f>
        <v>25</v>
      </c>
      <c r="AI127" s="11">
        <f t="shared" si="21"/>
        <v>5</v>
      </c>
      <c r="AJ127" s="10">
        <v>5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15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2300</v>
      </c>
      <c r="AC128" s="55">
        <v>3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75</v>
      </c>
      <c r="AI128" s="11">
        <f t="shared" si="21"/>
        <v>10</v>
      </c>
      <c r="AJ128" s="10">
        <v>10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5500</v>
      </c>
      <c r="AC129" s="55">
        <v>4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15</v>
      </c>
      <c r="AJ129" s="10">
        <v>15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5500</v>
      </c>
      <c r="AC130" s="55">
        <v>4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30</v>
      </c>
      <c r="AJ130" s="10">
        <v>30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5500</v>
      </c>
      <c r="AC131" s="55">
        <v>4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300</v>
      </c>
      <c r="AJ131" s="10">
        <v>300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10000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600</v>
      </c>
      <c r="AJ132" s="10">
        <v>600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18000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900</v>
      </c>
      <c r="AJ133" s="10">
        <v>900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50000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1200</v>
      </c>
      <c r="AJ134" s="10">
        <v>1200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1500</v>
      </c>
      <c r="AJ135" s="10">
        <v>1500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1800</v>
      </c>
      <c r="AJ136" s="10">
        <v>1800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2100</v>
      </c>
      <c r="AJ137" s="10">
        <v>2100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2400</v>
      </c>
      <c r="AJ138" s="10">
        <v>2400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2700</v>
      </c>
      <c r="AJ139" s="10">
        <v>2700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3000</v>
      </c>
      <c r="AJ140" s="10">
        <v>3000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3300</v>
      </c>
      <c r="AJ141" s="10">
        <v>3300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3600</v>
      </c>
      <c r="AJ142" s="10">
        <v>3600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3900</v>
      </c>
      <c r="AJ143" s="10">
        <v>3900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4200</v>
      </c>
      <c r="AJ144" s="10">
        <v>4200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3</v>
      </c>
      <c r="AJ145" s="17">
        <v>3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5</v>
      </c>
      <c r="AJ146" s="10">
        <v>5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5</v>
      </c>
      <c r="AJ147" s="10">
        <v>5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10</v>
      </c>
      <c r="AJ148" s="10">
        <v>10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15</v>
      </c>
      <c r="AJ149" s="10">
        <v>15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30</v>
      </c>
      <c r="AJ150" s="10">
        <v>30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300</v>
      </c>
      <c r="AJ151" s="10">
        <v>300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600</v>
      </c>
      <c r="AJ152" s="10">
        <v>600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900</v>
      </c>
      <c r="AJ153" s="10">
        <v>900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1200</v>
      </c>
      <c r="AJ154" s="10">
        <v>1200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1500</v>
      </c>
      <c r="AJ155" s="10">
        <v>1500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1800</v>
      </c>
      <c r="AJ156" s="10">
        <v>1800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2100</v>
      </c>
      <c r="AJ157" s="10">
        <v>2100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2400</v>
      </c>
      <c r="AJ158" s="10">
        <v>2400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1381734400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2700</v>
      </c>
      <c r="AJ159" s="10">
        <v>2700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1381734400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3000</v>
      </c>
      <c r="AJ160" s="10">
        <v>3000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1381734400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3300</v>
      </c>
      <c r="AJ161" s="10">
        <v>3300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1381734400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3600</v>
      </c>
      <c r="AJ162" s="10">
        <v>3600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1381734400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3900</v>
      </c>
      <c r="AJ163" s="10">
        <v>3900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3186507600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4200</v>
      </c>
      <c r="AJ164" s="10">
        <v>4200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3</v>
      </c>
      <c r="AJ165" s="17">
        <v>3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5</v>
      </c>
      <c r="AJ166" s="10">
        <v>5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5</v>
      </c>
      <c r="AJ167" s="10">
        <v>5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10</v>
      </c>
      <c r="AJ168" s="10">
        <v>10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15</v>
      </c>
      <c r="AJ169" s="10">
        <v>15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30</v>
      </c>
      <c r="AJ170" s="10">
        <v>30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300</v>
      </c>
      <c r="AJ171" s="10">
        <v>300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600</v>
      </c>
      <c r="AJ172" s="10">
        <v>600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900</v>
      </c>
      <c r="AJ173" s="10">
        <v>900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1200</v>
      </c>
      <c r="AJ174" s="10">
        <v>1200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1500</v>
      </c>
      <c r="AJ175" s="10">
        <v>1500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1800</v>
      </c>
      <c r="AJ176" s="10">
        <v>1800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2100</v>
      </c>
      <c r="AJ177" s="10">
        <v>2100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2400</v>
      </c>
      <c r="AJ178" s="10">
        <v>2400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2700</v>
      </c>
      <c r="AJ179" s="10">
        <v>2700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3000</v>
      </c>
      <c r="AJ180" s="10">
        <v>3000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3300</v>
      </c>
      <c r="AJ181" s="10">
        <v>3300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3600</v>
      </c>
      <c r="AJ182" s="10">
        <v>3600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3900</v>
      </c>
      <c r="AJ183" s="10">
        <v>3900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4200</v>
      </c>
      <c r="AJ184" s="10">
        <v>4200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6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18000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3</v>
      </c>
      <c r="AJ185" s="17">
        <v>3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18000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5</v>
      </c>
      <c r="AJ186" s="10">
        <v>5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5</v>
      </c>
      <c r="AJ187" s="10">
        <v>5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10</v>
      </c>
      <c r="AJ188" s="10">
        <v>10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15</v>
      </c>
      <c r="AJ189" s="10">
        <v>15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30</v>
      </c>
      <c r="AJ190" s="10">
        <v>30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300</v>
      </c>
      <c r="AJ191" s="10">
        <v>300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600</v>
      </c>
      <c r="AJ192" s="10">
        <v>600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900</v>
      </c>
      <c r="AJ193" s="10">
        <v>900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1200</v>
      </c>
      <c r="AJ194" s="10">
        <v>1200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1500</v>
      </c>
      <c r="AJ195" s="10">
        <v>1500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1381734400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1800</v>
      </c>
      <c r="AJ196" s="10">
        <v>1800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1381734400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2100</v>
      </c>
      <c r="AJ197" s="10">
        <v>2100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1381734400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2400</v>
      </c>
      <c r="AJ198" s="10">
        <v>2400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1381734400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2700</v>
      </c>
      <c r="AJ199" s="10">
        <v>2700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1381734400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3000</v>
      </c>
      <c r="AJ200" s="10">
        <v>3000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1381734400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3300</v>
      </c>
      <c r="AJ201" s="10">
        <v>3300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1381734400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3600</v>
      </c>
      <c r="AJ202" s="10">
        <v>3600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1381734400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3900</v>
      </c>
      <c r="AJ203" s="10">
        <v>3900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1381734400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4200</v>
      </c>
      <c r="AJ204" s="10">
        <v>4200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6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10000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3</v>
      </c>
      <c r="AJ205" s="17">
        <v>3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10000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5</v>
      </c>
      <c r="AJ206" s="10">
        <v>5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10000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5</v>
      </c>
      <c r="AJ207" s="10">
        <v>5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18000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10</v>
      </c>
      <c r="AJ208" s="10">
        <v>10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18000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15</v>
      </c>
      <c r="AJ209" s="10">
        <v>15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18000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30</v>
      </c>
      <c r="AJ210" s="10">
        <v>30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18000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300</v>
      </c>
      <c r="AJ211" s="10">
        <v>300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18000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600</v>
      </c>
      <c r="AJ212" s="10">
        <v>600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18000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900</v>
      </c>
      <c r="AJ213" s="10">
        <v>900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18000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1200</v>
      </c>
      <c r="AJ214" s="10">
        <v>1200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1500</v>
      </c>
      <c r="AJ215" s="10">
        <v>1500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1800</v>
      </c>
      <c r="AJ216" s="10">
        <v>1800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2100</v>
      </c>
      <c r="AJ217" s="10">
        <v>2100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2400</v>
      </c>
      <c r="AJ218" s="10">
        <v>2400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2700</v>
      </c>
      <c r="AJ219" s="10">
        <v>2700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3000</v>
      </c>
      <c r="AJ220" s="10">
        <v>3000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3300</v>
      </c>
      <c r="AJ221" s="10">
        <v>3300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3600</v>
      </c>
      <c r="AJ222" s="10">
        <v>3600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3900</v>
      </c>
      <c r="AJ223" s="10">
        <v>3900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4200</v>
      </c>
      <c r="AJ224" s="10">
        <v>4200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1090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1090</v>
      </c>
      <c r="AG225" s="178">
        <f ca="1">AE225</f>
        <v>1090</v>
      </c>
      <c r="AH225" s="76"/>
      <c r="AI225" s="18">
        <f t="shared" si="49"/>
        <v>3</v>
      </c>
      <c r="AJ225" s="17">
        <v>3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20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1270</v>
      </c>
      <c r="AI226" s="11">
        <f t="shared" si="49"/>
        <v>5</v>
      </c>
      <c r="AJ226" s="10">
        <v>5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5</v>
      </c>
      <c r="AJ227" s="10">
        <v>5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10</v>
      </c>
      <c r="AJ228" s="10">
        <v>10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15</v>
      </c>
      <c r="AJ229" s="10">
        <v>15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30</v>
      </c>
      <c r="AJ230" s="10">
        <v>30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300</v>
      </c>
      <c r="AJ231" s="10">
        <v>300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10000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600</v>
      </c>
      <c r="AJ232" s="10">
        <v>600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18000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900</v>
      </c>
      <c r="AJ233" s="10">
        <v>900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50000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1200</v>
      </c>
      <c r="AJ234" s="10">
        <v>1200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1500</v>
      </c>
      <c r="AJ235" s="10">
        <v>1500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1800</v>
      </c>
      <c r="AJ236" s="10">
        <v>1800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2100</v>
      </c>
      <c r="AJ237" s="10">
        <v>2100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2400</v>
      </c>
      <c r="AJ238" s="10">
        <v>2400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2700</v>
      </c>
      <c r="AJ239" s="10">
        <v>2700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3000</v>
      </c>
      <c r="AJ240" s="10">
        <v>3000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3300</v>
      </c>
      <c r="AJ241" s="10">
        <v>3300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3600</v>
      </c>
      <c r="AJ242" s="10">
        <v>3600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3900</v>
      </c>
      <c r="AJ243" s="10">
        <v>3900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4200</v>
      </c>
      <c r="AJ244" s="10">
        <v>4200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3186507600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3</v>
      </c>
      <c r="AJ245" s="17">
        <v>3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3186507600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5</v>
      </c>
      <c r="AJ246" s="10">
        <v>5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3186507600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5</v>
      </c>
      <c r="AJ247" s="10">
        <v>5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3186507600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10</v>
      </c>
      <c r="AJ248" s="10">
        <v>10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3186507600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15</v>
      </c>
      <c r="AJ249" s="10">
        <v>15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3186507600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30</v>
      </c>
      <c r="AJ250" s="10">
        <v>30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3186507600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300</v>
      </c>
      <c r="AJ251" s="10">
        <v>300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3186507600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600</v>
      </c>
      <c r="AJ252" s="10">
        <v>600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3186507600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900</v>
      </c>
      <c r="AJ253" s="10">
        <v>900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3186507600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1200</v>
      </c>
      <c r="AJ254" s="10">
        <v>1200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3186507600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1500</v>
      </c>
      <c r="AJ255" s="10">
        <v>1500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3186507600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1800</v>
      </c>
      <c r="AJ256" s="10">
        <v>1800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3186507600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2100</v>
      </c>
      <c r="AJ257" s="10">
        <v>2100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3186507600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2400</v>
      </c>
      <c r="AJ258" s="10">
        <v>2400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3186507600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2700</v>
      </c>
      <c r="AJ259" s="10">
        <v>2700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3186507600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3000</v>
      </c>
      <c r="AJ260" s="10">
        <v>3000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3186507600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3300</v>
      </c>
      <c r="AJ261" s="10">
        <v>3300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3186507600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3600</v>
      </c>
      <c r="AJ262" s="10">
        <v>3600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3186507600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3900</v>
      </c>
      <c r="AJ263" s="10">
        <v>3900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3186507600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4200</v>
      </c>
      <c r="AJ264" s="10">
        <v>4200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12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5454507600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3</v>
      </c>
      <c r="AJ265" s="17">
        <v>3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5454507600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5</v>
      </c>
      <c r="AJ266" s="10">
        <v>5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5454507600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5</v>
      </c>
      <c r="AJ267" s="10">
        <v>5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5454507600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10</v>
      </c>
      <c r="AJ268" s="10">
        <v>10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5454507600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15</v>
      </c>
      <c r="AJ269" s="10">
        <v>15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5454507600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30</v>
      </c>
      <c r="AJ270" s="10">
        <v>30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5454507600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300</v>
      </c>
      <c r="AJ271" s="10">
        <v>300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5454507600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600</v>
      </c>
      <c r="AJ272" s="10">
        <v>600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5454507600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900</v>
      </c>
      <c r="AJ273" s="10">
        <v>900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5454507600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1200</v>
      </c>
      <c r="AJ274" s="10">
        <v>1200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5454507600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1500</v>
      </c>
      <c r="AJ275" s="10">
        <v>1500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5454507600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1800</v>
      </c>
      <c r="AJ276" s="10">
        <v>1800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5454507600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2100</v>
      </c>
      <c r="AJ277" s="10">
        <v>2100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5454507600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2400</v>
      </c>
      <c r="AJ278" s="10">
        <v>2400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5454507600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2700</v>
      </c>
      <c r="AJ279" s="10">
        <v>2700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5454507600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3000</v>
      </c>
      <c r="AJ280" s="10">
        <v>3000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5454507600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3300</v>
      </c>
      <c r="AJ281" s="10">
        <v>3300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5454507600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3600</v>
      </c>
      <c r="AJ282" s="10">
        <v>3600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5454507600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3900</v>
      </c>
      <c r="AJ283" s="10">
        <v>3900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5454507600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4200</v>
      </c>
      <c r="AJ284" s="10">
        <v>4200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10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5454507600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3</v>
      </c>
      <c r="AJ285" s="17">
        <v>3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5454507600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5</v>
      </c>
      <c r="AJ286" s="10">
        <v>5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5454507600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5</v>
      </c>
      <c r="AJ287" s="10">
        <v>5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5454507600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10</v>
      </c>
      <c r="AJ288" s="10">
        <v>10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5454507600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15</v>
      </c>
      <c r="AJ289" s="10">
        <v>15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5454507600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30</v>
      </c>
      <c r="AJ290" s="10">
        <v>30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5454507600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300</v>
      </c>
      <c r="AJ291" s="10">
        <v>300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5454507600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600</v>
      </c>
      <c r="AJ292" s="10">
        <v>600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5454507600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900</v>
      </c>
      <c r="AJ293" s="10">
        <v>900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5454507600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1200</v>
      </c>
      <c r="AJ294" s="10">
        <v>1200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5454507600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1500</v>
      </c>
      <c r="AJ295" s="10">
        <v>1500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5454507600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1800</v>
      </c>
      <c r="AJ296" s="10">
        <v>1800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5454507600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2100</v>
      </c>
      <c r="AJ297" s="10">
        <v>2100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5454507600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2400</v>
      </c>
      <c r="AJ298" s="10">
        <v>2400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5454507600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2700</v>
      </c>
      <c r="AJ299" s="10">
        <v>2700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5454507600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3000</v>
      </c>
      <c r="AJ300" s="10">
        <v>3000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5454507600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3300</v>
      </c>
      <c r="AJ301" s="10">
        <v>3300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5454507600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3600</v>
      </c>
      <c r="AJ302" s="10">
        <v>3600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5454507600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3900</v>
      </c>
      <c r="AJ303" s="10">
        <v>3900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5454507600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4200</v>
      </c>
      <c r="AJ304" s="10">
        <v>4200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5454507600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3</v>
      </c>
      <c r="AJ305" s="17">
        <v>3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5454507600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5</v>
      </c>
      <c r="AJ306" s="10">
        <v>5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5454507600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5</v>
      </c>
      <c r="AJ307" s="10">
        <v>5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5454507600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10</v>
      </c>
      <c r="AJ308" s="10">
        <v>10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5454507600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15</v>
      </c>
      <c r="AJ309" s="10">
        <v>15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5454507600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30</v>
      </c>
      <c r="AJ310" s="10">
        <v>30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5454507600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300</v>
      </c>
      <c r="AJ311" s="10">
        <v>300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5454507600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600</v>
      </c>
      <c r="AJ312" s="10">
        <v>600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5454507600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900</v>
      </c>
      <c r="AJ313" s="10">
        <v>900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5454507600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1200</v>
      </c>
      <c r="AJ314" s="10">
        <v>1200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5454507600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1500</v>
      </c>
      <c r="AJ315" s="10">
        <v>1500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5454507600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1800</v>
      </c>
      <c r="AJ316" s="10">
        <v>1800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5454507600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2100</v>
      </c>
      <c r="AJ317" s="10">
        <v>2100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5454507600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2400</v>
      </c>
      <c r="AJ318" s="10">
        <v>2400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5454507600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2700</v>
      </c>
      <c r="AJ319" s="10">
        <v>2700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5454507600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3000</v>
      </c>
      <c r="AJ320" s="10">
        <v>3000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5454507600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3300</v>
      </c>
      <c r="AJ321" s="10">
        <v>3300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5454507600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3600</v>
      </c>
      <c r="AJ322" s="10">
        <v>3600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5454507600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3900</v>
      </c>
      <c r="AJ323" s="10">
        <v>3900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5454507600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4200</v>
      </c>
      <c r="AJ324" s="10">
        <v>4200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10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3</v>
      </c>
      <c r="AJ325" s="17">
        <v>3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5</v>
      </c>
      <c r="AJ326" s="10">
        <v>5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5</v>
      </c>
      <c r="AJ327" s="10">
        <v>5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10</v>
      </c>
      <c r="AJ328" s="10">
        <v>10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15</v>
      </c>
      <c r="AJ329" s="10">
        <v>15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30</v>
      </c>
      <c r="AJ330" s="10">
        <v>30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300</v>
      </c>
      <c r="AJ331" s="10">
        <v>300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600</v>
      </c>
      <c r="AJ332" s="10">
        <v>600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900</v>
      </c>
      <c r="AJ333" s="10">
        <v>900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1200</v>
      </c>
      <c r="AJ334" s="10">
        <v>1200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1500</v>
      </c>
      <c r="AJ335" s="10">
        <v>1500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1800</v>
      </c>
      <c r="AJ336" s="10">
        <v>1800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2100</v>
      </c>
      <c r="AJ337" s="10">
        <v>2100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2400</v>
      </c>
      <c r="AJ338" s="10">
        <v>2400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2700</v>
      </c>
      <c r="AJ339" s="10">
        <v>2700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3000</v>
      </c>
      <c r="AJ340" s="10">
        <v>3000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3300</v>
      </c>
      <c r="AJ341" s="10">
        <v>3300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3600</v>
      </c>
      <c r="AJ342" s="10">
        <v>3600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3900</v>
      </c>
      <c r="AJ343" s="10">
        <v>3900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4200</v>
      </c>
      <c r="AJ344" s="10">
        <v>4200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10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3</v>
      </c>
      <c r="AJ345" s="17">
        <v>3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5</v>
      </c>
      <c r="AJ346" s="10">
        <v>5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5</v>
      </c>
      <c r="AJ347" s="10">
        <v>5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10</v>
      </c>
      <c r="AJ348" s="10">
        <v>10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15</v>
      </c>
      <c r="AJ349" s="10">
        <v>15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30</v>
      </c>
      <c r="AJ350" s="10">
        <v>30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300</v>
      </c>
      <c r="AJ351" s="10">
        <v>300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600</v>
      </c>
      <c r="AJ352" s="10">
        <v>600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900</v>
      </c>
      <c r="AJ353" s="10">
        <v>900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1200</v>
      </c>
      <c r="AJ354" s="10">
        <v>1200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1500</v>
      </c>
      <c r="AJ355" s="10">
        <v>1500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1800</v>
      </c>
      <c r="AJ356" s="10">
        <v>1800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2100</v>
      </c>
      <c r="AJ357" s="10">
        <v>2100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2400</v>
      </c>
      <c r="AJ358" s="10">
        <v>2400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2700</v>
      </c>
      <c r="AJ359" s="10">
        <v>2700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3000</v>
      </c>
      <c r="AJ360" s="10">
        <v>3000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3300</v>
      </c>
      <c r="AJ361" s="10">
        <v>3300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3600</v>
      </c>
      <c r="AJ362" s="10">
        <v>3600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3900</v>
      </c>
      <c r="AJ363" s="10">
        <v>3900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4200</v>
      </c>
      <c r="AJ364" s="10">
        <v>4200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3</v>
      </c>
      <c r="AJ365" s="17">
        <v>3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800</v>
      </c>
      <c r="AC366" s="55">
        <v>2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5</v>
      </c>
      <c r="AJ366" s="10">
        <v>5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5</v>
      </c>
      <c r="AJ367" s="10">
        <v>5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10</v>
      </c>
      <c r="AJ368" s="10">
        <v>10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5500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15</v>
      </c>
      <c r="AJ369" s="10">
        <v>15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5500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30</v>
      </c>
      <c r="AJ370" s="10">
        <v>30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5500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300</v>
      </c>
      <c r="AJ371" s="10">
        <v>300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10000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600</v>
      </c>
      <c r="AJ372" s="10">
        <v>600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18000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900</v>
      </c>
      <c r="AJ373" s="10">
        <v>900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50000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1200</v>
      </c>
      <c r="AJ374" s="10">
        <v>1200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1500</v>
      </c>
      <c r="AJ375" s="10">
        <v>1500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1800</v>
      </c>
      <c r="AJ376" s="10">
        <v>1800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2100</v>
      </c>
      <c r="AJ377" s="10">
        <v>2100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2400</v>
      </c>
      <c r="AJ378" s="10">
        <v>2400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2700</v>
      </c>
      <c r="AJ379" s="10">
        <v>2700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3000</v>
      </c>
      <c r="AJ380" s="10">
        <v>3000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3300</v>
      </c>
      <c r="AJ381" s="10">
        <v>3300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3600</v>
      </c>
      <c r="AJ382" s="10">
        <v>3600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3900</v>
      </c>
      <c r="AJ383" s="10">
        <v>3900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4200</v>
      </c>
      <c r="AJ384" s="10">
        <v>4200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3</v>
      </c>
      <c r="AJ385" s="17">
        <v>3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5</v>
      </c>
      <c r="AJ386" s="10">
        <v>5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5</v>
      </c>
      <c r="AJ387" s="10">
        <v>5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10</v>
      </c>
      <c r="AJ388" s="10">
        <v>10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15</v>
      </c>
      <c r="AJ389" s="10">
        <v>15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30</v>
      </c>
      <c r="AJ390" s="10">
        <v>30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300</v>
      </c>
      <c r="AJ391" s="10">
        <v>300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600</v>
      </c>
      <c r="AJ392" s="10">
        <v>600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900</v>
      </c>
      <c r="AJ393" s="10">
        <v>900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1200</v>
      </c>
      <c r="AJ394" s="10">
        <v>1200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1500</v>
      </c>
      <c r="AJ395" s="10">
        <v>1500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1800</v>
      </c>
      <c r="AJ396" s="10">
        <v>1800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2100</v>
      </c>
      <c r="AJ397" s="10">
        <v>2100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2400</v>
      </c>
      <c r="AJ398" s="10">
        <v>2400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1381734400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2700</v>
      </c>
      <c r="AJ399" s="10">
        <v>2700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1381734400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3000</v>
      </c>
      <c r="AJ400" s="10">
        <v>3000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1381734400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3300</v>
      </c>
      <c r="AJ401" s="10">
        <v>3300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1381734400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3600</v>
      </c>
      <c r="AJ402" s="10">
        <v>3600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1381734400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3900</v>
      </c>
      <c r="AJ403" s="10">
        <v>3900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1381734400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4200</v>
      </c>
      <c r="AJ404" s="10">
        <v>4200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50000</v>
      </c>
      <c r="AC405" s="56">
        <v>7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3</v>
      </c>
      <c r="AJ405" s="17">
        <v>3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5</v>
      </c>
      <c r="AJ406" s="10">
        <v>5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5</v>
      </c>
      <c r="AJ407" s="10">
        <v>5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10</v>
      </c>
      <c r="AJ408" s="10">
        <v>10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15</v>
      </c>
      <c r="AJ409" s="10">
        <v>15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30</v>
      </c>
      <c r="AJ410" s="10">
        <v>30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300</v>
      </c>
      <c r="AJ411" s="10">
        <v>300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600</v>
      </c>
      <c r="AJ412" s="10">
        <v>600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900</v>
      </c>
      <c r="AJ413" s="10">
        <v>900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1200</v>
      </c>
      <c r="AJ414" s="10">
        <v>1200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1500</v>
      </c>
      <c r="AJ415" s="10">
        <v>1500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1800</v>
      </c>
      <c r="AJ416" s="10">
        <v>1800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2100</v>
      </c>
      <c r="AJ417" s="10">
        <v>2100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2400</v>
      </c>
      <c r="AJ418" s="10">
        <v>2400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1381734400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2700</v>
      </c>
      <c r="AJ419" s="10">
        <v>2700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1381734400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3000</v>
      </c>
      <c r="AJ420" s="10">
        <v>3000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1381734400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3300</v>
      </c>
      <c r="AJ421" s="10">
        <v>3300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1381734400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3600</v>
      </c>
      <c r="AJ422" s="10">
        <v>3600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1381734400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3900</v>
      </c>
      <c r="AJ423" s="10">
        <v>3900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1381734400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4200</v>
      </c>
      <c r="AJ424" s="10">
        <v>4200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3</v>
      </c>
      <c r="AJ425" s="17">
        <v>3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5</v>
      </c>
      <c r="AJ426" s="10">
        <v>5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5</v>
      </c>
      <c r="AJ427" s="10">
        <v>5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10</v>
      </c>
      <c r="AJ428" s="10">
        <v>10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15</v>
      </c>
      <c r="AJ429" s="10">
        <v>15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30</v>
      </c>
      <c r="AJ430" s="10">
        <v>30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300</v>
      </c>
      <c r="AJ431" s="10">
        <v>300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600</v>
      </c>
      <c r="AJ432" s="10">
        <v>600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900</v>
      </c>
      <c r="AJ433" s="10">
        <v>900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1200</v>
      </c>
      <c r="AJ434" s="10">
        <v>1200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1500</v>
      </c>
      <c r="AJ435" s="10">
        <v>1500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5500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1800</v>
      </c>
      <c r="AJ436" s="10">
        <v>1800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5500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2100</v>
      </c>
      <c r="AJ437" s="10">
        <v>2100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5500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2400</v>
      </c>
      <c r="AJ438" s="10">
        <v>2400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10000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2700</v>
      </c>
      <c r="AJ439" s="10">
        <v>2700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10000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3000</v>
      </c>
      <c r="AJ440" s="10">
        <v>3000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18000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3300</v>
      </c>
      <c r="AJ441" s="10">
        <v>3300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50000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3600</v>
      </c>
      <c r="AJ442" s="10">
        <v>3600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50000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3900</v>
      </c>
      <c r="AJ443" s="10">
        <v>3900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50000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4200</v>
      </c>
      <c r="AJ444" s="10">
        <v>4200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18">
        <f t="shared" ca="1" si="121"/>
        <v>1280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1280</v>
      </c>
      <c r="AG445" s="178">
        <f ca="1">AE445</f>
        <v>1280</v>
      </c>
      <c r="AH445" s="76"/>
      <c r="AI445" s="18">
        <f t="shared" si="120"/>
        <v>3</v>
      </c>
      <c r="AJ445" s="17">
        <v>3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50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11">
        <f t="shared" ca="1" si="121"/>
        <v>560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560</v>
      </c>
      <c r="AG446" s="176">
        <f ca="1">AE445+AE446</f>
        <v>1840</v>
      </c>
      <c r="AI446" s="11">
        <f t="shared" si="120"/>
        <v>5</v>
      </c>
      <c r="AJ446" s="10">
        <v>5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100</v>
      </c>
      <c r="AV446" s="11">
        <f ca="1">IFERROR(OFFSET(ITEM_RES!$A$1,MATCH(AW446,ITEM_RES!$J:$J,0)-1,0),0)</f>
        <v>211020801</v>
      </c>
      <c r="AW446" s="10" t="s">
        <v>1447</v>
      </c>
      <c r="AX446" s="11">
        <v>10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11">
        <f t="shared" ca="1" si="121"/>
        <v>840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840</v>
      </c>
      <c r="AG447" s="176">
        <f t="shared" ref="AG447:AG464" ca="1" si="128">AE446+AE447</f>
        <v>1400</v>
      </c>
      <c r="AI447" s="11">
        <f t="shared" si="120"/>
        <v>5</v>
      </c>
      <c r="AJ447" s="10">
        <v>5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11">
        <f t="shared" ca="1" si="121"/>
        <v>3120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3120</v>
      </c>
      <c r="AG448" s="176">
        <f t="shared" ca="1" si="128"/>
        <v>3960</v>
      </c>
      <c r="AI448" s="11">
        <f t="shared" si="120"/>
        <v>10</v>
      </c>
      <c r="AJ448" s="10">
        <v>10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11">
        <f t="shared" ca="1" si="121"/>
        <v>13680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13680</v>
      </c>
      <c r="AG449" s="176">
        <f t="shared" ca="1" si="128"/>
        <v>16800</v>
      </c>
      <c r="AI449" s="11">
        <f t="shared" si="120"/>
        <v>15</v>
      </c>
      <c r="AJ449" s="10">
        <v>15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45270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45270</v>
      </c>
      <c r="AG450" s="176">
        <f t="shared" ca="1" si="128"/>
        <v>58950</v>
      </c>
      <c r="AI450" s="11">
        <f t="shared" si="120"/>
        <v>30</v>
      </c>
      <c r="AJ450" s="10">
        <v>30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5500</v>
      </c>
      <c r="AC451" s="55">
        <v>4</v>
      </c>
      <c r="AE451" s="11">
        <f t="shared" ca="1" si="121"/>
        <v>101080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101080</v>
      </c>
      <c r="AG451" s="176">
        <f t="shared" ca="1" si="128"/>
        <v>146350</v>
      </c>
      <c r="AI451" s="11">
        <f t="shared" si="120"/>
        <v>300</v>
      </c>
      <c r="AJ451" s="10">
        <v>300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10000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156340</v>
      </c>
      <c r="AI452" s="11">
        <f t="shared" si="120"/>
        <v>600</v>
      </c>
      <c r="AJ452" s="10">
        <v>600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18000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900</v>
      </c>
      <c r="AJ453" s="10">
        <v>900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50000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1200</v>
      </c>
      <c r="AJ454" s="10">
        <v>1200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1500</v>
      </c>
      <c r="AJ455" s="10">
        <v>1500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1800</v>
      </c>
      <c r="AJ456" s="10">
        <v>1800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2100</v>
      </c>
      <c r="AJ457" s="10">
        <v>2100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2400</v>
      </c>
      <c r="AJ458" s="10">
        <v>2400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2700</v>
      </c>
      <c r="AJ459" s="10">
        <v>2700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3000</v>
      </c>
      <c r="AJ460" s="10">
        <v>3000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3300</v>
      </c>
      <c r="AJ461" s="10">
        <v>3300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3600</v>
      </c>
      <c r="AJ462" s="10">
        <v>3600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3900</v>
      </c>
      <c r="AJ463" s="10">
        <v>3900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4200</v>
      </c>
      <c r="AJ464" s="10">
        <v>4200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3</v>
      </c>
      <c r="AJ465" s="17">
        <v>3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5</v>
      </c>
      <c r="AJ466" s="10">
        <v>5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5</v>
      </c>
      <c r="AJ467" s="10">
        <v>5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10</v>
      </c>
      <c r="AJ468" s="10">
        <v>10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15</v>
      </c>
      <c r="AJ469" s="10">
        <v>15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2300</v>
      </c>
      <c r="AC470" s="55">
        <v>3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30</v>
      </c>
      <c r="AJ470" s="10">
        <v>30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5500</v>
      </c>
      <c r="AC471" s="55">
        <v>4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300</v>
      </c>
      <c r="AJ471" s="10">
        <v>300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10000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600</v>
      </c>
      <c r="AJ472" s="10">
        <v>600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18000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900</v>
      </c>
      <c r="AJ473" s="10">
        <v>900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50000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1200</v>
      </c>
      <c r="AJ474" s="10">
        <v>1200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1500</v>
      </c>
      <c r="AJ475" s="10">
        <v>1500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1800</v>
      </c>
      <c r="AJ476" s="10">
        <v>1800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2100</v>
      </c>
      <c r="AJ477" s="10">
        <v>2100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2400</v>
      </c>
      <c r="AJ478" s="10">
        <v>2400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2700</v>
      </c>
      <c r="AJ479" s="10">
        <v>2700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3000</v>
      </c>
      <c r="AJ480" s="10">
        <v>3000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3300</v>
      </c>
      <c r="AJ481" s="10">
        <v>3300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3600</v>
      </c>
      <c r="AJ482" s="10">
        <v>3600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3900</v>
      </c>
      <c r="AJ483" s="10">
        <v>3900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4200</v>
      </c>
      <c r="AJ484" s="10">
        <v>4200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1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3</v>
      </c>
      <c r="AJ485" s="17">
        <v>3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5</v>
      </c>
      <c r="AJ486" s="10">
        <v>5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5</v>
      </c>
      <c r="AJ487" s="10">
        <v>5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10</v>
      </c>
      <c r="AJ488" s="10">
        <v>10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15</v>
      </c>
      <c r="AJ489" s="10">
        <v>15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30</v>
      </c>
      <c r="AJ490" s="10">
        <v>30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5500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300</v>
      </c>
      <c r="AJ491" s="10">
        <v>300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10000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600</v>
      </c>
      <c r="AJ492" s="10">
        <v>600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18000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900</v>
      </c>
      <c r="AJ493" s="10">
        <v>900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50000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1200</v>
      </c>
      <c r="AJ494" s="10">
        <v>1200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1500</v>
      </c>
      <c r="AJ495" s="10">
        <v>1500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1800</v>
      </c>
      <c r="AJ496" s="10">
        <v>1800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2100</v>
      </c>
      <c r="AJ497" s="10">
        <v>2100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2400</v>
      </c>
      <c r="AJ498" s="10">
        <v>2400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2700</v>
      </c>
      <c r="AJ499" s="10">
        <v>2700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3000</v>
      </c>
      <c r="AJ500" s="10">
        <v>3000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3300</v>
      </c>
      <c r="AJ501" s="10">
        <v>3300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3600</v>
      </c>
      <c r="AJ502" s="10">
        <v>3600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3900</v>
      </c>
      <c r="AJ503" s="10">
        <v>3900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4200</v>
      </c>
      <c r="AJ504" s="10">
        <v>4200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M14" sqref="M14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5000</v>
      </c>
      <c r="S5" s="39">
        <v>5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8000</v>
      </c>
      <c r="S6" s="148">
        <v>8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8000</v>
      </c>
      <c r="S7" s="148">
        <v>8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5000</v>
      </c>
      <c r="S10" s="148">
        <v>5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D32" sqref="D32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5" sqref="K5:K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1" x14ac:dyDescent="0.15">
      <c r="A1" s="55" t="s">
        <v>553</v>
      </c>
      <c r="B1" s="55" t="s">
        <v>60</v>
      </c>
    </row>
    <row r="2" spans="1:11" x14ac:dyDescent="0.15">
      <c r="A2" s="55" t="s">
        <v>61</v>
      </c>
      <c r="B2" s="55" t="s">
        <v>61</v>
      </c>
    </row>
    <row r="3" spans="1:11" x14ac:dyDescent="0.15">
      <c r="A3" s="55" t="s">
        <v>648</v>
      </c>
      <c r="B3" s="55" t="s">
        <v>550</v>
      </c>
    </row>
    <row r="4" spans="1:11" ht="17.25" thickBot="1" x14ac:dyDescent="0.2">
      <c r="A4" s="57" t="s">
        <v>548</v>
      </c>
      <c r="B4" s="57" t="s">
        <v>549</v>
      </c>
    </row>
    <row r="5" spans="1:11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</row>
    <row r="6" spans="1:11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</row>
    <row r="7" spans="1:11" x14ac:dyDescent="0.15">
      <c r="A7" s="55">
        <v>3</v>
      </c>
      <c r="B7" s="55">
        <v>5500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</row>
    <row r="8" spans="1:11" x14ac:dyDescent="0.15">
      <c r="A8" s="55">
        <v>4</v>
      </c>
      <c r="B8" s="55">
        <v>10000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</row>
    <row r="9" spans="1:11" x14ac:dyDescent="0.15">
      <c r="A9" s="55">
        <v>5</v>
      </c>
      <c r="B9" s="55">
        <v>18000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</row>
    <row r="10" spans="1:11" x14ac:dyDescent="0.15">
      <c r="A10" s="55">
        <v>6</v>
      </c>
      <c r="B10" s="55">
        <v>50000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</row>
    <row r="11" spans="1:11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</row>
    <row r="12" spans="1:11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</row>
    <row r="13" spans="1:11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</row>
    <row r="14" spans="1:11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</row>
    <row r="15" spans="1:11" x14ac:dyDescent="0.15">
      <c r="A15" s="55">
        <v>11</v>
      </c>
      <c r="B15" s="55">
        <v>2800000</v>
      </c>
      <c r="D15" s="88">
        <v>564600</v>
      </c>
      <c r="F15" s="88">
        <v>5</v>
      </c>
      <c r="H15" s="88">
        <f t="shared" si="0"/>
        <v>2823000</v>
      </c>
      <c r="J15" s="88">
        <v>2800000</v>
      </c>
      <c r="K15" s="88">
        <f t="shared" si="1"/>
        <v>1400000</v>
      </c>
    </row>
    <row r="16" spans="1:11" x14ac:dyDescent="0.15">
      <c r="A16" s="55">
        <v>12</v>
      </c>
      <c r="B16" s="55">
        <v>6000000</v>
      </c>
      <c r="D16" s="88">
        <v>999600</v>
      </c>
      <c r="F16" s="88">
        <v>6</v>
      </c>
      <c r="H16" s="88">
        <f t="shared" si="0"/>
        <v>5997600</v>
      </c>
      <c r="J16" s="88">
        <v>6000000</v>
      </c>
      <c r="K16" s="88">
        <f t="shared" si="1"/>
        <v>3000000</v>
      </c>
    </row>
    <row r="17" spans="1:11" x14ac:dyDescent="0.15">
      <c r="A17" s="55">
        <v>13</v>
      </c>
      <c r="B17" s="55">
        <v>10000000</v>
      </c>
      <c r="D17" s="88">
        <v>1729600</v>
      </c>
      <c r="F17" s="88">
        <v>6</v>
      </c>
      <c r="H17" s="88">
        <f t="shared" si="0"/>
        <v>10377600</v>
      </c>
      <c r="J17" s="88">
        <v>10000000</v>
      </c>
      <c r="K17" s="88">
        <f t="shared" si="1"/>
        <v>5000000</v>
      </c>
    </row>
    <row r="18" spans="1:11" x14ac:dyDescent="0.15">
      <c r="A18" s="55">
        <v>14</v>
      </c>
      <c r="B18" s="55">
        <v>17000000</v>
      </c>
      <c r="D18" s="88">
        <v>2884600</v>
      </c>
      <c r="F18" s="88">
        <v>6</v>
      </c>
      <c r="H18" s="88">
        <f t="shared" si="0"/>
        <v>17307600</v>
      </c>
      <c r="J18" s="88">
        <v>17000000</v>
      </c>
      <c r="K18" s="88">
        <f t="shared" si="1"/>
        <v>8500000</v>
      </c>
    </row>
    <row r="19" spans="1:11" x14ac:dyDescent="0.15">
      <c r="A19" s="55">
        <v>15</v>
      </c>
      <c r="B19" s="55">
        <v>37000000</v>
      </c>
      <c r="D19" s="88">
        <v>5294600</v>
      </c>
      <c r="F19" s="88">
        <v>7</v>
      </c>
      <c r="H19" s="88">
        <f t="shared" si="0"/>
        <v>37062200</v>
      </c>
      <c r="J19" s="88">
        <v>37000000</v>
      </c>
      <c r="K19" s="88">
        <f t="shared" si="1"/>
        <v>18500000</v>
      </c>
    </row>
    <row r="20" spans="1:11" x14ac:dyDescent="0.15">
      <c r="A20" s="55">
        <v>16</v>
      </c>
      <c r="B20" s="55">
        <v>85000000</v>
      </c>
      <c r="D20" s="88">
        <v>10939600</v>
      </c>
      <c r="F20" s="88">
        <v>8</v>
      </c>
      <c r="H20" s="88">
        <f t="shared" si="0"/>
        <v>87516800</v>
      </c>
      <c r="J20" s="88">
        <v>85000000</v>
      </c>
      <c r="K20" s="88">
        <f t="shared" si="1"/>
        <v>42500000</v>
      </c>
    </row>
    <row r="21" spans="1:11" x14ac:dyDescent="0.15">
      <c r="A21" s="55">
        <v>17</v>
      </c>
      <c r="B21" s="55">
        <v>1381734400</v>
      </c>
      <c r="D21" s="88">
        <v>21589600</v>
      </c>
      <c r="F21" s="88">
        <v>8</v>
      </c>
      <c r="H21" s="88">
        <f t="shared" si="0"/>
        <v>172716800</v>
      </c>
      <c r="J21" s="88">
        <f t="shared" si="0"/>
        <v>1381734400</v>
      </c>
      <c r="K21" s="88">
        <f t="shared" si="1"/>
        <v>690867200</v>
      </c>
    </row>
    <row r="22" spans="1:11" x14ac:dyDescent="0.15">
      <c r="A22" s="55">
        <v>18</v>
      </c>
      <c r="B22" s="55">
        <v>3186507600</v>
      </c>
      <c r="D22" s="88">
        <v>39339600</v>
      </c>
      <c r="F22" s="88">
        <v>9</v>
      </c>
      <c r="H22" s="88">
        <f t="shared" si="0"/>
        <v>354056400</v>
      </c>
      <c r="J22" s="88">
        <f t="shared" si="0"/>
        <v>3186507600</v>
      </c>
      <c r="K22" s="88">
        <f t="shared" si="1"/>
        <v>1593253800</v>
      </c>
    </row>
    <row r="23" spans="1:11" x14ac:dyDescent="0.15">
      <c r="A23" s="55">
        <v>19</v>
      </c>
      <c r="B23" s="55">
        <v>5454507600</v>
      </c>
      <c r="D23" s="88">
        <v>67339600</v>
      </c>
      <c r="F23" s="88">
        <v>9</v>
      </c>
      <c r="H23" s="88">
        <f t="shared" si="0"/>
        <v>606056400</v>
      </c>
      <c r="J23" s="88">
        <f t="shared" si="0"/>
        <v>5454507600</v>
      </c>
      <c r="K23" s="88">
        <f t="shared" si="1"/>
        <v>2727253800</v>
      </c>
    </row>
    <row r="24" spans="1:11" x14ac:dyDescent="0.15">
      <c r="A24" s="55">
        <v>20</v>
      </c>
      <c r="B24" s="55">
        <v>11223960000</v>
      </c>
      <c r="D24" s="88">
        <v>112239600</v>
      </c>
      <c r="F24" s="88">
        <v>10</v>
      </c>
      <c r="H24" s="88">
        <f t="shared" si="0"/>
        <v>1122396000</v>
      </c>
      <c r="J24" s="88">
        <f t="shared" si="0"/>
        <v>11223960000</v>
      </c>
      <c r="K24" s="88">
        <f t="shared" si="1"/>
        <v>5611980000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H32" sqref="H32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2750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5000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9000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25000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690867200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1593253800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2727253800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5611980000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Q16" sqref="Q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55" t="s">
        <v>1241</v>
      </c>
      <c r="DE3" s="55" t="s">
        <v>1242</v>
      </c>
      <c r="DF3" s="55" t="s">
        <v>1243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360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360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360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360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360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360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360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360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360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360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360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360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360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360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360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5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5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5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360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360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360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360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360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360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360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360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360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360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360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360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360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360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360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360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360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360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360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360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360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360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0.30244932813489689</v>
      </c>
      <c r="Y85" s="172">
        <f>IF((U85/100000)*L85=0,"",(U85/100000)*L85)</f>
        <v>0.36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360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0.51359854717556819</v>
      </c>
      <c r="Y86" s="171">
        <f t="shared" ref="Y86:Y149" si="13">IF((U86/100000)*L86=0,"",(U86/100000)*L86)</f>
        <v>0.72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360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0.66095527471417181</v>
      </c>
      <c r="Y87" s="171">
        <f t="shared" si="13"/>
        <v>1.08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360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0.30244932813489689</v>
      </c>
      <c r="Y88" s="171">
        <f t="shared" si="13"/>
        <v>0.36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360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0.51359854717556819</v>
      </c>
      <c r="Y89" s="171">
        <f t="shared" si="13"/>
        <v>0.72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360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0.66095527471417181</v>
      </c>
      <c r="Y90" s="171">
        <f t="shared" si="13"/>
        <v>1.08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opLeftCell="H1" workbookViewId="0">
      <selection activeCell="M15" sqref="M15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15</v>
      </c>
      <c r="N15" s="10">
        <f>IF((1-(1-M15/10000)^1440)=0,"",1-(1-M15/10000)^1440)</f>
        <v>0.88486174114429406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2018-09-20T14:55:53Z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