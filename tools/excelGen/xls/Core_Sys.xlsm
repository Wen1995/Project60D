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5" activeTab="10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O6" i="57" l="1"/>
  <c r="O7" i="57"/>
  <c r="O8" i="57"/>
  <c r="O9" i="57"/>
  <c r="O10" i="57"/>
  <c r="O11" i="57"/>
  <c r="O12" i="57"/>
  <c r="O13" i="57"/>
  <c r="O14" i="57"/>
  <c r="O15" i="57"/>
  <c r="O16" i="57"/>
  <c r="O17" i="57"/>
  <c r="O18" i="57"/>
  <c r="O19" i="57"/>
  <c r="O20" i="57"/>
  <c r="O21" i="57"/>
  <c r="O22" i="57"/>
  <c r="O23" i="57"/>
  <c r="O24" i="57"/>
  <c r="O25" i="57"/>
  <c r="O26" i="57"/>
  <c r="O27" i="57"/>
  <c r="O28" i="57"/>
  <c r="O29" i="57"/>
  <c r="O30" i="57"/>
  <c r="O31" i="57"/>
  <c r="O32" i="57"/>
  <c r="O33" i="57"/>
  <c r="O34" i="57"/>
  <c r="O35" i="57"/>
  <c r="O36" i="57"/>
  <c r="O37" i="57"/>
  <c r="O38" i="57"/>
  <c r="O39" i="57"/>
  <c r="O40" i="57"/>
  <c r="O41" i="57"/>
  <c r="O42" i="57"/>
  <c r="O43" i="57"/>
  <c r="O44" i="57"/>
  <c r="O45" i="57"/>
  <c r="O46" i="57"/>
  <c r="O47" i="57"/>
  <c r="O48" i="57"/>
  <c r="O49" i="57"/>
  <c r="O50" i="57"/>
  <c r="O51" i="57"/>
  <c r="O52" i="57"/>
  <c r="O53" i="57"/>
  <c r="O54" i="57"/>
  <c r="O55" i="57"/>
  <c r="O56" i="57"/>
  <c r="O57" i="57"/>
  <c r="O58" i="57"/>
  <c r="O59" i="57"/>
  <c r="O60" i="57"/>
  <c r="O61" i="57"/>
  <c r="O62" i="57"/>
  <c r="O63" i="57"/>
  <c r="O64" i="57"/>
  <c r="O65" i="57"/>
  <c r="O66" i="57"/>
  <c r="O67" i="57"/>
  <c r="O68" i="57"/>
  <c r="O69" i="57"/>
  <c r="O70" i="57"/>
  <c r="O71" i="57"/>
  <c r="O72" i="57"/>
  <c r="O73" i="57"/>
  <c r="O74" i="57"/>
  <c r="O75" i="57"/>
  <c r="O76" i="57"/>
  <c r="O77" i="57"/>
  <c r="O78" i="57"/>
  <c r="O79" i="57"/>
  <c r="O80" i="57"/>
  <c r="O81" i="57"/>
  <c r="O82" i="57"/>
  <c r="O83" i="57"/>
  <c r="O84" i="57"/>
  <c r="O85" i="57"/>
  <c r="O86" i="57"/>
  <c r="O87" i="57"/>
  <c r="O88" i="57"/>
  <c r="O89" i="57"/>
  <c r="O90" i="57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O5" i="57"/>
  <c r="N15" i="53"/>
  <c r="AS520" i="9" l="1"/>
  <c r="J6" i="44" l="1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511" i="9"/>
  <c r="AO510" i="9"/>
  <c r="AO509" i="9"/>
  <c r="AO508" i="9"/>
  <c r="AO507" i="9"/>
  <c r="AO506" i="9"/>
  <c r="AO505" i="9"/>
  <c r="AO471" i="9"/>
  <c r="AO470" i="9"/>
  <c r="AO469" i="9"/>
  <c r="AO468" i="9"/>
  <c r="AO467" i="9"/>
  <c r="AO466" i="9"/>
  <c r="AO465" i="9"/>
  <c r="AO431" i="9"/>
  <c r="AO430" i="9"/>
  <c r="AO429" i="9"/>
  <c r="AO428" i="9"/>
  <c r="AO427" i="9"/>
  <c r="AO426" i="9"/>
  <c r="AO425" i="9"/>
  <c r="AO334" i="9"/>
  <c r="AO333" i="9"/>
  <c r="AO332" i="9"/>
  <c r="AO331" i="9"/>
  <c r="AO330" i="9"/>
  <c r="AO329" i="9"/>
  <c r="AO328" i="9"/>
  <c r="AO327" i="9"/>
  <c r="AO326" i="9"/>
  <c r="AO325" i="9"/>
  <c r="AO312" i="9"/>
  <c r="AO313" i="9"/>
  <c r="AO314" i="9"/>
  <c r="AO17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X6" i="30" l="1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5" i="30"/>
  <c r="S50" i="30"/>
  <c r="S51" i="30"/>
  <c r="S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" i="9"/>
  <c r="BO304" i="9"/>
  <c r="AQ304" i="9"/>
  <c r="BM304" i="9"/>
  <c r="BH304" i="9"/>
  <c r="BC304" i="9"/>
  <c r="AX304" i="9"/>
  <c r="AM304" i="9"/>
  <c r="AK304" i="9"/>
  <c r="Y304" i="9"/>
  <c r="V304" i="9"/>
  <c r="F304" i="9"/>
  <c r="C304" i="9"/>
  <c r="BO303" i="9"/>
  <c r="AQ303" i="9"/>
  <c r="BM303" i="9"/>
  <c r="BH303" i="9"/>
  <c r="BC303" i="9"/>
  <c r="AX303" i="9"/>
  <c r="AM303" i="9"/>
  <c r="AK303" i="9"/>
  <c r="Y303" i="9"/>
  <c r="V303" i="9"/>
  <c r="F303" i="9"/>
  <c r="C303" i="9"/>
  <c r="A303" i="9"/>
  <c r="BO302" i="9"/>
  <c r="AQ302" i="9"/>
  <c r="BM302" i="9"/>
  <c r="BH302" i="9"/>
  <c r="BC302" i="9"/>
  <c r="AX302" i="9"/>
  <c r="AM302" i="9"/>
  <c r="AK302" i="9"/>
  <c r="Y302" i="9"/>
  <c r="V302" i="9"/>
  <c r="F302" i="9"/>
  <c r="C302" i="9"/>
  <c r="BO301" i="9"/>
  <c r="AQ301" i="9"/>
  <c r="BM301" i="9"/>
  <c r="BH301" i="9"/>
  <c r="BC301" i="9"/>
  <c r="AX301" i="9"/>
  <c r="AM301" i="9"/>
  <c r="AK301" i="9"/>
  <c r="Y301" i="9"/>
  <c r="V301" i="9"/>
  <c r="F301" i="9"/>
  <c r="C301" i="9"/>
  <c r="A301" i="9"/>
  <c r="BO300" i="9"/>
  <c r="AQ300" i="9"/>
  <c r="BM300" i="9"/>
  <c r="BH300" i="9"/>
  <c r="BC300" i="9"/>
  <c r="AX300" i="9"/>
  <c r="AM300" i="9"/>
  <c r="AK300" i="9"/>
  <c r="Y300" i="9"/>
  <c r="V300" i="9"/>
  <c r="F300" i="9"/>
  <c r="C300" i="9"/>
  <c r="A300" i="9"/>
  <c r="BO299" i="9"/>
  <c r="AQ299" i="9"/>
  <c r="BM299" i="9"/>
  <c r="BH299" i="9"/>
  <c r="BC299" i="9"/>
  <c r="AX299" i="9"/>
  <c r="AM299" i="9"/>
  <c r="AK299" i="9"/>
  <c r="Y299" i="9"/>
  <c r="V299" i="9"/>
  <c r="F299" i="9"/>
  <c r="C299" i="9"/>
  <c r="BO298" i="9"/>
  <c r="AQ298" i="9"/>
  <c r="BM298" i="9"/>
  <c r="BH298" i="9"/>
  <c r="BC298" i="9"/>
  <c r="AX298" i="9"/>
  <c r="AM298" i="9"/>
  <c r="AK298" i="9"/>
  <c r="Y298" i="9"/>
  <c r="V298" i="9"/>
  <c r="F298" i="9"/>
  <c r="C298" i="9"/>
  <c r="A298" i="9"/>
  <c r="BO297" i="9"/>
  <c r="AQ297" i="9"/>
  <c r="BM297" i="9"/>
  <c r="BH297" i="9"/>
  <c r="BC297" i="9"/>
  <c r="AX297" i="9"/>
  <c r="AM297" i="9"/>
  <c r="AK297" i="9"/>
  <c r="Y297" i="9"/>
  <c r="V297" i="9"/>
  <c r="F297" i="9"/>
  <c r="C297" i="9"/>
  <c r="A297" i="9"/>
  <c r="BO296" i="9"/>
  <c r="AQ296" i="9"/>
  <c r="BM296" i="9"/>
  <c r="BH296" i="9"/>
  <c r="BC296" i="9"/>
  <c r="AX296" i="9"/>
  <c r="AM296" i="9"/>
  <c r="AK296" i="9"/>
  <c r="Y296" i="9"/>
  <c r="V296" i="9"/>
  <c r="F296" i="9"/>
  <c r="C296" i="9"/>
  <c r="BO295" i="9"/>
  <c r="AQ295" i="9"/>
  <c r="BM295" i="9"/>
  <c r="BH295" i="9"/>
  <c r="BC295" i="9"/>
  <c r="AX295" i="9"/>
  <c r="AM295" i="9"/>
  <c r="AK295" i="9"/>
  <c r="Y295" i="9"/>
  <c r="V295" i="9"/>
  <c r="F295" i="9"/>
  <c r="C295" i="9"/>
  <c r="BO294" i="9"/>
  <c r="AQ294" i="9"/>
  <c r="BM294" i="9"/>
  <c r="BH294" i="9"/>
  <c r="BC294" i="9"/>
  <c r="AX294" i="9"/>
  <c r="AM294" i="9"/>
  <c r="AK294" i="9"/>
  <c r="Y294" i="9"/>
  <c r="V294" i="9"/>
  <c r="F294" i="9"/>
  <c r="C294" i="9"/>
  <c r="A294" i="9"/>
  <c r="BO293" i="9"/>
  <c r="BM293" i="9"/>
  <c r="BH293" i="9"/>
  <c r="BC293" i="9"/>
  <c r="AX293" i="9"/>
  <c r="AQ293" i="9"/>
  <c r="AM293" i="9"/>
  <c r="AK293" i="9"/>
  <c r="Y293" i="9"/>
  <c r="V293" i="9"/>
  <c r="F293" i="9"/>
  <c r="C293" i="9"/>
  <c r="A293" i="9"/>
  <c r="BO292" i="9"/>
  <c r="AQ292" i="9"/>
  <c r="BM292" i="9"/>
  <c r="BC292" i="9"/>
  <c r="AX292" i="9"/>
  <c r="AM292" i="9"/>
  <c r="AK292" i="9"/>
  <c r="Y292" i="9"/>
  <c r="V292" i="9"/>
  <c r="F292" i="9"/>
  <c r="C292" i="9"/>
  <c r="A292" i="9"/>
  <c r="BO291" i="9"/>
  <c r="AQ291" i="9"/>
  <c r="BM291" i="9"/>
  <c r="BH291" i="9"/>
  <c r="BC291" i="9"/>
  <c r="AX291" i="9"/>
  <c r="AM291" i="9"/>
  <c r="AK291" i="9"/>
  <c r="Y291" i="9"/>
  <c r="V291" i="9"/>
  <c r="F291" i="9"/>
  <c r="C291" i="9"/>
  <c r="BO290" i="9"/>
  <c r="AQ290" i="9"/>
  <c r="BM290" i="9"/>
  <c r="BH290" i="9"/>
  <c r="BC290" i="9"/>
  <c r="AX290" i="9"/>
  <c r="AM290" i="9"/>
  <c r="AK290" i="9"/>
  <c r="Y290" i="9"/>
  <c r="V290" i="9"/>
  <c r="F290" i="9"/>
  <c r="C290" i="9"/>
  <c r="BO289" i="9"/>
  <c r="AQ289" i="9"/>
  <c r="BM289" i="9"/>
  <c r="BH289" i="9"/>
  <c r="BC289" i="9"/>
  <c r="AX289" i="9"/>
  <c r="AM289" i="9"/>
  <c r="AK289" i="9"/>
  <c r="Y289" i="9"/>
  <c r="V289" i="9"/>
  <c r="F289" i="9"/>
  <c r="C289" i="9"/>
  <c r="A289" i="9"/>
  <c r="BO288" i="9"/>
  <c r="AQ288" i="9"/>
  <c r="BM288" i="9"/>
  <c r="BH288" i="9"/>
  <c r="BC288" i="9"/>
  <c r="AX288" i="9"/>
  <c r="AM288" i="9"/>
  <c r="AK288" i="9"/>
  <c r="Y288" i="9"/>
  <c r="V288" i="9"/>
  <c r="F288" i="9"/>
  <c r="C288" i="9"/>
  <c r="BO287" i="9"/>
  <c r="AQ287" i="9"/>
  <c r="BM287" i="9"/>
  <c r="BH287" i="9"/>
  <c r="BC287" i="9"/>
  <c r="AX287" i="9"/>
  <c r="AM287" i="9"/>
  <c r="AK287" i="9"/>
  <c r="Y287" i="9"/>
  <c r="V287" i="9"/>
  <c r="F287" i="9"/>
  <c r="C287" i="9"/>
  <c r="BO286" i="9"/>
  <c r="AQ286" i="9"/>
  <c r="BM286" i="9"/>
  <c r="BH286" i="9"/>
  <c r="BC286" i="9"/>
  <c r="AX286" i="9"/>
  <c r="AM286" i="9"/>
  <c r="AK286" i="9"/>
  <c r="Y286" i="9"/>
  <c r="V286" i="9"/>
  <c r="F286" i="9"/>
  <c r="C286" i="9"/>
  <c r="A286" i="9"/>
  <c r="BO285" i="9"/>
  <c r="BM285" i="9"/>
  <c r="BH285" i="9"/>
  <c r="AX285" i="9"/>
  <c r="AQ285" i="9"/>
  <c r="AM285" i="9"/>
  <c r="AK285" i="9"/>
  <c r="Y285" i="9"/>
  <c r="V285" i="9"/>
  <c r="F285" i="9"/>
  <c r="C285" i="9"/>
  <c r="A285" i="9"/>
  <c r="A295" i="9"/>
  <c r="A302" i="9"/>
  <c r="A290" i="9"/>
  <c r="A287" i="9"/>
  <c r="A288" i="9"/>
  <c r="A296" i="9"/>
  <c r="A304" i="9"/>
  <c r="A291" i="9"/>
  <c r="A299" i="9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3" i="30"/>
  <c r="S54" i="30"/>
  <c r="S55" i="30"/>
  <c r="S56" i="30"/>
  <c r="S57" i="30"/>
  <c r="S58" i="30"/>
  <c r="S59" i="30"/>
  <c r="S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O224" i="9"/>
  <c r="BM224" i="9"/>
  <c r="BH224" i="9"/>
  <c r="BC224" i="9"/>
  <c r="AM224" i="9"/>
  <c r="AK224" i="9"/>
  <c r="Y224" i="9"/>
  <c r="V224" i="9"/>
  <c r="F224" i="9"/>
  <c r="C224" i="9"/>
  <c r="BO223" i="9"/>
  <c r="BM223" i="9"/>
  <c r="BH223" i="9"/>
  <c r="BC223" i="9"/>
  <c r="AM223" i="9"/>
  <c r="AK223" i="9"/>
  <c r="Y223" i="9"/>
  <c r="V223" i="9"/>
  <c r="F223" i="9"/>
  <c r="C223" i="9"/>
  <c r="BO222" i="9"/>
  <c r="AQ222" i="9"/>
  <c r="BM222" i="9"/>
  <c r="BH222" i="9"/>
  <c r="BC222" i="9"/>
  <c r="AM222" i="9"/>
  <c r="AK222" i="9"/>
  <c r="Y222" i="9"/>
  <c r="V222" i="9"/>
  <c r="F222" i="9"/>
  <c r="C222" i="9"/>
  <c r="BO221" i="9"/>
  <c r="AQ221" i="9"/>
  <c r="BM221" i="9"/>
  <c r="BH221" i="9"/>
  <c r="BC221" i="9"/>
  <c r="AM221" i="9"/>
  <c r="AK221" i="9"/>
  <c r="Y221" i="9"/>
  <c r="V221" i="9"/>
  <c r="F221" i="9"/>
  <c r="C221" i="9"/>
  <c r="BO220" i="9"/>
  <c r="BM220" i="9"/>
  <c r="BH220" i="9"/>
  <c r="BC220" i="9"/>
  <c r="AM220" i="9"/>
  <c r="AK220" i="9"/>
  <c r="Y220" i="9"/>
  <c r="V220" i="9"/>
  <c r="F220" i="9"/>
  <c r="C220" i="9"/>
  <c r="BO219" i="9"/>
  <c r="AQ219" i="9"/>
  <c r="BM219" i="9"/>
  <c r="BH219" i="9"/>
  <c r="BC219" i="9"/>
  <c r="AM219" i="9"/>
  <c r="AK219" i="9"/>
  <c r="Y219" i="9"/>
  <c r="V219" i="9"/>
  <c r="F219" i="9"/>
  <c r="C219" i="9"/>
  <c r="BO218" i="9"/>
  <c r="BM218" i="9"/>
  <c r="BH218" i="9"/>
  <c r="BC218" i="9"/>
  <c r="AQ218" i="9"/>
  <c r="AM218" i="9"/>
  <c r="AK218" i="9"/>
  <c r="Y218" i="9"/>
  <c r="V218" i="9"/>
  <c r="F218" i="9"/>
  <c r="C218" i="9"/>
  <c r="BO217" i="9"/>
  <c r="AQ217" i="9"/>
  <c r="BM217" i="9"/>
  <c r="BH217" i="9"/>
  <c r="BC217" i="9"/>
  <c r="AM217" i="9"/>
  <c r="AK217" i="9"/>
  <c r="Y217" i="9"/>
  <c r="V217" i="9"/>
  <c r="F217" i="9"/>
  <c r="A217" i="9"/>
  <c r="C217" i="9"/>
  <c r="BO216" i="9"/>
  <c r="AQ216" i="9"/>
  <c r="BM216" i="9"/>
  <c r="BH216" i="9"/>
  <c r="BC216" i="9"/>
  <c r="AM216" i="9"/>
  <c r="AK216" i="9"/>
  <c r="Y216" i="9"/>
  <c r="V216" i="9"/>
  <c r="F216" i="9"/>
  <c r="C216" i="9"/>
  <c r="BO215" i="9"/>
  <c r="AQ215" i="9"/>
  <c r="BM215" i="9"/>
  <c r="BH215" i="9"/>
  <c r="BC215" i="9"/>
  <c r="AX215" i="9"/>
  <c r="AM215" i="9"/>
  <c r="AK215" i="9"/>
  <c r="Y215" i="9"/>
  <c r="V215" i="9"/>
  <c r="F215" i="9"/>
  <c r="C215" i="9"/>
  <c r="BO214" i="9"/>
  <c r="AQ214" i="9"/>
  <c r="BM214" i="9"/>
  <c r="BC214" i="9"/>
  <c r="AX214" i="9"/>
  <c r="AM214" i="9"/>
  <c r="AK214" i="9"/>
  <c r="Y214" i="9"/>
  <c r="V214" i="9"/>
  <c r="F214" i="9"/>
  <c r="C214" i="9"/>
  <c r="BO213" i="9"/>
  <c r="BM213" i="9"/>
  <c r="BH213" i="9"/>
  <c r="BC213" i="9"/>
  <c r="AX213" i="9"/>
  <c r="AM213" i="9"/>
  <c r="AK213" i="9"/>
  <c r="Y213" i="9"/>
  <c r="V213" i="9"/>
  <c r="F213" i="9"/>
  <c r="C213" i="9"/>
  <c r="BO212" i="9"/>
  <c r="BM212" i="9"/>
  <c r="BH212" i="9"/>
  <c r="BC212" i="9"/>
  <c r="AX212" i="9"/>
  <c r="AM212" i="9"/>
  <c r="AK212" i="9"/>
  <c r="Y212" i="9"/>
  <c r="V212" i="9"/>
  <c r="F212" i="9"/>
  <c r="C212" i="9"/>
  <c r="BO211" i="9"/>
  <c r="AQ211" i="9"/>
  <c r="BM211" i="9"/>
  <c r="BH211" i="9"/>
  <c r="BC211" i="9"/>
  <c r="AX211" i="9"/>
  <c r="AM211" i="9"/>
  <c r="AK211" i="9"/>
  <c r="Y211" i="9"/>
  <c r="V211" i="9"/>
  <c r="F211" i="9"/>
  <c r="C211" i="9"/>
  <c r="BO210" i="9"/>
  <c r="AQ210" i="9"/>
  <c r="BM210" i="9"/>
  <c r="BH210" i="9"/>
  <c r="BC210" i="9"/>
  <c r="AX210" i="9"/>
  <c r="AM210" i="9"/>
  <c r="AK210" i="9"/>
  <c r="Y210" i="9"/>
  <c r="V210" i="9"/>
  <c r="F210" i="9"/>
  <c r="C210" i="9"/>
  <c r="BO209" i="9"/>
  <c r="AQ209" i="9"/>
  <c r="BM209" i="9"/>
  <c r="BH209" i="9"/>
  <c r="BC209" i="9"/>
  <c r="AX209" i="9"/>
  <c r="AM209" i="9"/>
  <c r="AK209" i="9"/>
  <c r="Y209" i="9"/>
  <c r="V209" i="9"/>
  <c r="F209" i="9"/>
  <c r="C209" i="9"/>
  <c r="BO208" i="9"/>
  <c r="AQ208" i="9"/>
  <c r="BM208" i="9"/>
  <c r="BH208" i="9"/>
  <c r="BC208" i="9"/>
  <c r="AX208" i="9"/>
  <c r="AM208" i="9"/>
  <c r="AK208" i="9"/>
  <c r="Y208" i="9"/>
  <c r="V208" i="9"/>
  <c r="F208" i="9"/>
  <c r="C208" i="9"/>
  <c r="BO207" i="9"/>
  <c r="AQ207" i="9"/>
  <c r="BM207" i="9"/>
  <c r="BH207" i="9"/>
  <c r="BC207" i="9"/>
  <c r="AX207" i="9"/>
  <c r="AM207" i="9"/>
  <c r="AK207" i="9"/>
  <c r="Y207" i="9"/>
  <c r="V207" i="9"/>
  <c r="F207" i="9"/>
  <c r="C207" i="9"/>
  <c r="BO206" i="9"/>
  <c r="AQ206" i="9"/>
  <c r="BM206" i="9"/>
  <c r="BH206" i="9"/>
  <c r="BC206" i="9"/>
  <c r="AX206" i="9"/>
  <c r="AM206" i="9"/>
  <c r="AK206" i="9"/>
  <c r="Y206" i="9"/>
  <c r="V206" i="9"/>
  <c r="F206" i="9"/>
  <c r="C206" i="9"/>
  <c r="BO205" i="9"/>
  <c r="AQ205" i="9"/>
  <c r="BM205" i="9"/>
  <c r="BH205" i="9"/>
  <c r="AX205" i="9"/>
  <c r="AM205" i="9"/>
  <c r="AK205" i="9"/>
  <c r="Y205" i="9"/>
  <c r="V205" i="9"/>
  <c r="F205" i="9"/>
  <c r="C205" i="9"/>
  <c r="A215" i="9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BO204" i="9"/>
  <c r="AQ204" i="9"/>
  <c r="BM204" i="9"/>
  <c r="BH204" i="9"/>
  <c r="BC204" i="9"/>
  <c r="AM204" i="9"/>
  <c r="AK204" i="9"/>
  <c r="F204" i="9"/>
  <c r="C204" i="9"/>
  <c r="BO203" i="9"/>
  <c r="AQ203" i="9"/>
  <c r="BM203" i="9"/>
  <c r="BH203" i="9"/>
  <c r="BC203" i="9"/>
  <c r="AM203" i="9"/>
  <c r="AK203" i="9"/>
  <c r="F203" i="9"/>
  <c r="C203" i="9"/>
  <c r="BO202" i="9"/>
  <c r="AQ202" i="9"/>
  <c r="BM202" i="9"/>
  <c r="BH202" i="9"/>
  <c r="BC202" i="9"/>
  <c r="AM202" i="9"/>
  <c r="AK202" i="9"/>
  <c r="F202" i="9"/>
  <c r="C202" i="9"/>
  <c r="BO201" i="9"/>
  <c r="AQ201" i="9"/>
  <c r="BM201" i="9"/>
  <c r="BH201" i="9"/>
  <c r="BC201" i="9"/>
  <c r="AM201" i="9"/>
  <c r="AK201" i="9"/>
  <c r="F201" i="9"/>
  <c r="C201" i="9"/>
  <c r="BO200" i="9"/>
  <c r="AQ200" i="9"/>
  <c r="BM200" i="9"/>
  <c r="BH200" i="9"/>
  <c r="BC200" i="9"/>
  <c r="AM200" i="9"/>
  <c r="AK200" i="9"/>
  <c r="F200" i="9"/>
  <c r="C200" i="9"/>
  <c r="BO199" i="9"/>
  <c r="AQ199" i="9"/>
  <c r="BM199" i="9"/>
  <c r="BH199" i="9"/>
  <c r="BC199" i="9"/>
  <c r="AM199" i="9"/>
  <c r="AK199" i="9"/>
  <c r="F199" i="9"/>
  <c r="C199" i="9"/>
  <c r="BO198" i="9"/>
  <c r="AQ198" i="9"/>
  <c r="BM198" i="9"/>
  <c r="BH198" i="9"/>
  <c r="BC198" i="9"/>
  <c r="AM198" i="9"/>
  <c r="AK198" i="9"/>
  <c r="F198" i="9"/>
  <c r="C198" i="9"/>
  <c r="BO197" i="9"/>
  <c r="AQ197" i="9"/>
  <c r="BM197" i="9"/>
  <c r="BH197" i="9"/>
  <c r="BC197" i="9"/>
  <c r="AM197" i="9"/>
  <c r="AK197" i="9"/>
  <c r="F197" i="9"/>
  <c r="C197" i="9"/>
  <c r="BO196" i="9"/>
  <c r="AQ196" i="9"/>
  <c r="BM196" i="9"/>
  <c r="BH196" i="9"/>
  <c r="BC196" i="9"/>
  <c r="AM196" i="9"/>
  <c r="AK196" i="9"/>
  <c r="F196" i="9"/>
  <c r="C196" i="9"/>
  <c r="BO195" i="9"/>
  <c r="AQ195" i="9"/>
  <c r="BM195" i="9"/>
  <c r="BH195" i="9"/>
  <c r="BC195" i="9"/>
  <c r="AX195" i="9"/>
  <c r="AM195" i="9"/>
  <c r="AK195" i="9"/>
  <c r="F195" i="9"/>
  <c r="C195" i="9"/>
  <c r="BO194" i="9"/>
  <c r="AQ194" i="9"/>
  <c r="BM194" i="9"/>
  <c r="BC194" i="9"/>
  <c r="AX194" i="9"/>
  <c r="AM194" i="9"/>
  <c r="AK194" i="9"/>
  <c r="F194" i="9"/>
  <c r="C194" i="9"/>
  <c r="BO193" i="9"/>
  <c r="AQ193" i="9"/>
  <c r="BM193" i="9"/>
  <c r="BH193" i="9"/>
  <c r="BC193" i="9"/>
  <c r="AX193" i="9"/>
  <c r="AM193" i="9"/>
  <c r="AK193" i="9"/>
  <c r="F193" i="9"/>
  <c r="C193" i="9"/>
  <c r="BO192" i="9"/>
  <c r="AQ192" i="9"/>
  <c r="BM192" i="9"/>
  <c r="BH192" i="9"/>
  <c r="BC192" i="9"/>
  <c r="AX192" i="9"/>
  <c r="AM192" i="9"/>
  <c r="AK192" i="9"/>
  <c r="F192" i="9"/>
  <c r="C192" i="9"/>
  <c r="BO191" i="9"/>
  <c r="AQ191" i="9"/>
  <c r="BM191" i="9"/>
  <c r="BH191" i="9"/>
  <c r="BC191" i="9"/>
  <c r="AX191" i="9"/>
  <c r="AM191" i="9"/>
  <c r="AK191" i="9"/>
  <c r="F191" i="9"/>
  <c r="C191" i="9"/>
  <c r="BO190" i="9"/>
  <c r="AQ190" i="9"/>
  <c r="BM190" i="9"/>
  <c r="BH190" i="9"/>
  <c r="BC190" i="9"/>
  <c r="AX190" i="9"/>
  <c r="AM190" i="9"/>
  <c r="AK190" i="9"/>
  <c r="F190" i="9"/>
  <c r="C190" i="9"/>
  <c r="BO189" i="9"/>
  <c r="AQ189" i="9"/>
  <c r="BM189" i="9"/>
  <c r="BH189" i="9"/>
  <c r="BC189" i="9"/>
  <c r="AX189" i="9"/>
  <c r="AM189" i="9"/>
  <c r="AK189" i="9"/>
  <c r="F189" i="9"/>
  <c r="C189" i="9"/>
  <c r="BO188" i="9"/>
  <c r="AQ188" i="9"/>
  <c r="BM188" i="9"/>
  <c r="BH188" i="9"/>
  <c r="BC188" i="9"/>
  <c r="AX188" i="9"/>
  <c r="AM188" i="9"/>
  <c r="AK188" i="9"/>
  <c r="F188" i="9"/>
  <c r="C188" i="9"/>
  <c r="BO187" i="9"/>
  <c r="AQ187" i="9"/>
  <c r="BM187" i="9"/>
  <c r="BH187" i="9"/>
  <c r="BC187" i="9"/>
  <c r="AX187" i="9"/>
  <c r="AM187" i="9"/>
  <c r="AK187" i="9"/>
  <c r="F187" i="9"/>
  <c r="C187" i="9"/>
  <c r="BO186" i="9"/>
  <c r="AQ186" i="9"/>
  <c r="BM186" i="9"/>
  <c r="BH186" i="9"/>
  <c r="BC186" i="9"/>
  <c r="AX186" i="9"/>
  <c r="AM186" i="9"/>
  <c r="AK186" i="9"/>
  <c r="F186" i="9"/>
  <c r="C186" i="9"/>
  <c r="BO185" i="9"/>
  <c r="AQ185" i="9"/>
  <c r="BM185" i="9"/>
  <c r="BH185" i="9"/>
  <c r="AX185" i="9"/>
  <c r="AM185" i="9"/>
  <c r="AK185" i="9"/>
  <c r="F185" i="9"/>
  <c r="C185" i="9"/>
  <c r="F15" i="30"/>
  <c r="A15" i="30"/>
  <c r="A192" i="9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/>
  <c r="F36" i="30"/>
  <c r="A36" i="30"/>
  <c r="F37" i="30"/>
  <c r="A37" i="30"/>
  <c r="F38" i="30"/>
  <c r="F39" i="30"/>
  <c r="F40" i="30"/>
  <c r="F41" i="30"/>
  <c r="F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F54" i="30"/>
  <c r="F55" i="30"/>
  <c r="F56" i="30"/>
  <c r="F57" i="30"/>
  <c r="F58" i="30"/>
  <c r="F59" i="30"/>
  <c r="AQ305" i="9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/>
  <c r="BH75" i="9"/>
  <c r="F22" i="30"/>
  <c r="A22" i="30"/>
  <c r="BH96" i="9"/>
  <c r="F23" i="30"/>
  <c r="A23" i="30"/>
  <c r="BH214" i="9"/>
  <c r="F24" i="30"/>
  <c r="A24" i="30"/>
  <c r="F25" i="30"/>
  <c r="A25" i="30"/>
  <c r="BH352" i="9"/>
  <c r="A26" i="30"/>
  <c r="BH371" i="9"/>
  <c r="A27" i="30"/>
  <c r="BH435" i="9"/>
  <c r="A28" i="30"/>
  <c r="BH457" i="9"/>
  <c r="A34" i="30"/>
  <c r="F20" i="30"/>
  <c r="A20" i="30"/>
  <c r="BH14" i="9"/>
  <c r="A29" i="30"/>
  <c r="BH476" i="9"/>
  <c r="A30" i="30"/>
  <c r="BH494" i="9"/>
  <c r="A32" i="30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/>
  <c r="AX10" i="9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BO84" i="9"/>
  <c r="AM84" i="9"/>
  <c r="AK84" i="9"/>
  <c r="F84" i="9"/>
  <c r="C84" i="9"/>
  <c r="BO83" i="9"/>
  <c r="AM83" i="9"/>
  <c r="AK83" i="9"/>
  <c r="F83" i="9"/>
  <c r="C83" i="9"/>
  <c r="BO82" i="9"/>
  <c r="AQ82" i="9"/>
  <c r="AM82" i="9"/>
  <c r="AK82" i="9"/>
  <c r="F82" i="9"/>
  <c r="C82" i="9"/>
  <c r="BO81" i="9"/>
  <c r="AM81" i="9"/>
  <c r="AK81" i="9"/>
  <c r="F81" i="9"/>
  <c r="C81" i="9"/>
  <c r="BO80" i="9"/>
  <c r="AQ80" i="9"/>
  <c r="AM80" i="9"/>
  <c r="AK80" i="9"/>
  <c r="F80" i="9"/>
  <c r="C80" i="9"/>
  <c r="BO79" i="9"/>
  <c r="AM79" i="9"/>
  <c r="AK79" i="9"/>
  <c r="F79" i="9"/>
  <c r="C79" i="9"/>
  <c r="BO78" i="9"/>
  <c r="AQ78" i="9"/>
  <c r="AM78" i="9"/>
  <c r="AK78" i="9"/>
  <c r="F78" i="9"/>
  <c r="C78" i="9"/>
  <c r="BO77" i="9"/>
  <c r="AM77" i="9"/>
  <c r="AK77" i="9"/>
  <c r="F77" i="9"/>
  <c r="C77" i="9"/>
  <c r="BO76" i="9"/>
  <c r="AM76" i="9"/>
  <c r="AK76" i="9"/>
  <c r="F76" i="9"/>
  <c r="C76" i="9"/>
  <c r="BO75" i="9"/>
  <c r="AM75" i="9"/>
  <c r="AK75" i="9"/>
  <c r="F75" i="9"/>
  <c r="C75" i="9"/>
  <c r="BO74" i="9"/>
  <c r="AM74" i="9"/>
  <c r="AK74" i="9"/>
  <c r="F74" i="9"/>
  <c r="C74" i="9"/>
  <c r="BO73" i="9"/>
  <c r="AQ73" i="9"/>
  <c r="AM73" i="9"/>
  <c r="AK73" i="9"/>
  <c r="F73" i="9"/>
  <c r="C73" i="9"/>
  <c r="BO72" i="9"/>
  <c r="AM72" i="9"/>
  <c r="AK72" i="9"/>
  <c r="F72" i="9"/>
  <c r="C72" i="9"/>
  <c r="BO71" i="9"/>
  <c r="AM71" i="9"/>
  <c r="AK71" i="9"/>
  <c r="F71" i="9"/>
  <c r="C71" i="9"/>
  <c r="BO70" i="9"/>
  <c r="AQ70" i="9"/>
  <c r="AM70" i="9"/>
  <c r="AK70" i="9"/>
  <c r="F70" i="9"/>
  <c r="C70" i="9"/>
  <c r="BO69" i="9"/>
  <c r="AM69" i="9"/>
  <c r="AK69" i="9"/>
  <c r="F69" i="9"/>
  <c r="C69" i="9"/>
  <c r="BO68" i="9"/>
  <c r="AQ68" i="9"/>
  <c r="AM68" i="9"/>
  <c r="AK68" i="9"/>
  <c r="F68" i="9"/>
  <c r="C68" i="9"/>
  <c r="BO67" i="9"/>
  <c r="AM67" i="9"/>
  <c r="AK67" i="9"/>
  <c r="F67" i="9"/>
  <c r="C67" i="9"/>
  <c r="BO66" i="9"/>
  <c r="AQ66" i="9"/>
  <c r="AM66" i="9"/>
  <c r="AK66" i="9"/>
  <c r="F66" i="9"/>
  <c r="C66" i="9"/>
  <c r="BO65" i="9"/>
  <c r="AQ65" i="9"/>
  <c r="AM65" i="9"/>
  <c r="AK65" i="9"/>
  <c r="F65" i="9"/>
  <c r="C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311" i="9"/>
  <c r="AO310" i="9"/>
  <c r="AO309" i="9"/>
  <c r="AO308" i="9"/>
  <c r="AO307" i="9"/>
  <c r="AO306" i="9"/>
  <c r="AO305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70" i="9"/>
  <c r="AO169" i="9"/>
  <c r="AO168" i="9"/>
  <c r="AO167" i="9"/>
  <c r="AO166" i="9"/>
  <c r="AO165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11" i="9"/>
  <c r="AO110" i="9"/>
  <c r="AO109" i="9"/>
  <c r="AO108" i="9"/>
  <c r="AO107" i="9"/>
  <c r="AO106" i="9"/>
  <c r="AO105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BH318" i="9"/>
  <c r="BH292" i="9"/>
  <c r="Y65" i="9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/>
  <c r="F11" i="30"/>
  <c r="A11" i="30"/>
  <c r="AX438" i="9"/>
  <c r="F12" i="30"/>
  <c r="A12" i="30"/>
  <c r="F13" i="30"/>
  <c r="A13" i="30"/>
  <c r="F14" i="30"/>
  <c r="A14" i="30"/>
  <c r="F16" i="30"/>
  <c r="A16" i="30"/>
  <c r="BC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6" i="30"/>
  <c r="A57" i="30"/>
  <c r="A58" i="30"/>
  <c r="A59" i="30"/>
  <c r="F5" i="30"/>
  <c r="A40" i="30"/>
  <c r="A42" i="30"/>
  <c r="A53" i="30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AX480" i="9"/>
  <c r="AX142" i="9"/>
  <c r="AX483" i="9"/>
  <c r="AX144" i="9"/>
  <c r="AX481" i="9"/>
  <c r="AX141" i="9"/>
  <c r="AX482" i="9"/>
  <c r="AX143" i="9"/>
  <c r="AX484" i="9"/>
  <c r="AX478" i="9"/>
  <c r="AX479" i="9"/>
  <c r="AX180" i="9"/>
  <c r="AX165" i="9"/>
  <c r="AX173" i="9"/>
  <c r="AX175" i="9"/>
  <c r="AX176" i="9"/>
  <c r="AX169" i="9"/>
  <c r="AX170" i="9"/>
  <c r="AX179" i="9"/>
  <c r="AX166" i="9"/>
  <c r="AX174" i="9"/>
  <c r="AX167" i="9"/>
  <c r="AX168" i="9"/>
  <c r="AX177" i="9"/>
  <c r="AX178" i="9"/>
  <c r="AX171" i="9"/>
  <c r="AX172" i="9"/>
  <c r="AS293" i="9"/>
  <c r="AS288" i="9"/>
  <c r="AS295" i="9"/>
  <c r="AS286" i="9"/>
  <c r="AS299" i="9"/>
  <c r="AS296" i="9"/>
  <c r="AS287" i="9"/>
  <c r="AS294" i="9"/>
  <c r="AS285" i="9"/>
  <c r="AS298" i="9"/>
  <c r="AS292" i="9"/>
  <c r="AS290" i="9"/>
  <c r="AS300" i="9"/>
  <c r="AS297" i="9"/>
  <c r="AS291" i="9"/>
  <c r="AS289" i="9"/>
  <c r="AX147" i="9"/>
  <c r="AX155" i="9"/>
  <c r="AX151" i="9"/>
  <c r="AX148" i="9"/>
  <c r="AX156" i="9"/>
  <c r="AX150" i="9"/>
  <c r="AX152" i="9"/>
  <c r="AX149" i="9"/>
  <c r="AX145" i="9"/>
  <c r="AX153" i="9"/>
  <c r="AX146" i="9"/>
  <c r="AX154" i="9"/>
  <c r="AX181" i="9"/>
  <c r="AX182" i="9"/>
  <c r="AX183" i="9"/>
  <c r="AX184" i="9"/>
  <c r="AS304" i="9"/>
  <c r="AS303" i="9"/>
  <c r="AS301" i="9"/>
  <c r="AS302" i="9"/>
  <c r="AX163" i="9"/>
  <c r="AX164" i="9"/>
  <c r="AX159" i="9"/>
  <c r="AX157" i="9"/>
  <c r="AX158" i="9"/>
  <c r="AX160" i="9"/>
  <c r="AX161" i="9"/>
  <c r="AX162" i="9"/>
  <c r="AX465" i="9"/>
  <c r="AX131" i="9"/>
  <c r="AX139" i="9"/>
  <c r="AX472" i="9"/>
  <c r="AX127" i="9"/>
  <c r="AX468" i="9"/>
  <c r="AX469" i="9"/>
  <c r="AX132" i="9"/>
  <c r="AX140" i="9"/>
  <c r="AX473" i="9"/>
  <c r="AX126" i="9"/>
  <c r="AX467" i="9"/>
  <c r="AX135" i="9"/>
  <c r="AX476" i="9"/>
  <c r="AX125" i="9"/>
  <c r="AX133" i="9"/>
  <c r="AX466" i="9"/>
  <c r="AX474" i="9"/>
  <c r="AX134" i="9"/>
  <c r="AX475" i="9"/>
  <c r="AX128" i="9"/>
  <c r="AX129" i="9"/>
  <c r="AX137" i="9"/>
  <c r="AX470" i="9"/>
  <c r="AX130" i="9"/>
  <c r="AX138" i="9"/>
  <c r="AX471" i="9"/>
  <c r="AX136" i="9"/>
  <c r="AX477" i="9"/>
  <c r="BC185" i="9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X274" i="9"/>
  <c r="AX228" i="9"/>
  <c r="AX268" i="9"/>
  <c r="AX237" i="9"/>
  <c r="AX269" i="9"/>
  <c r="AX118" i="9"/>
  <c r="AX238" i="9"/>
  <c r="AX270" i="9"/>
  <c r="BH505" i="9"/>
  <c r="BH48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9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178" i="9"/>
  <c r="AS242" i="9"/>
  <c r="AS266" i="9"/>
  <c r="AS310" i="9"/>
  <c r="AS334" i="9"/>
  <c r="AS474" i="9"/>
  <c r="AS498" i="9"/>
  <c r="AS522" i="9"/>
  <c r="AS160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234" i="9"/>
  <c r="AS258" i="9"/>
  <c r="AS282" i="9"/>
  <c r="AS326" i="9"/>
  <c r="AS466" i="9"/>
  <c r="AS482" i="9"/>
  <c r="AS506" i="9"/>
  <c r="AS161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162" i="9"/>
  <c r="AS226" i="9"/>
  <c r="AS250" i="9"/>
  <c r="AS274" i="9"/>
  <c r="AS318" i="9"/>
  <c r="AS342" i="9"/>
  <c r="AS490" i="9"/>
  <c r="AS514" i="9"/>
  <c r="AS155" i="9"/>
  <c r="AS163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230" i="9"/>
  <c r="AS253" i="9"/>
  <c r="AS276" i="9"/>
  <c r="AS314" i="9"/>
  <c r="AS337" i="9"/>
  <c r="AS485" i="9"/>
  <c r="AS508" i="9"/>
  <c r="AS238" i="9"/>
  <c r="AS322" i="9"/>
  <c r="AS158" i="9"/>
  <c r="AS262" i="9"/>
  <c r="AS517" i="9"/>
  <c r="AS236" i="9"/>
  <c r="AS254" i="9"/>
  <c r="AS277" i="9"/>
  <c r="AS320" i="9"/>
  <c r="AS338" i="9"/>
  <c r="AS468" i="9"/>
  <c r="AS486" i="9"/>
  <c r="AS509" i="9"/>
  <c r="AS180" i="9"/>
  <c r="AS284" i="9"/>
  <c r="AS493" i="9"/>
  <c r="AS181" i="9"/>
  <c r="AS305" i="9"/>
  <c r="AS494" i="9"/>
  <c r="AS336" i="9"/>
  <c r="AS502" i="9"/>
  <c r="AS156" i="9"/>
  <c r="AS237" i="9"/>
  <c r="AS260" i="9"/>
  <c r="AS278" i="9"/>
  <c r="AS321" i="9"/>
  <c r="AS344" i="9"/>
  <c r="AS469" i="9"/>
  <c r="AS492" i="9"/>
  <c r="AS510" i="9"/>
  <c r="AS157" i="9"/>
  <c r="AS261" i="9"/>
  <c r="AS470" i="9"/>
  <c r="AS516" i="9"/>
  <c r="AS244" i="9"/>
  <c r="AS328" i="9"/>
  <c r="AS476" i="9"/>
  <c r="AS484" i="9"/>
  <c r="AS164" i="9"/>
  <c r="AS182" i="9"/>
  <c r="AS245" i="9"/>
  <c r="AS268" i="9"/>
  <c r="AS306" i="9"/>
  <c r="AS329" i="9"/>
  <c r="AS477" i="9"/>
  <c r="AS500" i="9"/>
  <c r="AS518" i="9"/>
  <c r="AS228" i="9"/>
  <c r="AS246" i="9"/>
  <c r="AS269" i="9"/>
  <c r="AS312" i="9"/>
  <c r="AS330" i="9"/>
  <c r="AS478" i="9"/>
  <c r="AS501" i="9"/>
  <c r="AS524" i="9"/>
  <c r="AS229" i="9"/>
  <c r="AS252" i="9"/>
  <c r="AS270" i="9"/>
  <c r="AS313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20" i="9"/>
  <c r="A337" i="9"/>
  <c r="A510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486" i="9"/>
  <c r="A402" i="9"/>
  <c r="A378" i="9"/>
  <c r="A362" i="9"/>
  <c r="A316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487" i="9"/>
  <c r="A355" i="9"/>
  <c r="A422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12" i="9"/>
  <c r="A488" i="9"/>
  <c r="A456" i="9"/>
  <c r="A424" i="9"/>
  <c r="A408" i="9"/>
  <c r="A396" i="9"/>
  <c r="A372" i="9"/>
  <c r="A348" i="9"/>
  <c r="A503" i="9"/>
  <c r="A479" i="9"/>
  <c r="A439" i="9"/>
  <c r="A415" i="9"/>
  <c r="A395" i="9"/>
  <c r="A363" i="9"/>
  <c r="A331" i="9"/>
  <c r="A504" i="9"/>
  <c r="A472" i="9"/>
  <c r="A448" i="9"/>
  <c r="A432" i="9"/>
  <c r="A388" i="9"/>
  <c r="A356" i="9"/>
  <c r="A332" i="9"/>
  <c r="A511" i="9"/>
  <c r="A455" i="9"/>
  <c r="A431" i="9"/>
  <c r="A387" i="9"/>
  <c r="A371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07" i="9"/>
  <c r="A483" i="9"/>
  <c r="A443" i="9"/>
  <c r="A419" i="9"/>
  <c r="A399" i="9"/>
  <c r="A375" i="9"/>
  <c r="A351" i="9"/>
  <c r="A327" i="9"/>
  <c r="A522" i="9"/>
  <c r="A498" i="9"/>
  <c r="A474" i="9"/>
  <c r="A450" i="9"/>
  <c r="A426" i="9"/>
  <c r="A382" i="9"/>
  <c r="A350" i="9"/>
  <c r="A334" i="9"/>
  <c r="A523" i="9"/>
  <c r="A491" i="9"/>
  <c r="A475" i="9"/>
  <c r="A459" i="9"/>
  <c r="A427" i="9"/>
  <c r="A391" i="9"/>
  <c r="A367" i="9"/>
  <c r="A343" i="9"/>
  <c r="A514" i="9"/>
  <c r="A490" i="9"/>
  <c r="A466" i="9"/>
  <c r="A442" i="9"/>
  <c r="A418" i="9"/>
  <c r="A390" i="9"/>
  <c r="A366" i="9"/>
  <c r="A358" i="9"/>
  <c r="A326" i="9"/>
  <c r="A310" i="9"/>
  <c r="A515" i="9"/>
  <c r="A499" i="9"/>
  <c r="A467" i="9"/>
  <c r="A451" i="9"/>
  <c r="A435" i="9"/>
  <c r="A411" i="9"/>
  <c r="A383" i="9"/>
  <c r="A359" i="9"/>
  <c r="A335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/>
  <c r="AQ24" i="9"/>
  <c r="AQ22" i="9"/>
  <c r="AQ21" i="9"/>
  <c r="A22" i="9"/>
  <c r="A21" i="9"/>
  <c r="A23" i="9"/>
  <c r="A24" i="9"/>
  <c r="A9" i="30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K109" i="9"/>
  <c r="F109" i="9"/>
  <c r="C109" i="9"/>
  <c r="BO108" i="9"/>
  <c r="AK108" i="9"/>
  <c r="F108" i="9"/>
  <c r="C108" i="9"/>
  <c r="BO107" i="9"/>
  <c r="AK107" i="9"/>
  <c r="F107" i="9"/>
  <c r="C107" i="9"/>
  <c r="BO106" i="9"/>
  <c r="AK106" i="9"/>
  <c r="F106" i="9"/>
  <c r="C106" i="9"/>
  <c r="BO105" i="9"/>
  <c r="AK105" i="9"/>
  <c r="F105" i="9"/>
  <c r="C105" i="9"/>
  <c r="BO104" i="9"/>
  <c r="AK104" i="9"/>
  <c r="F104" i="9"/>
  <c r="C104" i="9"/>
  <c r="BO103" i="9"/>
  <c r="AK103" i="9"/>
  <c r="F103" i="9"/>
  <c r="C103" i="9"/>
  <c r="BO102" i="9"/>
  <c r="AK102" i="9"/>
  <c r="F102" i="9"/>
  <c r="C102" i="9"/>
  <c r="BO101" i="9"/>
  <c r="AK101" i="9"/>
  <c r="F101" i="9"/>
  <c r="C101" i="9"/>
  <c r="BO100" i="9"/>
  <c r="AK100" i="9"/>
  <c r="F100" i="9"/>
  <c r="C100" i="9"/>
  <c r="BO99" i="9"/>
  <c r="AK99" i="9"/>
  <c r="F99" i="9"/>
  <c r="C99" i="9"/>
  <c r="BO98" i="9"/>
  <c r="AK98" i="9"/>
  <c r="F98" i="9"/>
  <c r="C98" i="9"/>
  <c r="BO97" i="9"/>
  <c r="AK97" i="9"/>
  <c r="F97" i="9"/>
  <c r="C97" i="9"/>
  <c r="BO96" i="9"/>
  <c r="AK96" i="9"/>
  <c r="F96" i="9"/>
  <c r="C96" i="9"/>
  <c r="BO95" i="9"/>
  <c r="AK95" i="9"/>
  <c r="F95" i="9"/>
  <c r="C95" i="9"/>
  <c r="BO94" i="9"/>
  <c r="AK94" i="9"/>
  <c r="F94" i="9"/>
  <c r="C94" i="9"/>
  <c r="BO93" i="9"/>
  <c r="AK93" i="9"/>
  <c r="F93" i="9"/>
  <c r="C93" i="9"/>
  <c r="BO92" i="9"/>
  <c r="AK92" i="9"/>
  <c r="F92" i="9"/>
  <c r="C92" i="9"/>
  <c r="BO91" i="9"/>
  <c r="AK91" i="9"/>
  <c r="F91" i="9"/>
  <c r="C91" i="9"/>
  <c r="BO90" i="9"/>
  <c r="AK90" i="9"/>
  <c r="F90" i="9"/>
  <c r="C90" i="9"/>
  <c r="BO89" i="9"/>
  <c r="AK89" i="9"/>
  <c r="F89" i="9"/>
  <c r="C89" i="9"/>
  <c r="BO88" i="9"/>
  <c r="AK88" i="9"/>
  <c r="F88" i="9"/>
  <c r="C88" i="9"/>
  <c r="BO87" i="9"/>
  <c r="AK87" i="9"/>
  <c r="F87" i="9"/>
  <c r="C87" i="9"/>
  <c r="BO86" i="9"/>
  <c r="AK86" i="9"/>
  <c r="F86" i="9"/>
  <c r="C86" i="9"/>
  <c r="BO85" i="9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S151" i="9"/>
  <c r="AS153" i="9"/>
  <c r="AS150" i="9"/>
  <c r="AS171" i="9"/>
  <c r="AS154" i="9"/>
  <c r="AS174" i="9"/>
  <c r="AS168" i="9"/>
  <c r="AS173" i="9"/>
  <c r="AS148" i="9"/>
  <c r="AS167" i="9"/>
  <c r="AS169" i="9"/>
  <c r="AS166" i="9"/>
  <c r="AS146" i="9"/>
  <c r="AS170" i="9"/>
  <c r="AS149" i="9"/>
  <c r="AS165" i="9"/>
  <c r="AS152" i="9"/>
  <c r="AS145" i="9"/>
  <c r="AS147" i="9"/>
  <c r="AS172" i="9"/>
  <c r="AS126" i="9"/>
  <c r="AS132" i="9"/>
  <c r="AS127" i="9"/>
  <c r="AS130" i="9"/>
  <c r="AS133" i="9"/>
  <c r="AS128" i="9"/>
  <c r="AS131" i="9"/>
  <c r="AS134" i="9"/>
  <c r="AS129" i="9"/>
  <c r="AS125" i="9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S388" i="9"/>
  <c r="AS396" i="9"/>
  <c r="AS389" i="9"/>
  <c r="AS397" i="9"/>
  <c r="AS390" i="9"/>
  <c r="AS398" i="9"/>
  <c r="AS391" i="9"/>
  <c r="AS392" i="9"/>
  <c r="AS385" i="9"/>
  <c r="AS386" i="9"/>
  <c r="AS393" i="9"/>
  <c r="AS394" i="9"/>
  <c r="AS79" i="9"/>
  <c r="AS77" i="9"/>
  <c r="AS67" i="9"/>
  <c r="AS65" i="9"/>
  <c r="AS51" i="9"/>
  <c r="AS59" i="9"/>
  <c r="AS27" i="9"/>
  <c r="AS35" i="9"/>
  <c r="AS43" i="9"/>
  <c r="AS12" i="9"/>
  <c r="AS20" i="9"/>
  <c r="AS70" i="9"/>
  <c r="AS75" i="9"/>
  <c r="AS73" i="9"/>
  <c r="AS52" i="9"/>
  <c r="AS60" i="9"/>
  <c r="AS28" i="9"/>
  <c r="AS36" i="9"/>
  <c r="AS44" i="9"/>
  <c r="AS13" i="9"/>
  <c r="AS21" i="9"/>
  <c r="AS68" i="9"/>
  <c r="AS83" i="9"/>
  <c r="AS81" i="9"/>
  <c r="AS45" i="9"/>
  <c r="AS53" i="9"/>
  <c r="AS61" i="9"/>
  <c r="AS29" i="9"/>
  <c r="AS37" i="9"/>
  <c r="AS6" i="9"/>
  <c r="AS14" i="9"/>
  <c r="AS22" i="9"/>
  <c r="AS78" i="9"/>
  <c r="AS76" i="9"/>
  <c r="AS72" i="9"/>
  <c r="AS66" i="9"/>
  <c r="AS47" i="9"/>
  <c r="AS55" i="9"/>
  <c r="AS63" i="9"/>
  <c r="AS31" i="9"/>
  <c r="AS39" i="9"/>
  <c r="AS8" i="9"/>
  <c r="AS16" i="9"/>
  <c r="AS24" i="9"/>
  <c r="AS50" i="9"/>
  <c r="AS26" i="9"/>
  <c r="AS42" i="9"/>
  <c r="AS19" i="9"/>
  <c r="AS7" i="9"/>
  <c r="AS57" i="9"/>
  <c r="AS41" i="9"/>
  <c r="AS54" i="9"/>
  <c r="AS30" i="9"/>
  <c r="AS23" i="9"/>
  <c r="AS80" i="9"/>
  <c r="AS33" i="9"/>
  <c r="AS34" i="9"/>
  <c r="AS25" i="9"/>
  <c r="AS56" i="9"/>
  <c r="AS32" i="9"/>
  <c r="AS9" i="9"/>
  <c r="AS5" i="9"/>
  <c r="AS58" i="9"/>
  <c r="AS11" i="9"/>
  <c r="AS49" i="9"/>
  <c r="AS84" i="9"/>
  <c r="AS82" i="9"/>
  <c r="AS69" i="9"/>
  <c r="AS46" i="9"/>
  <c r="AS62" i="9"/>
  <c r="AS38" i="9"/>
  <c r="AS15" i="9"/>
  <c r="AS74" i="9"/>
  <c r="AS71" i="9"/>
  <c r="AS48" i="9"/>
  <c r="AS64" i="9"/>
  <c r="AS40" i="9"/>
  <c r="AS17" i="9"/>
  <c r="AS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H18" i="9" l="1"/>
  <c r="AG18" i="9" s="1"/>
  <c r="AH42" i="9"/>
  <c r="AG42" i="9" s="1"/>
  <c r="AH459" i="9"/>
  <c r="AG459" i="9" s="1"/>
  <c r="AH266" i="9"/>
  <c r="AG266" i="9" s="1"/>
  <c r="AH214" i="9"/>
  <c r="AG214" i="9" s="1"/>
  <c r="AH351" i="9"/>
  <c r="AG351" i="9" s="1"/>
  <c r="AH474" i="9"/>
  <c r="AG474" i="9" s="1"/>
  <c r="AH283" i="9"/>
  <c r="AG283" i="9" s="1"/>
  <c r="AH10" i="9"/>
  <c r="AG10" i="9" s="1"/>
  <c r="AH66" i="9"/>
  <c r="AG66" i="9" s="1"/>
  <c r="AH366" i="9"/>
  <c r="AG366" i="9" s="1"/>
  <c r="AH481" i="9"/>
  <c r="AG481" i="9" s="1"/>
  <c r="AH15" i="9"/>
  <c r="AG15" i="9" s="1"/>
  <c r="AH31" i="9"/>
  <c r="AG31" i="9" s="1"/>
  <c r="AH329" i="9"/>
  <c r="AG329" i="9" s="1"/>
  <c r="AH358" i="9"/>
  <c r="AG358" i="9" s="1"/>
  <c r="AH245" i="9"/>
  <c r="AG245" i="9" s="1"/>
  <c r="AI245" i="9" s="1"/>
  <c r="AH523" i="9"/>
  <c r="AG523" i="9" s="1"/>
  <c r="AH175" i="9"/>
  <c r="AG175" i="9" s="1"/>
  <c r="AH138" i="9"/>
  <c r="AG138" i="9" s="1"/>
  <c r="AH229" i="9"/>
  <c r="AG229" i="9" s="1"/>
  <c r="AH254" i="9"/>
  <c r="AG254" i="9" s="1"/>
  <c r="AH12" i="9"/>
  <c r="AG12" i="9" s="1"/>
  <c r="AH409" i="9"/>
  <c r="AG409" i="9" s="1"/>
  <c r="AH117" i="9"/>
  <c r="AG117" i="9" s="1"/>
  <c r="AH434" i="9"/>
  <c r="AG434" i="9" s="1"/>
  <c r="AH246" i="9"/>
  <c r="AG246" i="9" s="1"/>
  <c r="AH279" i="9"/>
  <c r="AG279" i="9" s="1"/>
  <c r="AH280" i="9"/>
  <c r="AG280" i="9" s="1"/>
  <c r="AH23" i="9"/>
  <c r="AG23" i="9" s="1"/>
  <c r="AH127" i="9"/>
  <c r="AG127" i="9" s="1"/>
  <c r="AH167" i="9"/>
  <c r="AG167" i="9" s="1"/>
  <c r="AH515" i="9"/>
  <c r="AG515" i="9" s="1"/>
  <c r="AH355" i="9"/>
  <c r="AG355" i="9" s="1"/>
  <c r="AH222" i="9"/>
  <c r="AG222" i="9" s="1"/>
  <c r="AH82" i="9"/>
  <c r="AG82" i="9" s="1"/>
  <c r="AH316" i="9"/>
  <c r="AG316" i="9" s="1"/>
  <c r="AH141" i="9"/>
  <c r="AG141" i="9" s="1"/>
  <c r="AH50" i="9"/>
  <c r="AG50" i="9" s="1"/>
  <c r="AH37" i="9"/>
  <c r="AG37" i="9" s="1"/>
  <c r="AH385" i="9"/>
  <c r="AG385" i="9" s="1"/>
  <c r="AH125" i="9"/>
  <c r="AG125" i="9" s="1"/>
  <c r="AI125" i="9" s="1"/>
  <c r="AH151" i="9"/>
  <c r="AG151" i="9" s="1"/>
  <c r="AH438" i="9"/>
  <c r="AG438" i="9" s="1"/>
  <c r="AH507" i="9"/>
  <c r="AG507" i="9" s="1"/>
  <c r="AH216" i="9"/>
  <c r="AG216" i="9" s="1"/>
  <c r="AH133" i="9"/>
  <c r="AG133" i="9" s="1"/>
  <c r="AH442" i="9"/>
  <c r="AG442" i="9" s="1"/>
  <c r="AH282" i="9"/>
  <c r="AG282" i="9" s="1"/>
  <c r="AH367" i="9"/>
  <c r="AG367" i="9" s="1"/>
  <c r="AH485" i="9"/>
  <c r="AG485" i="9" s="1"/>
  <c r="AI485" i="9" s="1"/>
  <c r="AH404" i="9"/>
  <c r="AG404" i="9" s="1"/>
  <c r="AH393" i="9"/>
  <c r="AG393" i="9" s="1"/>
  <c r="AH115" i="9"/>
  <c r="AG115" i="9" s="1"/>
  <c r="AH274" i="9"/>
  <c r="AG274" i="9" s="1"/>
  <c r="AH135" i="9"/>
  <c r="AG135" i="9" s="1"/>
  <c r="AH26" i="9"/>
  <c r="AG26" i="9" s="1"/>
  <c r="AH406" i="9"/>
  <c r="AG406" i="9" s="1"/>
  <c r="AH296" i="9"/>
  <c r="AG296" i="9" s="1"/>
  <c r="AH302" i="9"/>
  <c r="AG302" i="9" s="1"/>
  <c r="AH11" i="9"/>
  <c r="AG11" i="9" s="1"/>
  <c r="AH80" i="9"/>
  <c r="AG80" i="9" s="1"/>
  <c r="AH396" i="9"/>
  <c r="AG396" i="9" s="1"/>
  <c r="AH469" i="9"/>
  <c r="AG469" i="9" s="1"/>
  <c r="AH486" i="9"/>
  <c r="AG486" i="9" s="1"/>
  <c r="AH262" i="9"/>
  <c r="AG262" i="9" s="1"/>
  <c r="AH363" i="9"/>
  <c r="AG363" i="9" s="1"/>
  <c r="AH226" i="9"/>
  <c r="AG226" i="9" s="1"/>
  <c r="AH197" i="9"/>
  <c r="AG197" i="9" s="1"/>
  <c r="AH200" i="9"/>
  <c r="AG200" i="9" s="1"/>
  <c r="AH223" i="9"/>
  <c r="AG223" i="9" s="1"/>
  <c r="AH471" i="9"/>
  <c r="AG471" i="9" s="1"/>
  <c r="AH139" i="9"/>
  <c r="AG139" i="9" s="1"/>
  <c r="AH291" i="9"/>
  <c r="AG291" i="9" s="1"/>
  <c r="AH34" i="9"/>
  <c r="AG34" i="9" s="1"/>
  <c r="AH6" i="9"/>
  <c r="AG6" i="9" s="1"/>
  <c r="AH313" i="9"/>
  <c r="AG313" i="9" s="1"/>
  <c r="AH494" i="9"/>
  <c r="AG494" i="9" s="1"/>
  <c r="AH418" i="9"/>
  <c r="AG418" i="9" s="1"/>
  <c r="AH401" i="9"/>
  <c r="AG401" i="9" s="1"/>
  <c r="AH342" i="9"/>
  <c r="AG342" i="9" s="1"/>
  <c r="AH173" i="9"/>
  <c r="AG173" i="9" s="1"/>
  <c r="AH524" i="9"/>
  <c r="AG524" i="9" s="1"/>
  <c r="AH422" i="9"/>
  <c r="AG422" i="9" s="1"/>
  <c r="AH373" i="9"/>
  <c r="AG373" i="9" s="1"/>
  <c r="AH144" i="9"/>
  <c r="AG144" i="9" s="1"/>
  <c r="AH46" i="9"/>
  <c r="AG46" i="9" s="1"/>
  <c r="AH463" i="9"/>
  <c r="AG463" i="9" s="1"/>
  <c r="AH275" i="9"/>
  <c r="AG275" i="9" s="1"/>
  <c r="AH449" i="9"/>
  <c r="AG449" i="9" s="1"/>
  <c r="AH468" i="9"/>
  <c r="AG468" i="9" s="1"/>
  <c r="AH383" i="9"/>
  <c r="AG383" i="9" s="1"/>
  <c r="AH407" i="9"/>
  <c r="AG407" i="9" s="1"/>
  <c r="AH430" i="9"/>
  <c r="AG430" i="9" s="1"/>
  <c r="AH439" i="9"/>
  <c r="AG439" i="9" s="1"/>
  <c r="AH270" i="9"/>
  <c r="AG270" i="9" s="1"/>
  <c r="AH269" i="9"/>
  <c r="AG269" i="9" s="1"/>
  <c r="AH516" i="9"/>
  <c r="AG516" i="9" s="1"/>
  <c r="AH321" i="9"/>
  <c r="AG321" i="9" s="1"/>
  <c r="AH305" i="9"/>
  <c r="AG305" i="9" s="1"/>
  <c r="AI305" i="9" s="1"/>
  <c r="AH230" i="9"/>
  <c r="AG230" i="9" s="1"/>
  <c r="AH267" i="9"/>
  <c r="AG267" i="9" s="1"/>
  <c r="AH155" i="9"/>
  <c r="AG155" i="9" s="1"/>
  <c r="AH162" i="9"/>
  <c r="AG162" i="9" s="1"/>
  <c r="AH324" i="9"/>
  <c r="AG324" i="9" s="1"/>
  <c r="AH240" i="9"/>
  <c r="AG240" i="9" s="1"/>
  <c r="AH334" i="9"/>
  <c r="AG334" i="9" s="1"/>
  <c r="AH307" i="9"/>
  <c r="AG307" i="9" s="1"/>
  <c r="AH346" i="9"/>
  <c r="AG346" i="9" s="1"/>
  <c r="AH458" i="9"/>
  <c r="AG458" i="9" s="1"/>
  <c r="AH455" i="9"/>
  <c r="AG455" i="9" s="1"/>
  <c r="AH380" i="9"/>
  <c r="AG380" i="9" s="1"/>
  <c r="AH347" i="9"/>
  <c r="AG347" i="9" s="1"/>
  <c r="AH345" i="9"/>
  <c r="AG345" i="9" s="1"/>
  <c r="AI345" i="9" s="1"/>
  <c r="AH70" i="9"/>
  <c r="AG70" i="9" s="1"/>
  <c r="AH65" i="9"/>
  <c r="AG65" i="9" s="1"/>
  <c r="AI65" i="9" s="1"/>
  <c r="AH237" i="9"/>
  <c r="AG237" i="9" s="1"/>
  <c r="AH106" i="9"/>
  <c r="AG106" i="9" s="1"/>
  <c r="AH89" i="9"/>
  <c r="AG89" i="9" s="1"/>
  <c r="AH241" i="9"/>
  <c r="AG241" i="9" s="1"/>
  <c r="AH399" i="9"/>
  <c r="AG399" i="9" s="1"/>
  <c r="AH204" i="9"/>
  <c r="AG204" i="9" s="1"/>
  <c r="AH194" i="9"/>
  <c r="AG194" i="9" s="1"/>
  <c r="AH193" i="9"/>
  <c r="AG193" i="9" s="1"/>
  <c r="AH212" i="9"/>
  <c r="AG212" i="9" s="1"/>
  <c r="AH224" i="9"/>
  <c r="AG224" i="9" s="1"/>
  <c r="AH163" i="9"/>
  <c r="AG163" i="9" s="1"/>
  <c r="AH181" i="9"/>
  <c r="AG181" i="9" s="1"/>
  <c r="AH176" i="9"/>
  <c r="AG176" i="9" s="1"/>
  <c r="AH143" i="9"/>
  <c r="AG143" i="9" s="1"/>
  <c r="AH285" i="9"/>
  <c r="AG285" i="9" s="1"/>
  <c r="AI285" i="9" s="1"/>
  <c r="AH20" i="9"/>
  <c r="AG20" i="9" s="1"/>
  <c r="AH263" i="9"/>
  <c r="AG263" i="9" s="1"/>
  <c r="AH349" i="9"/>
  <c r="AG349" i="9" s="1"/>
  <c r="AH332" i="9"/>
  <c r="AG332" i="9" s="1"/>
  <c r="AH315" i="9"/>
  <c r="AG315" i="9" s="1"/>
  <c r="AH253" i="9"/>
  <c r="AG253" i="9" s="1"/>
  <c r="AH112" i="9"/>
  <c r="AG112" i="9" s="1"/>
  <c r="AH412" i="9"/>
  <c r="AG412" i="9" s="1"/>
  <c r="AH158" i="9"/>
  <c r="AG158" i="9" s="1"/>
  <c r="AH413" i="9"/>
  <c r="AG413" i="9" s="1"/>
  <c r="AH325" i="9"/>
  <c r="AG325" i="9" s="1"/>
  <c r="AI325" i="9" s="1"/>
  <c r="AH185" i="9"/>
  <c r="AG185" i="9" s="1"/>
  <c r="AI185" i="9" s="1"/>
  <c r="AH188" i="9"/>
  <c r="AG188" i="9" s="1"/>
  <c r="AH207" i="9"/>
  <c r="AG207" i="9" s="1"/>
  <c r="AH288" i="9"/>
  <c r="AG288" i="9" s="1"/>
  <c r="AH298" i="9"/>
  <c r="AG298" i="9" s="1"/>
  <c r="AH304" i="9"/>
  <c r="AG304" i="9" s="1"/>
  <c r="AH444" i="9"/>
  <c r="AG444" i="9" s="1"/>
  <c r="AH498" i="9"/>
  <c r="AG498" i="9" s="1"/>
  <c r="AH440" i="9"/>
  <c r="AG440" i="9" s="1"/>
  <c r="AH284" i="9"/>
  <c r="AG284" i="9" s="1"/>
  <c r="AH132" i="9"/>
  <c r="AG132" i="9" s="1"/>
  <c r="AH113" i="9"/>
  <c r="AG113" i="9" s="1"/>
  <c r="AH465" i="9"/>
  <c r="AG465" i="9" s="1"/>
  <c r="AI465" i="9" s="1"/>
  <c r="AH39" i="9"/>
  <c r="AG39" i="9" s="1"/>
  <c r="AH369" i="9"/>
  <c r="AG369" i="9" s="1"/>
  <c r="AH98" i="9"/>
  <c r="AG98" i="9" s="1"/>
  <c r="AH330" i="9"/>
  <c r="AG330" i="9" s="1"/>
  <c r="AH250" i="9"/>
  <c r="AG250" i="9" s="1"/>
  <c r="AH350" i="9"/>
  <c r="AG350" i="9" s="1"/>
  <c r="AH88" i="9"/>
  <c r="AG88" i="9" s="1"/>
  <c r="AH225" i="9"/>
  <c r="AG225" i="9" s="1"/>
  <c r="AI225" i="9" s="1"/>
  <c r="AH81" i="9"/>
  <c r="AG81" i="9" s="1"/>
  <c r="AH198" i="9"/>
  <c r="AG198" i="9" s="1"/>
  <c r="AH215" i="9"/>
  <c r="AG215" i="9" s="1"/>
  <c r="AH62" i="9"/>
  <c r="AG62" i="9" s="1"/>
  <c r="AH384" i="9"/>
  <c r="AG384" i="9" s="1"/>
  <c r="AH63" i="9"/>
  <c r="AG63" i="9" s="1"/>
  <c r="AH54" i="9"/>
  <c r="AG54" i="9" s="1"/>
  <c r="AH293" i="9"/>
  <c r="AG293" i="9" s="1"/>
  <c r="AH147" i="9"/>
  <c r="AG147" i="9" s="1"/>
  <c r="AH415" i="9"/>
  <c r="AG415" i="9" s="1"/>
  <c r="AH248" i="9"/>
  <c r="AG248" i="9" s="1"/>
  <c r="AH360" i="9"/>
  <c r="AG360" i="9" s="1"/>
  <c r="AH322" i="9"/>
  <c r="AG322" i="9" s="1"/>
  <c r="AH243" i="9"/>
  <c r="AG243" i="9" s="1"/>
  <c r="AH43" i="9"/>
  <c r="AG43" i="9" s="1"/>
  <c r="AH326" i="9"/>
  <c r="AG326" i="9" s="1"/>
  <c r="AH111" i="9"/>
  <c r="AG111" i="9" s="1"/>
  <c r="AH35" i="9"/>
  <c r="AG35" i="9" s="1"/>
  <c r="AH109" i="9"/>
  <c r="AG109" i="9" s="1"/>
  <c r="AH67" i="9"/>
  <c r="AG67" i="9" s="1"/>
  <c r="AH191" i="9"/>
  <c r="AG191" i="9" s="1"/>
  <c r="AH297" i="9"/>
  <c r="AG297" i="9" s="1"/>
  <c r="AH448" i="9"/>
  <c r="AG448" i="9" s="1"/>
  <c r="AH107" i="9"/>
  <c r="AG107" i="9" s="1"/>
  <c r="AH276" i="9"/>
  <c r="AG276" i="9" s="1"/>
  <c r="AH281" i="9"/>
  <c r="AG281" i="9" s="1"/>
  <c r="AH234" i="9"/>
  <c r="AG234" i="9" s="1"/>
  <c r="AH361" i="9"/>
  <c r="AG361" i="9" s="1"/>
  <c r="AH273" i="9"/>
  <c r="AG273" i="9" s="1"/>
  <c r="AH432" i="9"/>
  <c r="AG432" i="9" s="1"/>
  <c r="AH338" i="9"/>
  <c r="AG338" i="9" s="1"/>
  <c r="AH506" i="9"/>
  <c r="AG506" i="9" s="1"/>
  <c r="AH512" i="9"/>
  <c r="AG512" i="9" s="1"/>
  <c r="AH456" i="9"/>
  <c r="AG456" i="9" s="1"/>
  <c r="AH202" i="9"/>
  <c r="AG202" i="9" s="1"/>
  <c r="AH300" i="9"/>
  <c r="AG300" i="9" s="1"/>
  <c r="AH17" i="9"/>
  <c r="AG17" i="9" s="1"/>
  <c r="AH196" i="9"/>
  <c r="AG196" i="9" s="1"/>
  <c r="AH72" i="9"/>
  <c r="AG72" i="9" s="1"/>
  <c r="AH5" i="9"/>
  <c r="AG5" i="9" s="1"/>
  <c r="AH376" i="9"/>
  <c r="AG376" i="9" s="1"/>
  <c r="AH423" i="9"/>
  <c r="AG423" i="9" s="1"/>
  <c r="AH426" i="9"/>
  <c r="AG426" i="9" s="1"/>
  <c r="AH268" i="9"/>
  <c r="AG268" i="9" s="1"/>
  <c r="AH495" i="9"/>
  <c r="AG495" i="9" s="1"/>
  <c r="AH352" i="9"/>
  <c r="AG352" i="9" s="1"/>
  <c r="AH92" i="9"/>
  <c r="AG92" i="9" s="1"/>
  <c r="AH218" i="9"/>
  <c r="AG218" i="9" s="1"/>
  <c r="AH299" i="9"/>
  <c r="AG299" i="9" s="1"/>
  <c r="AH22" i="9"/>
  <c r="AG22" i="9" s="1"/>
  <c r="AH379" i="9"/>
  <c r="AG379" i="9" s="1"/>
  <c r="AH49" i="9"/>
  <c r="AG49" i="9" s="1"/>
  <c r="AH76" i="9"/>
  <c r="AG76" i="9" s="1"/>
  <c r="AH219" i="9"/>
  <c r="AG219" i="9" s="1"/>
  <c r="AH27" i="9"/>
  <c r="AG27" i="9" s="1"/>
  <c r="AH83" i="9"/>
  <c r="AG83" i="9" s="1"/>
  <c r="AH165" i="9"/>
  <c r="AG165" i="9" s="1"/>
  <c r="AI165" i="9" s="1"/>
  <c r="AH420" i="9"/>
  <c r="AG420" i="9" s="1"/>
  <c r="AH317" i="9"/>
  <c r="AG317" i="9" s="1"/>
  <c r="AH51" i="9"/>
  <c r="AG51" i="9" s="1"/>
  <c r="AH38" i="9"/>
  <c r="AG38" i="9" s="1"/>
  <c r="AH58" i="9"/>
  <c r="AG58" i="9" s="1"/>
  <c r="AH9" i="9"/>
  <c r="AG9" i="9" s="1"/>
  <c r="AH30" i="9"/>
  <c r="AG30" i="9" s="1"/>
  <c r="AH14" i="9"/>
  <c r="AG14" i="9" s="1"/>
  <c r="AH52" i="9"/>
  <c r="AG52" i="9" s="1"/>
  <c r="AH131" i="9"/>
  <c r="AG131" i="9" s="1"/>
  <c r="AH378" i="9"/>
  <c r="AG378" i="9" s="1"/>
  <c r="AH484" i="9"/>
  <c r="AG484" i="9" s="1"/>
  <c r="AH510" i="9"/>
  <c r="AG510" i="9" s="1"/>
  <c r="AH178" i="9"/>
  <c r="AG178" i="9" s="1"/>
  <c r="AH48" i="9"/>
  <c r="AG48" i="9" s="1"/>
  <c r="AH149" i="9"/>
  <c r="AG149" i="9" s="1"/>
  <c r="AH405" i="9"/>
  <c r="AG405" i="9" s="1"/>
  <c r="AH447" i="9"/>
  <c r="AG447" i="9" s="1"/>
  <c r="AH94" i="9"/>
  <c r="AG94" i="9" s="1"/>
  <c r="AH122" i="9"/>
  <c r="AG122" i="9" s="1"/>
  <c r="AH478" i="9"/>
  <c r="AG478" i="9" s="1"/>
  <c r="AH314" i="9"/>
  <c r="AG314" i="9" s="1"/>
  <c r="AH491" i="9"/>
  <c r="AG491" i="9" s="1"/>
  <c r="AH227" i="9"/>
  <c r="AG227" i="9" s="1"/>
  <c r="AH489" i="9"/>
  <c r="AG489" i="9" s="1"/>
  <c r="AH472" i="9"/>
  <c r="AG472" i="9" s="1"/>
  <c r="AH331" i="9"/>
  <c r="AG331" i="9" s="1"/>
  <c r="AH353" i="9"/>
  <c r="AG353" i="9" s="1"/>
  <c r="AH359" i="9"/>
  <c r="AG359" i="9" s="1"/>
  <c r="AH136" i="9"/>
  <c r="AG136" i="9" s="1"/>
  <c r="AH371" i="9"/>
  <c r="AG371" i="9" s="1"/>
  <c r="AH69" i="9"/>
  <c r="AG69" i="9" s="1"/>
  <c r="AH238" i="9"/>
  <c r="AG238" i="9" s="1"/>
  <c r="AH400" i="9"/>
  <c r="AG400" i="9" s="1"/>
  <c r="AH189" i="9"/>
  <c r="AG189" i="9" s="1"/>
  <c r="AH210" i="9"/>
  <c r="AG210" i="9" s="1"/>
  <c r="AH213" i="9"/>
  <c r="AG213" i="9" s="1"/>
  <c r="AH289" i="9"/>
  <c r="AG289" i="9" s="1"/>
  <c r="AH294" i="9"/>
  <c r="AG294" i="9" s="1"/>
  <c r="AH390" i="9"/>
  <c r="AG390" i="9" s="1"/>
  <c r="AH454" i="9"/>
  <c r="AG454" i="9" s="1"/>
  <c r="AH306" i="9"/>
  <c r="AG306" i="9" s="1"/>
  <c r="AH520" i="9"/>
  <c r="AG520" i="9" s="1"/>
  <c r="AH411" i="9"/>
  <c r="AG411" i="9" s="1"/>
  <c r="AH182" i="9"/>
  <c r="AG182" i="9" s="1"/>
  <c r="AH348" i="9"/>
  <c r="AG348" i="9" s="1"/>
  <c r="AH153" i="9"/>
  <c r="AG153" i="9" s="1"/>
  <c r="AH121" i="9"/>
  <c r="AG121" i="9" s="1"/>
  <c r="AH97" i="9"/>
  <c r="AG97" i="9" s="1"/>
  <c r="AH344" i="9"/>
  <c r="AG344" i="9" s="1"/>
  <c r="AH312" i="9"/>
  <c r="AG312" i="9" s="1"/>
  <c r="AH108" i="9"/>
  <c r="AG108" i="9" s="1"/>
  <c r="AH186" i="9"/>
  <c r="AG186" i="9" s="1"/>
  <c r="AH187" i="9"/>
  <c r="AG187" i="9" s="1"/>
  <c r="AH195" i="9"/>
  <c r="AG195" i="9" s="1"/>
  <c r="AH199" i="9"/>
  <c r="AG199" i="9" s="1"/>
  <c r="AH203" i="9"/>
  <c r="AG203" i="9" s="1"/>
  <c r="AH206" i="9"/>
  <c r="AG206" i="9" s="1"/>
  <c r="AH208" i="9"/>
  <c r="AG208" i="9" s="1"/>
  <c r="AH209" i="9"/>
  <c r="AG209" i="9" s="1"/>
  <c r="AH290" i="9"/>
  <c r="AG290" i="9" s="1"/>
  <c r="AH303" i="9"/>
  <c r="AG303" i="9" s="1"/>
  <c r="AH170" i="9"/>
  <c r="AG170" i="9" s="1"/>
  <c r="AH7" i="9"/>
  <c r="AG7" i="9" s="1"/>
  <c r="AH249" i="9"/>
  <c r="AG249" i="9" s="1"/>
  <c r="AH190" i="9"/>
  <c r="AG190" i="9" s="1"/>
  <c r="AH286" i="9"/>
  <c r="AG286" i="9" s="1"/>
  <c r="AH57" i="9"/>
  <c r="AG57" i="9" s="1"/>
  <c r="AH78" i="9"/>
  <c r="AG78" i="9" s="1"/>
  <c r="AH308" i="9"/>
  <c r="AG308" i="9" s="1"/>
  <c r="AH40" i="9"/>
  <c r="AG40" i="9" s="1"/>
  <c r="AH148" i="9"/>
  <c r="AG148" i="9" s="1"/>
  <c r="AH518" i="9"/>
  <c r="AG518" i="9" s="1"/>
  <c r="AH370" i="9"/>
  <c r="AG370" i="9" s="1"/>
  <c r="AH416" i="9"/>
  <c r="AG416" i="9" s="1"/>
  <c r="AH85" i="9"/>
  <c r="AG85" i="9" s="1"/>
  <c r="AI85" i="9" s="1"/>
  <c r="AH45" i="9"/>
  <c r="AG45" i="9" s="1"/>
  <c r="AI45" i="9" s="1"/>
  <c r="AH445" i="9"/>
  <c r="AG445" i="9" s="1"/>
  <c r="AI445" i="9" s="1"/>
  <c r="AH417" i="9"/>
  <c r="AG417" i="9" s="1"/>
  <c r="AH467" i="9"/>
  <c r="AG467" i="9" s="1"/>
  <c r="AH32" i="9"/>
  <c r="AG32" i="9" s="1"/>
  <c r="AH74" i="9"/>
  <c r="AG74" i="9" s="1"/>
  <c r="AH47" i="9"/>
  <c r="AG47" i="9" s="1"/>
  <c r="AH436" i="9"/>
  <c r="AG436" i="9" s="1"/>
  <c r="AH91" i="9"/>
  <c r="AG91" i="9" s="1"/>
  <c r="AH265" i="9"/>
  <c r="AG265" i="9" s="1"/>
  <c r="AH183" i="9"/>
  <c r="AG183" i="9" s="1"/>
  <c r="AH25" i="9"/>
  <c r="AG25" i="9" s="1"/>
  <c r="AI25" i="9" s="1"/>
  <c r="AH29" i="9"/>
  <c r="AG29" i="9" s="1"/>
  <c r="AH90" i="9"/>
  <c r="AG90" i="9" s="1"/>
  <c r="AH446" i="9"/>
  <c r="AG446" i="9" s="1"/>
  <c r="AH365" i="9"/>
  <c r="AG365" i="9" s="1"/>
  <c r="AH450" i="9"/>
  <c r="AG450" i="9" s="1"/>
  <c r="AH102" i="9"/>
  <c r="AG102" i="9" s="1"/>
  <c r="AH93" i="9"/>
  <c r="AG93" i="9" s="1"/>
  <c r="AH123" i="9"/>
  <c r="AG123" i="9" s="1"/>
  <c r="AH441" i="9"/>
  <c r="AG441" i="9" s="1"/>
  <c r="AH96" i="9"/>
  <c r="AG96" i="9" s="1"/>
  <c r="AH103" i="9"/>
  <c r="AG103" i="9" s="1"/>
  <c r="AH501" i="9"/>
  <c r="AG501" i="9" s="1"/>
  <c r="AH500" i="9"/>
  <c r="AG500" i="9" s="1"/>
  <c r="AH156" i="9"/>
  <c r="AG156" i="9" s="1"/>
  <c r="AH180" i="9"/>
  <c r="AG180" i="9" s="1"/>
  <c r="AH236" i="9"/>
  <c r="AG236" i="9" s="1"/>
  <c r="AH337" i="9"/>
  <c r="AG337" i="9" s="1"/>
  <c r="AH499" i="9"/>
  <c r="AG499" i="9" s="1"/>
  <c r="AH319" i="9"/>
  <c r="AG319" i="9" s="1"/>
  <c r="AH235" i="9"/>
  <c r="AG235" i="9" s="1"/>
  <c r="AH318" i="9"/>
  <c r="AG318" i="9" s="1"/>
  <c r="AH497" i="9"/>
  <c r="AG497" i="9" s="1"/>
  <c r="AH233" i="9"/>
  <c r="AG233" i="9" s="1"/>
  <c r="AH480" i="9"/>
  <c r="AG480" i="9" s="1"/>
  <c r="AH272" i="9"/>
  <c r="AG272" i="9" s="1"/>
  <c r="AH160" i="9"/>
  <c r="AG160" i="9" s="1"/>
  <c r="AH339" i="9"/>
  <c r="AG339" i="9" s="1"/>
  <c r="AH255" i="9"/>
  <c r="AG255" i="9" s="1"/>
  <c r="AH460" i="9"/>
  <c r="AG460" i="9" s="1"/>
  <c r="AH231" i="9"/>
  <c r="AG231" i="9" s="1"/>
  <c r="AH287" i="9"/>
  <c r="AG287" i="9" s="1"/>
  <c r="AH402" i="9"/>
  <c r="AG402" i="9" s="1"/>
  <c r="AH461" i="9"/>
  <c r="AG461" i="9" s="1"/>
  <c r="AH502" i="9"/>
  <c r="AG502" i="9" s="1"/>
  <c r="AH477" i="9"/>
  <c r="AG477" i="9" s="1"/>
  <c r="AH368" i="9"/>
  <c r="AG368" i="9" s="1"/>
  <c r="AH164" i="9"/>
  <c r="AG164" i="9" s="1"/>
  <c r="AH104" i="9"/>
  <c r="AG104" i="9" s="1"/>
  <c r="AH56" i="9"/>
  <c r="AG56" i="9" s="1"/>
  <c r="AH41" i="9"/>
  <c r="AG41" i="9" s="1"/>
  <c r="AH55" i="9"/>
  <c r="AG55" i="9" s="1"/>
  <c r="AH13" i="9"/>
  <c r="AG13" i="9" s="1"/>
  <c r="AH79" i="9"/>
  <c r="AG79" i="9" s="1"/>
  <c r="AH172" i="9"/>
  <c r="AG172" i="9" s="1"/>
  <c r="AH519" i="9"/>
  <c r="AG519" i="9" s="1"/>
  <c r="AH503" i="9"/>
  <c r="AG503" i="9" s="1"/>
  <c r="AH451" i="9"/>
  <c r="AG451" i="9" s="1"/>
  <c r="AH327" i="9"/>
  <c r="AG327" i="9" s="1"/>
  <c r="AH311" i="9"/>
  <c r="AG311" i="9" s="1"/>
  <c r="AH247" i="9"/>
  <c r="AG247" i="9" s="1"/>
  <c r="AH424" i="9"/>
  <c r="AG424" i="9" s="1"/>
  <c r="AH391" i="9"/>
  <c r="AG391" i="9" s="1"/>
  <c r="AH244" i="9"/>
  <c r="AG244" i="9" s="1"/>
  <c r="AH256" i="9"/>
  <c r="AG256" i="9" s="1"/>
  <c r="AH174" i="9"/>
  <c r="AG174" i="9" s="1"/>
  <c r="AH59" i="9"/>
  <c r="AG59" i="9" s="1"/>
  <c r="AH168" i="9"/>
  <c r="AG168" i="9" s="1"/>
  <c r="AH482" i="9"/>
  <c r="AG482" i="9" s="1"/>
  <c r="AH452" i="9"/>
  <c r="AG452" i="9" s="1"/>
  <c r="AH71" i="9"/>
  <c r="AG71" i="9" s="1"/>
  <c r="AH335" i="9"/>
  <c r="AG335" i="9" s="1"/>
  <c r="AH16" i="9"/>
  <c r="AG16" i="9" s="1"/>
  <c r="AH517" i="9"/>
  <c r="AG517" i="9" s="1"/>
  <c r="AH492" i="9"/>
  <c r="AG492" i="9" s="1"/>
  <c r="AH475" i="9"/>
  <c r="AG475" i="9" s="1"/>
  <c r="AH433" i="9"/>
  <c r="AG433" i="9" s="1"/>
  <c r="AH357" i="9"/>
  <c r="AG357" i="9" s="1"/>
  <c r="AH228" i="9"/>
  <c r="AG228" i="9" s="1"/>
  <c r="AH137" i="9"/>
  <c r="AG137" i="9" s="1"/>
  <c r="AH129" i="9"/>
  <c r="AG129" i="9" s="1"/>
  <c r="AH44" i="9"/>
  <c r="AG44" i="9" s="1"/>
  <c r="AH28" i="9"/>
  <c r="AG28" i="9" s="1"/>
  <c r="AH19" i="9"/>
  <c r="AG19" i="9" s="1"/>
  <c r="AH522" i="9"/>
  <c r="AG522" i="9" s="1"/>
  <c r="AH488" i="9"/>
  <c r="AG488" i="9" s="1"/>
  <c r="AH387" i="9"/>
  <c r="AG387" i="9" s="1"/>
  <c r="AH264" i="9"/>
  <c r="AG264" i="9" s="1"/>
  <c r="AH239" i="9"/>
  <c r="AG239" i="9" s="1"/>
  <c r="AH142" i="9"/>
  <c r="AG142" i="9" s="1"/>
  <c r="AH68" i="9"/>
  <c r="AG68" i="9" s="1"/>
  <c r="AH145" i="9"/>
  <c r="AG145" i="9" s="1"/>
  <c r="AI145" i="9" s="1"/>
  <c r="AH377" i="9"/>
  <c r="AG377" i="9" s="1"/>
  <c r="AH375" i="9"/>
  <c r="AG375" i="9" s="1"/>
  <c r="AH252" i="9"/>
  <c r="AG252" i="9" s="1"/>
  <c r="AH259" i="9"/>
  <c r="AG259" i="9" s="1"/>
  <c r="AH341" i="9"/>
  <c r="AG341" i="9" s="1"/>
  <c r="AH257" i="9"/>
  <c r="AG257" i="9" s="1"/>
  <c r="AH504" i="9"/>
  <c r="AG504" i="9" s="1"/>
  <c r="AH232" i="9"/>
  <c r="AG232" i="9" s="1"/>
  <c r="AH310" i="9"/>
  <c r="AG310" i="9" s="1"/>
  <c r="AH364" i="9"/>
  <c r="AG364" i="9" s="1"/>
  <c r="AH435" i="9"/>
  <c r="AG435" i="9" s="1"/>
  <c r="AH421" i="9"/>
  <c r="AG421" i="9" s="1"/>
  <c r="AH389" i="9"/>
  <c r="AG389" i="9" s="1"/>
  <c r="AH388" i="9"/>
  <c r="AG388" i="9" s="1"/>
  <c r="AH398" i="9"/>
  <c r="AG398" i="9" s="1"/>
  <c r="AH386" i="9"/>
  <c r="AG386" i="9" s="1"/>
  <c r="AH511" i="9"/>
  <c r="AG511" i="9" s="1"/>
  <c r="AH179" i="9"/>
  <c r="AG179" i="9" s="1"/>
  <c r="AH53" i="9"/>
  <c r="AG53" i="9" s="1"/>
  <c r="AH36" i="9"/>
  <c r="AG36" i="9" s="1"/>
  <c r="AH479" i="9"/>
  <c r="AG479" i="9" s="1"/>
  <c r="AH437" i="9"/>
  <c r="AG437" i="9" s="1"/>
  <c r="AH428" i="9"/>
  <c r="AG428" i="9" s="1"/>
  <c r="AH328" i="9"/>
  <c r="AG328" i="9" s="1"/>
  <c r="AH110" i="9"/>
  <c r="AG110" i="9" s="1"/>
  <c r="AH77" i="9"/>
  <c r="AG77" i="9" s="1"/>
  <c r="AH397" i="9"/>
  <c r="AG397" i="9" s="1"/>
  <c r="AH128" i="9"/>
  <c r="AG128" i="9" s="1"/>
  <c r="AH431" i="9"/>
  <c r="AG431" i="9" s="1"/>
  <c r="AH521" i="9"/>
  <c r="AG521" i="9" s="1"/>
  <c r="AH64" i="9"/>
  <c r="AG64" i="9" s="1"/>
  <c r="AH8" i="9"/>
  <c r="AG8" i="9" s="1"/>
  <c r="AH372" i="9"/>
  <c r="AG372" i="9" s="1"/>
  <c r="AH429" i="9"/>
  <c r="AG429" i="9" s="1"/>
  <c r="AH157" i="9"/>
  <c r="AG157" i="9" s="1"/>
  <c r="AH61" i="9"/>
  <c r="AG61" i="9" s="1"/>
  <c r="AH73" i="9"/>
  <c r="AG73" i="9" s="1"/>
  <c r="AH99" i="9"/>
  <c r="AG99" i="9" s="1"/>
  <c r="AH211" i="9"/>
  <c r="AG211" i="9" s="1"/>
  <c r="AH217" i="9"/>
  <c r="AG217" i="9" s="1"/>
  <c r="AH394" i="9"/>
  <c r="AG394" i="9" s="1"/>
  <c r="AH152" i="9"/>
  <c r="AG152" i="9" s="1"/>
  <c r="AH169" i="9"/>
  <c r="AG169" i="9" s="1"/>
  <c r="AH116" i="9"/>
  <c r="AG116" i="9" s="1"/>
  <c r="AH114" i="9"/>
  <c r="AG114" i="9" s="1"/>
  <c r="AH119" i="9"/>
  <c r="AG119" i="9" s="1"/>
  <c r="AH260" i="9"/>
  <c r="AG260" i="9" s="1"/>
  <c r="AH493" i="9"/>
  <c r="AG493" i="9" s="1"/>
  <c r="AH277" i="9"/>
  <c r="AG277" i="9" s="1"/>
  <c r="AH508" i="9"/>
  <c r="AG508" i="9" s="1"/>
  <c r="AH251" i="9"/>
  <c r="AG251" i="9" s="1"/>
  <c r="AH490" i="9"/>
  <c r="AG490" i="9" s="1"/>
  <c r="AH513" i="9"/>
  <c r="AG513" i="9" s="1"/>
  <c r="AH333" i="9"/>
  <c r="AG333" i="9" s="1"/>
  <c r="AH496" i="9"/>
  <c r="AG496" i="9" s="1"/>
  <c r="AH184" i="9"/>
  <c r="AG184" i="9" s="1"/>
  <c r="AH271" i="9"/>
  <c r="AG271" i="9" s="1"/>
  <c r="AH159" i="9"/>
  <c r="AG159" i="9" s="1"/>
  <c r="AH457" i="9"/>
  <c r="AG457" i="9" s="1"/>
  <c r="AH356" i="9"/>
  <c r="AG356" i="9" s="1"/>
  <c r="AH427" i="9"/>
  <c r="AG427" i="9" s="1"/>
  <c r="AH414" i="9"/>
  <c r="AG414" i="9" s="1"/>
  <c r="AH75" i="9"/>
  <c r="AG75" i="9" s="1"/>
  <c r="AH84" i="9"/>
  <c r="AG84" i="9" s="1"/>
  <c r="AH192" i="9"/>
  <c r="AG192" i="9" s="1"/>
  <c r="AH220" i="9"/>
  <c r="AG220" i="9" s="1"/>
  <c r="AH221" i="9"/>
  <c r="AG221" i="9" s="1"/>
  <c r="AH205" i="9"/>
  <c r="AG205" i="9" s="1"/>
  <c r="AH161" i="9"/>
  <c r="AG161" i="9" s="1"/>
  <c r="AH301" i="9"/>
  <c r="AG301" i="9" s="1"/>
  <c r="AH292" i="9"/>
  <c r="AG292" i="9" s="1"/>
  <c r="AH295" i="9"/>
  <c r="AG295" i="9" s="1"/>
  <c r="AH473" i="9"/>
  <c r="AG473" i="9" s="1"/>
  <c r="AH242" i="9"/>
  <c r="AG242" i="9" s="1"/>
  <c r="AH101" i="9"/>
  <c r="AG101" i="9" s="1"/>
  <c r="AH86" i="9"/>
  <c r="AG86" i="9" s="1"/>
  <c r="AH392" i="9"/>
  <c r="AG392" i="9" s="1"/>
  <c r="AH177" i="9"/>
  <c r="AG177" i="9" s="1"/>
  <c r="AH323" i="9"/>
  <c r="AG323" i="9" s="1"/>
  <c r="AH354" i="9"/>
  <c r="AG354" i="9" s="1"/>
  <c r="AH410" i="9"/>
  <c r="AG410" i="9" s="1"/>
  <c r="AH130" i="9"/>
  <c r="AG130" i="9" s="1"/>
  <c r="AH24" i="9"/>
  <c r="AG24" i="9" s="1"/>
  <c r="AH146" i="9"/>
  <c r="AG146" i="9" s="1"/>
  <c r="AH118" i="9"/>
  <c r="AG118" i="9" s="1"/>
  <c r="AH362" i="9"/>
  <c r="AG362" i="9" s="1"/>
  <c r="AH408" i="9"/>
  <c r="AG408" i="9" s="1"/>
  <c r="AH443" i="9"/>
  <c r="AG443" i="9" s="1"/>
  <c r="AH105" i="9"/>
  <c r="AG105" i="9" s="1"/>
  <c r="AH120" i="9"/>
  <c r="AG120" i="9" s="1"/>
  <c r="AH470" i="9"/>
  <c r="AG470" i="9" s="1"/>
  <c r="AH171" i="9"/>
  <c r="AG171" i="9" s="1"/>
  <c r="AH100" i="9"/>
  <c r="AG100" i="9" s="1"/>
  <c r="AH261" i="9"/>
  <c r="AG261" i="9" s="1"/>
  <c r="AH509" i="9"/>
  <c r="AG509" i="9" s="1"/>
  <c r="AH154" i="9"/>
  <c r="AG154" i="9" s="1"/>
  <c r="AH60" i="9"/>
  <c r="AG60" i="9" s="1"/>
  <c r="AH395" i="9"/>
  <c r="AG395" i="9" s="1"/>
  <c r="AH166" i="9"/>
  <c r="AG166" i="9" s="1"/>
  <c r="AH124" i="9"/>
  <c r="AG124" i="9" s="1"/>
  <c r="AH425" i="9"/>
  <c r="AG425" i="9" s="1"/>
  <c r="AH340" i="9"/>
  <c r="AG340" i="9" s="1"/>
  <c r="AH505" i="9"/>
  <c r="AG505" i="9" s="1"/>
  <c r="AH453" i="9"/>
  <c r="AG453" i="9" s="1"/>
  <c r="AH150" i="9"/>
  <c r="AG150" i="9" s="1"/>
  <c r="AH419" i="9"/>
  <c r="AG419" i="9" s="1"/>
  <c r="AH87" i="9"/>
  <c r="AG87" i="9" s="1"/>
  <c r="AH336" i="9"/>
  <c r="AG336" i="9" s="1"/>
  <c r="AH483" i="9"/>
  <c r="AG483" i="9" s="1"/>
  <c r="AH403" i="9"/>
  <c r="AG403" i="9" s="1"/>
  <c r="AH126" i="9"/>
  <c r="AG126" i="9" s="1"/>
  <c r="AH278" i="9"/>
  <c r="AG278" i="9" s="1"/>
  <c r="AH320" i="9"/>
  <c r="AG320" i="9" s="1"/>
  <c r="AH343" i="9"/>
  <c r="AG343" i="9" s="1"/>
  <c r="AH514" i="9"/>
  <c r="AG514" i="9" s="1"/>
  <c r="AH487" i="9"/>
  <c r="AG487" i="9" s="1"/>
  <c r="AH201" i="9"/>
  <c r="AG201" i="9" s="1"/>
  <c r="AH381" i="9"/>
  <c r="AG381" i="9" s="1"/>
  <c r="AH466" i="9"/>
  <c r="AG466" i="9" s="1"/>
  <c r="AH140" i="9"/>
  <c r="AG140" i="9" s="1"/>
  <c r="AH309" i="9"/>
  <c r="AG309" i="9" s="1"/>
  <c r="AH464" i="9"/>
  <c r="AG464" i="9" s="1"/>
  <c r="AH462" i="9"/>
  <c r="AG462" i="9" s="1"/>
  <c r="AH33" i="9"/>
  <c r="AG33" i="9" s="1"/>
  <c r="AH21" i="9"/>
  <c r="AG21" i="9" s="1"/>
  <c r="AH134" i="9"/>
  <c r="AG134" i="9" s="1"/>
  <c r="AH382" i="9"/>
  <c r="AG382" i="9" s="1"/>
  <c r="AH374" i="9"/>
  <c r="AG374" i="9" s="1"/>
  <c r="AH95" i="9"/>
  <c r="AG95" i="9" s="1"/>
  <c r="AH476" i="9"/>
  <c r="AG476" i="9" s="1"/>
  <c r="AH258" i="9"/>
  <c r="AG258" i="9" s="1"/>
  <c r="AI332" i="9" l="1"/>
  <c r="AI210" i="9"/>
  <c r="AI43" i="9"/>
  <c r="AI82" i="9"/>
  <c r="AI216" i="9"/>
  <c r="AI175" i="9"/>
  <c r="AI18" i="9"/>
  <c r="AI42" i="9"/>
  <c r="AI481" i="9"/>
  <c r="AI284" i="9"/>
  <c r="AI459" i="9"/>
  <c r="AI266" i="9"/>
  <c r="AI214" i="9"/>
  <c r="AI338" i="9"/>
  <c r="AI11" i="9"/>
  <c r="AI135" i="9"/>
  <c r="AI469" i="9"/>
  <c r="AI474" i="9"/>
  <c r="AI475" i="9"/>
  <c r="AI219" i="9"/>
  <c r="AI10" i="9"/>
  <c r="AI352" i="9"/>
  <c r="AI88" i="9"/>
  <c r="AI523" i="9"/>
  <c r="AI299" i="9"/>
  <c r="AI17" i="9"/>
  <c r="AI37" i="9"/>
  <c r="AI283" i="9"/>
  <c r="AI159" i="9"/>
  <c r="AI439" i="9"/>
  <c r="AI482" i="9"/>
  <c r="AI247" i="9"/>
  <c r="AI371" i="9"/>
  <c r="AI107" i="9"/>
  <c r="AI321" i="9"/>
  <c r="AI151" i="9"/>
  <c r="AI468" i="9"/>
  <c r="AI335" i="9"/>
  <c r="AI92" i="9"/>
  <c r="AI297" i="9"/>
  <c r="AI176" i="9"/>
  <c r="AI363" i="9"/>
  <c r="AI102" i="9"/>
  <c r="AI222" i="9"/>
  <c r="AI54" i="9"/>
  <c r="AI366" i="9"/>
  <c r="AI322" i="9"/>
  <c r="AI367" i="9"/>
  <c r="AI364" i="9"/>
  <c r="AI416" i="9"/>
  <c r="AI286" i="9"/>
  <c r="AI67" i="9"/>
  <c r="AI441" i="9"/>
  <c r="AI89" i="9"/>
  <c r="AI223" i="9"/>
  <c r="AI393" i="9"/>
  <c r="AI438" i="9"/>
  <c r="AI40" i="9"/>
  <c r="AI83" i="9"/>
  <c r="AI383" i="9"/>
  <c r="AI390" i="9"/>
  <c r="AI303" i="9"/>
  <c r="AI290" i="9"/>
  <c r="AI179" i="9"/>
  <c r="AI217" i="9"/>
  <c r="AI317" i="9"/>
  <c r="AI404" i="9"/>
  <c r="AI138" i="9"/>
  <c r="AI519" i="9"/>
  <c r="AI494" i="9"/>
  <c r="AI158" i="9"/>
  <c r="AI384" i="9"/>
  <c r="AI270" i="9"/>
  <c r="AI455" i="9"/>
  <c r="AI142" i="9"/>
  <c r="AI194" i="9"/>
  <c r="AI227" i="9"/>
  <c r="AI204" i="9"/>
  <c r="AI23" i="9"/>
  <c r="AI73" i="9"/>
  <c r="AI480" i="9"/>
  <c r="AI492" i="9"/>
  <c r="AI31" i="9"/>
  <c r="AI229" i="9"/>
  <c r="AI173" i="9"/>
  <c r="AI255" i="9"/>
  <c r="AI291" i="9"/>
  <c r="AI254" i="9"/>
  <c r="AI386" i="9"/>
  <c r="AI329" i="9"/>
  <c r="AI62" i="9"/>
  <c r="AI164" i="9"/>
  <c r="AI397" i="9"/>
  <c r="AI508" i="9"/>
  <c r="AI316" i="9"/>
  <c r="AI182" i="9"/>
  <c r="AI472" i="9"/>
  <c r="AI358" i="9"/>
  <c r="AI361" i="9"/>
  <c r="AI118" i="9"/>
  <c r="AI440" i="9"/>
  <c r="AI380" i="9"/>
  <c r="AI203" i="9"/>
  <c r="AI235" i="9"/>
  <c r="AI248" i="9"/>
  <c r="AI224" i="9"/>
  <c r="AI268" i="9"/>
  <c r="AI81" i="9"/>
  <c r="AI50" i="9"/>
  <c r="AI12" i="9"/>
  <c r="AI267" i="9"/>
  <c r="AI277" i="9"/>
  <c r="AI512" i="9"/>
  <c r="AI377" i="9"/>
  <c r="AI80" i="9"/>
  <c r="AI447" i="9"/>
  <c r="AI418" i="9"/>
  <c r="AI148" i="9"/>
  <c r="AI7" i="9"/>
  <c r="AI70" i="9"/>
  <c r="AI15" i="9"/>
  <c r="AI423" i="9"/>
  <c r="AI456" i="9"/>
  <c r="AI281" i="9"/>
  <c r="AI35" i="9"/>
  <c r="AI413" i="9"/>
  <c r="AI213" i="9"/>
  <c r="AI346" i="9"/>
  <c r="AI230" i="9"/>
  <c r="AI167" i="9"/>
  <c r="AI464" i="9"/>
  <c r="AI326" i="9"/>
  <c r="AI47" i="9"/>
  <c r="AI188" i="9"/>
  <c r="AI349" i="9"/>
  <c r="AI136" i="9"/>
  <c r="AI315" i="9"/>
  <c r="AI27" i="9"/>
  <c r="AI6" i="9"/>
  <c r="AI507" i="9"/>
  <c r="AI409" i="9"/>
  <c r="AI90" i="9"/>
  <c r="AI265" i="9"/>
  <c r="AI76" i="9"/>
  <c r="AI273" i="9"/>
  <c r="AI162" i="9"/>
  <c r="AI333" i="9"/>
  <c r="AI99" i="9"/>
  <c r="AI402" i="9"/>
  <c r="AI186" i="9"/>
  <c r="AI359" i="9"/>
  <c r="AI301" i="9"/>
  <c r="AI168" i="9"/>
  <c r="AI442" i="9"/>
  <c r="AI46" i="9"/>
  <c r="AI396" i="9"/>
  <c r="AI131" i="9"/>
  <c r="AI513" i="9"/>
  <c r="AI412" i="9"/>
  <c r="AI350" i="9"/>
  <c r="AI133" i="9"/>
  <c r="AI400" i="9"/>
  <c r="AI348" i="9"/>
  <c r="AI269" i="9"/>
  <c r="AI275" i="9"/>
  <c r="AI139" i="9"/>
  <c r="AI524" i="9"/>
  <c r="AI434" i="9"/>
  <c r="AI319" i="9"/>
  <c r="AI478" i="9"/>
  <c r="AI215" i="9"/>
  <c r="AI300" i="9"/>
  <c r="AI330" i="9"/>
  <c r="AI355" i="9"/>
  <c r="AI477" i="9"/>
  <c r="AI427" i="9"/>
  <c r="AI431" i="9"/>
  <c r="AI342" i="9"/>
  <c r="AI51" i="9"/>
  <c r="AI370" i="9"/>
  <c r="AI407" i="9"/>
  <c r="AI385" i="9"/>
  <c r="AI24" i="9"/>
  <c r="AI378" i="9"/>
  <c r="AI356" i="9"/>
  <c r="AI128" i="9"/>
  <c r="AI276" i="9"/>
  <c r="AI401" i="9"/>
  <c r="AI448" i="9"/>
  <c r="AI197" i="9"/>
  <c r="AI280" i="9"/>
  <c r="AI5" i="9"/>
  <c r="AI242" i="9"/>
  <c r="AI457" i="9"/>
  <c r="AI251" i="9"/>
  <c r="AI435" i="9"/>
  <c r="AI253" i="9"/>
  <c r="AI256" i="9"/>
  <c r="AI181" i="9"/>
  <c r="AI32" i="9"/>
  <c r="AI98" i="9"/>
  <c r="AI238" i="9"/>
  <c r="AI52" i="9"/>
  <c r="AI495" i="9"/>
  <c r="AI274" i="9"/>
  <c r="AI84" i="9"/>
  <c r="AI365" i="9"/>
  <c r="AI327" i="9"/>
  <c r="AI314" i="9"/>
  <c r="AI141" i="9"/>
  <c r="AI127" i="9"/>
  <c r="AI246" i="9"/>
  <c r="AI220" i="9"/>
  <c r="AI351" i="9"/>
  <c r="AI200" i="9"/>
  <c r="AI122" i="9"/>
  <c r="AI289" i="9"/>
  <c r="AI113" i="9"/>
  <c r="AI144" i="9"/>
  <c r="AI241" i="9"/>
  <c r="AI516" i="9"/>
  <c r="AI174" i="9"/>
  <c r="AI263" i="9"/>
  <c r="AI298" i="9"/>
  <c r="AI115" i="9"/>
  <c r="AI239" i="9"/>
  <c r="AI56" i="9"/>
  <c r="AI161" i="9"/>
  <c r="AI282" i="9"/>
  <c r="AI414" i="9"/>
  <c r="AI347" i="9"/>
  <c r="AI490" i="9"/>
  <c r="AI116" i="9"/>
  <c r="AI422" i="9"/>
  <c r="AI264" i="9"/>
  <c r="AI59" i="9"/>
  <c r="AI97" i="9"/>
  <c r="AI308" i="9"/>
  <c r="AI196" i="9"/>
  <c r="AI294" i="9"/>
  <c r="AI48" i="9"/>
  <c r="AI237" i="9"/>
  <c r="AI517" i="9"/>
  <c r="AI467" i="9"/>
  <c r="AI66" i="9"/>
  <c r="AI324" i="9"/>
  <c r="AI296" i="9"/>
  <c r="AI193" i="9"/>
  <c r="AI394" i="9"/>
  <c r="AI373" i="9"/>
  <c r="AI110" i="9"/>
  <c r="AI244" i="9"/>
  <c r="AI234" i="9"/>
  <c r="AI486" i="9"/>
  <c r="AI58" i="9"/>
  <c r="AI109" i="9"/>
  <c r="AI353" i="9"/>
  <c r="AI39" i="9"/>
  <c r="AI63" i="9"/>
  <c r="AI163" i="9"/>
  <c r="AI78" i="9"/>
  <c r="AI489" i="9"/>
  <c r="AI288" i="9"/>
  <c r="AI262" i="9"/>
  <c r="AI112" i="9"/>
  <c r="AI473" i="9"/>
  <c r="AI178" i="9"/>
  <c r="AI293" i="9"/>
  <c r="AI9" i="9"/>
  <c r="AI20" i="9"/>
  <c r="AI369" i="9"/>
  <c r="AI304" i="9"/>
  <c r="AI209" i="9"/>
  <c r="AI313" i="9"/>
  <c r="AI190" i="9"/>
  <c r="AI379" i="9"/>
  <c r="AI420" i="9"/>
  <c r="AI444" i="9"/>
  <c r="AI202" i="9"/>
  <c r="AI226" i="9"/>
  <c r="AI360" i="9"/>
  <c r="AI143" i="9"/>
  <c r="AI64" i="9"/>
  <c r="AI399" i="9"/>
  <c r="AI28" i="9"/>
  <c r="AI79" i="9"/>
  <c r="AI191" i="9"/>
  <c r="AI207" i="9"/>
  <c r="AI306" i="9"/>
  <c r="AI132" i="9"/>
  <c r="AI449" i="9"/>
  <c r="AI198" i="9"/>
  <c r="AI499" i="9"/>
  <c r="AI44" i="9"/>
  <c r="AI14" i="9"/>
  <c r="AI503" i="9"/>
  <c r="AI339" i="9"/>
  <c r="AI236" i="9"/>
  <c r="AI22" i="9"/>
  <c r="AI307" i="9"/>
  <c r="AI479" i="9"/>
  <c r="AI328" i="9"/>
  <c r="AI376" i="9"/>
  <c r="AI436" i="9"/>
  <c r="AI250" i="9"/>
  <c r="AI232" i="9"/>
  <c r="AI94" i="9"/>
  <c r="AI272" i="9"/>
  <c r="AI341" i="9"/>
  <c r="AI243" i="9"/>
  <c r="AI160" i="9"/>
  <c r="AI428" i="9"/>
  <c r="AI504" i="9"/>
  <c r="AI189" i="9"/>
  <c r="AI72" i="9"/>
  <c r="AI391" i="9"/>
  <c r="AI461" i="9"/>
  <c r="AI498" i="9"/>
  <c r="AI157" i="9"/>
  <c r="AI103" i="9"/>
  <c r="AI287" i="9"/>
  <c r="AI169" i="9"/>
  <c r="AI488" i="9"/>
  <c r="AI331" i="9"/>
  <c r="AI16" i="9"/>
  <c r="AI96" i="9"/>
  <c r="AI344" i="9"/>
  <c r="AI111" i="9"/>
  <c r="AI208" i="9"/>
  <c r="AI415" i="9"/>
  <c r="AI388" i="9"/>
  <c r="AI257" i="9"/>
  <c r="AI69" i="9"/>
  <c r="AI424" i="9"/>
  <c r="AI318" i="9"/>
  <c r="AI195" i="9"/>
  <c r="AI432" i="9"/>
  <c r="AI520" i="9"/>
  <c r="AI192" i="9"/>
  <c r="AI491" i="9"/>
  <c r="AI170" i="9"/>
  <c r="AI91" i="9"/>
  <c r="AI130" i="9"/>
  <c r="AI312" i="9"/>
  <c r="AI114" i="9"/>
  <c r="AI149" i="9"/>
  <c r="AI38" i="9"/>
  <c r="AI302" i="9"/>
  <c r="AI117" i="9"/>
  <c r="AI357" i="9"/>
  <c r="AI13" i="9"/>
  <c r="AI68" i="9"/>
  <c r="AI522" i="9"/>
  <c r="AI49" i="9"/>
  <c r="AI211" i="9"/>
  <c r="AI311" i="9"/>
  <c r="AI518" i="9"/>
  <c r="AI57" i="9"/>
  <c r="AI156" i="9"/>
  <c r="AI343" i="9"/>
  <c r="AI87" i="9"/>
  <c r="AI101" i="9"/>
  <c r="AI74" i="9"/>
  <c r="AI398" i="9"/>
  <c r="AI411" i="9"/>
  <c r="AI521" i="9"/>
  <c r="AI387" i="9"/>
  <c r="AI123" i="9"/>
  <c r="AI30" i="9"/>
  <c r="AI187" i="9"/>
  <c r="AI437" i="9"/>
  <c r="AI108" i="9"/>
  <c r="AI458" i="9"/>
  <c r="AI8" i="9"/>
  <c r="AI21" i="9"/>
  <c r="AI86" i="9"/>
  <c r="AI446" i="9"/>
  <c r="AI221" i="9"/>
  <c r="AI153" i="9"/>
  <c r="AI501" i="9"/>
  <c r="AI451" i="9"/>
  <c r="AI218" i="9"/>
  <c r="AI199" i="9"/>
  <c r="AI249" i="9"/>
  <c r="AI429" i="9"/>
  <c r="AI41" i="9"/>
  <c r="AI260" i="9"/>
  <c r="AI184" i="9"/>
  <c r="AI405" i="9"/>
  <c r="AI406" i="9"/>
  <c r="AI259" i="9"/>
  <c r="AI172" i="9"/>
  <c r="AI77" i="9"/>
  <c r="AI430" i="9"/>
  <c r="AI340" i="9"/>
  <c r="AI334" i="9"/>
  <c r="AI137" i="9"/>
  <c r="AI231" i="9"/>
  <c r="AI183" i="9"/>
  <c r="AI36" i="9"/>
  <c r="AI212" i="9"/>
  <c r="AI93" i="9"/>
  <c r="AI408" i="9"/>
  <c r="AI75" i="9"/>
  <c r="AI497" i="9"/>
  <c r="AI180" i="9"/>
  <c r="AI493" i="9"/>
  <c r="AI511" i="9"/>
  <c r="AI421" i="9"/>
  <c r="AI55" i="9"/>
  <c r="AI502" i="9"/>
  <c r="AI71" i="9"/>
  <c r="AI295" i="9"/>
  <c r="AI233" i="9"/>
  <c r="AI271" i="9"/>
  <c r="AI205" i="9"/>
  <c r="AI206" i="9"/>
  <c r="AI129" i="9"/>
  <c r="AI119" i="9"/>
  <c r="AI368" i="9"/>
  <c r="AI124" i="9"/>
  <c r="AI152" i="9"/>
  <c r="AI417" i="9"/>
  <c r="AI500" i="9"/>
  <c r="AI452" i="9"/>
  <c r="AI104" i="9"/>
  <c r="AI372" i="9"/>
  <c r="AI240" i="9"/>
  <c r="AI177" i="9"/>
  <c r="AI450" i="9"/>
  <c r="AI95" i="9"/>
  <c r="AI26" i="9"/>
  <c r="AI29" i="9"/>
  <c r="AI443" i="9"/>
  <c r="AI252" i="9"/>
  <c r="AI389" i="9"/>
  <c r="AI19" i="9"/>
  <c r="AI433" i="9"/>
  <c r="AI292" i="9"/>
  <c r="AI496" i="9"/>
  <c r="AI460" i="9"/>
  <c r="AI53" i="9"/>
  <c r="AI228" i="9"/>
  <c r="AI484" i="9"/>
  <c r="AI483" i="9"/>
  <c r="AI154" i="9"/>
  <c r="AI155" i="9"/>
  <c r="AI126" i="9"/>
  <c r="AI337" i="9"/>
  <c r="AI336" i="9"/>
  <c r="AI382" i="9"/>
  <c r="AI381" i="9"/>
  <c r="AI410" i="9"/>
  <c r="AI323" i="9"/>
  <c r="AI279" i="9"/>
  <c r="AI278" i="9"/>
  <c r="AI426" i="9"/>
  <c r="AI425" i="9"/>
  <c r="AI487" i="9"/>
  <c r="AI466" i="9"/>
  <c r="AI34" i="9"/>
  <c r="AI33" i="9"/>
  <c r="AI166" i="9"/>
  <c r="AI471" i="9"/>
  <c r="AI470" i="9"/>
  <c r="AI201" i="9"/>
  <c r="AI258" i="9"/>
  <c r="AI362" i="9"/>
  <c r="AI463" i="9"/>
  <c r="AI462" i="9"/>
  <c r="AI121" i="9"/>
  <c r="AI120" i="9"/>
  <c r="AI454" i="9"/>
  <c r="AI453" i="9"/>
  <c r="AI140" i="9"/>
  <c r="AI510" i="9"/>
  <c r="AI509" i="9"/>
  <c r="AI171" i="9"/>
  <c r="AI105" i="9"/>
  <c r="AI106" i="9"/>
  <c r="AI261" i="9"/>
  <c r="AI354" i="9"/>
  <c r="AI395" i="9"/>
  <c r="AI320" i="9"/>
  <c r="AI147" i="9"/>
  <c r="AI146" i="9"/>
  <c r="AI505" i="9"/>
  <c r="AI506" i="9"/>
  <c r="AI100" i="9"/>
  <c r="AI392" i="9"/>
  <c r="AI419" i="9"/>
  <c r="AI150" i="9"/>
  <c r="AI476" i="9"/>
  <c r="AI514" i="9"/>
  <c r="AI515" i="9"/>
  <c r="AI375" i="9"/>
  <c r="AI374" i="9"/>
  <c r="AI310" i="9"/>
  <c r="AI309" i="9"/>
  <c r="AI61" i="9"/>
  <c r="AI60" i="9"/>
  <c r="AI134" i="9"/>
  <c r="AI403" i="9"/>
</calcChain>
</file>

<file path=xl/sharedStrings.xml><?xml version="1.0" encoding="utf-8"?>
<sst xmlns="http://schemas.openxmlformats.org/spreadsheetml/2006/main" count="5199" uniqueCount="1352">
  <si>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</si>
  <si>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</si>
  <si>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</si>
  <si>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</si>
  <si>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</si>
  <si>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</si>
  <si>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</si>
  <si>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</si>
  <si>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</si>
  <si>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</si>
  <si>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</si>
  <si>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</si>
  <si>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</si>
  <si>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</si>
  <si>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</si>
  <si>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</si>
  <si>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</si>
  <si>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</si>
  <si>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</si>
  <si>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</si>
  <si>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</si>
  <si>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</si>
  <si>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</si>
  <si>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</si>
  <si>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</si>
  <si>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</si>
  <si>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</si>
  <si>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</si>
  <si>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</si>
  <si>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</si>
  <si>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</si>
  <si>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</si>
  <si>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</si>
  <si>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</si>
  <si>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</si>
  <si>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</si>
  <si>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</si>
  <si>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</si>
  <si>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</si>
  <si>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</si>
  <si>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</si>
  <si>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</si>
  <si>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</si>
  <si>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</si>
  <si>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</si>
  <si>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</si>
  <si>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</si>
  <si>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</si>
  <si>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</si>
  <si>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</si>
  <si>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</si>
  <si>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</si>
  <si>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</si>
  <si>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</si>
  <si>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</si>
  <si>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</si>
  <si>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</si>
  <si>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</si>
  <si>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</si>
  <si>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</si>
  <si>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</si>
  <si>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</si>
  <si>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</si>
  <si>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</si>
  <si>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</si>
  <si>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</si>
  <si>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</si>
  <si>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</si>
  <si>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</si>
  <si>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</si>
  <si>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</si>
  <si>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</si>
  <si>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</si>
  <si>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</si>
  <si>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</si>
  <si>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</si>
  <si>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</si>
  <si>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</si>
  <si>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</si>
  <si>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</si>
  <si>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</si>
  <si>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</si>
  <si>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</si>
  <si>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</si>
  <si>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</si>
  <si>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</si>
  <si>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</si>
  <si>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</si>
  <si>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</si>
  <si>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</si>
  <si>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</si>
  <si>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</si>
  <si>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</si>
  <si>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</si>
  <si>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</si>
  <si>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</si>
  <si>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</si>
  <si>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</si>
  <si>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</si>
  <si>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</si>
  <si>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</si>
  <si>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</si>
  <si>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</si>
  <si>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</si>
  <si>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</si>
  <si>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</si>
  <si>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</si>
  <si>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</si>
  <si>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</si>
  <si>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</si>
  <si>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</si>
  <si>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</si>
  <si>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</si>
  <si>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</si>
  <si>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</si>
  <si>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</si>
  <si>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</si>
  <si>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</si>
  <si>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</si>
  <si>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</si>
  <si>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</si>
  <si>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</si>
  <si>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</si>
  <si>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</si>
  <si>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</si>
  <si>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</si>
  <si>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</si>
  <si>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</si>
  <si>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</si>
  <si>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</si>
  <si>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</si>
  <si>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</si>
  <si>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</si>
  <si>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</si>
  <si>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</si>
  <si>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</si>
  <si>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</si>
  <si>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</si>
  <si>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</si>
  <si>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</si>
  <si>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</si>
  <si>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</si>
  <si>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</si>
  <si>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</si>
  <si>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</si>
  <si>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</si>
  <si>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</si>
  <si>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</si>
  <si>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</si>
  <si>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</si>
  <si>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</si>
  <si>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</si>
  <si>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</si>
  <si>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</si>
  <si>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</si>
  <si>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</si>
  <si>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</si>
  <si>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</si>
  <si>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</si>
  <si>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</si>
  <si>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</si>
  <si>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</si>
  <si>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</si>
  <si>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</si>
  <si>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</si>
  <si>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</si>
  <si>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</si>
  <si>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</si>
  <si>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</si>
  <si>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</si>
  <si>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</si>
  <si>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</si>
  <si>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</si>
  <si>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</si>
  <si>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</si>
  <si>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</si>
  <si>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</si>
  <si>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</si>
  <si>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</si>
  <si>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</si>
  <si>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</si>
  <si>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</si>
  <si>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</si>
  <si>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</si>
  <si>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</si>
  <si>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</si>
  <si>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</si>
  <si>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</si>
  <si>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</si>
  <si>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</si>
  <si>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</si>
  <si>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</si>
  <si>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</si>
  <si>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</si>
  <si>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</si>
  <si>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</si>
  <si>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</si>
  <si>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</si>
  <si>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</si>
  <si>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</si>
  <si>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</si>
  <si>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</si>
  <si>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</si>
  <si>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</si>
  <si>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</si>
  <si>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</si>
  <si>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</si>
  <si>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</si>
  <si>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</si>
  <si>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</si>
  <si>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</si>
  <si>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</si>
  <si>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</si>
  <si>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</si>
  <si>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</si>
  <si>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</si>
  <si>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</si>
  <si>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</si>
  <si>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</si>
  <si>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</si>
  <si>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</si>
  <si>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</si>
  <si>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</si>
  <si>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</si>
  <si>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</si>
  <si>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</si>
  <si>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</si>
  <si>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</si>
  <si>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</si>
  <si>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</si>
  <si>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</si>
  <si>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</si>
  <si>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</si>
  <si>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</si>
  <si>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</si>
  <si>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</si>
  <si>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</si>
  <si>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</si>
  <si>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</si>
  <si>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</si>
  <si>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</si>
  <si>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</si>
  <si>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</si>
  <si>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</si>
  <si>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</si>
  <si>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</si>
  <si>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</si>
  <si>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</si>
  <si>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</si>
  <si>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</si>
  <si>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</si>
  <si>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</si>
  <si>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</si>
  <si>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</si>
  <si>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</si>
  <si>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</si>
  <si>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</si>
  <si>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</si>
  <si>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</si>
  <si>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</si>
  <si>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</si>
  <si>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</si>
  <si>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</si>
  <si>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</si>
  <si>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</si>
  <si>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</si>
  <si>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</si>
  <si>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</si>
  <si>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</si>
  <si>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</si>
  <si>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</si>
  <si>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</si>
  <si>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</si>
  <si>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</si>
  <si>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</si>
  <si>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</si>
  <si>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</si>
  <si>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</si>
  <si>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</si>
  <si>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</si>
  <si>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</si>
  <si>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</si>
  <si>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</si>
  <si>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</si>
  <si>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</si>
  <si>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</si>
  <si>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</si>
  <si>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</si>
  <si>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</si>
  <si>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</si>
  <si>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</si>
  <si>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</si>
  <si>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</si>
  <si>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</si>
  <si>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</si>
  <si>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</si>
  <si>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</si>
  <si>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</si>
  <si>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</si>
  <si>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</si>
  <si>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</si>
  <si>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</si>
  <si>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</si>
  <si>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</si>
  <si>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</si>
  <si>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</si>
  <si>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</si>
  <si>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</si>
  <si>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</si>
  <si>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</si>
  <si>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</si>
  <si>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</si>
  <si>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</si>
  <si>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</si>
  <si>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</si>
  <si>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</si>
  <si>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</si>
  <si>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</si>
  <si>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</si>
  <si>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</si>
  <si>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</si>
  <si>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</si>
  <si>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</si>
  <si>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</si>
  <si>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</si>
  <si>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</si>
  <si>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</si>
  <si>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</si>
  <si>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</si>
  <si>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</si>
  <si>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</si>
  <si>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</si>
  <si>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</si>
  <si>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</si>
  <si>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</si>
  <si>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</si>
  <si>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</si>
  <si>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</si>
  <si>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</si>
  <si>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</si>
  <si>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</si>
  <si>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</si>
  <si>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</si>
  <si>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</si>
  <si>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</si>
  <si>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</si>
  <si>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</si>
  <si>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</si>
  <si>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</si>
  <si>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</si>
  <si>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</si>
  <si>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</si>
  <si>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</si>
  <si>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</si>
  <si>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</si>
  <si>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</si>
  <si>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</si>
  <si>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</si>
  <si>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</si>
  <si>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</si>
  <si>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</si>
  <si>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</si>
  <si>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</si>
  <si>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</si>
  <si>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</si>
  <si>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</si>
  <si>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</si>
  <si>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</si>
  <si>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</si>
  <si>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</si>
  <si>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</si>
  <si>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</si>
  <si>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</si>
  <si>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</si>
  <si>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</si>
  <si>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</si>
  <si>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</si>
  <si>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</si>
  <si>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</si>
  <si>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</si>
  <si>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</si>
  <si>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</si>
  <si>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</si>
  <si>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</si>
  <si>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</si>
  <si>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</si>
  <si>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</si>
  <si>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</si>
  <si>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</si>
  <si>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</si>
  <si>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</si>
  <si>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</si>
  <si>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</si>
  <si>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</si>
  <si>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</si>
  <si>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</si>
  <si>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</si>
  <si>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</si>
  <si>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</si>
  <si>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</si>
  <si>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</si>
  <si>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</si>
  <si>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</si>
  <si>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</si>
  <si>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</si>
  <si>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</si>
  <si>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</si>
  <si>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</si>
  <si>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</si>
  <si>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</si>
  <si>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</si>
  <si>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</si>
  <si>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</si>
  <si>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</si>
  <si>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</si>
  <si>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</si>
  <si>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</si>
  <si>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</si>
  <si>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</si>
  <si>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</si>
  <si>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</si>
  <si>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</si>
  <si>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</si>
  <si>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</si>
  <si>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</si>
  <si>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</si>
  <si>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</si>
  <si>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</si>
  <si>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</si>
  <si>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</si>
  <si>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</si>
  <si>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</si>
  <si>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</si>
  <si>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</si>
  <si>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</si>
  <si>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</si>
  <si>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</si>
  <si>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</si>
  <si>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</si>
  <si>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</si>
  <si>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</si>
  <si>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</si>
  <si>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</si>
  <si>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</si>
  <si>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</si>
  <si>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</si>
  <si>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</si>
  <si>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</si>
  <si>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</si>
  <si>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</si>
  <si>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</si>
  <si>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</si>
  <si>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</si>
  <si>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</si>
  <si>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</si>
  <si>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</si>
  <si>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</si>
  <si>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</si>
  <si>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</si>
  <si>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</si>
  <si>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</si>
  <si>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</si>
  <si>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</si>
  <si>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</si>
  <si>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</si>
  <si>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</si>
  <si>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</si>
  <si>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</si>
  <si>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</si>
  <si>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</si>
  <si>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</si>
  <si>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</si>
  <si>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</si>
  <si>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</si>
  <si>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</si>
  <si>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</si>
  <si>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</si>
  <si>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</si>
  <si>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</si>
  <si>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</si>
  <si>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</si>
  <si>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</si>
  <si>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</si>
  <si>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</si>
  <si>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</si>
  <si>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</si>
  <si>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</si>
  <si>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</si>
  <si>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</si>
  <si>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</si>
  <si>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</si>
  <si>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</si>
  <si>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</si>
  <si>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</si>
  <si>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</si>
  <si>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</si>
  <si>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</si>
  <si>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</si>
  <si>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</si>
  <si>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</si>
  <si>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</si>
  <si>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</si>
  <si>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</si>
  <si>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</si>
  <si>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</si>
  <si>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</si>
  <si>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</si>
  <si>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</si>
  <si>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</si>
  <si>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</si>
  <si>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</si>
  <si>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</si>
  <si>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</si>
  <si>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</si>
  <si>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</si>
  <si>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</si>
  <si>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</si>
  <si>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</si>
  <si>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</si>
  <si>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</si>
  <si>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</si>
  <si>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</si>
  <si>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</si>
  <si>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</si>
  <si>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</si>
  <si>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</si>
  <si>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</si>
  <si>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</si>
  <si>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</si>
  <si>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</si>
  <si>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</si>
  <si>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</si>
  <si>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</si>
  <si>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</si>
  <si>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</si>
  <si>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</si>
  <si>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</si>
  <si>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</si>
  <si>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</si>
  <si>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</si>
  <si>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</si>
  <si>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</si>
  <si>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</si>
  <si>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</si>
  <si>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</si>
  <si>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</si>
  <si>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</si>
  <si>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</si>
  <si>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</si>
  <si>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</si>
  <si>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</si>
  <si>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</si>
  <si>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</si>
  <si>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</si>
  <si>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</si>
  <si>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</si>
  <si>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</si>
  <si>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</si>
  <si>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</si>
  <si>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</si>
  <si>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</si>
  <si>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</si>
  <si>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</si>
  <si>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</si>
  <si>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</si>
  <si>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</si>
  <si>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</si>
  <si>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</si>
  <si>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</si>
  <si>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</si>
  <si>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</si>
  <si>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</si>
  <si>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</si>
  <si>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</si>
  <si>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</si>
  <si>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</si>
  <si>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</si>
  <si>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</si>
  <si>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</si>
  <si>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</si>
  <si>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</si>
  <si>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</si>
  <si>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</si>
  <si>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</si>
  <si>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</si>
  <si>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</si>
  <si>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</si>
  <si>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</si>
  <si>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</si>
  <si>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</si>
  <si>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</si>
  <si>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</si>
  <si>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</si>
  <si>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</si>
  <si>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</si>
  <si>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</si>
  <si>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</si>
  <si>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</si>
  <si>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</si>
  <si>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</si>
  <si>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</si>
  <si>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</si>
  <si>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</si>
  <si>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</si>
  <si>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</si>
  <si>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</si>
  <si>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</si>
  <si>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</si>
  <si>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</si>
  <si>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</si>
  <si>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</si>
  <si>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</si>
  <si>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</si>
  <si>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</si>
  <si>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</si>
  <si>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</si>
  <si>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</si>
  <si>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</si>
  <si>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</si>
  <si>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</si>
  <si>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</si>
  <si>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</si>
  <si>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</si>
  <si>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</si>
  <si>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</si>
  <si>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</si>
  <si>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</si>
  <si>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</si>
  <si>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</si>
  <si>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</si>
  <si>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</si>
  <si>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</si>
  <si>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</si>
  <si>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</si>
  <si>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</si>
  <si>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</si>
  <si>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</si>
  <si>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</si>
  <si>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</si>
  <si>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</si>
  <si>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</si>
  <si>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</si>
  <si>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</si>
  <si>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</si>
  <si>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</si>
  <si>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</si>
  <si>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</si>
  <si>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</si>
  <si>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</si>
  <si>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</si>
  <si>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</si>
  <si>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</si>
  <si>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</si>
  <si>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</si>
  <si>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</si>
  <si>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</si>
  <si>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</si>
  <si>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</si>
  <si>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</si>
  <si>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</si>
  <si>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</si>
  <si>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</si>
  <si>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</si>
  <si>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</si>
  <si>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</si>
  <si>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</si>
  <si>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</si>
  <si>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</si>
  <si>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</si>
  <si>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</si>
  <si>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</si>
  <si>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</si>
  <si>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</si>
  <si>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</si>
  <si>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</si>
  <si>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</si>
  <si>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</si>
  <si>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</si>
  <si>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</si>
  <si>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</si>
  <si>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</si>
  <si>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</si>
  <si>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</si>
  <si>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</si>
  <si>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</si>
  <si>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</si>
  <si>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</si>
  <si>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</si>
  <si>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</si>
  <si>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</si>
  <si>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</si>
  <si>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</si>
  <si>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</si>
  <si>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</si>
  <si>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</si>
  <si>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</si>
  <si>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</si>
  <si>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</si>
  <si>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</si>
  <si>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</si>
  <si>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</si>
  <si>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</si>
  <si>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</si>
  <si>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</si>
  <si>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</si>
  <si>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</si>
  <si>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</si>
  <si>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</si>
  <si>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</si>
  <si>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</si>
  <si>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</si>
  <si>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</si>
  <si>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</si>
  <si>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</si>
  <si>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</si>
  <si>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</si>
  <si>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</si>
  <si>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</si>
  <si>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</si>
  <si>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</si>
  <si>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</si>
  <si>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</si>
  <si>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</si>
  <si>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</si>
  <si>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</si>
  <si>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</si>
  <si>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</si>
  <si>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</si>
  <si>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</si>
  <si>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</si>
  <si>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</si>
  <si>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</si>
  <si>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</si>
  <si>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</si>
  <si>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</si>
  <si>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</si>
  <si>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</si>
  <si>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</si>
  <si>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</si>
  <si>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</si>
  <si>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</si>
  <si>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</si>
  <si>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</si>
  <si>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</si>
  <si>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</si>
  <si>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</si>
  <si>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</si>
  <si>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</si>
  <si>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</si>
  <si>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</si>
  <si>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</si>
  <si>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</si>
  <si>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</si>
  <si>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</si>
  <si>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</si>
  <si>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</si>
  <si>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</si>
  <si>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</si>
  <si>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</si>
  <si>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</si>
  <si>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</si>
  <si>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</si>
  <si>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</si>
  <si>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</si>
  <si>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</si>
  <si>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</si>
  <si>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</si>
  <si>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</si>
  <si>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</si>
  <si>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</si>
  <si>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</si>
  <si>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</si>
  <si>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</si>
  <si>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</si>
  <si>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</si>
  <si>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</si>
  <si>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</si>
  <si>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</si>
  <si>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</si>
  <si>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</si>
  <si>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</si>
  <si>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</si>
  <si>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</si>
  <si>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</si>
  <si>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</si>
  <si>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</si>
  <si>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</si>
  <si>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</si>
  <si>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</si>
  <si>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</si>
  <si>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</si>
  <si>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</si>
  <si>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</si>
  <si>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</si>
  <si>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</si>
  <si>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</si>
  <si>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</si>
  <si>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</si>
  <si>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</si>
  <si>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</si>
  <si>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</si>
  <si>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</si>
  <si>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</si>
  <si>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</si>
  <si>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</si>
  <si>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</si>
  <si>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</si>
  <si>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</si>
  <si>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</si>
  <si>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</si>
  <si>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</si>
  <si>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</si>
  <si>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</si>
  <si>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</si>
  <si>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</si>
  <si>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</si>
  <si>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</si>
  <si>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</si>
  <si>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</si>
  <si>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</si>
  <si>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</si>
  <si>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</si>
  <si>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</si>
  <si>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</si>
  <si>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</si>
  <si>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</si>
  <si>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</si>
  <si>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</si>
  <si>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</si>
  <si>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</si>
  <si>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</si>
  <si>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</si>
  <si>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</si>
  <si>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</si>
  <si>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</si>
  <si>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</si>
  <si>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</si>
  <si>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</si>
  <si>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</si>
  <si>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</si>
  <si>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</si>
  <si>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</si>
  <si>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</si>
  <si>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</si>
  <si>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</si>
  <si>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</si>
  <si>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</si>
  <si>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</si>
  <si>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</si>
  <si>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</si>
  <si>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</si>
  <si>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</si>
  <si>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</si>
  <si>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</si>
  <si>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</si>
  <si>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</si>
  <si>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</si>
  <si>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</si>
  <si>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</si>
  <si>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</si>
  <si>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</si>
  <si>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</si>
  <si>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</si>
  <si>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</si>
  <si>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</si>
  <si>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</si>
  <si>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</si>
  <si>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</si>
  <si>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</si>
  <si>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</si>
  <si>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</si>
  <si>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</si>
  <si>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</si>
  <si>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</si>
  <si>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</si>
  <si>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</si>
  <si>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</si>
  <si>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</si>
  <si>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</si>
  <si>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</si>
  <si>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</si>
  <si>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</si>
  <si>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</si>
  <si>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</si>
  <si>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</si>
  <si>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</si>
  <si>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</si>
  <si>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</si>
  <si>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</si>
  <si>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</si>
  <si>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</si>
  <si>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</si>
  <si>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</si>
  <si>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</si>
  <si>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</si>
  <si>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</si>
  <si>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</si>
  <si>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</si>
  <si>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</si>
  <si>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</si>
  <si>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</si>
  <si>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</si>
  <si>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</si>
  <si>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</si>
  <si>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</si>
  <si>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</si>
  <si>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</si>
  <si>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</si>
  <si>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</si>
  <si>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</si>
  <si>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</si>
  <si>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</si>
  <si>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</si>
  <si>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</si>
  <si>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</si>
  <si>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</si>
  <si>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</si>
  <si>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</si>
  <si>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</si>
  <si>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</si>
  <si>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</si>
  <si>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</si>
  <si>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</si>
  <si>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</si>
  <si>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</si>
  <si>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</si>
  <si>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</si>
  <si>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</si>
  <si>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</si>
  <si>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</si>
  <si>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</si>
  <si>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</si>
  <si>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</si>
  <si>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</si>
  <si>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</si>
  <si>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</si>
  <si>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</si>
  <si>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</si>
  <si>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</si>
  <si>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</si>
  <si>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</si>
  <si>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</si>
  <si>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</si>
  <si>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</si>
  <si>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</si>
  <si>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</si>
  <si>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</si>
  <si>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</si>
  <si>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</si>
  <si>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</si>
  <si>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</si>
  <si>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</si>
  <si>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</si>
  <si>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</si>
  <si>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</si>
  <si>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</si>
  <si>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</si>
  <si>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</si>
  <si>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</si>
  <si>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</si>
  <si>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</si>
  <si>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</si>
  <si>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</si>
  <si>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</si>
  <si>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</si>
  <si>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</si>
  <si>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</si>
  <si>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</si>
  <si>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</si>
  <si>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</si>
  <si>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</si>
  <si>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</si>
  <si>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</si>
  <si>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</si>
  <si>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</si>
  <si>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</si>
  <si>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</si>
  <si>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</si>
  <si>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</si>
  <si>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</si>
  <si>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</si>
  <si>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</si>
  <si>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</si>
  <si>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</si>
  <si>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</si>
  <si>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</si>
  <si>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</si>
  <si>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</si>
  <si>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</si>
  <si>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</si>
  <si>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</si>
  <si>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</si>
  <si>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</si>
  <si>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</si>
  <si>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</si>
  <si>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</si>
  <si>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</si>
  <si>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</si>
  <si>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</si>
  <si>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</si>
  <si>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</si>
  <si>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</si>
  <si>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</si>
  <si>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</si>
  <si>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</si>
  <si>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</si>
  <si>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</si>
  <si>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</si>
  <si>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</si>
  <si>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</si>
  <si>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</si>
  <si>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</si>
  <si>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</si>
  <si>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</si>
  <si>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</si>
  <si>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</si>
  <si>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</si>
  <si>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</si>
  <si>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</si>
  <si>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</si>
  <si>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</si>
  <si>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</si>
  <si>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</si>
  <si>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</si>
  <si>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</si>
  <si>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</si>
  <si>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</si>
  <si>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</si>
  <si>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</si>
  <si>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</si>
  <si>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</si>
  <si>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</si>
  <si>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</si>
  <si>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</si>
  <si>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</si>
  <si>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</si>
  <si>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</si>
  <si>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</si>
  <si>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</si>
  <si>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</si>
  <si>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</si>
  <si>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</si>
  <si>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</si>
  <si>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</si>
  <si>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</si>
  <si>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</si>
  <si>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</si>
  <si>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</si>
  <si>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</si>
  <si>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</si>
  <si>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</si>
  <si>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</si>
  <si>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</si>
  <si>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</si>
  <si>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</si>
  <si>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</si>
  <si>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</si>
  <si>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</si>
  <si>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</si>
  <si>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</si>
  <si>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</si>
  <si>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</si>
  <si>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</si>
  <si>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</si>
  <si>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</si>
  <si>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</si>
  <si>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</si>
  <si>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</si>
  <si>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</si>
  <si>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</si>
  <si>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</si>
  <si>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</si>
  <si>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</si>
  <si>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</si>
  <si>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</si>
  <si>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</si>
  <si>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</si>
  <si>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</si>
  <si>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</si>
  <si>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</si>
  <si>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</si>
  <si>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</si>
  <si>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</si>
  <si>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</si>
  <si>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</si>
  <si>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</si>
  <si>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</si>
  <si>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</si>
  <si>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</si>
  <si>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</si>
  <si>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</si>
  <si>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</si>
  <si>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</si>
  <si>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</si>
  <si>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</si>
  <si>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</si>
  <si>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</si>
  <si>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</si>
  <si>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</si>
  <si>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</si>
  <si>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</si>
  <si>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</si>
  <si>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</si>
  <si>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</si>
  <si>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</si>
  <si>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</si>
  <si>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</si>
  <si>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</si>
  <si>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</si>
  <si>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</si>
  <si>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</si>
  <si>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</si>
  <si>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</si>
  <si>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</si>
  <si>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</si>
  <si>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</si>
  <si>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</si>
  <si>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</si>
  <si>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</si>
  <si>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</si>
  <si>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</si>
  <si>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</si>
  <si>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</si>
  <si>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</si>
  <si>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</si>
  <si>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</si>
  <si>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</si>
  <si>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</si>
  <si>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</si>
  <si>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</si>
  <si>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</si>
  <si>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</si>
  <si>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</si>
  <si>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</si>
  <si>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</si>
  <si>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</si>
  <si>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</si>
  <si>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</si>
  <si>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</si>
  <si>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</si>
  <si>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</si>
  <si>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</si>
  <si>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</si>
  <si>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</si>
  <si>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</si>
  <si>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</si>
  <si>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</si>
  <si>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</si>
  <si>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</si>
  <si>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</si>
  <si>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</si>
  <si>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</si>
  <si>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</si>
  <si>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</si>
  <si>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</si>
  <si>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</si>
  <si>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</si>
  <si>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</si>
  <si>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</si>
  <si>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</si>
  <si>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</si>
  <si>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</si>
  <si>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</si>
  <si>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</si>
  <si>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</si>
  <si>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</si>
  <si>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</si>
  <si>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</si>
  <si>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</si>
  <si>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</si>
  <si>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</si>
  <si>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</si>
  <si>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</si>
  <si>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</si>
  <si>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</si>
  <si>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</si>
  <si>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</si>
  <si>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</si>
  <si>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</si>
  <si>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</si>
  <si>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</si>
  <si>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</si>
  <si>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</si>
  <si>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</si>
  <si>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</si>
  <si>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</si>
  <si>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</si>
  <si>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</si>
  <si>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</si>
  <si>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</si>
  <si>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</si>
  <si>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</si>
  <si>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</si>
  <si>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</si>
  <si>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</si>
  <si>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</si>
  <si>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</si>
  <si>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</si>
  <si>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</si>
  <si>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</si>
  <si>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</si>
  <si>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</si>
  <si>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</si>
  <si>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</si>
  <si>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</si>
  <si>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</si>
  <si>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</si>
  <si>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</si>
  <si>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</si>
  <si>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</si>
  <si>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</si>
  <si>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</si>
  <si>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</si>
  <si>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</si>
  <si>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</si>
  <si>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</si>
  <si>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</si>
  <si>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</si>
  <si>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</si>
  <si>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</si>
  <si>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</si>
  <si>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</si>
  <si>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</si>
  <si>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</si>
  <si>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</si>
  <si>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</si>
  <si>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</si>
  <si>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</si>
  <si>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</si>
  <si>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</si>
  <si>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</si>
  <si>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</si>
  <si>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</si>
  <si>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</si>
  <si>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</si>
  <si>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</si>
  <si>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</si>
  <si>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</si>
  <si>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</si>
  <si>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</si>
  <si>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</si>
  <si>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</si>
  <si>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</si>
  <si>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</si>
  <si>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</si>
  <si>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</si>
  <si>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</si>
  <si>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</si>
  <si>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</si>
  <si>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</si>
  <si>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</si>
  <si>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</si>
  <si>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</si>
  <si>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</si>
  <si>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</si>
  <si>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</si>
  <si>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</si>
  <si>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</si>
  <si>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</si>
  <si>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</si>
  <si>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</si>
  <si>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</si>
  <si>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</si>
  <si>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</si>
  <si>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</si>
  <si>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</si>
  <si>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</si>
  <si>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</si>
  <si>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</si>
  <si>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</si>
  <si>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</si>
  <si>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</si>
  <si>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</si>
  <si>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</si>
  <si>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</si>
  <si>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</si>
  <si>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</si>
  <si>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</si>
  <si>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</si>
  <si>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</si>
  <si>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</si>
  <si>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</si>
  <si>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</si>
  <si>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</si>
  <si>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</si>
  <si>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</si>
  <si>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</si>
  <si>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</si>
  <si>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</si>
  <si>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</si>
  <si>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</si>
  <si>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</si>
  <si>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</si>
  <si>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</si>
  <si>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</si>
  <si>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</si>
  <si>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</si>
  <si>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</si>
  <si>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</si>
  <si>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</si>
  <si>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</si>
  <si>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</si>
  <si>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</si>
  <si>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</si>
  <si>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</si>
  <si>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</si>
  <si>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</si>
  <si>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</si>
  <si>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</si>
  <si>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</si>
  <si>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</si>
  <si>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</si>
  <si>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</si>
  <si>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</si>
  <si>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</si>
  <si>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</si>
  <si>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</si>
  <si>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</si>
  <si>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</si>
  <si>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</si>
  <si>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</si>
  <si>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</si>
  <si>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</si>
  <si>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</si>
  <si>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</si>
  <si>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</si>
  <si>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</si>
  <si>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</si>
  <si>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</si>
  <si>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</si>
  <si>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</si>
  <si>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</si>
  <si>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</si>
  <si>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</si>
  <si>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</si>
  <si>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</si>
  <si>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</si>
  <si>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</si>
  <si>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</si>
  <si>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</si>
  <si>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</si>
  <si>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</si>
  <si>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</si>
  <si>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</si>
  <si>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</si>
  <si>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</si>
  <si>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</si>
  <si>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</si>
  <si>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</si>
  <si>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混凝土</t>
    <phoneticPr fontId="13" type="noConversion"/>
  </si>
  <si>
    <t>临时复制保存</t>
    <phoneticPr fontId="13" type="noConversion"/>
  </si>
  <si>
    <t>记录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</si>
</sst>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2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563</v>
      </c>
    </row>
    <row r="16" spans="1:7" x14ac:dyDescent="0.15">
      <c r="B16" s="44">
        <v>2</v>
      </c>
      <c r="D16" s="44" t="s">
        <v>258</v>
      </c>
      <c r="F16" s="44" t="s">
        <v>564</v>
      </c>
    </row>
    <row r="17" spans="2:6" x14ac:dyDescent="0.15">
      <c r="B17" s="44">
        <v>3</v>
      </c>
      <c r="D17" s="44" t="s">
        <v>257</v>
      </c>
      <c r="F17" s="44" t="s">
        <v>659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583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479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25"/>
  <sheetViews>
    <sheetView zoomScaleNormal="100" workbookViewId="0">
      <pane xSplit="12" topLeftCell="M1" activePane="topRight" state="frozen"/>
      <selection pane="topRight" activeCell="P19" sqref="P19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79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993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1015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994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475</v>
      </c>
      <c r="V2" s="9" t="s">
        <v>497</v>
      </c>
      <c r="W2" s="11" t="s">
        <v>61</v>
      </c>
      <c r="Y2" s="9" t="s">
        <v>497</v>
      </c>
      <c r="AA2" s="9" t="s">
        <v>62</v>
      </c>
      <c r="AB2" s="9" t="s">
        <v>61</v>
      </c>
      <c r="AD2" s="11" t="s">
        <v>61</v>
      </c>
      <c r="AE2" s="56" t="s">
        <v>1014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995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477</v>
      </c>
      <c r="V3" s="9" t="s">
        <v>524</v>
      </c>
      <c r="W3" s="11" t="s">
        <v>548</v>
      </c>
      <c r="Y3" s="9" t="s">
        <v>498</v>
      </c>
      <c r="AA3" s="9" t="s">
        <v>335</v>
      </c>
      <c r="AB3" s="9" t="s">
        <v>340</v>
      </c>
      <c r="AD3" s="11" t="s">
        <v>413</v>
      </c>
      <c r="AE3" s="56" t="s">
        <v>1013</v>
      </c>
      <c r="AG3" s="56" t="s">
        <v>435</v>
      </c>
      <c r="AK3" s="31" t="s">
        <v>246</v>
      </c>
      <c r="AL3" s="30"/>
      <c r="AM3" s="31" t="s">
        <v>415</v>
      </c>
      <c r="AN3" s="30"/>
      <c r="AO3" s="31" t="s">
        <v>478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549</v>
      </c>
      <c r="I4" s="27" t="s">
        <v>239</v>
      </c>
      <c r="J4" s="77" t="s">
        <v>354</v>
      </c>
      <c r="K4" s="27" t="s">
        <v>240</v>
      </c>
      <c r="L4" s="27" t="s">
        <v>996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476</v>
      </c>
      <c r="T4" s="77" t="s">
        <v>546</v>
      </c>
      <c r="U4" s="85" t="s">
        <v>528</v>
      </c>
      <c r="V4" s="27" t="s">
        <v>526</v>
      </c>
      <c r="W4" s="88" t="s">
        <v>556</v>
      </c>
      <c r="X4" s="85" t="s">
        <v>527</v>
      </c>
      <c r="Y4" s="27" t="s">
        <v>525</v>
      </c>
      <c r="Z4" s="77" t="s">
        <v>545</v>
      </c>
      <c r="AA4" s="27" t="s">
        <v>334</v>
      </c>
      <c r="AB4" s="27" t="s">
        <v>339</v>
      </c>
      <c r="AC4" s="77" t="s">
        <v>412</v>
      </c>
      <c r="AD4" s="88" t="s">
        <v>578</v>
      </c>
      <c r="AE4" s="89" t="s">
        <v>1011</v>
      </c>
      <c r="AF4" s="77" t="s">
        <v>547</v>
      </c>
      <c r="AG4" s="89" t="s">
        <v>664</v>
      </c>
      <c r="AH4" s="90" t="s">
        <v>1010</v>
      </c>
      <c r="AI4" s="180" t="s">
        <v>577</v>
      </c>
      <c r="AJ4" s="77" t="s">
        <v>171</v>
      </c>
      <c r="AK4" s="65" t="s">
        <v>318</v>
      </c>
      <c r="AL4" s="64" t="s">
        <v>1008</v>
      </c>
      <c r="AM4" s="65" t="s">
        <v>414</v>
      </c>
      <c r="AN4" s="64" t="s">
        <v>1007</v>
      </c>
      <c r="AO4" s="65" t="s">
        <v>421</v>
      </c>
      <c r="AP4" s="64" t="s">
        <v>1009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1347</v>
      </c>
      <c r="L5" s="16">
        <v>1</v>
      </c>
      <c r="M5" s="16">
        <v>1</v>
      </c>
      <c r="N5" s="16">
        <v>15</v>
      </c>
      <c r="O5" s="16" t="s">
        <v>1090</v>
      </c>
      <c r="P5" s="17"/>
      <c r="Q5" s="17"/>
      <c r="R5" s="18"/>
      <c r="S5" s="16" t="s">
        <v>676</v>
      </c>
      <c r="T5" s="78"/>
      <c r="U5" s="86"/>
      <c r="V5" s="16">
        <f ca="1">IFERROR(OFFSET(ITEM_RES!$A$5,MATCH(BUILDING!U5,ITEM_RES!$J$5:$J$229,0)-1,0),0)</f>
        <v>0</v>
      </c>
      <c r="W5" s="18"/>
      <c r="X5" s="86" t="s">
        <v>529</v>
      </c>
      <c r="Y5" s="16">
        <f ca="1">IFERROR(OFFSET(ITEM_RES!$A$5,MATCH(BUILDING!X5,ITEM_RES!$J$5:$J$229,0)-1,0),0)</f>
        <v>211010101</v>
      </c>
      <c r="Z5" s="78"/>
      <c r="AA5" s="16" t="s">
        <v>499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1155</v>
      </c>
      <c r="AH5" s="177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1155</v>
      </c>
      <c r="AI5" s="181">
        <f ca="1">AG5</f>
        <v>1155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422</v>
      </c>
      <c r="AU5" s="18">
        <v>50</v>
      </c>
      <c r="AV5" s="17"/>
      <c r="AW5" s="18"/>
      <c r="AX5" s="18">
        <f ca="1">IFERROR(OFFSET(ITEM_RES!$A$1,MATCH(AY5,ITEM_RES!$J:$J,0)-1,0),0)</f>
        <v>211020101</v>
      </c>
      <c r="AY5" s="17" t="s">
        <v>441</v>
      </c>
      <c r="AZ5" s="18">
        <v>50</v>
      </c>
      <c r="BA5" s="17"/>
      <c r="BB5" s="18"/>
      <c r="BC5" s="18">
        <f ca="1">IFERROR(OFFSET(ITEM_RES!$A$1,MATCH(BD5,ITEM_RES!$J:$J,0)-1,0),0)</f>
        <v>213010101</v>
      </c>
      <c r="BD5" s="17" t="s">
        <v>445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1347</v>
      </c>
      <c r="M6" s="9">
        <v>1</v>
      </c>
      <c r="N6" s="9">
        <v>15</v>
      </c>
      <c r="O6" s="9" t="s">
        <v>1090</v>
      </c>
      <c r="S6" s="9" t="s">
        <v>671</v>
      </c>
      <c r="V6" s="9">
        <f ca="1">IFERROR(OFFSET(ITEM_RES!$A$5,MATCH(BUILDING!U6,ITEM_RES!$J$5:$J$229,0)-1,0),0)</f>
        <v>0</v>
      </c>
      <c r="X6" s="84" t="s">
        <v>529</v>
      </c>
      <c r="Y6" s="9">
        <f ca="1">IFERROR(OFFSET(ITEM_RES!$A$5,MATCH(BUILDING!X6,ITEM_RES!$J$5:$J$229,0)-1,0),0)</f>
        <v>211010101</v>
      </c>
      <c r="AA6" s="9" t="s">
        <v>499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310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310</v>
      </c>
      <c r="AI6" s="179">
        <f ca="1">AG5+AG6</f>
        <v>1465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422</v>
      </c>
      <c r="AU6" s="11">
        <v>100</v>
      </c>
      <c r="AX6" s="11">
        <f ca="1">IFERROR(OFFSET(ITEM_RES!$A$1,MATCH(AY6,ITEM_RES!$J:$J,0)-1,0),0)</f>
        <v>211020101</v>
      </c>
      <c r="AY6" s="10" t="s">
        <v>441</v>
      </c>
      <c r="AZ6" s="11">
        <v>100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1347</v>
      </c>
      <c r="M7" s="9">
        <v>1</v>
      </c>
      <c r="N7" s="9">
        <v>15</v>
      </c>
      <c r="O7" s="9" t="s">
        <v>1091</v>
      </c>
      <c r="S7" s="9" t="s">
        <v>671</v>
      </c>
      <c r="V7" s="9">
        <f ca="1">IFERROR(OFFSET(ITEM_RES!$A$5,MATCH(BUILDING!U7,ITEM_RES!$J$5:$J$229,0)-1,0),0)</f>
        <v>0</v>
      </c>
      <c r="X7" s="84" t="s">
        <v>529</v>
      </c>
      <c r="Y7" s="9">
        <f ca="1">IFERROR(OFFSET(ITEM_RES!$A$5,MATCH(BUILDING!X7,ITEM_RES!$J$5:$J$229,0)-1,0),0)</f>
        <v>211010101</v>
      </c>
      <c r="AA7" s="9" t="s">
        <v>499</v>
      </c>
      <c r="AB7" s="9">
        <v>3</v>
      </c>
      <c r="AD7" s="11">
        <f ca="1">IFERROR(OFFSET(MANOR_LEVEL!$B$1,MATCH(AE7-1,MANOR_LEVEL!$A:$A,0)-1,0),0)</f>
        <v>310</v>
      </c>
      <c r="AE7" s="56">
        <v>3</v>
      </c>
      <c r="AG7" s="56">
        <f t="shared" ca="1" si="3"/>
        <v>465</v>
      </c>
      <c r="AH7" s="178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465</v>
      </c>
      <c r="AI7" s="179">
        <f t="shared" ref="AI7:AI24" ca="1" si="8">AG6+AG7</f>
        <v>775</v>
      </c>
      <c r="AK7" s="11">
        <f t="shared" si="4"/>
        <v>30</v>
      </c>
      <c r="AL7" s="10">
        <v>30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422</v>
      </c>
      <c r="AU7" s="11">
        <v>150</v>
      </c>
      <c r="AX7" s="11">
        <f ca="1">IFERROR(OFFSET(ITEM_RES!$A$1,MATCH(AY7,ITEM_RES!$J:$J,0)-1,0),0)</f>
        <v>211020101</v>
      </c>
      <c r="AY7" s="10" t="s">
        <v>441</v>
      </c>
      <c r="AZ7" s="11">
        <v>150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1347</v>
      </c>
      <c r="M8" s="9">
        <v>1</v>
      </c>
      <c r="N8" s="9">
        <v>15</v>
      </c>
      <c r="O8" s="9" t="s">
        <v>1092</v>
      </c>
      <c r="S8" s="9" t="s">
        <v>672</v>
      </c>
      <c r="V8" s="9">
        <f ca="1">IFERROR(OFFSET(ITEM_RES!$A$5,MATCH(BUILDING!U8,ITEM_RES!$J$5:$J$229,0)-1,0),0)</f>
        <v>0</v>
      </c>
      <c r="X8" s="84" t="s">
        <v>529</v>
      </c>
      <c r="Y8" s="9">
        <f ca="1">IFERROR(OFFSET(ITEM_RES!$A$5,MATCH(BUILDING!X8,ITEM_RES!$J$5:$J$229,0)-1,0),0)</f>
        <v>211010101</v>
      </c>
      <c r="AA8" s="9" t="s">
        <v>499</v>
      </c>
      <c r="AB8" s="9">
        <v>4</v>
      </c>
      <c r="AD8" s="11">
        <f ca="1">IFERROR(OFFSET(MANOR_LEVEL!$B$1,MATCH(AE8-1,MANOR_LEVEL!$A:$A,0)-1,0),0)</f>
        <v>310</v>
      </c>
      <c r="AE8" s="56">
        <v>3</v>
      </c>
      <c r="AG8" s="56">
        <f t="shared" ca="1" si="3"/>
        <v>1825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1825</v>
      </c>
      <c r="AI8" s="179">
        <f t="shared" ca="1" si="8"/>
        <v>2290</v>
      </c>
      <c r="AK8" s="11">
        <f t="shared" si="4"/>
        <v>300</v>
      </c>
      <c r="AL8" s="10">
        <v>300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422</v>
      </c>
      <c r="AU8" s="11">
        <v>600</v>
      </c>
      <c r="AX8" s="11">
        <f ca="1">IFERROR(OFFSET(ITEM_RES!$A$1,MATCH(AY8,ITEM_RES!$J:$J,0)-1,0),0)</f>
        <v>211020101</v>
      </c>
      <c r="AY8" s="10" t="s">
        <v>441</v>
      </c>
      <c r="AZ8" s="11">
        <v>600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1347</v>
      </c>
      <c r="M9" s="9">
        <v>1</v>
      </c>
      <c r="N9" s="9">
        <v>15</v>
      </c>
      <c r="O9" s="9" t="s">
        <v>1093</v>
      </c>
      <c r="S9" s="9" t="s">
        <v>672</v>
      </c>
      <c r="V9" s="9">
        <f ca="1">IFERROR(OFFSET(ITEM_RES!$A$5,MATCH(BUILDING!U9,ITEM_RES!$J$5:$J$229,0)-1,0),0)</f>
        <v>0</v>
      </c>
      <c r="X9" s="84" t="s">
        <v>529</v>
      </c>
      <c r="Y9" s="9">
        <f ca="1">IFERROR(OFFSET(ITEM_RES!$A$5,MATCH(BUILDING!X9,ITEM_RES!$J$5:$J$229,0)-1,0),0)</f>
        <v>211010101</v>
      </c>
      <c r="AA9" s="9" t="s">
        <v>499</v>
      </c>
      <c r="AB9" s="9">
        <v>5</v>
      </c>
      <c r="AD9" s="11">
        <f ca="1">IFERROR(OFFSET(MANOR_LEVEL!$B$1,MATCH(AE9-1,MANOR_LEVEL!$A:$A,0)-1,0),0)</f>
        <v>930</v>
      </c>
      <c r="AE9" s="56">
        <v>4</v>
      </c>
      <c r="AG9" s="56">
        <f t="shared" ca="1" si="3"/>
        <v>8140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8140</v>
      </c>
      <c r="AI9" s="179">
        <f t="shared" ca="1" si="8"/>
        <v>9965</v>
      </c>
      <c r="AK9" s="11">
        <f t="shared" si="4"/>
        <v>600</v>
      </c>
      <c r="AL9" s="10">
        <v>600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422</v>
      </c>
      <c r="AU9" s="11">
        <v>2700</v>
      </c>
      <c r="AX9" s="11">
        <f ca="1">IFERROR(OFFSET(ITEM_RES!$A$1,MATCH(AY9,ITEM_RES!$J:$J,0)-1,0),0)</f>
        <v>211020101</v>
      </c>
      <c r="AY9" s="10" t="s">
        <v>441</v>
      </c>
      <c r="AZ9" s="11">
        <v>2700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1347</v>
      </c>
      <c r="M10" s="9">
        <v>1</v>
      </c>
      <c r="N10" s="9">
        <v>15</v>
      </c>
      <c r="O10" s="9" t="s">
        <v>1095</v>
      </c>
      <c r="S10" s="9" t="s">
        <v>672</v>
      </c>
      <c r="V10" s="9">
        <f ca="1">IFERROR(OFFSET(ITEM_RES!$A$5,MATCH(BUILDING!U10,ITEM_RES!$J$5:$J$229,0)-1,0),0)</f>
        <v>0</v>
      </c>
      <c r="X10" s="84" t="s">
        <v>529</v>
      </c>
      <c r="Y10" s="9">
        <f ca="1">IFERROR(OFFSET(ITEM_RES!$A$5,MATCH(BUILDING!X10,ITEM_RES!$J$5:$J$229,0)-1,0),0)</f>
        <v>211010101</v>
      </c>
      <c r="AA10" s="9" t="s">
        <v>499</v>
      </c>
      <c r="AB10" s="9">
        <v>6</v>
      </c>
      <c r="AD10" s="11">
        <f ca="1">IFERROR(OFFSET(MANOR_LEVEL!$B$1,MATCH(AE10-1,MANOR_LEVEL!$A:$A,0)-1,0),0)</f>
        <v>930</v>
      </c>
      <c r="AE10" s="56">
        <v>4</v>
      </c>
      <c r="AG10" s="56">
        <f t="shared" ca="1" si="3"/>
        <v>27050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27050</v>
      </c>
      <c r="AI10" s="179">
        <f t="shared" ca="1" si="8"/>
        <v>35190</v>
      </c>
      <c r="AK10" s="11">
        <f t="shared" si="4"/>
        <v>1200</v>
      </c>
      <c r="AL10" s="10">
        <v>1200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422</v>
      </c>
      <c r="AU10" s="11">
        <v>9000</v>
      </c>
      <c r="AX10" s="11">
        <f ca="1">IFERROR(OFFSET(ITEM_RES!$A$1,MATCH(AY10,ITEM_RES!$J:$J,0)-1,0),0)</f>
        <v>211020101</v>
      </c>
      <c r="AY10" s="10" t="s">
        <v>441</v>
      </c>
      <c r="AZ10" s="11">
        <v>9000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1347</v>
      </c>
      <c r="M11" s="9">
        <v>1</v>
      </c>
      <c r="N11" s="9">
        <v>15</v>
      </c>
      <c r="O11" s="9" t="s">
        <v>1094</v>
      </c>
      <c r="S11" s="9" t="s">
        <v>672</v>
      </c>
      <c r="V11" s="9">
        <f ca="1">IFERROR(OFFSET(ITEM_RES!$A$5,MATCH(BUILDING!U11,ITEM_RES!$J$5:$J$229,0)-1,0),0)</f>
        <v>0</v>
      </c>
      <c r="X11" s="84" t="s">
        <v>529</v>
      </c>
      <c r="Y11" s="9">
        <f ca="1">IFERROR(OFFSET(ITEM_RES!$A$5,MATCH(BUILDING!X11,ITEM_RES!$J$5:$J$229,0)-1,0),0)</f>
        <v>211010101</v>
      </c>
      <c r="AA11" s="9" t="s">
        <v>499</v>
      </c>
      <c r="AB11" s="9">
        <v>7</v>
      </c>
      <c r="AD11" s="11">
        <f ca="1">IFERROR(OFFSET(MANOR_LEVEL!$B$1,MATCH(AE11-1,MANOR_LEVEL!$A:$A,0)-1,0),0)</f>
        <v>930</v>
      </c>
      <c r="AE11" s="56">
        <v>4</v>
      </c>
      <c r="AG11" s="56">
        <f t="shared" ca="1" si="3"/>
        <v>60100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60100</v>
      </c>
      <c r="AI11" s="179">
        <f t="shared" ca="1" si="8"/>
        <v>87150</v>
      </c>
      <c r="AK11" s="11">
        <f t="shared" si="4"/>
        <v>1800</v>
      </c>
      <c r="AL11" s="10">
        <v>1800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422</v>
      </c>
      <c r="AU11" s="11">
        <v>20000</v>
      </c>
      <c r="AX11" s="11">
        <f ca="1">IFERROR(OFFSET(ITEM_RES!$A$1,MATCH(AY11,ITEM_RES!$J:$J,0)-1,0),0)</f>
        <v>211020101</v>
      </c>
      <c r="AY11" s="10" t="s">
        <v>441</v>
      </c>
      <c r="AZ11" s="11">
        <v>20000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1347</v>
      </c>
      <c r="M12" s="9">
        <v>1</v>
      </c>
      <c r="N12" s="9">
        <v>15</v>
      </c>
      <c r="O12" s="9" t="s">
        <v>1094</v>
      </c>
      <c r="S12" s="9" t="s">
        <v>672</v>
      </c>
      <c r="V12" s="9">
        <f ca="1">IFERROR(OFFSET(ITEM_RES!$A$5,MATCH(BUILDING!U12,ITEM_RES!$J$5:$J$229,0)-1,0),0)</f>
        <v>0</v>
      </c>
      <c r="X12" s="84" t="s">
        <v>529</v>
      </c>
      <c r="Y12" s="9">
        <f ca="1">IFERROR(OFFSET(ITEM_RES!$A$5,MATCH(BUILDING!X12,ITEM_RES!$J$5:$J$229,0)-1,0),0)</f>
        <v>211010101</v>
      </c>
      <c r="AA12" s="9" t="s">
        <v>499</v>
      </c>
      <c r="AB12" s="9">
        <v>8</v>
      </c>
      <c r="AD12" s="11">
        <f ca="1">IFERROR(OFFSET(MANOR_LEVEL!$B$1,MATCH(AE12-1,MANOR_LEVEL!$A:$A,0)-1,0),0)</f>
        <v>5475</v>
      </c>
      <c r="AE12" s="56">
        <v>5</v>
      </c>
      <c r="AG12" s="56">
        <f t="shared" ca="1" si="3"/>
        <v>126100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126100</v>
      </c>
      <c r="AI12" s="179">
        <f t="shared" ca="1" si="8"/>
        <v>186200</v>
      </c>
      <c r="AK12" s="11">
        <f t="shared" si="4"/>
        <v>3600</v>
      </c>
      <c r="AL12" s="10">
        <v>3600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422</v>
      </c>
      <c r="AU12" s="11">
        <v>42000</v>
      </c>
      <c r="AX12" s="11">
        <f ca="1">IFERROR(OFFSET(ITEM_RES!$A$1,MATCH(AY12,ITEM_RES!$J:$J,0)-1,0),0)</f>
        <v>211020101</v>
      </c>
      <c r="AY12" s="10" t="s">
        <v>441</v>
      </c>
      <c r="AZ12" s="11">
        <v>42000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1347</v>
      </c>
      <c r="M13" s="9">
        <v>1</v>
      </c>
      <c r="N13" s="9">
        <v>15</v>
      </c>
      <c r="O13" s="9" t="s">
        <v>1094</v>
      </c>
      <c r="S13" s="9" t="s">
        <v>673</v>
      </c>
      <c r="V13" s="9">
        <f ca="1">IFERROR(OFFSET(ITEM_RES!$A$5,MATCH(BUILDING!U13,ITEM_RES!$J$5:$J$229,0)-1,0),0)</f>
        <v>0</v>
      </c>
      <c r="X13" s="84" t="s">
        <v>529</v>
      </c>
      <c r="Y13" s="9">
        <f ca="1">IFERROR(OFFSET(ITEM_RES!$A$5,MATCH(BUILDING!X13,ITEM_RES!$J$5:$J$229,0)-1,0),0)</f>
        <v>211010101</v>
      </c>
      <c r="AA13" s="9" t="s">
        <v>499</v>
      </c>
      <c r="AB13" s="9">
        <v>9</v>
      </c>
      <c r="AD13" s="11">
        <f ca="1">IFERROR(OFFSET(MANOR_LEVEL!$B$1,MATCH(AE13-1,MANOR_LEVEL!$A:$A,0)-1,0),0)</f>
        <v>32560</v>
      </c>
      <c r="AE13" s="56">
        <v>6</v>
      </c>
      <c r="AG13" s="56">
        <f t="shared" ca="1" si="3"/>
        <v>234150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234150</v>
      </c>
      <c r="AI13" s="179">
        <f t="shared" ca="1" si="8"/>
        <v>360250</v>
      </c>
      <c r="AK13" s="11">
        <f t="shared" si="4"/>
        <v>5400</v>
      </c>
      <c r="AL13" s="10">
        <v>5400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422</v>
      </c>
      <c r="AU13" s="11">
        <v>78000</v>
      </c>
      <c r="AX13" s="11">
        <f ca="1">IFERROR(OFFSET(ITEM_RES!$A$1,MATCH(AY13,ITEM_RES!$J:$J,0)-1,0),0)</f>
        <v>211020101</v>
      </c>
      <c r="AY13" s="10" t="s">
        <v>441</v>
      </c>
      <c r="AZ13" s="11">
        <v>78000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1347</v>
      </c>
      <c r="M14" s="9">
        <v>1</v>
      </c>
      <c r="N14" s="9">
        <v>15</v>
      </c>
      <c r="O14" s="9" t="s">
        <v>1094</v>
      </c>
      <c r="S14" s="9" t="s">
        <v>673</v>
      </c>
      <c r="V14" s="9">
        <f ca="1">IFERROR(OFFSET(ITEM_RES!$A$5,MATCH(BUILDING!U14,ITEM_RES!$J$5:$J$229,0)-1,0),0)</f>
        <v>0</v>
      </c>
      <c r="X14" s="84" t="s">
        <v>529</v>
      </c>
      <c r="Y14" s="9">
        <f ca="1">IFERROR(OFFSET(ITEM_RES!$A$5,MATCH(BUILDING!X14,ITEM_RES!$J$5:$J$229,0)-1,0),0)</f>
        <v>211010101</v>
      </c>
      <c r="AA14" s="9" t="s">
        <v>499</v>
      </c>
      <c r="AB14" s="9">
        <v>10</v>
      </c>
      <c r="AD14" s="11">
        <f ca="1">IFERROR(OFFSET(MANOR_LEVEL!$B$1,MATCH(AE14-1,MANOR_LEVEL!$A:$A,0)-1,0),0)</f>
        <v>108200</v>
      </c>
      <c r="AE14" s="56">
        <v>7</v>
      </c>
      <c r="AG14" s="56">
        <f t="shared" ca="1" si="3"/>
        <v>391200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391200</v>
      </c>
      <c r="AI14" s="179">
        <f t="shared" ca="1" si="8"/>
        <v>625350</v>
      </c>
      <c r="AK14" s="11">
        <f t="shared" si="4"/>
        <v>7200</v>
      </c>
      <c r="AL14" s="10">
        <v>7200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422</v>
      </c>
      <c r="AU14" s="11">
        <v>130000</v>
      </c>
      <c r="AX14" s="11">
        <f ca="1">IFERROR(OFFSET(ITEM_RES!$A$1,MATCH(AY14,ITEM_RES!$J:$J,0)-1,0),0)</f>
        <v>211020101</v>
      </c>
      <c r="AY14" s="10" t="s">
        <v>441</v>
      </c>
      <c r="AZ14" s="11">
        <v>130000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452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1347</v>
      </c>
      <c r="M15" s="9">
        <v>1</v>
      </c>
      <c r="N15" s="9">
        <v>15</v>
      </c>
      <c r="O15" s="9" t="s">
        <v>1094</v>
      </c>
      <c r="S15" s="9" t="s">
        <v>673</v>
      </c>
      <c r="V15" s="9">
        <f ca="1">IFERROR(OFFSET(ITEM_RES!$A$5,MATCH(BUILDING!U15,ITEM_RES!$J$5:$J$229,0)-1,0),0)</f>
        <v>0</v>
      </c>
      <c r="X15" s="84" t="s">
        <v>529</v>
      </c>
      <c r="Y15" s="9">
        <f ca="1">IFERROR(OFFSET(ITEM_RES!$A$5,MATCH(BUILDING!X15,ITEM_RES!$J$5:$J$229,0)-1,0),0)</f>
        <v>211010101</v>
      </c>
      <c r="AA15" s="9" t="s">
        <v>499</v>
      </c>
      <c r="AB15" s="9">
        <v>11</v>
      </c>
      <c r="AD15" s="11">
        <f ca="1">IFERROR(OFFSET(MANOR_LEVEL!$B$1,MATCH(AE15-1,MANOR_LEVEL!$A:$A,0)-1,0),0)</f>
        <v>240400</v>
      </c>
      <c r="AE15" s="56">
        <v>8</v>
      </c>
      <c r="AG15" s="56">
        <f t="shared" ca="1" si="3"/>
        <v>660250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660250</v>
      </c>
      <c r="AI15" s="179">
        <f t="shared" ca="1" si="8"/>
        <v>1051450</v>
      </c>
      <c r="AK15" s="11">
        <f t="shared" si="4"/>
        <v>9000</v>
      </c>
      <c r="AL15" s="10">
        <v>9000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422</v>
      </c>
      <c r="AU15" s="11">
        <v>220000</v>
      </c>
      <c r="AX15" s="11">
        <f ca="1">IFERROR(OFFSET(ITEM_RES!$A$1,MATCH(AY15,ITEM_RES!$J:$J,0)-1,0),0)</f>
        <v>211020101</v>
      </c>
      <c r="AY15" s="10" t="s">
        <v>441</v>
      </c>
      <c r="AZ15" s="11">
        <v>220000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1347</v>
      </c>
      <c r="M16" s="9">
        <v>1</v>
      </c>
      <c r="N16" s="9">
        <v>15</v>
      </c>
      <c r="O16" s="9" t="s">
        <v>1094</v>
      </c>
      <c r="S16" s="9" t="s">
        <v>673</v>
      </c>
      <c r="V16" s="9">
        <f ca="1">IFERROR(OFFSET(ITEM_RES!$A$5,MATCH(BUILDING!U16,ITEM_RES!$J$5:$J$229,0)-1,0),0)</f>
        <v>0</v>
      </c>
      <c r="X16" s="84" t="s">
        <v>529</v>
      </c>
      <c r="Y16" s="9">
        <f ca="1">IFERROR(OFFSET(ITEM_RES!$A$5,MATCH(BUILDING!X16,ITEM_RES!$J$5:$J$229,0)-1,0),0)</f>
        <v>211010101</v>
      </c>
      <c r="AA16" s="9" t="s">
        <v>499</v>
      </c>
      <c r="AB16" s="9">
        <v>12</v>
      </c>
      <c r="AD16" s="11">
        <f ca="1">IFERROR(OFFSET(MANOR_LEVEL!$B$1,MATCH(AE16-1,MANOR_LEVEL!$A:$A,0)-1,0),0)</f>
        <v>630500</v>
      </c>
      <c r="AE16" s="56">
        <v>9</v>
      </c>
      <c r="AG16" s="56">
        <f t="shared" ca="1" si="3"/>
        <v>1110300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1110300</v>
      </c>
      <c r="AI16" s="179">
        <f t="shared" ca="1" si="8"/>
        <v>1770550</v>
      </c>
      <c r="AK16" s="11">
        <f t="shared" si="4"/>
        <v>10800</v>
      </c>
      <c r="AL16" s="10">
        <v>10800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422</v>
      </c>
      <c r="AU16" s="11">
        <v>370000</v>
      </c>
      <c r="AX16" s="11">
        <f ca="1">IFERROR(OFFSET(ITEM_RES!$A$1,MATCH(AY16,ITEM_RES!$J:$J,0)-1,0),0)</f>
        <v>211020101</v>
      </c>
      <c r="AY16" s="10" t="s">
        <v>441</v>
      </c>
      <c r="AZ16" s="11">
        <v>370000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1347</v>
      </c>
      <c r="M17" s="9">
        <v>1</v>
      </c>
      <c r="N17" s="9">
        <v>15</v>
      </c>
      <c r="O17" s="9" t="s">
        <v>1094</v>
      </c>
      <c r="S17" s="9" t="s">
        <v>673</v>
      </c>
      <c r="V17" s="9">
        <f ca="1">IFERROR(OFFSET(ITEM_RES!$A$5,MATCH(BUILDING!U17,ITEM_RES!$J$5:$J$229,0)-1,0),0)</f>
        <v>0</v>
      </c>
      <c r="X17" s="84" t="s">
        <v>529</v>
      </c>
      <c r="Y17" s="9">
        <f ca="1">IFERROR(OFFSET(ITEM_RES!$A$5,MATCH(BUILDING!X17,ITEM_RES!$J$5:$J$229,0)-1,0),0)</f>
        <v>211010101</v>
      </c>
      <c r="AA17" s="9" t="s">
        <v>499</v>
      </c>
      <c r="AB17" s="9">
        <v>13</v>
      </c>
      <c r="AD17" s="11">
        <f ca="1">IFERROR(OFFSET(MANOR_LEVEL!$B$1,MATCH(AE17-1,MANOR_LEVEL!$A:$A,0)-1,0),0)</f>
        <v>1170750</v>
      </c>
      <c r="AE17" s="56">
        <v>10</v>
      </c>
      <c r="AG17" s="56">
        <f t="shared" ca="1" si="3"/>
        <v>1860350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1860350</v>
      </c>
      <c r="AI17" s="179">
        <f t="shared" ca="1" si="8"/>
        <v>2970650</v>
      </c>
      <c r="AK17" s="11">
        <f t="shared" si="4"/>
        <v>12600</v>
      </c>
      <c r="AL17" s="10">
        <v>12600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422</v>
      </c>
      <c r="AU17" s="11">
        <v>620000</v>
      </c>
      <c r="AX17" s="11">
        <f ca="1">IFERROR(OFFSET(ITEM_RES!$A$1,MATCH(AY17,ITEM_RES!$J:$J,0)-1,0),0)</f>
        <v>211020101</v>
      </c>
      <c r="AY17" s="10" t="s">
        <v>441</v>
      </c>
      <c r="AZ17" s="11">
        <v>620000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1347</v>
      </c>
      <c r="M18" s="9">
        <v>1</v>
      </c>
      <c r="N18" s="9">
        <v>15</v>
      </c>
      <c r="O18" s="9" t="s">
        <v>1094</v>
      </c>
      <c r="S18" s="9" t="s">
        <v>673</v>
      </c>
      <c r="V18" s="9">
        <f ca="1">IFERROR(OFFSET(ITEM_RES!$A$5,MATCH(BUILDING!U18,ITEM_RES!$J$5:$J$229,0)-1,0),0)</f>
        <v>0</v>
      </c>
      <c r="X18" s="84" t="s">
        <v>529</v>
      </c>
      <c r="Y18" s="9">
        <f ca="1">IFERROR(OFFSET(ITEM_RES!$A$5,MATCH(BUILDING!X18,ITEM_RES!$J$5:$J$229,0)-1,0),0)</f>
        <v>211010101</v>
      </c>
      <c r="AA18" s="9" t="s">
        <v>499</v>
      </c>
      <c r="AB18" s="9">
        <v>14</v>
      </c>
      <c r="AD18" s="11">
        <f ca="1">IFERROR(OFFSET(MANOR_LEVEL!$B$1,MATCH(AE18-1,MANOR_LEVEL!$A:$A,0)-1,0),0)</f>
        <v>1956000</v>
      </c>
      <c r="AE18" s="56">
        <v>11</v>
      </c>
      <c r="AG18" s="56">
        <f t="shared" ca="1" si="3"/>
        <v>2910450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2910450</v>
      </c>
      <c r="AI18" s="179">
        <f t="shared" ca="1" si="8"/>
        <v>4770800</v>
      </c>
      <c r="AK18" s="11">
        <f t="shared" si="4"/>
        <v>14400</v>
      </c>
      <c r="AL18" s="10">
        <v>14400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422</v>
      </c>
      <c r="AU18" s="11">
        <v>970000</v>
      </c>
      <c r="AX18" s="11">
        <f ca="1">IFERROR(OFFSET(ITEM_RES!$A$1,MATCH(AY18,ITEM_RES!$J:$J,0)-1,0),0)</f>
        <v>211020101</v>
      </c>
      <c r="AY18" s="10" t="s">
        <v>441</v>
      </c>
      <c r="AZ18" s="11">
        <v>970000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1347</v>
      </c>
      <c r="M19" s="9">
        <v>1</v>
      </c>
      <c r="N19" s="9">
        <v>15</v>
      </c>
      <c r="O19" s="9" t="s">
        <v>1094</v>
      </c>
      <c r="S19" s="9" t="s">
        <v>673</v>
      </c>
      <c r="V19" s="9">
        <f ca="1">IFERROR(OFFSET(ITEM_RES!$A$5,MATCH(BUILDING!U19,ITEM_RES!$J$5:$J$229,0)-1,0),0)</f>
        <v>0</v>
      </c>
      <c r="X19" s="84" t="s">
        <v>529</v>
      </c>
      <c r="Y19" s="9">
        <f ca="1">IFERROR(OFFSET(ITEM_RES!$A$5,MATCH(BUILDING!X19,ITEM_RES!$J$5:$J$229,0)-1,0),0)</f>
        <v>211010101</v>
      </c>
      <c r="AA19" s="9" t="s">
        <v>499</v>
      </c>
      <c r="AB19" s="9">
        <v>15</v>
      </c>
      <c r="AD19" s="11">
        <f ca="1">IFERROR(OFFSET(MANOR_LEVEL!$B$1,MATCH(AE19-1,MANOR_LEVEL!$A:$A,0)-1,0),0)</f>
        <v>3961500</v>
      </c>
      <c r="AE19" s="56">
        <v>12</v>
      </c>
      <c r="AG19" s="56">
        <f t="shared" ca="1" si="3"/>
        <v>6300550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6300550</v>
      </c>
      <c r="AI19" s="179">
        <f t="shared" ca="1" si="8"/>
        <v>9211000</v>
      </c>
      <c r="AK19" s="11">
        <f t="shared" si="4"/>
        <v>16200</v>
      </c>
      <c r="AL19" s="10">
        <v>16200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422</v>
      </c>
      <c r="AU19" s="11">
        <v>2100000</v>
      </c>
      <c r="AX19" s="11">
        <f ca="1">IFERROR(OFFSET(ITEM_RES!$A$1,MATCH(AY19,ITEM_RES!$J:$J,0)-1,0),0)</f>
        <v>211020101</v>
      </c>
      <c r="AY19" s="10" t="s">
        <v>441</v>
      </c>
      <c r="AZ19" s="11">
        <v>2100000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1347</v>
      </c>
      <c r="M20" s="9">
        <v>0</v>
      </c>
      <c r="N20" s="9">
        <v>15</v>
      </c>
      <c r="O20" s="9" t="s">
        <v>1094</v>
      </c>
      <c r="S20" s="9" t="s">
        <v>674</v>
      </c>
      <c r="V20" s="9">
        <f ca="1">IFERROR(OFFSET(ITEM_RES!$A$5,MATCH(BUILDING!U20,ITEM_RES!$J$5:$J$229,0)-1,0),0)</f>
        <v>0</v>
      </c>
      <c r="X20" s="84" t="s">
        <v>529</v>
      </c>
      <c r="Y20" s="9">
        <f ca="1">IFERROR(OFFSET(ITEM_RES!$A$5,MATCH(BUILDING!X20,ITEM_RES!$J$5:$J$229,0)-1,0),0)</f>
        <v>211010101</v>
      </c>
      <c r="AA20" s="9" t="s">
        <v>499</v>
      </c>
      <c r="AB20" s="9">
        <v>16</v>
      </c>
      <c r="AD20" s="11">
        <f ca="1">IFERROR(OFFSET(MANOR_LEVEL!$B$1,MATCH(AE20-1,MANOR_LEVEL!$A:$A,0)-1,0),0)</f>
        <v>7772100</v>
      </c>
      <c r="AE20" s="56">
        <v>13</v>
      </c>
      <c r="AG20" s="56">
        <f t="shared" ca="1" si="3"/>
        <v>13330700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13330700</v>
      </c>
      <c r="AI20" s="179">
        <f t="shared" ca="1" si="8"/>
        <v>19631250</v>
      </c>
      <c r="AK20" s="11">
        <f t="shared" si="4"/>
        <v>18000</v>
      </c>
      <c r="AL20" s="10">
        <v>18000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436</v>
      </c>
      <c r="AU20" s="11">
        <v>4300000</v>
      </c>
      <c r="AX20" s="11">
        <f ca="1">IFERROR(OFFSET(ITEM_RES!$A$1,MATCH(AY20,ITEM_RES!$J:$J,0)-1,0),0)</f>
        <v>211020101</v>
      </c>
      <c r="AY20" s="10" t="s">
        <v>441</v>
      </c>
      <c r="AZ20" s="11">
        <v>4300000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1347</v>
      </c>
      <c r="M21" s="9">
        <v>0</v>
      </c>
      <c r="N21" s="9">
        <v>15</v>
      </c>
      <c r="O21" s="9" t="s">
        <v>1094</v>
      </c>
      <c r="S21" s="9" t="s">
        <v>674</v>
      </c>
      <c r="V21" s="9">
        <f ca="1">IFERROR(OFFSET(ITEM_RES!$A$5,MATCH(BUILDING!U21,ITEM_RES!$J$5:$J$229,0)-1,0),0)</f>
        <v>0</v>
      </c>
      <c r="X21" s="84" t="s">
        <v>529</v>
      </c>
      <c r="Y21" s="9">
        <f ca="1">IFERROR(OFFSET(ITEM_RES!$A$5,MATCH(BUILDING!X21,ITEM_RES!$J$5:$J$229,0)-1,0),0)</f>
        <v>211010101</v>
      </c>
      <c r="AA21" s="9" t="s">
        <v>499</v>
      </c>
      <c r="AB21" s="9">
        <v>17</v>
      </c>
      <c r="AD21" s="11">
        <f ca="1">IFERROR(OFFSET(MANOR_LEVEL!$B$1,MATCH(AE21-1,MANOR_LEVEL!$A:$A,0)-1,0),0)</f>
        <v>13022450</v>
      </c>
      <c r="AE21" s="56">
        <v>14</v>
      </c>
      <c r="AG21" s="56">
        <f t="shared" ca="1" si="3"/>
        <v>24800850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24800850</v>
      </c>
      <c r="AI21" s="179">
        <f t="shared" ca="1" si="8"/>
        <v>38131550</v>
      </c>
      <c r="AK21" s="11">
        <f t="shared" si="4"/>
        <v>19800</v>
      </c>
      <c r="AL21" s="10">
        <v>19800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436</v>
      </c>
      <c r="AU21" s="11">
        <v>8000000</v>
      </c>
      <c r="AX21" s="11">
        <f ca="1">IFERROR(OFFSET(ITEM_RES!$A$1,MATCH(AY21,ITEM_RES!$J:$J,0)-1,0),0)</f>
        <v>211020101</v>
      </c>
      <c r="AY21" s="10" t="s">
        <v>441</v>
      </c>
      <c r="AZ21" s="11">
        <v>8000000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1347</v>
      </c>
      <c r="M22" s="9">
        <v>0</v>
      </c>
      <c r="N22" s="9">
        <v>15</v>
      </c>
      <c r="O22" s="9" t="s">
        <v>1094</v>
      </c>
      <c r="S22" s="9" t="s">
        <v>674</v>
      </c>
      <c r="V22" s="9">
        <f ca="1">IFERROR(OFFSET(ITEM_RES!$A$5,MATCH(BUILDING!U22,ITEM_RES!$J$5:$J$229,0)-1,0),0)</f>
        <v>0</v>
      </c>
      <c r="X22" s="84" t="s">
        <v>529</v>
      </c>
      <c r="Y22" s="9">
        <f ca="1">IFERROR(OFFSET(ITEM_RES!$A$5,MATCH(BUILDING!X22,ITEM_RES!$J$5:$J$229,0)-1,0),0)</f>
        <v>211010101</v>
      </c>
      <c r="AA22" s="9" t="s">
        <v>499</v>
      </c>
      <c r="AB22" s="9">
        <v>18</v>
      </c>
      <c r="AD22" s="11">
        <f ca="1">IFERROR(OFFSET(MANOR_LEVEL!$B$1,MATCH(AE22-1,MANOR_LEVEL!$A:$A,0)-1,0),0)</f>
        <v>23283600</v>
      </c>
      <c r="AE22" s="56">
        <v>15</v>
      </c>
      <c r="AG22" s="56">
        <f t="shared" ca="1" si="3"/>
        <v>40301050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40301050</v>
      </c>
      <c r="AI22" s="179">
        <f t="shared" ca="1" si="8"/>
        <v>65101900</v>
      </c>
      <c r="AK22" s="11">
        <f t="shared" si="4"/>
        <v>21600</v>
      </c>
      <c r="AL22" s="10">
        <v>21600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436</v>
      </c>
      <c r="AU22" s="11">
        <v>13000000</v>
      </c>
      <c r="AX22" s="11">
        <f ca="1">IFERROR(OFFSET(ITEM_RES!$A$1,MATCH(AY22,ITEM_RES!$J:$J,0)-1,0),0)</f>
        <v>211020101</v>
      </c>
      <c r="AY22" s="10" t="s">
        <v>441</v>
      </c>
      <c r="AZ22" s="11">
        <v>13000000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1347</v>
      </c>
      <c r="M23" s="9">
        <v>0</v>
      </c>
      <c r="N23" s="9">
        <v>15</v>
      </c>
      <c r="O23" s="9" t="s">
        <v>1094</v>
      </c>
      <c r="S23" s="9" t="s">
        <v>674</v>
      </c>
      <c r="V23" s="9">
        <f ca="1">IFERROR(OFFSET(ITEM_RES!$A$5,MATCH(BUILDING!U23,ITEM_RES!$J$5:$J$229,0)-1,0),0)</f>
        <v>0</v>
      </c>
      <c r="X23" s="84" t="s">
        <v>529</v>
      </c>
      <c r="Y23" s="9">
        <f ca="1">IFERROR(OFFSET(ITEM_RES!$A$5,MATCH(BUILDING!X23,ITEM_RES!$J$5:$J$229,0)-1,0),0)</f>
        <v>211010101</v>
      </c>
      <c r="AA23" s="9" t="s">
        <v>499</v>
      </c>
      <c r="AB23" s="9">
        <v>19</v>
      </c>
      <c r="AD23" s="11">
        <f ca="1">IFERROR(OFFSET(MANOR_LEVEL!$B$1,MATCH(AE23-1,MANOR_LEVEL!$A:$A,0)-1,0),0)</f>
        <v>50404400</v>
      </c>
      <c r="AE23" s="56">
        <v>16</v>
      </c>
      <c r="AG23" s="56">
        <f t="shared" ca="1" si="3"/>
        <v>62001250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62001250</v>
      </c>
      <c r="AI23" s="179">
        <f t="shared" ca="1" si="8"/>
        <v>102302300</v>
      </c>
      <c r="AK23" s="11">
        <f t="shared" si="4"/>
        <v>23400</v>
      </c>
      <c r="AL23" s="10">
        <v>23400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436</v>
      </c>
      <c r="AU23" s="11">
        <v>20000000</v>
      </c>
      <c r="AX23" s="11">
        <f ca="1">IFERROR(OFFSET(ITEM_RES!$A$1,MATCH(AY23,ITEM_RES!$J:$J,0)-1,0),0)</f>
        <v>211020101</v>
      </c>
      <c r="AY23" s="10" t="s">
        <v>441</v>
      </c>
      <c r="AZ23" s="11">
        <v>20000000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1347</v>
      </c>
      <c r="M24" s="9">
        <v>0</v>
      </c>
      <c r="N24" s="9">
        <v>15</v>
      </c>
      <c r="O24" s="9" t="s">
        <v>1094</v>
      </c>
      <c r="S24" s="9" t="s">
        <v>675</v>
      </c>
      <c r="V24" s="9">
        <f ca="1">IFERROR(OFFSET(ITEM_RES!$A$5,MATCH(BUILDING!U24,ITEM_RES!$J$5:$J$229,0)-1,0),0)</f>
        <v>0</v>
      </c>
      <c r="X24" s="84" t="s">
        <v>529</v>
      </c>
      <c r="Y24" s="9">
        <f ca="1">IFERROR(OFFSET(ITEM_RES!$A$5,MATCH(BUILDING!X24,ITEM_RES!$J$5:$J$229,0)-1,0),0)</f>
        <v>211010101</v>
      </c>
      <c r="AA24" s="9" t="s">
        <v>499</v>
      </c>
      <c r="AB24" s="9">
        <v>20</v>
      </c>
      <c r="AD24" s="11">
        <f ca="1">IFERROR(OFFSET(MANOR_LEVEL!$B$1,MATCH(AE24-1,MANOR_LEVEL!$A:$A,0)-1,0),0)</f>
        <v>119976300</v>
      </c>
      <c r="AE24" s="56">
        <v>17</v>
      </c>
      <c r="AG24" s="56">
        <f t="shared" ca="1" si="3"/>
        <v>99201500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99201500</v>
      </c>
      <c r="AI24" s="179">
        <f t="shared" ca="1" si="8"/>
        <v>161202750</v>
      </c>
      <c r="AK24" s="11">
        <f t="shared" si="4"/>
        <v>25200</v>
      </c>
      <c r="AL24" s="10">
        <v>25200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436</v>
      </c>
      <c r="AU24" s="11">
        <v>32000000</v>
      </c>
      <c r="AX24" s="11">
        <f ca="1">IFERROR(OFFSET(ITEM_RES!$A$1,MATCH(AY24,ITEM_RES!$J:$J,0)-1,0),0)</f>
        <v>211020101</v>
      </c>
      <c r="AY24" s="10" t="s">
        <v>441</v>
      </c>
      <c r="AZ24" s="11">
        <v>32000000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557</v>
      </c>
      <c r="L25" s="16">
        <v>2</v>
      </c>
      <c r="M25" s="16">
        <v>1</v>
      </c>
      <c r="N25" s="16">
        <v>15</v>
      </c>
      <c r="O25" s="16" t="s">
        <v>1096</v>
      </c>
      <c r="P25" s="17"/>
      <c r="Q25" s="17"/>
      <c r="R25" s="18"/>
      <c r="S25" s="16" t="s">
        <v>677</v>
      </c>
      <c r="T25" s="78"/>
      <c r="U25" s="86"/>
      <c r="V25" s="16">
        <f ca="1">IFERROR(OFFSET(ITEM_RES!$A$5,MATCH(BUILDING!U25,ITEM_RES!$J$5:$J$229,0)-1,0),0)</f>
        <v>0</v>
      </c>
      <c r="W25" s="18"/>
      <c r="X25" s="86" t="s">
        <v>530</v>
      </c>
      <c r="Y25" s="16">
        <f ca="1">IFERROR(OFFSET(ITEM_RES!$A$5,MATCH(BUILDING!X25,ITEM_RES!$J$5:$J$229,0)-1,0),0)</f>
        <v>211010201</v>
      </c>
      <c r="Z25" s="78"/>
      <c r="AA25" s="16" t="s">
        <v>500</v>
      </c>
      <c r="AB25" s="16">
        <v>1</v>
      </c>
      <c r="AC25" s="78"/>
      <c r="AD25" s="18">
        <f ca="1">IFERROR(OFFSET(MANOR_LEVEL!$B$1,MATCH(AE25-1,MANOR_LEVEL!$A:$A,0)-1,0),0)</f>
        <v>32560</v>
      </c>
      <c r="AE25" s="57">
        <v>6</v>
      </c>
      <c r="AF25" s="78"/>
      <c r="AG25" s="57">
        <f ca="1">ROUND(AH25,0)</f>
        <v>1155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1155</v>
      </c>
      <c r="AI25" s="181">
        <f ca="1">AG25</f>
        <v>1155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423</v>
      </c>
      <c r="AU25" s="18">
        <v>50</v>
      </c>
      <c r="AV25" s="17"/>
      <c r="AW25" s="18"/>
      <c r="AX25" s="18">
        <f ca="1">IFERROR(OFFSET(ITEM_RES!$A$1,MATCH(AY25,ITEM_RES!$J:$J,0)-1,0),0)</f>
        <v>211020101</v>
      </c>
      <c r="AY25" s="17" t="s">
        <v>441</v>
      </c>
      <c r="AZ25" s="18">
        <v>50</v>
      </c>
      <c r="BA25" s="17"/>
      <c r="BB25" s="18"/>
      <c r="BC25" s="18">
        <f ca="1">IFERROR(OFFSET(ITEM_RES!$A$1,MATCH(BD25,ITEM_RES!$J:$J,0)-1,0),0)</f>
        <v>213010101</v>
      </c>
      <c r="BD25" s="17" t="s">
        <v>445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1097</v>
      </c>
      <c r="S26" s="9" t="s">
        <v>677</v>
      </c>
      <c r="V26" s="9">
        <f ca="1">IFERROR(OFFSET(ITEM_RES!$A$5,MATCH(BUILDING!U26,ITEM_RES!$J$5:$J$229,0)-1,0),0)</f>
        <v>0</v>
      </c>
      <c r="X26" s="84" t="s">
        <v>530</v>
      </c>
      <c r="Y26" s="9">
        <f ca="1">IFERROR(OFFSET(ITEM_RES!$A$5,MATCH(BUILDING!X26,ITEM_RES!$J$5:$J$229,0)-1,0),0)</f>
        <v>211010201</v>
      </c>
      <c r="AA26" s="9" t="s">
        <v>500</v>
      </c>
      <c r="AB26" s="9">
        <v>2</v>
      </c>
      <c r="AD26" s="11">
        <f ca="1">IFERROR(OFFSET(MANOR_LEVEL!$B$1,MATCH(AE26-1,MANOR_LEVEL!$A:$A,0)-1,0),0)</f>
        <v>32560</v>
      </c>
      <c r="AE26" s="56">
        <v>6</v>
      </c>
      <c r="AG26" s="56">
        <f t="shared" ref="AG26:AG89" ca="1" si="9">ROUND(AH26,0)</f>
        <v>310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310</v>
      </c>
      <c r="AI26" s="179">
        <f ca="1">AG25+AG26</f>
        <v>1465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423</v>
      </c>
      <c r="AU26" s="11">
        <v>100</v>
      </c>
      <c r="AX26" s="11">
        <f ca="1">IFERROR(OFFSET(ITEM_RES!$A$1,MATCH(AY26,ITEM_RES!$J:$J,0)-1,0),0)</f>
        <v>211020101</v>
      </c>
      <c r="AY26" s="10" t="s">
        <v>441</v>
      </c>
      <c r="AZ26" s="11">
        <v>100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1098</v>
      </c>
      <c r="S27" s="9" t="s">
        <v>677</v>
      </c>
      <c r="V27" s="9">
        <f ca="1">IFERROR(OFFSET(ITEM_RES!$A$5,MATCH(BUILDING!U27,ITEM_RES!$J$5:$J$229,0)-1,0),0)</f>
        <v>0</v>
      </c>
      <c r="X27" s="84" t="s">
        <v>530</v>
      </c>
      <c r="Y27" s="9">
        <f ca="1">IFERROR(OFFSET(ITEM_RES!$A$5,MATCH(BUILDING!X27,ITEM_RES!$J$5:$J$229,0)-1,0),0)</f>
        <v>211010201</v>
      </c>
      <c r="AA27" s="9" t="s">
        <v>500</v>
      </c>
      <c r="AB27" s="9">
        <v>3</v>
      </c>
      <c r="AD27" s="11">
        <f ca="1">IFERROR(OFFSET(MANOR_LEVEL!$B$1,MATCH(AE27-1,MANOR_LEVEL!$A:$A,0)-1,0),0)</f>
        <v>108200</v>
      </c>
      <c r="AE27" s="56">
        <v>7</v>
      </c>
      <c r="AG27" s="56">
        <f t="shared" ca="1" si="9"/>
        <v>465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465</v>
      </c>
      <c r="AI27" s="179">
        <f t="shared" ref="AI27:AI44" ca="1" si="10">AG26+AG27</f>
        <v>775</v>
      </c>
      <c r="AK27" s="11">
        <f t="shared" si="4"/>
        <v>30</v>
      </c>
      <c r="AL27" s="10">
        <v>30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423</v>
      </c>
      <c r="AU27" s="11">
        <v>150</v>
      </c>
      <c r="AX27" s="11">
        <f ca="1">IFERROR(OFFSET(ITEM_RES!$A$1,MATCH(AY27,ITEM_RES!$J:$J,0)-1,0),0)</f>
        <v>211020101</v>
      </c>
      <c r="AY27" s="10" t="s">
        <v>441</v>
      </c>
      <c r="AZ27" s="11">
        <v>150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1098</v>
      </c>
      <c r="S28" s="9" t="s">
        <v>677</v>
      </c>
      <c r="V28" s="9">
        <f ca="1">IFERROR(OFFSET(ITEM_RES!$A$5,MATCH(BUILDING!U28,ITEM_RES!$J$5:$J$229,0)-1,0),0)</f>
        <v>0</v>
      </c>
      <c r="X28" s="84" t="s">
        <v>530</v>
      </c>
      <c r="Y28" s="9">
        <f ca="1">IFERROR(OFFSET(ITEM_RES!$A$5,MATCH(BUILDING!X28,ITEM_RES!$J$5:$J$229,0)-1,0),0)</f>
        <v>211010201</v>
      </c>
      <c r="AA28" s="9" t="s">
        <v>500</v>
      </c>
      <c r="AB28" s="9">
        <v>4</v>
      </c>
      <c r="AD28" s="11">
        <f ca="1">IFERROR(OFFSET(MANOR_LEVEL!$B$1,MATCH(AE28-1,MANOR_LEVEL!$A:$A,0)-1,0),0)</f>
        <v>108200</v>
      </c>
      <c r="AE28" s="56">
        <v>7</v>
      </c>
      <c r="AG28" s="56">
        <f t="shared" ca="1" si="9"/>
        <v>1825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1825</v>
      </c>
      <c r="AI28" s="179">
        <f t="shared" ca="1" si="10"/>
        <v>2290</v>
      </c>
      <c r="AK28" s="11">
        <f t="shared" si="4"/>
        <v>300</v>
      </c>
      <c r="AL28" s="10">
        <v>300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423</v>
      </c>
      <c r="AU28" s="11">
        <v>600</v>
      </c>
      <c r="AX28" s="11">
        <f ca="1">IFERROR(OFFSET(ITEM_RES!$A$1,MATCH(AY28,ITEM_RES!$J:$J,0)-1,0),0)</f>
        <v>211020101</v>
      </c>
      <c r="AY28" s="10" t="s">
        <v>441</v>
      </c>
      <c r="AZ28" s="11">
        <v>600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1099</v>
      </c>
      <c r="S29" s="9" t="s">
        <v>677</v>
      </c>
      <c r="V29" s="9">
        <f ca="1">IFERROR(OFFSET(ITEM_RES!$A$5,MATCH(BUILDING!U29,ITEM_RES!$J$5:$J$229,0)-1,0),0)</f>
        <v>0</v>
      </c>
      <c r="X29" s="84" t="s">
        <v>530</v>
      </c>
      <c r="Y29" s="9">
        <f ca="1">IFERROR(OFFSET(ITEM_RES!$A$5,MATCH(BUILDING!X29,ITEM_RES!$J$5:$J$229,0)-1,0),0)</f>
        <v>211010201</v>
      </c>
      <c r="AA29" s="9" t="s">
        <v>500</v>
      </c>
      <c r="AB29" s="9">
        <v>5</v>
      </c>
      <c r="AD29" s="11">
        <f ca="1">IFERROR(OFFSET(MANOR_LEVEL!$B$1,MATCH(AE29-1,MANOR_LEVEL!$A:$A,0)-1,0),0)</f>
        <v>108200</v>
      </c>
      <c r="AE29" s="56">
        <v>7</v>
      </c>
      <c r="AG29" s="56">
        <f t="shared" ca="1" si="9"/>
        <v>8140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8140</v>
      </c>
      <c r="AI29" s="179">
        <f t="shared" ca="1" si="10"/>
        <v>9965</v>
      </c>
      <c r="AK29" s="11">
        <f t="shared" si="4"/>
        <v>600</v>
      </c>
      <c r="AL29" s="10">
        <v>600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423</v>
      </c>
      <c r="AU29" s="11">
        <v>2700</v>
      </c>
      <c r="AX29" s="11">
        <f ca="1">IFERROR(OFFSET(ITEM_RES!$A$1,MATCH(AY29,ITEM_RES!$J:$J,0)-1,0),0)</f>
        <v>211020101</v>
      </c>
      <c r="AY29" s="10" t="s">
        <v>441</v>
      </c>
      <c r="AZ29" s="11">
        <v>2700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1100</v>
      </c>
      <c r="S30" s="9" t="s">
        <v>677</v>
      </c>
      <c r="V30" s="9">
        <f ca="1">IFERROR(OFFSET(ITEM_RES!$A$5,MATCH(BUILDING!U30,ITEM_RES!$J$5:$J$229,0)-1,0),0)</f>
        <v>0</v>
      </c>
      <c r="X30" s="84" t="s">
        <v>530</v>
      </c>
      <c r="Y30" s="9">
        <f ca="1">IFERROR(OFFSET(ITEM_RES!$A$5,MATCH(BUILDING!X30,ITEM_RES!$J$5:$J$229,0)-1,0),0)</f>
        <v>211010201</v>
      </c>
      <c r="AA30" s="9" t="s">
        <v>500</v>
      </c>
      <c r="AB30" s="9">
        <v>6</v>
      </c>
      <c r="AD30" s="11">
        <f ca="1">IFERROR(OFFSET(MANOR_LEVEL!$B$1,MATCH(AE30-1,MANOR_LEVEL!$A:$A,0)-1,0),0)</f>
        <v>108200</v>
      </c>
      <c r="AE30" s="56">
        <v>7</v>
      </c>
      <c r="AG30" s="56">
        <f t="shared" ca="1" si="9"/>
        <v>27050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27050</v>
      </c>
      <c r="AI30" s="179">
        <f t="shared" ca="1" si="10"/>
        <v>35190</v>
      </c>
      <c r="AK30" s="11">
        <f t="shared" si="4"/>
        <v>1200</v>
      </c>
      <c r="AL30" s="10">
        <v>1200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423</v>
      </c>
      <c r="AU30" s="11">
        <v>9000</v>
      </c>
      <c r="AX30" s="11">
        <f ca="1">IFERROR(OFFSET(ITEM_RES!$A$1,MATCH(AY30,ITEM_RES!$J:$J,0)-1,0),0)</f>
        <v>211020101</v>
      </c>
      <c r="AY30" s="10" t="s">
        <v>441</v>
      </c>
      <c r="AZ30" s="11">
        <v>9000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1101</v>
      </c>
      <c r="S31" s="9" t="s">
        <v>677</v>
      </c>
      <c r="V31" s="9">
        <f ca="1">IFERROR(OFFSET(ITEM_RES!$A$5,MATCH(BUILDING!U31,ITEM_RES!$J$5:$J$229,0)-1,0),0)</f>
        <v>0</v>
      </c>
      <c r="X31" s="84" t="s">
        <v>530</v>
      </c>
      <c r="Y31" s="9">
        <f ca="1">IFERROR(OFFSET(ITEM_RES!$A$5,MATCH(BUILDING!X31,ITEM_RES!$J$5:$J$229,0)-1,0),0)</f>
        <v>211010201</v>
      </c>
      <c r="AA31" s="9" t="s">
        <v>500</v>
      </c>
      <c r="AB31" s="9">
        <v>7</v>
      </c>
      <c r="AD31" s="11">
        <f ca="1">IFERROR(OFFSET(MANOR_LEVEL!$B$1,MATCH(AE31-1,MANOR_LEVEL!$A:$A,0)-1,0),0)</f>
        <v>108200</v>
      </c>
      <c r="AE31" s="56">
        <v>7</v>
      </c>
      <c r="AG31" s="56">
        <f t="shared" ca="1" si="9"/>
        <v>60100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60100</v>
      </c>
      <c r="AI31" s="179">
        <f t="shared" ca="1" si="10"/>
        <v>87150</v>
      </c>
      <c r="AK31" s="11">
        <f t="shared" si="4"/>
        <v>1800</v>
      </c>
      <c r="AL31" s="10">
        <v>1800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423</v>
      </c>
      <c r="AU31" s="11">
        <v>20000</v>
      </c>
      <c r="AX31" s="11">
        <f ca="1">IFERROR(OFFSET(ITEM_RES!$A$1,MATCH(AY31,ITEM_RES!$J:$J,0)-1,0),0)</f>
        <v>211020101</v>
      </c>
      <c r="AY31" s="10" t="s">
        <v>441</v>
      </c>
      <c r="AZ31" s="11">
        <v>20000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1101</v>
      </c>
      <c r="S32" s="9" t="s">
        <v>677</v>
      </c>
      <c r="V32" s="9">
        <f ca="1">IFERROR(OFFSET(ITEM_RES!$A$5,MATCH(BUILDING!U32,ITEM_RES!$J$5:$J$229,0)-1,0),0)</f>
        <v>0</v>
      </c>
      <c r="X32" s="84" t="s">
        <v>530</v>
      </c>
      <c r="Y32" s="9">
        <f ca="1">IFERROR(OFFSET(ITEM_RES!$A$5,MATCH(BUILDING!X32,ITEM_RES!$J$5:$J$229,0)-1,0),0)</f>
        <v>211010201</v>
      </c>
      <c r="AA32" s="9" t="s">
        <v>500</v>
      </c>
      <c r="AB32" s="9">
        <v>8</v>
      </c>
      <c r="AD32" s="11">
        <f ca="1">IFERROR(OFFSET(MANOR_LEVEL!$B$1,MATCH(AE32-1,MANOR_LEVEL!$A:$A,0)-1,0),0)</f>
        <v>240400</v>
      </c>
      <c r="AE32" s="56">
        <v>8</v>
      </c>
      <c r="AG32" s="56">
        <f t="shared" ca="1" si="9"/>
        <v>126100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126100</v>
      </c>
      <c r="AI32" s="179">
        <f t="shared" ca="1" si="10"/>
        <v>186200</v>
      </c>
      <c r="AK32" s="11">
        <f t="shared" si="4"/>
        <v>3600</v>
      </c>
      <c r="AL32" s="10">
        <v>3600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423</v>
      </c>
      <c r="AU32" s="11">
        <v>42000</v>
      </c>
      <c r="AX32" s="11">
        <f ca="1">IFERROR(OFFSET(ITEM_RES!$A$1,MATCH(AY32,ITEM_RES!$J:$J,0)-1,0),0)</f>
        <v>211020101</v>
      </c>
      <c r="AY32" s="10" t="s">
        <v>441</v>
      </c>
      <c r="AZ32" s="11">
        <v>42000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1101</v>
      </c>
      <c r="S33" s="9" t="s">
        <v>677</v>
      </c>
      <c r="V33" s="9">
        <f ca="1">IFERROR(OFFSET(ITEM_RES!$A$5,MATCH(BUILDING!U33,ITEM_RES!$J$5:$J$229,0)-1,0),0)</f>
        <v>0</v>
      </c>
      <c r="X33" s="84" t="s">
        <v>530</v>
      </c>
      <c r="Y33" s="9">
        <f ca="1">IFERROR(OFFSET(ITEM_RES!$A$5,MATCH(BUILDING!X33,ITEM_RES!$J$5:$J$229,0)-1,0),0)</f>
        <v>211010201</v>
      </c>
      <c r="AA33" s="9" t="s">
        <v>500</v>
      </c>
      <c r="AB33" s="9">
        <v>9</v>
      </c>
      <c r="AD33" s="11">
        <f ca="1">IFERROR(OFFSET(MANOR_LEVEL!$B$1,MATCH(AE33-1,MANOR_LEVEL!$A:$A,0)-1,0),0)</f>
        <v>240400</v>
      </c>
      <c r="AE33" s="56">
        <v>8</v>
      </c>
      <c r="AG33" s="56">
        <f t="shared" ca="1" si="9"/>
        <v>234150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234150</v>
      </c>
      <c r="AI33" s="179">
        <f t="shared" ca="1" si="10"/>
        <v>360250</v>
      </c>
      <c r="AK33" s="11">
        <f t="shared" si="4"/>
        <v>5400</v>
      </c>
      <c r="AL33" s="10">
        <v>5400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423</v>
      </c>
      <c r="AU33" s="11">
        <v>78000</v>
      </c>
      <c r="AX33" s="11">
        <f ca="1">IFERROR(OFFSET(ITEM_RES!$A$1,MATCH(AY33,ITEM_RES!$J:$J,0)-1,0),0)</f>
        <v>211020101</v>
      </c>
      <c r="AY33" s="10" t="s">
        <v>441</v>
      </c>
      <c r="AZ33" s="11">
        <v>78000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1101</v>
      </c>
      <c r="S34" s="9" t="s">
        <v>677</v>
      </c>
      <c r="V34" s="9">
        <f ca="1">IFERROR(OFFSET(ITEM_RES!$A$5,MATCH(BUILDING!U34,ITEM_RES!$J$5:$J$229,0)-1,0),0)</f>
        <v>0</v>
      </c>
      <c r="X34" s="84" t="s">
        <v>530</v>
      </c>
      <c r="Y34" s="9">
        <f ca="1">IFERROR(OFFSET(ITEM_RES!$A$5,MATCH(BUILDING!X34,ITEM_RES!$J$5:$J$229,0)-1,0),0)</f>
        <v>211010201</v>
      </c>
      <c r="AA34" s="9" t="s">
        <v>500</v>
      </c>
      <c r="AB34" s="9">
        <v>10</v>
      </c>
      <c r="AD34" s="11">
        <f ca="1">IFERROR(OFFSET(MANOR_LEVEL!$B$1,MATCH(AE34-1,MANOR_LEVEL!$A:$A,0)-1,0),0)</f>
        <v>240400</v>
      </c>
      <c r="AE34" s="56">
        <v>8</v>
      </c>
      <c r="AG34" s="56">
        <f t="shared" ca="1" si="9"/>
        <v>390200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390200</v>
      </c>
      <c r="AI34" s="179">
        <f t="shared" ca="1" si="10"/>
        <v>624350</v>
      </c>
      <c r="AK34" s="11">
        <f t="shared" si="4"/>
        <v>7200</v>
      </c>
      <c r="AL34" s="10">
        <v>7200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423</v>
      </c>
      <c r="AU34" s="11">
        <v>130000</v>
      </c>
      <c r="AX34" s="11">
        <f ca="1">IFERROR(OFFSET(ITEM_RES!$A$1,MATCH(AY34,ITEM_RES!$J:$J,0)-1,0),0)</f>
        <v>211020101</v>
      </c>
      <c r="AY34" s="10" t="s">
        <v>441</v>
      </c>
      <c r="AZ34" s="11">
        <v>130000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372</v>
      </c>
      <c r="M35" s="9">
        <v>1</v>
      </c>
      <c r="N35" s="9">
        <v>15</v>
      </c>
      <c r="O35" s="9" t="s">
        <v>1101</v>
      </c>
      <c r="S35" s="9" t="s">
        <v>677</v>
      </c>
      <c r="V35" s="9">
        <f ca="1">IFERROR(OFFSET(ITEM_RES!$A$5,MATCH(BUILDING!U35,ITEM_RES!$J$5:$J$229,0)-1,0),0)</f>
        <v>0</v>
      </c>
      <c r="X35" s="84" t="s">
        <v>530</v>
      </c>
      <c r="Y35" s="9">
        <f ca="1">IFERROR(OFFSET(ITEM_RES!$A$5,MATCH(BUILDING!X35,ITEM_RES!$J$5:$J$229,0)-1,0),0)</f>
        <v>211010201</v>
      </c>
      <c r="AA35" s="9" t="s">
        <v>500</v>
      </c>
      <c r="AB35" s="9">
        <v>11</v>
      </c>
      <c r="AD35" s="11">
        <f ca="1">IFERROR(OFFSET(MANOR_LEVEL!$B$1,MATCH(AE35-1,MANOR_LEVEL!$A:$A,0)-1,0),0)</f>
        <v>240400</v>
      </c>
      <c r="AE35" s="56">
        <v>8</v>
      </c>
      <c r="AG35" s="56">
        <f t="shared" ca="1" si="9"/>
        <v>660250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660250</v>
      </c>
      <c r="AI35" s="179">
        <f t="shared" ca="1" si="10"/>
        <v>1050450</v>
      </c>
      <c r="AK35" s="11">
        <f t="shared" si="4"/>
        <v>9000</v>
      </c>
      <c r="AL35" s="10">
        <v>9000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423</v>
      </c>
      <c r="AU35" s="11">
        <v>220000</v>
      </c>
      <c r="AX35" s="11">
        <f ca="1">IFERROR(OFFSET(ITEM_RES!$A$1,MATCH(AY35,ITEM_RES!$J:$J,0)-1,0),0)</f>
        <v>211020101</v>
      </c>
      <c r="AY35" s="10" t="s">
        <v>441</v>
      </c>
      <c r="AZ35" s="11">
        <v>220000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1101</v>
      </c>
      <c r="S36" s="9" t="s">
        <v>677</v>
      </c>
      <c r="V36" s="9">
        <f ca="1">IFERROR(OFFSET(ITEM_RES!$A$5,MATCH(BUILDING!U36,ITEM_RES!$J$5:$J$229,0)-1,0),0)</f>
        <v>0</v>
      </c>
      <c r="X36" s="84" t="s">
        <v>530</v>
      </c>
      <c r="Y36" s="9">
        <f ca="1">IFERROR(OFFSET(ITEM_RES!$A$5,MATCH(BUILDING!X36,ITEM_RES!$J$5:$J$229,0)-1,0),0)</f>
        <v>211010201</v>
      </c>
      <c r="AA36" s="9" t="s">
        <v>500</v>
      </c>
      <c r="AB36" s="9">
        <v>12</v>
      </c>
      <c r="AD36" s="11">
        <f ca="1">IFERROR(OFFSET(MANOR_LEVEL!$B$1,MATCH(AE36-1,MANOR_LEVEL!$A:$A,0)-1,0),0)</f>
        <v>240400</v>
      </c>
      <c r="AE36" s="56">
        <v>8</v>
      </c>
      <c r="AG36" s="56">
        <f t="shared" ca="1" si="9"/>
        <v>1110300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1110300</v>
      </c>
      <c r="AI36" s="179">
        <f t="shared" ca="1" si="10"/>
        <v>1770550</v>
      </c>
      <c r="AK36" s="11">
        <f t="shared" si="4"/>
        <v>10800</v>
      </c>
      <c r="AL36" s="10">
        <v>10800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423</v>
      </c>
      <c r="AU36" s="11">
        <v>370000</v>
      </c>
      <c r="AX36" s="11">
        <f ca="1">IFERROR(OFFSET(ITEM_RES!$A$1,MATCH(AY36,ITEM_RES!$J:$J,0)-1,0),0)</f>
        <v>211020101</v>
      </c>
      <c r="AY36" s="10" t="s">
        <v>441</v>
      </c>
      <c r="AZ36" s="11">
        <v>370000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1101</v>
      </c>
      <c r="S37" s="9" t="s">
        <v>677</v>
      </c>
      <c r="V37" s="9">
        <f ca="1">IFERROR(OFFSET(ITEM_RES!$A$5,MATCH(BUILDING!U37,ITEM_RES!$J$5:$J$229,0)-1,0),0)</f>
        <v>0</v>
      </c>
      <c r="X37" s="84" t="s">
        <v>530</v>
      </c>
      <c r="Y37" s="9">
        <f ca="1">IFERROR(OFFSET(ITEM_RES!$A$5,MATCH(BUILDING!X37,ITEM_RES!$J$5:$J$229,0)-1,0),0)</f>
        <v>211010201</v>
      </c>
      <c r="AA37" s="9" t="s">
        <v>500</v>
      </c>
      <c r="AB37" s="9">
        <v>13</v>
      </c>
      <c r="AD37" s="11">
        <f ca="1">IFERROR(OFFSET(MANOR_LEVEL!$B$1,MATCH(AE37-1,MANOR_LEVEL!$A:$A,0)-1,0),0)</f>
        <v>240400</v>
      </c>
      <c r="AE37" s="56">
        <v>8</v>
      </c>
      <c r="AG37" s="56">
        <f t="shared" ca="1" si="9"/>
        <v>1860350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1860350</v>
      </c>
      <c r="AI37" s="179">
        <f t="shared" ca="1" si="10"/>
        <v>2970650</v>
      </c>
      <c r="AK37" s="11">
        <f t="shared" si="4"/>
        <v>12600</v>
      </c>
      <c r="AL37" s="10">
        <v>12600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423</v>
      </c>
      <c r="AU37" s="11">
        <v>620000</v>
      </c>
      <c r="AX37" s="11">
        <f ca="1">IFERROR(OFFSET(ITEM_RES!$A$1,MATCH(AY37,ITEM_RES!$J:$J,0)-1,0),0)</f>
        <v>211020101</v>
      </c>
      <c r="AY37" s="10" t="s">
        <v>441</v>
      </c>
      <c r="AZ37" s="11">
        <v>620000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1101</v>
      </c>
      <c r="S38" s="9" t="s">
        <v>677</v>
      </c>
      <c r="V38" s="9">
        <f ca="1">IFERROR(OFFSET(ITEM_RES!$A$5,MATCH(BUILDING!U38,ITEM_RES!$J$5:$J$229,0)-1,0),0)</f>
        <v>0</v>
      </c>
      <c r="X38" s="84" t="s">
        <v>530</v>
      </c>
      <c r="Y38" s="9">
        <f ca="1">IFERROR(OFFSET(ITEM_RES!$A$5,MATCH(BUILDING!X38,ITEM_RES!$J$5:$J$229,0)-1,0),0)</f>
        <v>211010201</v>
      </c>
      <c r="AA38" s="9" t="s">
        <v>500</v>
      </c>
      <c r="AB38" s="9">
        <v>14</v>
      </c>
      <c r="AD38" s="11">
        <f ca="1">IFERROR(OFFSET(MANOR_LEVEL!$B$1,MATCH(AE38-1,MANOR_LEVEL!$A:$A,0)-1,0),0)</f>
        <v>240400</v>
      </c>
      <c r="AE38" s="56">
        <v>8</v>
      </c>
      <c r="AG38" s="56">
        <f t="shared" ca="1" si="9"/>
        <v>2910450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2910450</v>
      </c>
      <c r="AI38" s="179">
        <f t="shared" ca="1" si="10"/>
        <v>4770800</v>
      </c>
      <c r="AK38" s="11">
        <f t="shared" si="4"/>
        <v>14400</v>
      </c>
      <c r="AL38" s="10">
        <v>14400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423</v>
      </c>
      <c r="AU38" s="11">
        <v>970000</v>
      </c>
      <c r="AX38" s="11">
        <f ca="1">IFERROR(OFFSET(ITEM_RES!$A$1,MATCH(AY38,ITEM_RES!$J:$J,0)-1,0),0)</f>
        <v>211020101</v>
      </c>
      <c r="AY38" s="10" t="s">
        <v>441</v>
      </c>
      <c r="AZ38" s="11">
        <v>970000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1101</v>
      </c>
      <c r="S39" s="9" t="s">
        <v>677</v>
      </c>
      <c r="V39" s="9">
        <f ca="1">IFERROR(OFFSET(ITEM_RES!$A$5,MATCH(BUILDING!U39,ITEM_RES!$J$5:$J$229,0)-1,0),0)</f>
        <v>0</v>
      </c>
      <c r="X39" s="84" t="s">
        <v>530</v>
      </c>
      <c r="Y39" s="9">
        <f ca="1">IFERROR(OFFSET(ITEM_RES!$A$5,MATCH(BUILDING!X39,ITEM_RES!$J$5:$J$229,0)-1,0),0)</f>
        <v>211010201</v>
      </c>
      <c r="AA39" s="9" t="s">
        <v>500</v>
      </c>
      <c r="AB39" s="9">
        <v>15</v>
      </c>
      <c r="AD39" s="11">
        <f ca="1">IFERROR(OFFSET(MANOR_LEVEL!$B$1,MATCH(AE39-1,MANOR_LEVEL!$A:$A,0)-1,0),0)</f>
        <v>240400</v>
      </c>
      <c r="AE39" s="56">
        <v>8</v>
      </c>
      <c r="AG39" s="56">
        <f t="shared" ca="1" si="9"/>
        <v>6510550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6510550</v>
      </c>
      <c r="AI39" s="179">
        <f t="shared" ca="1" si="10"/>
        <v>9421000</v>
      </c>
      <c r="AK39" s="11">
        <f t="shared" si="4"/>
        <v>16200</v>
      </c>
      <c r="AL39" s="10">
        <v>16200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436</v>
      </c>
      <c r="AU39" s="11">
        <v>2100000</v>
      </c>
      <c r="AX39" s="11">
        <f ca="1">IFERROR(OFFSET(ITEM_RES!$A$1,MATCH(AY39,ITEM_RES!$J:$J,0)-1,0),0)</f>
        <v>211020101</v>
      </c>
      <c r="AY39" s="10" t="s">
        <v>441</v>
      </c>
      <c r="AZ39" s="11">
        <v>2100000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1101</v>
      </c>
      <c r="S40" s="9" t="s">
        <v>677</v>
      </c>
      <c r="V40" s="9">
        <f ca="1">IFERROR(OFFSET(ITEM_RES!$A$5,MATCH(BUILDING!U40,ITEM_RES!$J$5:$J$229,0)-1,0),0)</f>
        <v>0</v>
      </c>
      <c r="X40" s="84" t="s">
        <v>530</v>
      </c>
      <c r="Y40" s="9">
        <f ca="1">IFERROR(OFFSET(ITEM_RES!$A$5,MATCH(BUILDING!X40,ITEM_RES!$J$5:$J$229,0)-1,0),0)</f>
        <v>211010201</v>
      </c>
      <c r="AA40" s="9" t="s">
        <v>500</v>
      </c>
      <c r="AB40" s="9">
        <v>16</v>
      </c>
      <c r="AD40" s="11">
        <f ca="1">IFERROR(OFFSET(MANOR_LEVEL!$B$1,MATCH(AE40-1,MANOR_LEVEL!$A:$A,0)-1,0),0)</f>
        <v>630500</v>
      </c>
      <c r="AE40" s="56">
        <v>9</v>
      </c>
      <c r="AG40" s="56">
        <f t="shared" ca="1" si="9"/>
        <v>13330700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13330700</v>
      </c>
      <c r="AI40" s="179">
        <f t="shared" ca="1" si="10"/>
        <v>19841250</v>
      </c>
      <c r="AK40" s="11">
        <f t="shared" si="4"/>
        <v>18000</v>
      </c>
      <c r="AL40" s="10">
        <v>18000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436</v>
      </c>
      <c r="AU40" s="11">
        <v>4300000</v>
      </c>
      <c r="AX40" s="11">
        <f ca="1">IFERROR(OFFSET(ITEM_RES!$A$1,MATCH(AY40,ITEM_RES!$J:$J,0)-1,0),0)</f>
        <v>211020101</v>
      </c>
      <c r="AY40" s="10" t="s">
        <v>441</v>
      </c>
      <c r="AZ40" s="11">
        <v>4300000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1101</v>
      </c>
      <c r="S41" s="9" t="s">
        <v>677</v>
      </c>
      <c r="V41" s="9">
        <f ca="1">IFERROR(OFFSET(ITEM_RES!$A$5,MATCH(BUILDING!U41,ITEM_RES!$J$5:$J$229,0)-1,0),0)</f>
        <v>0</v>
      </c>
      <c r="X41" s="84" t="s">
        <v>530</v>
      </c>
      <c r="Y41" s="9">
        <f ca="1">IFERROR(OFFSET(ITEM_RES!$A$5,MATCH(BUILDING!X41,ITEM_RES!$J$5:$J$229,0)-1,0),0)</f>
        <v>211010201</v>
      </c>
      <c r="AA41" s="9" t="s">
        <v>500</v>
      </c>
      <c r="AB41" s="9">
        <v>17</v>
      </c>
      <c r="AD41" s="11">
        <f ca="1">IFERROR(OFFSET(MANOR_LEVEL!$B$1,MATCH(AE41-1,MANOR_LEVEL!$A:$A,0)-1,0),0)</f>
        <v>1170750</v>
      </c>
      <c r="AE41" s="56">
        <v>10</v>
      </c>
      <c r="AG41" s="56">
        <f t="shared" ca="1" si="9"/>
        <v>24800850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24800850</v>
      </c>
      <c r="AI41" s="179">
        <f t="shared" ca="1" si="10"/>
        <v>38131550</v>
      </c>
      <c r="AK41" s="11">
        <f t="shared" si="4"/>
        <v>19800</v>
      </c>
      <c r="AL41" s="10">
        <v>19800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436</v>
      </c>
      <c r="AU41" s="11">
        <v>8000000</v>
      </c>
      <c r="AX41" s="11">
        <f ca="1">IFERROR(OFFSET(ITEM_RES!$A$1,MATCH(AY41,ITEM_RES!$J:$J,0)-1,0),0)</f>
        <v>211020101</v>
      </c>
      <c r="AY41" s="10" t="s">
        <v>441</v>
      </c>
      <c r="AZ41" s="11">
        <v>8000000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1101</v>
      </c>
      <c r="S42" s="9" t="s">
        <v>677</v>
      </c>
      <c r="V42" s="9">
        <f ca="1">IFERROR(OFFSET(ITEM_RES!$A$5,MATCH(BUILDING!U42,ITEM_RES!$J$5:$J$229,0)-1,0),0)</f>
        <v>0</v>
      </c>
      <c r="X42" s="84" t="s">
        <v>530</v>
      </c>
      <c r="Y42" s="9">
        <f ca="1">IFERROR(OFFSET(ITEM_RES!$A$5,MATCH(BUILDING!X42,ITEM_RES!$J$5:$J$229,0)-1,0),0)</f>
        <v>211010201</v>
      </c>
      <c r="AA42" s="9" t="s">
        <v>500</v>
      </c>
      <c r="AB42" s="9">
        <v>18</v>
      </c>
      <c r="AD42" s="11">
        <f ca="1">IFERROR(OFFSET(MANOR_LEVEL!$B$1,MATCH(AE42-1,MANOR_LEVEL!$A:$A,0)-1,0),0)</f>
        <v>1956000</v>
      </c>
      <c r="AE42" s="56">
        <v>11</v>
      </c>
      <c r="AG42" s="56">
        <f t="shared" ca="1" si="9"/>
        <v>40301050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40301050</v>
      </c>
      <c r="AI42" s="179">
        <f t="shared" ca="1" si="10"/>
        <v>65101900</v>
      </c>
      <c r="AK42" s="11">
        <f t="shared" si="4"/>
        <v>21600</v>
      </c>
      <c r="AL42" s="10">
        <v>21600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436</v>
      </c>
      <c r="AU42" s="11">
        <v>13000000</v>
      </c>
      <c r="AX42" s="11">
        <f ca="1">IFERROR(OFFSET(ITEM_RES!$A$1,MATCH(AY42,ITEM_RES!$J:$J,0)-1,0),0)</f>
        <v>211020101</v>
      </c>
      <c r="AY42" s="10" t="s">
        <v>441</v>
      </c>
      <c r="AZ42" s="11">
        <v>13000000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1101</v>
      </c>
      <c r="S43" s="9" t="s">
        <v>677</v>
      </c>
      <c r="V43" s="9">
        <f ca="1">IFERROR(OFFSET(ITEM_RES!$A$5,MATCH(BUILDING!U43,ITEM_RES!$J$5:$J$229,0)-1,0),0)</f>
        <v>0</v>
      </c>
      <c r="X43" s="84" t="s">
        <v>530</v>
      </c>
      <c r="Y43" s="9">
        <f ca="1">IFERROR(OFFSET(ITEM_RES!$A$5,MATCH(BUILDING!X43,ITEM_RES!$J$5:$J$229,0)-1,0),0)</f>
        <v>211010201</v>
      </c>
      <c r="AA43" s="9" t="s">
        <v>500</v>
      </c>
      <c r="AB43" s="9">
        <v>19</v>
      </c>
      <c r="AD43" s="11">
        <f ca="1">IFERROR(OFFSET(MANOR_LEVEL!$B$1,MATCH(AE43-1,MANOR_LEVEL!$A:$A,0)-1,0),0)</f>
        <v>3961500</v>
      </c>
      <c r="AE43" s="56">
        <v>12</v>
      </c>
      <c r="AG43" s="56">
        <f t="shared" ca="1" si="9"/>
        <v>62001250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62001250</v>
      </c>
      <c r="AI43" s="179">
        <f t="shared" ca="1" si="10"/>
        <v>102302300</v>
      </c>
      <c r="AK43" s="11">
        <f t="shared" si="4"/>
        <v>23400</v>
      </c>
      <c r="AL43" s="10">
        <v>23400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436</v>
      </c>
      <c r="AU43" s="11">
        <v>20000000</v>
      </c>
      <c r="AX43" s="11">
        <f ca="1">IFERROR(OFFSET(ITEM_RES!$A$1,MATCH(AY43,ITEM_RES!$J:$J,0)-1,0),0)</f>
        <v>211020101</v>
      </c>
      <c r="AY43" s="10" t="s">
        <v>441</v>
      </c>
      <c r="AZ43" s="11">
        <v>20000000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1101</v>
      </c>
      <c r="S44" s="9" t="s">
        <v>677</v>
      </c>
      <c r="V44" s="9">
        <f ca="1">IFERROR(OFFSET(ITEM_RES!$A$5,MATCH(BUILDING!U44,ITEM_RES!$J$5:$J$229,0)-1,0),0)</f>
        <v>0</v>
      </c>
      <c r="X44" s="84" t="s">
        <v>530</v>
      </c>
      <c r="Y44" s="9">
        <f ca="1">IFERROR(OFFSET(ITEM_RES!$A$5,MATCH(BUILDING!X44,ITEM_RES!$J$5:$J$229,0)-1,0),0)</f>
        <v>211010201</v>
      </c>
      <c r="AA44" s="9" t="s">
        <v>500</v>
      </c>
      <c r="AB44" s="9">
        <v>20</v>
      </c>
      <c r="AD44" s="11">
        <f ca="1">IFERROR(OFFSET(MANOR_LEVEL!$B$1,MATCH(AE44-1,MANOR_LEVEL!$A:$A,0)-1,0),0)</f>
        <v>7772100</v>
      </c>
      <c r="AE44" s="56">
        <v>13</v>
      </c>
      <c r="AG44" s="56">
        <f t="shared" ca="1" si="9"/>
        <v>99201500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99201500</v>
      </c>
      <c r="AI44" s="179">
        <f t="shared" ca="1" si="10"/>
        <v>161202750</v>
      </c>
      <c r="AK44" s="11">
        <f t="shared" si="4"/>
        <v>25200</v>
      </c>
      <c r="AL44" s="10">
        <v>25200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436</v>
      </c>
      <c r="AU44" s="11">
        <v>32000000</v>
      </c>
      <c r="AX44" s="11">
        <f ca="1">IFERROR(OFFSET(ITEM_RES!$A$1,MATCH(AY44,ITEM_RES!$J:$J,0)-1,0),0)</f>
        <v>211020101</v>
      </c>
      <c r="AY44" s="10" t="s">
        <v>441</v>
      </c>
      <c r="AZ44" s="11">
        <v>32000000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1348</v>
      </c>
      <c r="L45" s="16">
        <v>4</v>
      </c>
      <c r="M45" s="16">
        <v>1</v>
      </c>
      <c r="N45" s="16">
        <v>15</v>
      </c>
      <c r="O45" s="16" t="s">
        <v>1084</v>
      </c>
      <c r="P45" s="17"/>
      <c r="Q45" s="17"/>
      <c r="R45" s="18"/>
      <c r="S45" s="16" t="s">
        <v>678</v>
      </c>
      <c r="T45" s="78"/>
      <c r="U45" s="86"/>
      <c r="V45" s="16">
        <f ca="1">IFERROR(OFFSET(ITEM_RES!$A$5,MATCH(BUILDING!U45,ITEM_RES!$J$5:$J$229,0)-1,0),0)</f>
        <v>0</v>
      </c>
      <c r="W45" s="18"/>
      <c r="X45" s="86" t="s">
        <v>531</v>
      </c>
      <c r="Y45" s="16">
        <f ca="1">IFERROR(OFFSET(ITEM_RES!$A$5,MATCH(BUILDING!X45,ITEM_RES!$J$5:$J$229,0)-1,0),0)</f>
        <v>211010301</v>
      </c>
      <c r="Z45" s="78"/>
      <c r="AA45" s="16" t="s">
        <v>501</v>
      </c>
      <c r="AB45" s="16">
        <v>1</v>
      </c>
      <c r="AC45" s="78"/>
      <c r="AD45" s="18">
        <f ca="1">IFERROR(OFFSET(MANOR_LEVEL!$B$1,MATCH(AE45-1,MANOR_LEVEL!$A:$A,0)-1,0),0)</f>
        <v>5475</v>
      </c>
      <c r="AE45" s="57">
        <v>5</v>
      </c>
      <c r="AF45" s="78"/>
      <c r="AG45" s="57">
        <f t="shared" ca="1" si="9"/>
        <v>1155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1155</v>
      </c>
      <c r="AI45" s="181">
        <f ca="1">AG45</f>
        <v>1155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424</v>
      </c>
      <c r="AU45" s="18">
        <v>50</v>
      </c>
      <c r="AV45" s="17"/>
      <c r="AW45" s="18"/>
      <c r="AX45" s="18">
        <f ca="1">IFERROR(OFFSET(ITEM_RES!$A$1,MATCH(AY45,ITEM_RES!$J:$J,0)-1,0),0)</f>
        <v>211020101</v>
      </c>
      <c r="AY45" s="17" t="s">
        <v>441</v>
      </c>
      <c r="AZ45" s="18">
        <v>50</v>
      </c>
      <c r="BA45" s="17"/>
      <c r="BB45" s="18"/>
      <c r="BC45" s="18">
        <f ca="1">IFERROR(OFFSET(ITEM_RES!$A$1,MATCH(BD45,ITEM_RES!$J:$J,0)-1,0),0)</f>
        <v>213010101</v>
      </c>
      <c r="BD45" s="17" t="s">
        <v>445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1348</v>
      </c>
      <c r="M46" s="9">
        <v>1</v>
      </c>
      <c r="N46" s="9">
        <v>15</v>
      </c>
      <c r="O46" s="9" t="s">
        <v>1085</v>
      </c>
      <c r="S46" s="9" t="s">
        <v>678</v>
      </c>
      <c r="V46" s="9">
        <f ca="1">IFERROR(OFFSET(ITEM_RES!$A$5,MATCH(BUILDING!U46,ITEM_RES!$J$5:$J$229,0)-1,0),0)</f>
        <v>0</v>
      </c>
      <c r="X46" s="84" t="s">
        <v>531</v>
      </c>
      <c r="Y46" s="9">
        <f ca="1">IFERROR(OFFSET(ITEM_RES!$A$5,MATCH(BUILDING!X46,ITEM_RES!$J$5:$J$229,0)-1,0),0)</f>
        <v>211010301</v>
      </c>
      <c r="AA46" s="9" t="s">
        <v>501</v>
      </c>
      <c r="AB46" s="9">
        <v>2</v>
      </c>
      <c r="AD46" s="11">
        <f ca="1">IFERROR(OFFSET(MANOR_LEVEL!$B$1,MATCH(AE46-1,MANOR_LEVEL!$A:$A,0)-1,0),0)</f>
        <v>5475</v>
      </c>
      <c r="AE46" s="56">
        <v>5</v>
      </c>
      <c r="AG46" s="56">
        <f t="shared" ca="1" si="9"/>
        <v>310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310</v>
      </c>
      <c r="AI46" s="179">
        <f ca="1">AG45+AG46</f>
        <v>1465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424</v>
      </c>
      <c r="AU46" s="11">
        <v>100</v>
      </c>
      <c r="AX46" s="11">
        <f ca="1">IFERROR(OFFSET(ITEM_RES!$A$1,MATCH(AY46,ITEM_RES!$J:$J,0)-1,0),0)</f>
        <v>211020101</v>
      </c>
      <c r="AY46" s="10" t="s">
        <v>441</v>
      </c>
      <c r="AZ46" s="11">
        <v>100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1348</v>
      </c>
      <c r="M47" s="9">
        <v>1</v>
      </c>
      <c r="N47" s="9">
        <v>15</v>
      </c>
      <c r="O47" s="9" t="s">
        <v>1086</v>
      </c>
      <c r="S47" s="9" t="s">
        <v>678</v>
      </c>
      <c r="V47" s="9">
        <f ca="1">IFERROR(OFFSET(ITEM_RES!$A$5,MATCH(BUILDING!U47,ITEM_RES!$J$5:$J$229,0)-1,0),0)</f>
        <v>0</v>
      </c>
      <c r="X47" s="84" t="s">
        <v>531</v>
      </c>
      <c r="Y47" s="9">
        <f ca="1">IFERROR(OFFSET(ITEM_RES!$A$5,MATCH(BUILDING!X47,ITEM_RES!$J$5:$J$229,0)-1,0),0)</f>
        <v>211010301</v>
      </c>
      <c r="AA47" s="9" t="s">
        <v>501</v>
      </c>
      <c r="AB47" s="9">
        <v>3</v>
      </c>
      <c r="AD47" s="11">
        <f ca="1">IFERROR(OFFSET(MANOR_LEVEL!$B$1,MATCH(AE47-1,MANOR_LEVEL!$A:$A,0)-1,0),0)</f>
        <v>5475</v>
      </c>
      <c r="AE47" s="56">
        <v>5</v>
      </c>
      <c r="AG47" s="56">
        <f t="shared" ca="1" si="9"/>
        <v>465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465</v>
      </c>
      <c r="AI47" s="179">
        <f t="shared" ref="AI47:AI64" ca="1" si="11">AG46+AG47</f>
        <v>775</v>
      </c>
      <c r="AK47" s="11">
        <f t="shared" si="4"/>
        <v>30</v>
      </c>
      <c r="AL47" s="10">
        <v>30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424</v>
      </c>
      <c r="AU47" s="11">
        <v>150</v>
      </c>
      <c r="AX47" s="11">
        <f ca="1">IFERROR(OFFSET(ITEM_RES!$A$1,MATCH(AY47,ITEM_RES!$J:$J,0)-1,0),0)</f>
        <v>211020101</v>
      </c>
      <c r="AY47" s="10" t="s">
        <v>441</v>
      </c>
      <c r="AZ47" s="11">
        <v>150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1348</v>
      </c>
      <c r="M48" s="9">
        <v>1</v>
      </c>
      <c r="N48" s="9">
        <v>15</v>
      </c>
      <c r="O48" s="9" t="s">
        <v>1086</v>
      </c>
      <c r="S48" s="9" t="s">
        <v>678</v>
      </c>
      <c r="V48" s="9">
        <f ca="1">IFERROR(OFFSET(ITEM_RES!$A$5,MATCH(BUILDING!U48,ITEM_RES!$J$5:$J$229,0)-1,0),0)</f>
        <v>0</v>
      </c>
      <c r="X48" s="84" t="s">
        <v>531</v>
      </c>
      <c r="Y48" s="9">
        <f ca="1">IFERROR(OFFSET(ITEM_RES!$A$5,MATCH(BUILDING!X48,ITEM_RES!$J$5:$J$229,0)-1,0),0)</f>
        <v>211010301</v>
      </c>
      <c r="AA48" s="9" t="s">
        <v>501</v>
      </c>
      <c r="AB48" s="9">
        <v>4</v>
      </c>
      <c r="AD48" s="11">
        <f ca="1">IFERROR(OFFSET(MANOR_LEVEL!$B$1,MATCH(AE48-1,MANOR_LEVEL!$A:$A,0)-1,0),0)</f>
        <v>32560</v>
      </c>
      <c r="AE48" s="56">
        <v>6</v>
      </c>
      <c r="AG48" s="56">
        <f t="shared" ca="1" si="9"/>
        <v>1825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1825</v>
      </c>
      <c r="AI48" s="179">
        <f t="shared" ca="1" si="11"/>
        <v>2290</v>
      </c>
      <c r="AK48" s="11">
        <f t="shared" si="4"/>
        <v>300</v>
      </c>
      <c r="AL48" s="10">
        <v>300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424</v>
      </c>
      <c r="AU48" s="11">
        <v>600</v>
      </c>
      <c r="AX48" s="11">
        <f ca="1">IFERROR(OFFSET(ITEM_RES!$A$1,MATCH(AY48,ITEM_RES!$J:$J,0)-1,0),0)</f>
        <v>211020101</v>
      </c>
      <c r="AY48" s="10" t="s">
        <v>441</v>
      </c>
      <c r="AZ48" s="11">
        <v>600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1348</v>
      </c>
      <c r="M49" s="9">
        <v>1</v>
      </c>
      <c r="N49" s="9">
        <v>15</v>
      </c>
      <c r="O49" s="9" t="s">
        <v>1087</v>
      </c>
      <c r="S49" s="9" t="s">
        <v>678</v>
      </c>
      <c r="V49" s="9">
        <f ca="1">IFERROR(OFFSET(ITEM_RES!$A$5,MATCH(BUILDING!U49,ITEM_RES!$J$5:$J$229,0)-1,0),0)</f>
        <v>0</v>
      </c>
      <c r="X49" s="84" t="s">
        <v>531</v>
      </c>
      <c r="Y49" s="9">
        <f ca="1">IFERROR(OFFSET(ITEM_RES!$A$5,MATCH(BUILDING!X49,ITEM_RES!$J$5:$J$229,0)-1,0),0)</f>
        <v>211010301</v>
      </c>
      <c r="AA49" s="9" t="s">
        <v>501</v>
      </c>
      <c r="AB49" s="9">
        <v>5</v>
      </c>
      <c r="AD49" s="11">
        <f ca="1">IFERROR(OFFSET(MANOR_LEVEL!$B$1,MATCH(AE49-1,MANOR_LEVEL!$A:$A,0)-1,0),0)</f>
        <v>32560</v>
      </c>
      <c r="AE49" s="56">
        <v>6</v>
      </c>
      <c r="AG49" s="56">
        <f t="shared" ca="1" si="9"/>
        <v>8140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8140</v>
      </c>
      <c r="AI49" s="179">
        <f t="shared" ca="1" si="11"/>
        <v>9965</v>
      </c>
      <c r="AK49" s="11">
        <f t="shared" si="4"/>
        <v>600</v>
      </c>
      <c r="AL49" s="10">
        <v>600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424</v>
      </c>
      <c r="AU49" s="11">
        <v>2700</v>
      </c>
      <c r="AX49" s="11">
        <f ca="1">IFERROR(OFFSET(ITEM_RES!$A$1,MATCH(AY49,ITEM_RES!$J:$J,0)-1,0),0)</f>
        <v>211020101</v>
      </c>
      <c r="AY49" s="10" t="s">
        <v>441</v>
      </c>
      <c r="AZ49" s="11">
        <v>2700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1348</v>
      </c>
      <c r="M50" s="9">
        <v>1</v>
      </c>
      <c r="N50" s="9">
        <v>15</v>
      </c>
      <c r="O50" s="9" t="s">
        <v>1088</v>
      </c>
      <c r="S50" s="9" t="s">
        <v>678</v>
      </c>
      <c r="V50" s="9">
        <f ca="1">IFERROR(OFFSET(ITEM_RES!$A$5,MATCH(BUILDING!U50,ITEM_RES!$J$5:$J$229,0)-1,0),0)</f>
        <v>0</v>
      </c>
      <c r="X50" s="84" t="s">
        <v>531</v>
      </c>
      <c r="Y50" s="9">
        <f ca="1">IFERROR(OFFSET(ITEM_RES!$A$5,MATCH(BUILDING!X50,ITEM_RES!$J$5:$J$229,0)-1,0),0)</f>
        <v>211010301</v>
      </c>
      <c r="AA50" s="9" t="s">
        <v>501</v>
      </c>
      <c r="AB50" s="9">
        <v>6</v>
      </c>
      <c r="AD50" s="11">
        <f ca="1">IFERROR(OFFSET(MANOR_LEVEL!$B$1,MATCH(AE50-1,MANOR_LEVEL!$A:$A,0)-1,0),0)</f>
        <v>32560</v>
      </c>
      <c r="AE50" s="56">
        <v>6</v>
      </c>
      <c r="AG50" s="56">
        <f t="shared" ca="1" si="9"/>
        <v>27050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27050</v>
      </c>
      <c r="AI50" s="179">
        <f t="shared" ca="1" si="11"/>
        <v>35190</v>
      </c>
      <c r="AK50" s="11">
        <f t="shared" si="4"/>
        <v>1200</v>
      </c>
      <c r="AL50" s="10">
        <v>1200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424</v>
      </c>
      <c r="AU50" s="11">
        <v>9000</v>
      </c>
      <c r="AX50" s="11">
        <f ca="1">IFERROR(OFFSET(ITEM_RES!$A$1,MATCH(AY50,ITEM_RES!$J:$J,0)-1,0),0)</f>
        <v>211020101</v>
      </c>
      <c r="AY50" s="10" t="s">
        <v>441</v>
      </c>
      <c r="AZ50" s="11">
        <v>9000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1348</v>
      </c>
      <c r="M51" s="9">
        <v>1</v>
      </c>
      <c r="N51" s="9">
        <v>15</v>
      </c>
      <c r="O51" s="9" t="s">
        <v>1089</v>
      </c>
      <c r="S51" s="9" t="s">
        <v>678</v>
      </c>
      <c r="V51" s="9">
        <f ca="1">IFERROR(OFFSET(ITEM_RES!$A$5,MATCH(BUILDING!U51,ITEM_RES!$J$5:$J$229,0)-1,0),0)</f>
        <v>0</v>
      </c>
      <c r="X51" s="84" t="s">
        <v>531</v>
      </c>
      <c r="Y51" s="9">
        <f ca="1">IFERROR(OFFSET(ITEM_RES!$A$5,MATCH(BUILDING!X51,ITEM_RES!$J$5:$J$229,0)-1,0),0)</f>
        <v>211010301</v>
      </c>
      <c r="AA51" s="9" t="s">
        <v>501</v>
      </c>
      <c r="AB51" s="9">
        <v>7</v>
      </c>
      <c r="AD51" s="11">
        <f ca="1">IFERROR(OFFSET(MANOR_LEVEL!$B$1,MATCH(AE51-1,MANOR_LEVEL!$A:$A,0)-1,0),0)</f>
        <v>32560</v>
      </c>
      <c r="AE51" s="56">
        <v>6</v>
      </c>
      <c r="AG51" s="56">
        <f t="shared" ca="1" si="9"/>
        <v>60100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60100</v>
      </c>
      <c r="AI51" s="179">
        <f t="shared" ca="1" si="11"/>
        <v>87150</v>
      </c>
      <c r="AK51" s="11">
        <f t="shared" si="4"/>
        <v>1800</v>
      </c>
      <c r="AL51" s="10">
        <v>1800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424</v>
      </c>
      <c r="AU51" s="11">
        <v>20000</v>
      </c>
      <c r="AX51" s="11">
        <f ca="1">IFERROR(OFFSET(ITEM_RES!$A$1,MATCH(AY51,ITEM_RES!$J:$J,0)-1,0),0)</f>
        <v>211020101</v>
      </c>
      <c r="AY51" s="10" t="s">
        <v>441</v>
      </c>
      <c r="AZ51" s="11">
        <v>20000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1348</v>
      </c>
      <c r="M52" s="9">
        <v>1</v>
      </c>
      <c r="N52" s="9">
        <v>15</v>
      </c>
      <c r="O52" s="9" t="s">
        <v>1089</v>
      </c>
      <c r="S52" s="9" t="s">
        <v>678</v>
      </c>
      <c r="V52" s="9">
        <f ca="1">IFERROR(OFFSET(ITEM_RES!$A$5,MATCH(BUILDING!U52,ITEM_RES!$J$5:$J$229,0)-1,0),0)</f>
        <v>0</v>
      </c>
      <c r="X52" s="84" t="s">
        <v>531</v>
      </c>
      <c r="Y52" s="9">
        <f ca="1">IFERROR(OFFSET(ITEM_RES!$A$5,MATCH(BUILDING!X52,ITEM_RES!$J$5:$J$229,0)-1,0),0)</f>
        <v>211010301</v>
      </c>
      <c r="AA52" s="9" t="s">
        <v>501</v>
      </c>
      <c r="AB52" s="9">
        <v>8</v>
      </c>
      <c r="AD52" s="11">
        <f ca="1">IFERROR(OFFSET(MANOR_LEVEL!$B$1,MATCH(AE52-1,MANOR_LEVEL!$A:$A,0)-1,0),0)</f>
        <v>108200</v>
      </c>
      <c r="AE52" s="56">
        <v>7</v>
      </c>
      <c r="AG52" s="56">
        <f t="shared" ca="1" si="9"/>
        <v>126100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126100</v>
      </c>
      <c r="AI52" s="179">
        <f t="shared" ca="1" si="11"/>
        <v>186200</v>
      </c>
      <c r="AK52" s="11">
        <f t="shared" si="4"/>
        <v>3600</v>
      </c>
      <c r="AL52" s="10">
        <v>3600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424</v>
      </c>
      <c r="AU52" s="11">
        <v>42000</v>
      </c>
      <c r="AX52" s="11">
        <f ca="1">IFERROR(OFFSET(ITEM_RES!$A$1,MATCH(AY52,ITEM_RES!$J:$J,0)-1,0),0)</f>
        <v>211020101</v>
      </c>
      <c r="AY52" s="10" t="s">
        <v>441</v>
      </c>
      <c r="AZ52" s="11">
        <v>42000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1348</v>
      </c>
      <c r="M53" s="9">
        <v>1</v>
      </c>
      <c r="N53" s="9">
        <v>15</v>
      </c>
      <c r="O53" s="9" t="s">
        <v>1089</v>
      </c>
      <c r="S53" s="9" t="s">
        <v>678</v>
      </c>
      <c r="V53" s="9">
        <f ca="1">IFERROR(OFFSET(ITEM_RES!$A$5,MATCH(BUILDING!U53,ITEM_RES!$J$5:$J$229,0)-1,0),0)</f>
        <v>0</v>
      </c>
      <c r="X53" s="84" t="s">
        <v>531</v>
      </c>
      <c r="Y53" s="9">
        <f ca="1">IFERROR(OFFSET(ITEM_RES!$A$5,MATCH(BUILDING!X53,ITEM_RES!$J$5:$J$229,0)-1,0),0)</f>
        <v>211010301</v>
      </c>
      <c r="AA53" s="9" t="s">
        <v>501</v>
      </c>
      <c r="AB53" s="9">
        <v>9</v>
      </c>
      <c r="AD53" s="11">
        <f ca="1">IFERROR(OFFSET(MANOR_LEVEL!$B$1,MATCH(AE53-1,MANOR_LEVEL!$A:$A,0)-1,0),0)</f>
        <v>108200</v>
      </c>
      <c r="AE53" s="56">
        <v>7</v>
      </c>
      <c r="AG53" s="56">
        <f t="shared" ca="1" si="9"/>
        <v>234150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234150</v>
      </c>
      <c r="AI53" s="179">
        <f t="shared" ca="1" si="11"/>
        <v>360250</v>
      </c>
      <c r="AK53" s="11">
        <f t="shared" si="4"/>
        <v>5400</v>
      </c>
      <c r="AL53" s="10">
        <v>5400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424</v>
      </c>
      <c r="AU53" s="11">
        <v>78000</v>
      </c>
      <c r="AX53" s="11">
        <f ca="1">IFERROR(OFFSET(ITEM_RES!$A$1,MATCH(AY53,ITEM_RES!$J:$J,0)-1,0),0)</f>
        <v>211020101</v>
      </c>
      <c r="AY53" s="10" t="s">
        <v>441</v>
      </c>
      <c r="AZ53" s="11">
        <v>78000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1348</v>
      </c>
      <c r="M54" s="9">
        <v>1</v>
      </c>
      <c r="N54" s="9">
        <v>15</v>
      </c>
      <c r="O54" s="9" t="s">
        <v>1089</v>
      </c>
      <c r="S54" s="9" t="s">
        <v>678</v>
      </c>
      <c r="V54" s="9">
        <f ca="1">IFERROR(OFFSET(ITEM_RES!$A$5,MATCH(BUILDING!U54,ITEM_RES!$J$5:$J$229,0)-1,0),0)</f>
        <v>0</v>
      </c>
      <c r="X54" s="84" t="s">
        <v>531</v>
      </c>
      <c r="Y54" s="9">
        <f ca="1">IFERROR(OFFSET(ITEM_RES!$A$5,MATCH(BUILDING!X54,ITEM_RES!$J$5:$J$229,0)-1,0),0)</f>
        <v>211010301</v>
      </c>
      <c r="AA54" s="9" t="s">
        <v>501</v>
      </c>
      <c r="AB54" s="9">
        <v>10</v>
      </c>
      <c r="AD54" s="11">
        <f ca="1">IFERROR(OFFSET(MANOR_LEVEL!$B$1,MATCH(AE54-1,MANOR_LEVEL!$A:$A,0)-1,0),0)</f>
        <v>108200</v>
      </c>
      <c r="AE54" s="56">
        <v>7</v>
      </c>
      <c r="AG54" s="56">
        <f t="shared" ca="1" si="9"/>
        <v>390200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390200</v>
      </c>
      <c r="AI54" s="179">
        <f t="shared" ca="1" si="11"/>
        <v>624350</v>
      </c>
      <c r="AK54" s="11">
        <f t="shared" si="4"/>
        <v>7200</v>
      </c>
      <c r="AL54" s="10">
        <v>7200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424</v>
      </c>
      <c r="AU54" s="11">
        <v>130000</v>
      </c>
      <c r="AX54" s="11">
        <f ca="1">IFERROR(OFFSET(ITEM_RES!$A$1,MATCH(AY54,ITEM_RES!$J:$J,0)-1,0),0)</f>
        <v>211020101</v>
      </c>
      <c r="AY54" s="10" t="s">
        <v>441</v>
      </c>
      <c r="AZ54" s="11">
        <v>130000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1348</v>
      </c>
      <c r="M55" s="9">
        <v>1</v>
      </c>
      <c r="N55" s="9">
        <v>15</v>
      </c>
      <c r="O55" s="9" t="s">
        <v>1089</v>
      </c>
      <c r="S55" s="9" t="s">
        <v>678</v>
      </c>
      <c r="V55" s="9">
        <f ca="1">IFERROR(OFFSET(ITEM_RES!$A$5,MATCH(BUILDING!U55,ITEM_RES!$J$5:$J$229,0)-1,0),0)</f>
        <v>0</v>
      </c>
      <c r="X55" s="84" t="s">
        <v>531</v>
      </c>
      <c r="Y55" s="9">
        <f ca="1">IFERROR(OFFSET(ITEM_RES!$A$5,MATCH(BUILDING!X55,ITEM_RES!$J$5:$J$229,0)-1,0),0)</f>
        <v>211010301</v>
      </c>
      <c r="AA55" s="9" t="s">
        <v>501</v>
      </c>
      <c r="AB55" s="9">
        <v>11</v>
      </c>
      <c r="AD55" s="11">
        <f ca="1">IFERROR(OFFSET(MANOR_LEVEL!$B$1,MATCH(AE55-1,MANOR_LEVEL!$A:$A,0)-1,0),0)</f>
        <v>108200</v>
      </c>
      <c r="AE55" s="56">
        <v>7</v>
      </c>
      <c r="AG55" s="56">
        <f t="shared" ca="1" si="9"/>
        <v>660250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660250</v>
      </c>
      <c r="AI55" s="179">
        <f t="shared" ca="1" si="11"/>
        <v>1050450</v>
      </c>
      <c r="AK55" s="11">
        <f t="shared" si="4"/>
        <v>9000</v>
      </c>
      <c r="AL55" s="10">
        <v>9000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424</v>
      </c>
      <c r="AU55" s="11">
        <v>220000</v>
      </c>
      <c r="AX55" s="11">
        <f ca="1">IFERROR(OFFSET(ITEM_RES!$A$1,MATCH(AY55,ITEM_RES!$J:$J,0)-1,0),0)</f>
        <v>211020101</v>
      </c>
      <c r="AY55" s="10" t="s">
        <v>441</v>
      </c>
      <c r="AZ55" s="11">
        <v>220000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1348</v>
      </c>
      <c r="M56" s="9">
        <v>1</v>
      </c>
      <c r="N56" s="9">
        <v>15</v>
      </c>
      <c r="O56" s="9" t="s">
        <v>1089</v>
      </c>
      <c r="S56" s="9" t="s">
        <v>678</v>
      </c>
      <c r="V56" s="9">
        <f ca="1">IFERROR(OFFSET(ITEM_RES!$A$5,MATCH(BUILDING!U56,ITEM_RES!$J$5:$J$229,0)-1,0),0)</f>
        <v>0</v>
      </c>
      <c r="X56" s="84" t="s">
        <v>531</v>
      </c>
      <c r="Y56" s="9">
        <f ca="1">IFERROR(OFFSET(ITEM_RES!$A$5,MATCH(BUILDING!X56,ITEM_RES!$J$5:$J$229,0)-1,0),0)</f>
        <v>211010301</v>
      </c>
      <c r="AA56" s="9" t="s">
        <v>501</v>
      </c>
      <c r="AB56" s="9">
        <v>12</v>
      </c>
      <c r="AD56" s="11">
        <f ca="1">IFERROR(OFFSET(MANOR_LEVEL!$B$1,MATCH(AE56-1,MANOR_LEVEL!$A:$A,0)-1,0),0)</f>
        <v>240400</v>
      </c>
      <c r="AE56" s="56">
        <v>8</v>
      </c>
      <c r="AG56" s="56">
        <f t="shared" ca="1" si="9"/>
        <v>1110300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1110300</v>
      </c>
      <c r="AI56" s="179">
        <f t="shared" ca="1" si="11"/>
        <v>1770550</v>
      </c>
      <c r="AK56" s="11">
        <f t="shared" si="4"/>
        <v>10800</v>
      </c>
      <c r="AL56" s="10">
        <v>10800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424</v>
      </c>
      <c r="AU56" s="11">
        <v>370000</v>
      </c>
      <c r="AX56" s="11">
        <f ca="1">IFERROR(OFFSET(ITEM_RES!$A$1,MATCH(AY56,ITEM_RES!$J:$J,0)-1,0),0)</f>
        <v>211020101</v>
      </c>
      <c r="AY56" s="10" t="s">
        <v>441</v>
      </c>
      <c r="AZ56" s="11">
        <v>370000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1348</v>
      </c>
      <c r="M57" s="9">
        <v>1</v>
      </c>
      <c r="N57" s="9">
        <v>15</v>
      </c>
      <c r="O57" s="9" t="s">
        <v>1089</v>
      </c>
      <c r="S57" s="9" t="s">
        <v>678</v>
      </c>
      <c r="V57" s="9">
        <f ca="1">IFERROR(OFFSET(ITEM_RES!$A$5,MATCH(BUILDING!U57,ITEM_RES!$J$5:$J$229,0)-1,0),0)</f>
        <v>0</v>
      </c>
      <c r="X57" s="84" t="s">
        <v>531</v>
      </c>
      <c r="Y57" s="9">
        <f ca="1">IFERROR(OFFSET(ITEM_RES!$A$5,MATCH(BUILDING!X57,ITEM_RES!$J$5:$J$229,0)-1,0),0)</f>
        <v>211010301</v>
      </c>
      <c r="AA57" s="9" t="s">
        <v>501</v>
      </c>
      <c r="AB57" s="9">
        <v>13</v>
      </c>
      <c r="AD57" s="11">
        <f ca="1">IFERROR(OFFSET(MANOR_LEVEL!$B$1,MATCH(AE57-1,MANOR_LEVEL!$A:$A,0)-1,0),0)</f>
        <v>630500</v>
      </c>
      <c r="AE57" s="56">
        <v>9</v>
      </c>
      <c r="AG57" s="56">
        <f t="shared" ca="1" si="9"/>
        <v>1860350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1860350</v>
      </c>
      <c r="AI57" s="179">
        <f t="shared" ca="1" si="11"/>
        <v>2970650</v>
      </c>
      <c r="AK57" s="11">
        <f t="shared" si="4"/>
        <v>12600</v>
      </c>
      <c r="AL57" s="10">
        <v>12600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424</v>
      </c>
      <c r="AU57" s="11">
        <v>620000</v>
      </c>
      <c r="AX57" s="11">
        <f ca="1">IFERROR(OFFSET(ITEM_RES!$A$1,MATCH(AY57,ITEM_RES!$J:$J,0)-1,0),0)</f>
        <v>211020101</v>
      </c>
      <c r="AY57" s="10" t="s">
        <v>441</v>
      </c>
      <c r="AZ57" s="11">
        <v>620000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1348</v>
      </c>
      <c r="M58" s="9">
        <v>1</v>
      </c>
      <c r="N58" s="9">
        <v>15</v>
      </c>
      <c r="O58" s="9" t="s">
        <v>1089</v>
      </c>
      <c r="S58" s="9" t="s">
        <v>678</v>
      </c>
      <c r="V58" s="9">
        <f ca="1">IFERROR(OFFSET(ITEM_RES!$A$5,MATCH(BUILDING!U58,ITEM_RES!$J$5:$J$229,0)-1,0),0)</f>
        <v>0</v>
      </c>
      <c r="X58" s="84" t="s">
        <v>531</v>
      </c>
      <c r="Y58" s="9">
        <f ca="1">IFERROR(OFFSET(ITEM_RES!$A$5,MATCH(BUILDING!X58,ITEM_RES!$J$5:$J$229,0)-1,0),0)</f>
        <v>211010301</v>
      </c>
      <c r="AA58" s="9" t="s">
        <v>501</v>
      </c>
      <c r="AB58" s="9">
        <v>14</v>
      </c>
      <c r="AD58" s="11">
        <f ca="1">IFERROR(OFFSET(MANOR_LEVEL!$B$1,MATCH(AE58-1,MANOR_LEVEL!$A:$A,0)-1,0),0)</f>
        <v>1170750</v>
      </c>
      <c r="AE58" s="56">
        <v>10</v>
      </c>
      <c r="AG58" s="56">
        <f t="shared" ca="1" si="9"/>
        <v>3007450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3007450</v>
      </c>
      <c r="AI58" s="179">
        <f t="shared" ca="1" si="11"/>
        <v>4867800</v>
      </c>
      <c r="AK58" s="11">
        <f t="shared" si="4"/>
        <v>14400</v>
      </c>
      <c r="AL58" s="10">
        <v>14400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436</v>
      </c>
      <c r="AU58" s="11">
        <v>970000</v>
      </c>
      <c r="AX58" s="11">
        <f ca="1">IFERROR(OFFSET(ITEM_RES!$A$1,MATCH(AY58,ITEM_RES!$J:$J,0)-1,0),0)</f>
        <v>211020101</v>
      </c>
      <c r="AY58" s="10" t="s">
        <v>441</v>
      </c>
      <c r="AZ58" s="11">
        <v>970000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1348</v>
      </c>
      <c r="M59" s="9">
        <v>1</v>
      </c>
      <c r="N59" s="9">
        <v>15</v>
      </c>
      <c r="O59" s="9" t="s">
        <v>1089</v>
      </c>
      <c r="S59" s="9" t="s">
        <v>678</v>
      </c>
      <c r="V59" s="9">
        <f ca="1">IFERROR(OFFSET(ITEM_RES!$A$5,MATCH(BUILDING!U59,ITEM_RES!$J$5:$J$229,0)-1,0),0)</f>
        <v>0</v>
      </c>
      <c r="X59" s="84" t="s">
        <v>531</v>
      </c>
      <c r="Y59" s="9">
        <f ca="1">IFERROR(OFFSET(ITEM_RES!$A$5,MATCH(BUILDING!X59,ITEM_RES!$J$5:$J$229,0)-1,0),0)</f>
        <v>211010301</v>
      </c>
      <c r="AA59" s="9" t="s">
        <v>501</v>
      </c>
      <c r="AB59" s="9">
        <v>15</v>
      </c>
      <c r="AD59" s="11">
        <f ca="1">IFERROR(OFFSET(MANOR_LEVEL!$B$1,MATCH(AE59-1,MANOR_LEVEL!$A:$A,0)-1,0),0)</f>
        <v>1956000</v>
      </c>
      <c r="AE59" s="56">
        <v>11</v>
      </c>
      <c r="AG59" s="56">
        <f t="shared" ca="1" si="9"/>
        <v>6510550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6510550</v>
      </c>
      <c r="AI59" s="179">
        <f t="shared" ca="1" si="11"/>
        <v>9518000</v>
      </c>
      <c r="AK59" s="11">
        <f t="shared" si="4"/>
        <v>16200</v>
      </c>
      <c r="AL59" s="10">
        <v>16200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436</v>
      </c>
      <c r="AU59" s="11">
        <v>2100000</v>
      </c>
      <c r="AX59" s="11">
        <f ca="1">IFERROR(OFFSET(ITEM_RES!$A$1,MATCH(AY59,ITEM_RES!$J:$J,0)-1,0),0)</f>
        <v>211020101</v>
      </c>
      <c r="AY59" s="10" t="s">
        <v>441</v>
      </c>
      <c r="AZ59" s="11">
        <v>2100000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1348</v>
      </c>
      <c r="M60" s="9">
        <v>0</v>
      </c>
      <c r="N60" s="9">
        <v>15</v>
      </c>
      <c r="O60" s="9" t="s">
        <v>1089</v>
      </c>
      <c r="S60" s="9" t="s">
        <v>678</v>
      </c>
      <c r="V60" s="9">
        <f ca="1">IFERROR(OFFSET(ITEM_RES!$A$5,MATCH(BUILDING!U60,ITEM_RES!$J$5:$J$229,0)-1,0),0)</f>
        <v>0</v>
      </c>
      <c r="X60" s="84" t="s">
        <v>531</v>
      </c>
      <c r="Y60" s="9">
        <f ca="1">IFERROR(OFFSET(ITEM_RES!$A$5,MATCH(BUILDING!X60,ITEM_RES!$J$5:$J$229,0)-1,0),0)</f>
        <v>211010301</v>
      </c>
      <c r="AA60" s="9" t="s">
        <v>501</v>
      </c>
      <c r="AB60" s="9">
        <v>16</v>
      </c>
      <c r="AD60" s="11">
        <f ca="1">IFERROR(OFFSET(MANOR_LEVEL!$B$1,MATCH(AE60-1,MANOR_LEVEL!$A:$A,0)-1,0),0)</f>
        <v>3961500</v>
      </c>
      <c r="AE60" s="56">
        <v>12</v>
      </c>
      <c r="AG60" s="56">
        <f t="shared" ca="1" si="9"/>
        <v>13330700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13330700</v>
      </c>
      <c r="AI60" s="179">
        <f t="shared" ca="1" si="11"/>
        <v>19841250</v>
      </c>
      <c r="AK60" s="11">
        <f t="shared" si="4"/>
        <v>18000</v>
      </c>
      <c r="AL60" s="10">
        <v>18000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436</v>
      </c>
      <c r="AU60" s="11">
        <v>4300000</v>
      </c>
      <c r="AX60" s="11">
        <f ca="1">IFERROR(OFFSET(ITEM_RES!$A$1,MATCH(AY60,ITEM_RES!$J:$J,0)-1,0),0)</f>
        <v>211020101</v>
      </c>
      <c r="AY60" s="10" t="s">
        <v>441</v>
      </c>
      <c r="AZ60" s="11">
        <v>4300000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1348</v>
      </c>
      <c r="M61" s="9">
        <v>0</v>
      </c>
      <c r="N61" s="9">
        <v>15</v>
      </c>
      <c r="O61" s="9" t="s">
        <v>1089</v>
      </c>
      <c r="S61" s="9" t="s">
        <v>678</v>
      </c>
      <c r="V61" s="9">
        <f ca="1">IFERROR(OFFSET(ITEM_RES!$A$5,MATCH(BUILDING!U61,ITEM_RES!$J$5:$J$229,0)-1,0),0)</f>
        <v>0</v>
      </c>
      <c r="X61" s="84" t="s">
        <v>531</v>
      </c>
      <c r="Y61" s="9">
        <f ca="1">IFERROR(OFFSET(ITEM_RES!$A$5,MATCH(BUILDING!X61,ITEM_RES!$J$5:$J$229,0)-1,0),0)</f>
        <v>211010301</v>
      </c>
      <c r="AA61" s="9" t="s">
        <v>501</v>
      </c>
      <c r="AB61" s="9">
        <v>17</v>
      </c>
      <c r="AD61" s="11">
        <f ca="1">IFERROR(OFFSET(MANOR_LEVEL!$B$1,MATCH(AE61-1,MANOR_LEVEL!$A:$A,0)-1,0),0)</f>
        <v>7772100</v>
      </c>
      <c r="AE61" s="56">
        <v>13</v>
      </c>
      <c r="AG61" s="56">
        <f t="shared" ca="1" si="9"/>
        <v>24800850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24800850</v>
      </c>
      <c r="AI61" s="179">
        <f t="shared" ca="1" si="11"/>
        <v>38131550</v>
      </c>
      <c r="AK61" s="11">
        <f t="shared" si="4"/>
        <v>19800</v>
      </c>
      <c r="AL61" s="10">
        <v>19800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436</v>
      </c>
      <c r="AU61" s="11">
        <v>8000000</v>
      </c>
      <c r="AX61" s="11">
        <f ca="1">IFERROR(OFFSET(ITEM_RES!$A$1,MATCH(AY61,ITEM_RES!$J:$J,0)-1,0),0)</f>
        <v>211020101</v>
      </c>
      <c r="AY61" s="10" t="s">
        <v>441</v>
      </c>
      <c r="AZ61" s="11">
        <v>8000000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1348</v>
      </c>
      <c r="M62" s="9">
        <v>0</v>
      </c>
      <c r="N62" s="9">
        <v>15</v>
      </c>
      <c r="O62" s="9" t="s">
        <v>1089</v>
      </c>
      <c r="S62" s="9" t="s">
        <v>678</v>
      </c>
      <c r="V62" s="9">
        <f ca="1">IFERROR(OFFSET(ITEM_RES!$A$5,MATCH(BUILDING!U62,ITEM_RES!$J$5:$J$229,0)-1,0),0)</f>
        <v>0</v>
      </c>
      <c r="X62" s="84" t="s">
        <v>531</v>
      </c>
      <c r="Y62" s="9">
        <f ca="1">IFERROR(OFFSET(ITEM_RES!$A$5,MATCH(BUILDING!X62,ITEM_RES!$J$5:$J$229,0)-1,0),0)</f>
        <v>211010301</v>
      </c>
      <c r="AA62" s="9" t="s">
        <v>501</v>
      </c>
      <c r="AB62" s="9">
        <v>18</v>
      </c>
      <c r="AD62" s="11">
        <f ca="1">IFERROR(OFFSET(MANOR_LEVEL!$B$1,MATCH(AE62-1,MANOR_LEVEL!$A:$A,0)-1,0),0)</f>
        <v>13022450</v>
      </c>
      <c r="AE62" s="56">
        <v>14</v>
      </c>
      <c r="AG62" s="56">
        <f t="shared" ca="1" si="9"/>
        <v>40301050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40301050</v>
      </c>
      <c r="AI62" s="179">
        <f t="shared" ca="1" si="11"/>
        <v>65101900</v>
      </c>
      <c r="AK62" s="11">
        <f t="shared" si="4"/>
        <v>21600</v>
      </c>
      <c r="AL62" s="10">
        <v>21600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436</v>
      </c>
      <c r="AU62" s="11">
        <v>13000000</v>
      </c>
      <c r="AX62" s="11">
        <f ca="1">IFERROR(OFFSET(ITEM_RES!$A$1,MATCH(AY62,ITEM_RES!$J:$J,0)-1,0),0)</f>
        <v>211020101</v>
      </c>
      <c r="AY62" s="10" t="s">
        <v>441</v>
      </c>
      <c r="AZ62" s="11">
        <v>13000000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1348</v>
      </c>
      <c r="M63" s="9">
        <v>0</v>
      </c>
      <c r="N63" s="9">
        <v>15</v>
      </c>
      <c r="O63" s="9" t="s">
        <v>1089</v>
      </c>
      <c r="S63" s="9" t="s">
        <v>678</v>
      </c>
      <c r="V63" s="9">
        <f ca="1">IFERROR(OFFSET(ITEM_RES!$A$5,MATCH(BUILDING!U63,ITEM_RES!$J$5:$J$229,0)-1,0),0)</f>
        <v>0</v>
      </c>
      <c r="X63" s="84" t="s">
        <v>531</v>
      </c>
      <c r="Y63" s="9">
        <f ca="1">IFERROR(OFFSET(ITEM_RES!$A$5,MATCH(BUILDING!X63,ITEM_RES!$J$5:$J$229,0)-1,0),0)</f>
        <v>211010301</v>
      </c>
      <c r="AA63" s="9" t="s">
        <v>501</v>
      </c>
      <c r="AB63" s="9">
        <v>19</v>
      </c>
      <c r="AD63" s="11">
        <f ca="1">IFERROR(OFFSET(MANOR_LEVEL!$B$1,MATCH(AE63-1,MANOR_LEVEL!$A:$A,0)-1,0),0)</f>
        <v>23283600</v>
      </c>
      <c r="AE63" s="56">
        <v>15</v>
      </c>
      <c r="AG63" s="56">
        <f t="shared" ca="1" si="9"/>
        <v>62001250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62001250</v>
      </c>
      <c r="AI63" s="179">
        <f t="shared" ca="1" si="11"/>
        <v>102302300</v>
      </c>
      <c r="AK63" s="11">
        <f t="shared" si="4"/>
        <v>23400</v>
      </c>
      <c r="AL63" s="10">
        <v>23400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436</v>
      </c>
      <c r="AU63" s="11">
        <v>20000000</v>
      </c>
      <c r="AX63" s="11">
        <f ca="1">IFERROR(OFFSET(ITEM_RES!$A$1,MATCH(AY63,ITEM_RES!$J:$J,0)-1,0),0)</f>
        <v>211020101</v>
      </c>
      <c r="AY63" s="10" t="s">
        <v>441</v>
      </c>
      <c r="AZ63" s="11">
        <v>20000000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1348</v>
      </c>
      <c r="M64" s="9">
        <v>0</v>
      </c>
      <c r="N64" s="9">
        <v>15</v>
      </c>
      <c r="O64" s="9" t="s">
        <v>1089</v>
      </c>
      <c r="S64" s="9" t="s">
        <v>678</v>
      </c>
      <c r="V64" s="9">
        <f ca="1">IFERROR(OFFSET(ITEM_RES!$A$5,MATCH(BUILDING!U64,ITEM_RES!$J$5:$J$229,0)-1,0),0)</f>
        <v>0</v>
      </c>
      <c r="X64" s="84" t="s">
        <v>531</v>
      </c>
      <c r="Y64" s="9">
        <f ca="1">IFERROR(OFFSET(ITEM_RES!$A$5,MATCH(BUILDING!X64,ITEM_RES!$J$5:$J$229,0)-1,0),0)</f>
        <v>211010301</v>
      </c>
      <c r="AA64" s="9" t="s">
        <v>501</v>
      </c>
      <c r="AB64" s="9">
        <v>20</v>
      </c>
      <c r="AD64" s="11">
        <f ca="1">IFERROR(OFFSET(MANOR_LEVEL!$B$1,MATCH(AE64-1,MANOR_LEVEL!$A:$A,0)-1,0),0)</f>
        <v>50404400</v>
      </c>
      <c r="AE64" s="56">
        <v>16</v>
      </c>
      <c r="AG64" s="56">
        <f t="shared" ca="1" si="9"/>
        <v>99201500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99201500</v>
      </c>
      <c r="AI64" s="179">
        <f t="shared" ca="1" si="11"/>
        <v>161202750</v>
      </c>
      <c r="AK64" s="11">
        <f t="shared" si="4"/>
        <v>25200</v>
      </c>
      <c r="AL64" s="10">
        <v>25200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436</v>
      </c>
      <c r="AU64" s="11">
        <v>32000000</v>
      </c>
      <c r="AX64" s="11">
        <f ca="1">IFERROR(OFFSET(ITEM_RES!$A$1,MATCH(AY64,ITEM_RES!$J:$J,0)-1,0),0)</f>
        <v>211020101</v>
      </c>
      <c r="AY64" s="10" t="s">
        <v>441</v>
      </c>
      <c r="AZ64" s="11">
        <v>32000000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433</v>
      </c>
      <c r="L65" s="16">
        <v>1</v>
      </c>
      <c r="M65" s="16">
        <v>1</v>
      </c>
      <c r="N65" s="16">
        <v>15</v>
      </c>
      <c r="O65" s="16" t="s">
        <v>1102</v>
      </c>
      <c r="P65" s="17"/>
      <c r="Q65" s="17"/>
      <c r="R65" s="18"/>
      <c r="S65" s="16" t="s">
        <v>679</v>
      </c>
      <c r="T65" s="78"/>
      <c r="U65" s="86"/>
      <c r="V65" s="16">
        <f ca="1">IFERROR(OFFSET(ITEM_RES!$A$5,MATCH(BUILDING!U65,ITEM_RES!$J$5:$J$229,0)-1,0),0)</f>
        <v>0</v>
      </c>
      <c r="W65" s="18"/>
      <c r="X65" s="86" t="s">
        <v>532</v>
      </c>
      <c r="Y65" s="16">
        <f ca="1">IFERROR(OFFSET(ITEM_RES!$A$5,MATCH(BUILDING!X65,ITEM_RES!$J$5:$J$229,0)-1,0),0)</f>
        <v>211020101</v>
      </c>
      <c r="Z65" s="78"/>
      <c r="AA65" s="16" t="s">
        <v>502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1280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1280</v>
      </c>
      <c r="AI65" s="181">
        <f ca="1">AG65</f>
        <v>1280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/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422</v>
      </c>
      <c r="AU65" s="18">
        <v>25</v>
      </c>
      <c r="AV65" s="17"/>
      <c r="AW65" s="18"/>
      <c r="AX65" s="18">
        <f ca="1">IFERROR(OFFSET(ITEM_RES!$A$1,MATCH(AY65,ITEM_RES!$J:$J,0)-1,0),0)</f>
        <v>211020801</v>
      </c>
      <c r="AY65" s="17" t="s">
        <v>431</v>
      </c>
      <c r="AZ65" s="18">
        <v>25</v>
      </c>
      <c r="BA65" s="17"/>
      <c r="BB65" s="18"/>
      <c r="BC65" s="18">
        <f ca="1">IFERROR(OFFSET(ITEM_RES!$A$1,MATCH(BD65,ITEM_RES!$J:$J,0)-1,0),0)</f>
        <v>213010101</v>
      </c>
      <c r="BD65" s="17" t="s">
        <v>445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433</v>
      </c>
      <c r="M66" s="9">
        <v>1</v>
      </c>
      <c r="N66" s="9">
        <v>15</v>
      </c>
      <c r="O66" s="9" t="s">
        <v>1102</v>
      </c>
      <c r="S66" s="9" t="s">
        <v>679</v>
      </c>
      <c r="V66" s="9">
        <f ca="1">IFERROR(OFFSET(ITEM_RES!$A$5,MATCH(BUILDING!U66,ITEM_RES!$J$5:$J$229,0)-1,0),0)</f>
        <v>0</v>
      </c>
      <c r="X66" s="84" t="s">
        <v>532</v>
      </c>
      <c r="Y66" s="9">
        <f ca="1">IFERROR(OFFSET(ITEM_RES!$A$5,MATCH(BUILDING!X66,ITEM_RES!$J$5:$J$229,0)-1,0),0)</f>
        <v>211020101</v>
      </c>
      <c r="AA66" s="9" t="s">
        <v>502</v>
      </c>
      <c r="AB66" s="9">
        <v>2</v>
      </c>
      <c r="AD66" s="11">
        <f ca="1">IFERROR(OFFSET(MANOR_LEVEL!$B$1,MATCH(AE66-1,MANOR_LEVEL!$A:$A,0)-1,0),0)</f>
        <v>100</v>
      </c>
      <c r="AE66" s="56">
        <v>2</v>
      </c>
      <c r="AG66" s="56">
        <f t="shared" ca="1" si="9"/>
        <v>560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560</v>
      </c>
      <c r="AI66" s="179">
        <f ca="1">AG65+AG66</f>
        <v>1840</v>
      </c>
      <c r="AK66" s="11">
        <f t="shared" si="4"/>
        <v>10</v>
      </c>
      <c r="AL66" s="10">
        <v>10</v>
      </c>
      <c r="AM66" s="11">
        <f t="shared" ref="AM66" si="16">ROUND(AN66,0)</f>
        <v>10</v>
      </c>
      <c r="AN66" s="10">
        <v>10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424</v>
      </c>
      <c r="AU66" s="11">
        <v>50</v>
      </c>
      <c r="AX66" s="11">
        <f ca="1">IFERROR(OFFSET(ITEM_RES!$A$1,MATCH(AY66,ITEM_RES!$J:$J,0)-1,0),0)</f>
        <v>211020801</v>
      </c>
      <c r="AY66" s="10" t="s">
        <v>431</v>
      </c>
      <c r="AZ66" s="11">
        <v>50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433</v>
      </c>
      <c r="M67" s="9">
        <v>1</v>
      </c>
      <c r="N67" s="9">
        <v>15</v>
      </c>
      <c r="O67" s="9" t="s">
        <v>1103</v>
      </c>
      <c r="S67" s="9" t="s">
        <v>679</v>
      </c>
      <c r="V67" s="9">
        <f ca="1">IFERROR(OFFSET(ITEM_RES!$A$5,MATCH(BUILDING!U67,ITEM_RES!$J$5:$J$229,0)-1,0),0)</f>
        <v>0</v>
      </c>
      <c r="X67" s="84" t="s">
        <v>532</v>
      </c>
      <c r="Y67" s="9">
        <f ca="1">IFERROR(OFFSET(ITEM_RES!$A$5,MATCH(BUILDING!X67,ITEM_RES!$J$5:$J$229,0)-1,0),0)</f>
        <v>211020101</v>
      </c>
      <c r="AA67" s="9" t="s">
        <v>502</v>
      </c>
      <c r="AB67" s="9">
        <v>3</v>
      </c>
      <c r="AD67" s="11">
        <f ca="1">IFERROR(OFFSET(MANOR_LEVEL!$B$1,MATCH(AE67-1,MANOR_LEVEL!$A:$A,0)-1,0),0)</f>
        <v>310</v>
      </c>
      <c r="AE67" s="56">
        <v>3</v>
      </c>
      <c r="AG67" s="56">
        <f t="shared" ca="1" si="9"/>
        <v>840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840</v>
      </c>
      <c r="AI67" s="179">
        <f t="shared" ref="AI67:AI84" ca="1" si="17">AG66+AG67</f>
        <v>1400</v>
      </c>
      <c r="AK67" s="11">
        <f t="shared" si="4"/>
        <v>30</v>
      </c>
      <c r="AL67" s="10">
        <v>30</v>
      </c>
      <c r="AM67" s="11">
        <f t="shared" ref="AM67" si="18">ROUND(AN67,0)</f>
        <v>15</v>
      </c>
      <c r="AN67" s="10">
        <v>15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424</v>
      </c>
      <c r="AU67" s="11">
        <v>75</v>
      </c>
      <c r="AX67" s="11">
        <f ca="1">IFERROR(OFFSET(ITEM_RES!$A$1,MATCH(AY67,ITEM_RES!$J:$J,0)-1,0),0)</f>
        <v>211020801</v>
      </c>
      <c r="AY67" s="10" t="s">
        <v>431</v>
      </c>
      <c r="AZ67" s="11">
        <v>75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433</v>
      </c>
      <c r="M68" s="9">
        <v>1</v>
      </c>
      <c r="N68" s="9">
        <v>15</v>
      </c>
      <c r="O68" s="9" t="s">
        <v>1104</v>
      </c>
      <c r="S68" s="9" t="s">
        <v>679</v>
      </c>
      <c r="V68" s="9">
        <f ca="1">IFERROR(OFFSET(ITEM_RES!$A$5,MATCH(BUILDING!U68,ITEM_RES!$J$5:$J$229,0)-1,0),0)</f>
        <v>0</v>
      </c>
      <c r="X68" s="84" t="s">
        <v>532</v>
      </c>
      <c r="Y68" s="9">
        <f ca="1">IFERROR(OFFSET(ITEM_RES!$A$5,MATCH(BUILDING!X68,ITEM_RES!$J$5:$J$229,0)-1,0),0)</f>
        <v>211020101</v>
      </c>
      <c r="AA68" s="9" t="s">
        <v>502</v>
      </c>
      <c r="AB68" s="9">
        <v>4</v>
      </c>
      <c r="AD68" s="11">
        <f ca="1">IFERROR(OFFSET(MANOR_LEVEL!$B$1,MATCH(AE68-1,MANOR_LEVEL!$A:$A,0)-1,0),0)</f>
        <v>310</v>
      </c>
      <c r="AE68" s="56">
        <v>3</v>
      </c>
      <c r="AG68" s="56">
        <f t="shared" ca="1" si="9"/>
        <v>3325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3325</v>
      </c>
      <c r="AI68" s="179">
        <f t="shared" ca="1" si="17"/>
        <v>4165</v>
      </c>
      <c r="AK68" s="11">
        <f t="shared" si="4"/>
        <v>300</v>
      </c>
      <c r="AL68" s="10">
        <v>300</v>
      </c>
      <c r="AM68" s="11">
        <f t="shared" ref="AM68" si="19">ROUND(AN68,0)</f>
        <v>25</v>
      </c>
      <c r="AN68" s="10">
        <v>25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424</v>
      </c>
      <c r="AU68" s="11">
        <v>300</v>
      </c>
      <c r="AX68" s="11">
        <f ca="1">IFERROR(OFFSET(ITEM_RES!$A$1,MATCH(AY68,ITEM_RES!$J:$J,0)-1,0),0)</f>
        <v>211020801</v>
      </c>
      <c r="AY68" s="10" t="s">
        <v>431</v>
      </c>
      <c r="AZ68" s="11">
        <v>300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433</v>
      </c>
      <c r="M69" s="9">
        <v>1</v>
      </c>
      <c r="N69" s="9">
        <v>15</v>
      </c>
      <c r="O69" s="9" t="s">
        <v>1105</v>
      </c>
      <c r="S69" s="9" t="s">
        <v>679</v>
      </c>
      <c r="V69" s="9">
        <f ca="1">IFERROR(OFFSET(ITEM_RES!$A$5,MATCH(BUILDING!U69,ITEM_RES!$J$5:$J$229,0)-1,0),0)</f>
        <v>0</v>
      </c>
      <c r="X69" s="84" t="s">
        <v>532</v>
      </c>
      <c r="Y69" s="9">
        <f ca="1">IFERROR(OFFSET(ITEM_RES!$A$5,MATCH(BUILDING!X69,ITEM_RES!$J$5:$J$229,0)-1,0),0)</f>
        <v>211020101</v>
      </c>
      <c r="AA69" s="9" t="s">
        <v>502</v>
      </c>
      <c r="AB69" s="9">
        <v>5</v>
      </c>
      <c r="AD69" s="11">
        <f ca="1">IFERROR(OFFSET(MANOR_LEVEL!$B$1,MATCH(AE69-1,MANOR_LEVEL!$A:$A,0)-1,0),0)</f>
        <v>930</v>
      </c>
      <c r="AE69" s="56">
        <v>4</v>
      </c>
      <c r="AG69" s="56">
        <f t="shared" ca="1" si="9"/>
        <v>14890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14890</v>
      </c>
      <c r="AI69" s="179">
        <f t="shared" ca="1" si="17"/>
        <v>18215</v>
      </c>
      <c r="AK69" s="11">
        <f t="shared" ref="AK69:AK132" si="20">ROUND(AL69,0)</f>
        <v>600</v>
      </c>
      <c r="AL69" s="10">
        <v>600</v>
      </c>
      <c r="AM69" s="11">
        <f t="shared" ref="AM69" si="21">ROUND(AN69,0)</f>
        <v>40</v>
      </c>
      <c r="AN69" s="10">
        <v>40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424</v>
      </c>
      <c r="AU69" s="11">
        <v>1350</v>
      </c>
      <c r="AX69" s="11">
        <f ca="1">IFERROR(OFFSET(ITEM_RES!$A$1,MATCH(AY69,ITEM_RES!$J:$J,0)-1,0),0)</f>
        <v>211020801</v>
      </c>
      <c r="AY69" s="10" t="s">
        <v>431</v>
      </c>
      <c r="AZ69" s="11">
        <v>1350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433</v>
      </c>
      <c r="M70" s="9">
        <v>1</v>
      </c>
      <c r="N70" s="9">
        <v>15</v>
      </c>
      <c r="O70" s="9" t="s">
        <v>1106</v>
      </c>
      <c r="S70" s="9" t="s">
        <v>679</v>
      </c>
      <c r="V70" s="9">
        <f ca="1">IFERROR(OFFSET(ITEM_RES!$A$5,MATCH(BUILDING!U70,ITEM_RES!$J$5:$J$229,0)-1,0),0)</f>
        <v>0</v>
      </c>
      <c r="X70" s="84" t="s">
        <v>532</v>
      </c>
      <c r="Y70" s="9">
        <f ca="1">IFERROR(OFFSET(ITEM_RES!$A$5,MATCH(BUILDING!X70,ITEM_RES!$J$5:$J$229,0)-1,0),0)</f>
        <v>211020101</v>
      </c>
      <c r="AA70" s="9" t="s">
        <v>502</v>
      </c>
      <c r="AB70" s="9">
        <v>6</v>
      </c>
      <c r="AD70" s="11">
        <f ca="1">IFERROR(OFFSET(MANOR_LEVEL!$B$1,MATCH(AE70-1,MANOR_LEVEL!$A:$A,0)-1,0),0)</f>
        <v>930</v>
      </c>
      <c r="AE70" s="56">
        <v>4</v>
      </c>
      <c r="AG70" s="56">
        <f t="shared" ca="1" si="9"/>
        <v>49550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49550</v>
      </c>
      <c r="AI70" s="179">
        <f t="shared" ca="1" si="17"/>
        <v>64440</v>
      </c>
      <c r="AK70" s="11">
        <f t="shared" si="20"/>
        <v>1200</v>
      </c>
      <c r="AL70" s="10">
        <v>1200</v>
      </c>
      <c r="AM70" s="11">
        <f t="shared" ref="AM70" si="22">ROUND(AN70,0)</f>
        <v>50</v>
      </c>
      <c r="AN70" s="10">
        <v>50</v>
      </c>
      <c r="AP70" s="10">
        <v>0</v>
      </c>
      <c r="AQ70" s="56">
        <f t="shared" ref="AQ70:AQ133" si="23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424</v>
      </c>
      <c r="AU70" s="11">
        <v>4500</v>
      </c>
      <c r="AX70" s="11">
        <f ca="1">IFERROR(OFFSET(ITEM_RES!$A$1,MATCH(AY70,ITEM_RES!$J:$J,0)-1,0),0)</f>
        <v>211020801</v>
      </c>
      <c r="AY70" s="10" t="s">
        <v>431</v>
      </c>
      <c r="AZ70" s="11">
        <v>4500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433</v>
      </c>
      <c r="M71" s="9">
        <v>1</v>
      </c>
      <c r="N71" s="9">
        <v>15</v>
      </c>
      <c r="O71" s="9" t="s">
        <v>1107</v>
      </c>
      <c r="S71" s="9" t="s">
        <v>679</v>
      </c>
      <c r="V71" s="9">
        <f ca="1">IFERROR(OFFSET(ITEM_RES!$A$5,MATCH(BUILDING!U71,ITEM_RES!$J$5:$J$229,0)-1,0),0)</f>
        <v>0</v>
      </c>
      <c r="X71" s="84" t="s">
        <v>532</v>
      </c>
      <c r="Y71" s="9">
        <f ca="1">IFERROR(OFFSET(ITEM_RES!$A$5,MATCH(BUILDING!X71,ITEM_RES!$J$5:$J$229,0)-1,0),0)</f>
        <v>211020101</v>
      </c>
      <c r="AA71" s="9" t="s">
        <v>502</v>
      </c>
      <c r="AB71" s="9">
        <v>7</v>
      </c>
      <c r="AD71" s="11">
        <f ca="1">IFERROR(OFFSET(MANOR_LEVEL!$B$1,MATCH(AE71-1,MANOR_LEVEL!$A:$A,0)-1,0),0)</f>
        <v>930</v>
      </c>
      <c r="AE71" s="56">
        <v>4</v>
      </c>
      <c r="AG71" s="56">
        <f t="shared" ca="1" si="9"/>
        <v>110100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110100</v>
      </c>
      <c r="AI71" s="179">
        <f t="shared" ca="1" si="17"/>
        <v>159650</v>
      </c>
      <c r="AK71" s="11">
        <f t="shared" si="20"/>
        <v>1800</v>
      </c>
      <c r="AL71" s="10">
        <v>1800</v>
      </c>
      <c r="AM71" s="11">
        <f t="shared" ref="AM71" si="24">ROUND(AN71,0)</f>
        <v>100</v>
      </c>
      <c r="AN71" s="10">
        <v>100</v>
      </c>
      <c r="AP71" s="10">
        <v>0</v>
      </c>
      <c r="AQ71" s="56">
        <f t="shared" si="23"/>
        <v>2</v>
      </c>
      <c r="AS71" s="11">
        <f ca="1">IFERROR(OFFSET(ITEM_RES!$A$1,MATCH(AT71,ITEM_RES!$J:$J,0)-1,0),0)</f>
        <v>211010501</v>
      </c>
      <c r="AT71" s="10" t="s">
        <v>424</v>
      </c>
      <c r="AU71" s="11">
        <v>10000</v>
      </c>
      <c r="AX71" s="11">
        <f ca="1">IFERROR(OFFSET(ITEM_RES!$A$1,MATCH(AY71,ITEM_RES!$J:$J,0)-1,0),0)</f>
        <v>211020801</v>
      </c>
      <c r="AY71" s="10" t="s">
        <v>431</v>
      </c>
      <c r="AZ71" s="11">
        <v>10000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433</v>
      </c>
      <c r="M72" s="9">
        <v>1</v>
      </c>
      <c r="N72" s="9">
        <v>15</v>
      </c>
      <c r="O72" s="9" t="s">
        <v>1107</v>
      </c>
      <c r="S72" s="9" t="s">
        <v>679</v>
      </c>
      <c r="V72" s="9">
        <f ca="1">IFERROR(OFFSET(ITEM_RES!$A$5,MATCH(BUILDING!U72,ITEM_RES!$J$5:$J$229,0)-1,0),0)</f>
        <v>0</v>
      </c>
      <c r="X72" s="84" t="s">
        <v>532</v>
      </c>
      <c r="Y72" s="9">
        <f ca="1">IFERROR(OFFSET(ITEM_RES!$A$5,MATCH(BUILDING!X72,ITEM_RES!$J$5:$J$229,0)-1,0),0)</f>
        <v>211020101</v>
      </c>
      <c r="AA72" s="9" t="s">
        <v>502</v>
      </c>
      <c r="AB72" s="9">
        <v>8</v>
      </c>
      <c r="AD72" s="11">
        <f ca="1">IFERROR(OFFSET(MANOR_LEVEL!$B$1,MATCH(AE72-1,MANOR_LEVEL!$A:$A,0)-1,0),0)</f>
        <v>5475</v>
      </c>
      <c r="AE72" s="56">
        <v>5</v>
      </c>
      <c r="AG72" s="56">
        <f t="shared" ca="1" si="9"/>
        <v>231600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231600</v>
      </c>
      <c r="AI72" s="179">
        <f t="shared" ca="1" si="17"/>
        <v>341700</v>
      </c>
      <c r="AK72" s="11">
        <f t="shared" si="20"/>
        <v>3600</v>
      </c>
      <c r="AL72" s="10">
        <v>3600</v>
      </c>
      <c r="AM72" s="11">
        <f t="shared" ref="AM72" si="25">ROUND(AN72,0)</f>
        <v>100</v>
      </c>
      <c r="AN72" s="10">
        <v>100</v>
      </c>
      <c r="AO72" s="11">
        <v>500</v>
      </c>
      <c r="AP72" s="10">
        <v>0</v>
      </c>
      <c r="AQ72" s="56">
        <f t="shared" si="23"/>
        <v>2</v>
      </c>
      <c r="AS72" s="11">
        <f ca="1">IFERROR(OFFSET(ITEM_RES!$A$1,MATCH(AT72,ITEM_RES!$J:$J,0)-1,0),0)</f>
        <v>211010501</v>
      </c>
      <c r="AT72" s="10" t="s">
        <v>424</v>
      </c>
      <c r="AU72" s="11">
        <v>21000</v>
      </c>
      <c r="AX72" s="11">
        <f ca="1">IFERROR(OFFSET(ITEM_RES!$A$1,MATCH(AY72,ITEM_RES!$J:$J,0)-1,0),0)</f>
        <v>211020801</v>
      </c>
      <c r="AY72" s="10" t="s">
        <v>431</v>
      </c>
      <c r="AZ72" s="11">
        <v>21000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433</v>
      </c>
      <c r="M73" s="9">
        <v>1</v>
      </c>
      <c r="N73" s="9">
        <v>15</v>
      </c>
      <c r="O73" s="9" t="s">
        <v>1107</v>
      </c>
      <c r="S73" s="9" t="s">
        <v>679</v>
      </c>
      <c r="V73" s="9">
        <f ca="1">IFERROR(OFFSET(ITEM_RES!$A$5,MATCH(BUILDING!U73,ITEM_RES!$J$5:$J$229,0)-1,0),0)</f>
        <v>0</v>
      </c>
      <c r="X73" s="84" t="s">
        <v>532</v>
      </c>
      <c r="Y73" s="9">
        <f ca="1">IFERROR(OFFSET(ITEM_RES!$A$5,MATCH(BUILDING!X73,ITEM_RES!$J$5:$J$229,0)-1,0),0)</f>
        <v>211020101</v>
      </c>
      <c r="AA73" s="9" t="s">
        <v>502</v>
      </c>
      <c r="AB73" s="9">
        <v>9</v>
      </c>
      <c r="AD73" s="11">
        <f ca="1">IFERROR(OFFSET(MANOR_LEVEL!$B$1,MATCH(AE73-1,MANOR_LEVEL!$A:$A,0)-1,0),0)</f>
        <v>32560</v>
      </c>
      <c r="AE73" s="56">
        <v>6</v>
      </c>
      <c r="AG73" s="56">
        <f t="shared" ca="1" si="9"/>
        <v>435150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435150</v>
      </c>
      <c r="AI73" s="179">
        <f t="shared" ca="1" si="17"/>
        <v>666750</v>
      </c>
      <c r="AK73" s="11">
        <f t="shared" si="20"/>
        <v>5400</v>
      </c>
      <c r="AL73" s="10">
        <v>5400</v>
      </c>
      <c r="AM73" s="11">
        <f t="shared" ref="AM73" si="26">ROUND(AN73,0)</f>
        <v>150</v>
      </c>
      <c r="AN73" s="10">
        <v>150</v>
      </c>
      <c r="AO73" s="11">
        <v>6000</v>
      </c>
      <c r="AP73" s="10">
        <v>0</v>
      </c>
      <c r="AQ73" s="56">
        <f t="shared" si="23"/>
        <v>2</v>
      </c>
      <c r="AS73" s="11">
        <f ca="1">IFERROR(OFFSET(ITEM_RES!$A$1,MATCH(AT73,ITEM_RES!$J:$J,0)-1,0),0)</f>
        <v>211010501</v>
      </c>
      <c r="AT73" s="10" t="s">
        <v>424</v>
      </c>
      <c r="AU73" s="11">
        <v>39000</v>
      </c>
      <c r="AX73" s="11">
        <f ca="1">IFERROR(OFFSET(ITEM_RES!$A$1,MATCH(AY73,ITEM_RES!$J:$J,0)-1,0),0)</f>
        <v>211020801</v>
      </c>
      <c r="AY73" s="10" t="s">
        <v>431</v>
      </c>
      <c r="AZ73" s="11">
        <v>39000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433</v>
      </c>
      <c r="M74" s="9">
        <v>1</v>
      </c>
      <c r="N74" s="9">
        <v>15</v>
      </c>
      <c r="O74" s="9" t="s">
        <v>1107</v>
      </c>
      <c r="S74" s="9" t="s">
        <v>679</v>
      </c>
      <c r="V74" s="9">
        <f ca="1">IFERROR(OFFSET(ITEM_RES!$A$5,MATCH(BUILDING!U74,ITEM_RES!$J$5:$J$229,0)-1,0),0)</f>
        <v>0</v>
      </c>
      <c r="X74" s="84" t="s">
        <v>532</v>
      </c>
      <c r="Y74" s="9">
        <f ca="1">IFERROR(OFFSET(ITEM_RES!$A$5,MATCH(BUILDING!X74,ITEM_RES!$J$5:$J$229,0)-1,0),0)</f>
        <v>211020101</v>
      </c>
      <c r="AA74" s="9" t="s">
        <v>502</v>
      </c>
      <c r="AB74" s="9">
        <v>10</v>
      </c>
      <c r="AD74" s="11">
        <f ca="1">IFERROR(OFFSET(MANOR_LEVEL!$B$1,MATCH(AE74-1,MANOR_LEVEL!$A:$A,0)-1,0),0)</f>
        <v>108200</v>
      </c>
      <c r="AE74" s="56">
        <v>7</v>
      </c>
      <c r="AG74" s="56">
        <f t="shared" ca="1" si="9"/>
        <v>754200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754200</v>
      </c>
      <c r="AI74" s="179">
        <f t="shared" ca="1" si="17"/>
        <v>1189350</v>
      </c>
      <c r="AK74" s="11">
        <f t="shared" si="20"/>
        <v>7200</v>
      </c>
      <c r="AL74" s="10">
        <v>7200</v>
      </c>
      <c r="AM74" s="11">
        <f t="shared" ref="AM74" si="27">ROUND(AN74,0)</f>
        <v>200</v>
      </c>
      <c r="AN74" s="10">
        <v>200</v>
      </c>
      <c r="AO74" s="11">
        <v>39000</v>
      </c>
      <c r="AP74" s="10">
        <v>0</v>
      </c>
      <c r="AQ74" s="56">
        <f t="shared" si="23"/>
        <v>2</v>
      </c>
      <c r="AS74" s="11">
        <f ca="1">IFERROR(OFFSET(ITEM_RES!$A$1,MATCH(AT74,ITEM_RES!$J:$J,0)-1,0),0)</f>
        <v>211010501</v>
      </c>
      <c r="AT74" s="10" t="s">
        <v>424</v>
      </c>
      <c r="AU74" s="11">
        <v>65000</v>
      </c>
      <c r="AX74" s="11">
        <f ca="1">IFERROR(OFFSET(ITEM_RES!$A$1,MATCH(AY74,ITEM_RES!$J:$J,0)-1,0),0)</f>
        <v>211020801</v>
      </c>
      <c r="AY74" s="10" t="s">
        <v>431</v>
      </c>
      <c r="AZ74" s="11">
        <v>65000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433</v>
      </c>
      <c r="M75" s="9">
        <v>1</v>
      </c>
      <c r="N75" s="9">
        <v>15</v>
      </c>
      <c r="O75" s="9" t="s">
        <v>1107</v>
      </c>
      <c r="S75" s="9" t="s">
        <v>679</v>
      </c>
      <c r="V75" s="9">
        <f ca="1">IFERROR(OFFSET(ITEM_RES!$A$5,MATCH(BUILDING!U75,ITEM_RES!$J$5:$J$229,0)-1,0),0)</f>
        <v>0</v>
      </c>
      <c r="X75" s="84" t="s">
        <v>532</v>
      </c>
      <c r="Y75" s="9">
        <f ca="1">IFERROR(OFFSET(ITEM_RES!$A$5,MATCH(BUILDING!X75,ITEM_RES!$J$5:$J$229,0)-1,0),0)</f>
        <v>211020101</v>
      </c>
      <c r="AA75" s="9" t="s">
        <v>502</v>
      </c>
      <c r="AB75" s="9">
        <v>11</v>
      </c>
      <c r="AD75" s="11">
        <f ca="1">IFERROR(OFFSET(MANOR_LEVEL!$B$1,MATCH(AE75-1,MANOR_LEVEL!$A:$A,0)-1,0),0)</f>
        <v>240400</v>
      </c>
      <c r="AE75" s="56">
        <v>8</v>
      </c>
      <c r="AG75" s="56">
        <f t="shared" ca="1" si="9"/>
        <v>1276250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1276250</v>
      </c>
      <c r="AI75" s="179">
        <f t="shared" ca="1" si="17"/>
        <v>2030450</v>
      </c>
      <c r="AK75" s="11">
        <f t="shared" si="20"/>
        <v>9000</v>
      </c>
      <c r="AL75" s="10">
        <v>9000</v>
      </c>
      <c r="AM75" s="11">
        <f t="shared" ref="AM75" si="28">ROUND(AN75,0)</f>
        <v>250</v>
      </c>
      <c r="AN75" s="10">
        <v>250</v>
      </c>
      <c r="AO75" s="11">
        <v>65000</v>
      </c>
      <c r="AP75" s="10">
        <v>0</v>
      </c>
      <c r="AQ75" s="56">
        <f t="shared" si="23"/>
        <v>3</v>
      </c>
      <c r="AS75" s="11">
        <f ca="1">IFERROR(OFFSET(ITEM_RES!$A$1,MATCH(AT75,ITEM_RES!$J:$J,0)-1,0),0)</f>
        <v>211010501</v>
      </c>
      <c r="AT75" s="10" t="s">
        <v>424</v>
      </c>
      <c r="AU75" s="11">
        <v>110000</v>
      </c>
      <c r="AX75" s="11">
        <f ca="1">IFERROR(OFFSET(ITEM_RES!$A$1,MATCH(AY75,ITEM_RES!$J:$J,0)-1,0),0)</f>
        <v>211020801</v>
      </c>
      <c r="AY75" s="10" t="s">
        <v>431</v>
      </c>
      <c r="AZ75" s="11">
        <v>110000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453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433</v>
      </c>
      <c r="M76" s="9">
        <v>1</v>
      </c>
      <c r="N76" s="9">
        <v>15</v>
      </c>
      <c r="O76" s="9" t="s">
        <v>1107</v>
      </c>
      <c r="S76" s="9" t="s">
        <v>679</v>
      </c>
      <c r="V76" s="9">
        <f ca="1">IFERROR(OFFSET(ITEM_RES!$A$5,MATCH(BUILDING!U76,ITEM_RES!$J$5:$J$229,0)-1,0),0)</f>
        <v>0</v>
      </c>
      <c r="X76" s="84" t="s">
        <v>532</v>
      </c>
      <c r="Y76" s="9">
        <f ca="1">IFERROR(OFFSET(ITEM_RES!$A$5,MATCH(BUILDING!X76,ITEM_RES!$J$5:$J$229,0)-1,0),0)</f>
        <v>211020101</v>
      </c>
      <c r="AA76" s="9" t="s">
        <v>502</v>
      </c>
      <c r="AB76" s="9">
        <v>12</v>
      </c>
      <c r="AD76" s="11">
        <f ca="1">IFERROR(OFFSET(MANOR_LEVEL!$B$1,MATCH(AE76-1,MANOR_LEVEL!$A:$A,0)-1,0),0)</f>
        <v>630500</v>
      </c>
      <c r="AE76" s="56">
        <v>9</v>
      </c>
      <c r="AG76" s="56">
        <f t="shared" ca="1" si="9"/>
        <v>2145300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2145300</v>
      </c>
      <c r="AI76" s="179">
        <f t="shared" ca="1" si="17"/>
        <v>3421550</v>
      </c>
      <c r="AK76" s="11">
        <f t="shared" si="20"/>
        <v>10800</v>
      </c>
      <c r="AL76" s="10">
        <v>10800</v>
      </c>
      <c r="AM76" s="11">
        <f t="shared" ref="AM76" si="29">ROUND(AN76,0)</f>
        <v>300</v>
      </c>
      <c r="AN76" s="10">
        <v>300</v>
      </c>
      <c r="AO76" s="11">
        <v>110000</v>
      </c>
      <c r="AP76" s="10">
        <v>0</v>
      </c>
      <c r="AQ76" s="56">
        <f t="shared" si="23"/>
        <v>2</v>
      </c>
      <c r="AS76" s="11">
        <f ca="1">IFERROR(OFFSET(ITEM_RES!$A$1,MATCH(AT76,ITEM_RES!$J:$J,0)-1,0),0)</f>
        <v>211010501</v>
      </c>
      <c r="AT76" s="10" t="s">
        <v>424</v>
      </c>
      <c r="AU76" s="11">
        <v>185000</v>
      </c>
      <c r="AX76" s="11">
        <f ca="1">IFERROR(OFFSET(ITEM_RES!$A$1,MATCH(AY76,ITEM_RES!$J:$J,0)-1,0),0)</f>
        <v>211020801</v>
      </c>
      <c r="AY76" s="10" t="s">
        <v>431</v>
      </c>
      <c r="AZ76" s="11">
        <v>185000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433</v>
      </c>
      <c r="M77" s="9">
        <v>1</v>
      </c>
      <c r="N77" s="9">
        <v>15</v>
      </c>
      <c r="O77" s="9" t="s">
        <v>1107</v>
      </c>
      <c r="S77" s="9" t="s">
        <v>679</v>
      </c>
      <c r="V77" s="9">
        <f ca="1">IFERROR(OFFSET(ITEM_RES!$A$5,MATCH(BUILDING!U77,ITEM_RES!$J$5:$J$229,0)-1,0),0)</f>
        <v>0</v>
      </c>
      <c r="X77" s="84" t="s">
        <v>532</v>
      </c>
      <c r="Y77" s="9">
        <f ca="1">IFERROR(OFFSET(ITEM_RES!$A$5,MATCH(BUILDING!X77,ITEM_RES!$J$5:$J$229,0)-1,0),0)</f>
        <v>211020101</v>
      </c>
      <c r="AA77" s="9" t="s">
        <v>502</v>
      </c>
      <c r="AB77" s="9">
        <v>13</v>
      </c>
      <c r="AD77" s="11">
        <f ca="1">IFERROR(OFFSET(MANOR_LEVEL!$B$1,MATCH(AE77-1,MANOR_LEVEL!$A:$A,0)-1,0),0)</f>
        <v>1170750</v>
      </c>
      <c r="AE77" s="56">
        <v>10</v>
      </c>
      <c r="AG77" s="56">
        <f t="shared" ca="1" si="9"/>
        <v>3595350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3595350</v>
      </c>
      <c r="AI77" s="179">
        <f t="shared" ca="1" si="17"/>
        <v>5740650</v>
      </c>
      <c r="AK77" s="11">
        <f t="shared" si="20"/>
        <v>12600</v>
      </c>
      <c r="AL77" s="10">
        <v>12600</v>
      </c>
      <c r="AM77" s="11">
        <f t="shared" ref="AM77" si="30">ROUND(AN77,0)</f>
        <v>350</v>
      </c>
      <c r="AN77" s="10">
        <v>350</v>
      </c>
      <c r="AO77" s="11">
        <v>185000</v>
      </c>
      <c r="AP77" s="10">
        <v>0</v>
      </c>
      <c r="AQ77" s="56">
        <f t="shared" si="23"/>
        <v>2</v>
      </c>
      <c r="AS77" s="11">
        <f ca="1">IFERROR(OFFSET(ITEM_RES!$A$1,MATCH(AT77,ITEM_RES!$J:$J,0)-1,0),0)</f>
        <v>211010501</v>
      </c>
      <c r="AT77" s="10" t="s">
        <v>424</v>
      </c>
      <c r="AU77" s="11">
        <v>310000</v>
      </c>
      <c r="AX77" s="11">
        <f ca="1">IFERROR(OFFSET(ITEM_RES!$A$1,MATCH(AY77,ITEM_RES!$J:$J,0)-1,0),0)</f>
        <v>211020801</v>
      </c>
      <c r="AY77" s="10" t="s">
        <v>431</v>
      </c>
      <c r="AZ77" s="11">
        <v>310000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433</v>
      </c>
      <c r="M78" s="9">
        <v>1</v>
      </c>
      <c r="N78" s="9">
        <v>15</v>
      </c>
      <c r="O78" s="9" t="s">
        <v>1107</v>
      </c>
      <c r="S78" s="9" t="s">
        <v>679</v>
      </c>
      <c r="V78" s="9">
        <f ca="1">IFERROR(OFFSET(ITEM_RES!$A$5,MATCH(BUILDING!U78,ITEM_RES!$J$5:$J$229,0)-1,0),0)</f>
        <v>0</v>
      </c>
      <c r="X78" s="84" t="s">
        <v>532</v>
      </c>
      <c r="Y78" s="9">
        <f ca="1">IFERROR(OFFSET(ITEM_RES!$A$5,MATCH(BUILDING!X78,ITEM_RES!$J$5:$J$229,0)-1,0),0)</f>
        <v>211020101</v>
      </c>
      <c r="AA78" s="9" t="s">
        <v>502</v>
      </c>
      <c r="AB78" s="9">
        <v>14</v>
      </c>
      <c r="AD78" s="11">
        <f ca="1">IFERROR(OFFSET(MANOR_LEVEL!$B$1,MATCH(AE78-1,MANOR_LEVEL!$A:$A,0)-1,0),0)</f>
        <v>1956000</v>
      </c>
      <c r="AE78" s="56">
        <v>11</v>
      </c>
      <c r="AG78" s="56">
        <f t="shared" ca="1" si="9"/>
        <v>6663950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6663950</v>
      </c>
      <c r="AI78" s="179">
        <f t="shared" ca="1" si="17"/>
        <v>10259300</v>
      </c>
      <c r="AK78" s="11">
        <f t="shared" si="20"/>
        <v>14400</v>
      </c>
      <c r="AL78" s="10">
        <v>14400</v>
      </c>
      <c r="AM78" s="11">
        <f t="shared" ref="AM78" si="31">ROUND(AN78,0)</f>
        <v>450</v>
      </c>
      <c r="AN78" s="10">
        <v>450</v>
      </c>
      <c r="AO78" s="11">
        <v>310000</v>
      </c>
      <c r="AP78" s="10">
        <v>0</v>
      </c>
      <c r="AQ78" s="56">
        <f t="shared" si="23"/>
        <v>2</v>
      </c>
      <c r="AS78" s="11">
        <f ca="1">IFERROR(OFFSET(ITEM_RES!$A$1,MATCH(AT78,ITEM_RES!$J:$J,0)-1,0),0)</f>
        <v>211010601</v>
      </c>
      <c r="AT78" s="10" t="s">
        <v>1077</v>
      </c>
      <c r="AU78" s="11">
        <v>485000</v>
      </c>
      <c r="AX78" s="11">
        <f ca="1">IFERROR(OFFSET(ITEM_RES!$A$1,MATCH(AY78,ITEM_RES!$J:$J,0)-1,0),0)</f>
        <v>211020901</v>
      </c>
      <c r="AY78" s="10" t="s">
        <v>438</v>
      </c>
      <c r="AZ78" s="11">
        <v>485000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433</v>
      </c>
      <c r="M79" s="9">
        <v>1</v>
      </c>
      <c r="N79" s="9">
        <v>15</v>
      </c>
      <c r="O79" s="9" t="s">
        <v>1107</v>
      </c>
      <c r="S79" s="9" t="s">
        <v>679</v>
      </c>
      <c r="V79" s="9">
        <f ca="1">IFERROR(OFFSET(ITEM_RES!$A$5,MATCH(BUILDING!U79,ITEM_RES!$J$5:$J$229,0)-1,0),0)</f>
        <v>0</v>
      </c>
      <c r="X79" s="84" t="s">
        <v>532</v>
      </c>
      <c r="Y79" s="9">
        <f ca="1">IFERROR(OFFSET(ITEM_RES!$A$5,MATCH(BUILDING!X79,ITEM_RES!$J$5:$J$229,0)-1,0),0)</f>
        <v>211020101</v>
      </c>
      <c r="AA79" s="9" t="s">
        <v>502</v>
      </c>
      <c r="AB79" s="9">
        <v>15</v>
      </c>
      <c r="AD79" s="11">
        <f ca="1">IFERROR(OFFSET(MANOR_LEVEL!$B$1,MATCH(AE79-1,MANOR_LEVEL!$A:$A,0)-1,0),0)</f>
        <v>3961500</v>
      </c>
      <c r="AE79" s="56">
        <v>12</v>
      </c>
      <c r="AG79" s="56">
        <f t="shared" ca="1" si="9"/>
        <v>14240550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14240550</v>
      </c>
      <c r="AI79" s="179">
        <f t="shared" ca="1" si="17"/>
        <v>20904500</v>
      </c>
      <c r="AK79" s="11">
        <f t="shared" si="20"/>
        <v>16200</v>
      </c>
      <c r="AL79" s="10">
        <v>16200</v>
      </c>
      <c r="AM79" s="11">
        <f t="shared" ref="AM79" si="32">ROUND(AN79,0)</f>
        <v>550</v>
      </c>
      <c r="AN79" s="10">
        <v>550</v>
      </c>
      <c r="AO79" s="11">
        <v>485000</v>
      </c>
      <c r="AP79" s="10">
        <v>0</v>
      </c>
      <c r="AQ79" s="56">
        <f t="shared" si="23"/>
        <v>2</v>
      </c>
      <c r="AS79" s="11">
        <f ca="1">IFERROR(OFFSET(ITEM_RES!$A$1,MATCH(AT79,ITEM_RES!$J:$J,0)-1,0),0)</f>
        <v>211010601</v>
      </c>
      <c r="AT79" s="10" t="s">
        <v>1077</v>
      </c>
      <c r="AU79" s="11">
        <v>1050000</v>
      </c>
      <c r="AX79" s="11">
        <f ca="1">IFERROR(OFFSET(ITEM_RES!$A$1,MATCH(AY79,ITEM_RES!$J:$J,0)-1,0),0)</f>
        <v>211020901</v>
      </c>
      <c r="AY79" s="10" t="s">
        <v>438</v>
      </c>
      <c r="AZ79" s="11">
        <v>1050000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433</v>
      </c>
      <c r="M80" s="9">
        <v>0</v>
      </c>
      <c r="N80" s="9">
        <v>15</v>
      </c>
      <c r="O80" s="9" t="s">
        <v>1107</v>
      </c>
      <c r="S80" s="9" t="s">
        <v>679</v>
      </c>
      <c r="V80" s="9">
        <f ca="1">IFERROR(OFFSET(ITEM_RES!$A$5,MATCH(BUILDING!U80,ITEM_RES!$J$5:$J$229,0)-1,0),0)</f>
        <v>0</v>
      </c>
      <c r="X80" s="84" t="s">
        <v>532</v>
      </c>
      <c r="Y80" s="9">
        <f ca="1">IFERROR(OFFSET(ITEM_RES!$A$5,MATCH(BUILDING!X80,ITEM_RES!$J$5:$J$229,0)-1,0),0)</f>
        <v>211020101</v>
      </c>
      <c r="AA80" s="9" t="s">
        <v>502</v>
      </c>
      <c r="AB80" s="9">
        <v>16</v>
      </c>
      <c r="AD80" s="11">
        <f ca="1">IFERROR(OFFSET(MANOR_LEVEL!$B$1,MATCH(AE80-1,MANOR_LEVEL!$A:$A,0)-1,0),0)</f>
        <v>7772100</v>
      </c>
      <c r="AE80" s="56">
        <v>13</v>
      </c>
      <c r="AG80" s="56">
        <f t="shared" ca="1" si="9"/>
        <v>29215700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29215700</v>
      </c>
      <c r="AI80" s="179">
        <f t="shared" ca="1" si="17"/>
        <v>43456250</v>
      </c>
      <c r="AK80" s="11">
        <f t="shared" si="20"/>
        <v>18000</v>
      </c>
      <c r="AL80" s="10">
        <v>18000</v>
      </c>
      <c r="AM80" s="11">
        <f t="shared" ref="AM80" si="33">ROUND(AN80,0)</f>
        <v>700</v>
      </c>
      <c r="AN80" s="10">
        <v>700</v>
      </c>
      <c r="AO80" s="11">
        <v>1050000</v>
      </c>
      <c r="AP80" s="10">
        <v>0</v>
      </c>
      <c r="AQ80" s="56">
        <f t="shared" si="23"/>
        <v>2</v>
      </c>
      <c r="AS80" s="11">
        <f ca="1">IFERROR(OFFSET(ITEM_RES!$A$1,MATCH(AT80,ITEM_RES!$J:$J,0)-1,0),0)</f>
        <v>211010601</v>
      </c>
      <c r="AT80" s="10" t="s">
        <v>1077</v>
      </c>
      <c r="AU80" s="11">
        <v>2150000</v>
      </c>
      <c r="AX80" s="11">
        <f ca="1">IFERROR(OFFSET(ITEM_RES!$A$1,MATCH(AY80,ITEM_RES!$J:$J,0)-1,0),0)</f>
        <v>211020901</v>
      </c>
      <c r="AY80" s="10" t="s">
        <v>438</v>
      </c>
      <c r="AZ80" s="11">
        <v>2150000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433</v>
      </c>
      <c r="M81" s="9">
        <v>0</v>
      </c>
      <c r="N81" s="9">
        <v>15</v>
      </c>
      <c r="O81" s="9" t="s">
        <v>1107</v>
      </c>
      <c r="S81" s="9" t="s">
        <v>679</v>
      </c>
      <c r="V81" s="9">
        <f ca="1">IFERROR(OFFSET(ITEM_RES!$A$5,MATCH(BUILDING!U81,ITEM_RES!$J$5:$J$229,0)-1,0),0)</f>
        <v>0</v>
      </c>
      <c r="X81" s="84" t="s">
        <v>532</v>
      </c>
      <c r="Y81" s="9">
        <f ca="1">IFERROR(OFFSET(ITEM_RES!$A$5,MATCH(BUILDING!X81,ITEM_RES!$J$5:$J$229,0)-1,0),0)</f>
        <v>211020101</v>
      </c>
      <c r="AA81" s="9" t="s">
        <v>502</v>
      </c>
      <c r="AB81" s="9">
        <v>17</v>
      </c>
      <c r="AD81" s="11">
        <f ca="1">IFERROR(OFFSET(MANOR_LEVEL!$B$1,MATCH(AE81-1,MANOR_LEVEL!$A:$A,0)-1,0),0)</f>
        <v>13022450</v>
      </c>
      <c r="AE81" s="56">
        <v>14</v>
      </c>
      <c r="AG81" s="56">
        <f t="shared" ca="1" si="9"/>
        <v>54550850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54550850</v>
      </c>
      <c r="AI81" s="179">
        <f t="shared" ca="1" si="17"/>
        <v>83766550</v>
      </c>
      <c r="AK81" s="11">
        <f t="shared" si="20"/>
        <v>19800</v>
      </c>
      <c r="AL81" s="10">
        <v>19800</v>
      </c>
      <c r="AM81" s="11">
        <f t="shared" ref="AM81" si="34">ROUND(AN81,0)</f>
        <v>850</v>
      </c>
      <c r="AN81" s="10">
        <v>850</v>
      </c>
      <c r="AO81" s="11">
        <v>2150000</v>
      </c>
      <c r="AP81" s="10">
        <v>0</v>
      </c>
      <c r="AQ81" s="56">
        <f t="shared" si="23"/>
        <v>2</v>
      </c>
      <c r="AS81" s="11">
        <f ca="1">IFERROR(OFFSET(ITEM_RES!$A$1,MATCH(AT81,ITEM_RES!$J:$J,0)-1,0),0)</f>
        <v>211010601</v>
      </c>
      <c r="AT81" s="10" t="s">
        <v>1077</v>
      </c>
      <c r="AU81" s="11">
        <v>4000000</v>
      </c>
      <c r="AX81" s="11">
        <f ca="1">IFERROR(OFFSET(ITEM_RES!$A$1,MATCH(AY81,ITEM_RES!$J:$J,0)-1,0),0)</f>
        <v>211020901</v>
      </c>
      <c r="AY81" s="10" t="s">
        <v>438</v>
      </c>
      <c r="AZ81" s="11">
        <v>4000000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433</v>
      </c>
      <c r="M82" s="9">
        <v>0</v>
      </c>
      <c r="N82" s="9">
        <v>15</v>
      </c>
      <c r="O82" s="9" t="s">
        <v>1107</v>
      </c>
      <c r="S82" s="9" t="s">
        <v>679</v>
      </c>
      <c r="V82" s="9">
        <f ca="1">IFERROR(OFFSET(ITEM_RES!$A$5,MATCH(BUILDING!U82,ITEM_RES!$J$5:$J$229,0)-1,0),0)</f>
        <v>0</v>
      </c>
      <c r="X82" s="84" t="s">
        <v>532</v>
      </c>
      <c r="Y82" s="9">
        <f ca="1">IFERROR(OFFSET(ITEM_RES!$A$5,MATCH(BUILDING!X82,ITEM_RES!$J$5:$J$229,0)-1,0),0)</f>
        <v>211020101</v>
      </c>
      <c r="AA82" s="9" t="s">
        <v>502</v>
      </c>
      <c r="AB82" s="9">
        <v>18</v>
      </c>
      <c r="AD82" s="11">
        <f ca="1">IFERROR(OFFSET(MANOR_LEVEL!$B$1,MATCH(AE82-1,MANOR_LEVEL!$A:$A,0)-1,0),0)</f>
        <v>23283600</v>
      </c>
      <c r="AE82" s="56">
        <v>15</v>
      </c>
      <c r="AG82" s="56">
        <f t="shared" ca="1" si="9"/>
        <v>89151050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89151050</v>
      </c>
      <c r="AI82" s="179">
        <f t="shared" ca="1" si="17"/>
        <v>143701900</v>
      </c>
      <c r="AK82" s="11">
        <f t="shared" si="20"/>
        <v>21600</v>
      </c>
      <c r="AL82" s="10">
        <v>21600</v>
      </c>
      <c r="AM82" s="11">
        <f t="shared" ref="AM82" si="35">ROUND(AN82,0)</f>
        <v>1050</v>
      </c>
      <c r="AN82" s="10">
        <v>1050</v>
      </c>
      <c r="AO82" s="11">
        <v>4000000</v>
      </c>
      <c r="AP82" s="10">
        <v>0</v>
      </c>
      <c r="AQ82" s="56">
        <f t="shared" si="23"/>
        <v>2</v>
      </c>
      <c r="AS82" s="11">
        <f ca="1">IFERROR(OFFSET(ITEM_RES!$A$1,MATCH(AT82,ITEM_RES!$J:$J,0)-1,0),0)</f>
        <v>211010601</v>
      </c>
      <c r="AT82" s="10" t="s">
        <v>1077</v>
      </c>
      <c r="AU82" s="11">
        <v>6500000</v>
      </c>
      <c r="AX82" s="11">
        <f ca="1">IFERROR(OFFSET(ITEM_RES!$A$1,MATCH(AY82,ITEM_RES!$J:$J,0)-1,0),0)</f>
        <v>211020901</v>
      </c>
      <c r="AY82" s="10" t="s">
        <v>438</v>
      </c>
      <c r="AZ82" s="11">
        <v>6500000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433</v>
      </c>
      <c r="M83" s="9">
        <v>0</v>
      </c>
      <c r="N83" s="9">
        <v>15</v>
      </c>
      <c r="O83" s="9" t="s">
        <v>1107</v>
      </c>
      <c r="S83" s="9" t="s">
        <v>679</v>
      </c>
      <c r="V83" s="9">
        <f ca="1">IFERROR(OFFSET(ITEM_RES!$A$5,MATCH(BUILDING!U83,ITEM_RES!$J$5:$J$229,0)-1,0),0)</f>
        <v>0</v>
      </c>
      <c r="X83" s="84" t="s">
        <v>532</v>
      </c>
      <c r="Y83" s="9">
        <f ca="1">IFERROR(OFFSET(ITEM_RES!$A$5,MATCH(BUILDING!X83,ITEM_RES!$J$5:$J$229,0)-1,0),0)</f>
        <v>211020101</v>
      </c>
      <c r="AA83" s="9" t="s">
        <v>502</v>
      </c>
      <c r="AB83" s="9">
        <v>19</v>
      </c>
      <c r="AD83" s="11">
        <f ca="1">IFERROR(OFFSET(MANOR_LEVEL!$B$1,MATCH(AE83-1,MANOR_LEVEL!$A:$A,0)-1,0),0)</f>
        <v>50404400</v>
      </c>
      <c r="AE83" s="56">
        <v>16</v>
      </c>
      <c r="AG83" s="56">
        <f t="shared" ca="1" si="9"/>
        <v>137501250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137501250</v>
      </c>
      <c r="AI83" s="179">
        <f t="shared" ca="1" si="17"/>
        <v>226652300</v>
      </c>
      <c r="AK83" s="11">
        <f t="shared" si="20"/>
        <v>23400</v>
      </c>
      <c r="AL83" s="10">
        <v>23400</v>
      </c>
      <c r="AM83" s="11">
        <f t="shared" ref="AM83" si="36">ROUND(AN83,0)</f>
        <v>1250</v>
      </c>
      <c r="AN83" s="10">
        <v>1250</v>
      </c>
      <c r="AO83" s="11">
        <v>6500000</v>
      </c>
      <c r="AP83" s="10">
        <v>0</v>
      </c>
      <c r="AQ83" s="56">
        <f t="shared" si="23"/>
        <v>2</v>
      </c>
      <c r="AS83" s="11">
        <f ca="1">IFERROR(OFFSET(ITEM_RES!$A$1,MATCH(AT83,ITEM_RES!$J:$J,0)-1,0),0)</f>
        <v>211010601</v>
      </c>
      <c r="AT83" s="10" t="s">
        <v>1077</v>
      </c>
      <c r="AU83" s="11">
        <v>10000000</v>
      </c>
      <c r="AX83" s="11">
        <f ca="1">IFERROR(OFFSET(ITEM_RES!$A$1,MATCH(AY83,ITEM_RES!$J:$J,0)-1,0),0)</f>
        <v>211020901</v>
      </c>
      <c r="AY83" s="10" t="s">
        <v>438</v>
      </c>
      <c r="AZ83" s="11">
        <v>10000000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433</v>
      </c>
      <c r="M84" s="9">
        <v>0</v>
      </c>
      <c r="N84" s="9">
        <v>15</v>
      </c>
      <c r="O84" s="9" t="s">
        <v>1107</v>
      </c>
      <c r="S84" s="9" t="s">
        <v>679</v>
      </c>
      <c r="V84" s="9">
        <f ca="1">IFERROR(OFFSET(ITEM_RES!$A$5,MATCH(BUILDING!U84,ITEM_RES!$J$5:$J$229,0)-1,0),0)</f>
        <v>0</v>
      </c>
      <c r="X84" s="84" t="s">
        <v>532</v>
      </c>
      <c r="Y84" s="9">
        <f ca="1">IFERROR(OFFSET(ITEM_RES!$A$5,MATCH(BUILDING!X84,ITEM_RES!$J$5:$J$229,0)-1,0),0)</f>
        <v>211020101</v>
      </c>
      <c r="AA84" s="9" t="s">
        <v>502</v>
      </c>
      <c r="AB84" s="9">
        <v>20</v>
      </c>
      <c r="AD84" s="11">
        <f ca="1">IFERROR(OFFSET(MANOR_LEVEL!$B$1,MATCH(AE84-1,MANOR_LEVEL!$A:$A,0)-1,0),0)</f>
        <v>119976300</v>
      </c>
      <c r="AE84" s="56">
        <v>17</v>
      </c>
      <c r="AG84" s="56">
        <f t="shared" ca="1" si="9"/>
        <v>219601500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219601500</v>
      </c>
      <c r="AI84" s="179">
        <f t="shared" ca="1" si="17"/>
        <v>357102750</v>
      </c>
      <c r="AK84" s="11">
        <f t="shared" si="20"/>
        <v>25200</v>
      </c>
      <c r="AL84" s="10">
        <v>25200</v>
      </c>
      <c r="AM84" s="11">
        <f t="shared" ref="AM84" si="37">ROUND(AN84,0)</f>
        <v>1500</v>
      </c>
      <c r="AN84" s="10">
        <v>1500</v>
      </c>
      <c r="AO84" s="11">
        <v>10000000</v>
      </c>
      <c r="AP84" s="10">
        <v>0</v>
      </c>
      <c r="AQ84" s="56">
        <f t="shared" si="23"/>
        <v>2</v>
      </c>
      <c r="AS84" s="11">
        <f ca="1">IFERROR(OFFSET(ITEM_RES!$A$1,MATCH(AT84,ITEM_RES!$J:$J,0)-1,0),0)</f>
        <v>211010601</v>
      </c>
      <c r="AT84" s="10" t="s">
        <v>1077</v>
      </c>
      <c r="AU84" s="11">
        <v>16000000</v>
      </c>
      <c r="AX84" s="11">
        <f ca="1">IFERROR(OFFSET(ITEM_RES!$A$1,MATCH(AY84,ITEM_RES!$J:$J,0)-1,0),0)</f>
        <v>211020901</v>
      </c>
      <c r="AY84" s="10" t="s">
        <v>438</v>
      </c>
      <c r="AZ84" s="11">
        <v>16000000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368</v>
      </c>
      <c r="L85" s="66">
        <v>5</v>
      </c>
      <c r="M85" s="16">
        <v>1</v>
      </c>
      <c r="N85" s="16">
        <v>15</v>
      </c>
      <c r="O85" s="16" t="s">
        <v>756</v>
      </c>
      <c r="P85" s="17"/>
      <c r="Q85" s="17"/>
      <c r="R85" s="18"/>
      <c r="S85" s="16" t="s">
        <v>701</v>
      </c>
      <c r="T85" s="78"/>
      <c r="U85" s="86" t="s">
        <v>534</v>
      </c>
      <c r="V85" s="16">
        <f ca="1">IFERROR(OFFSET(ITEM_RES!$A$5,MATCH(BUILDING!U85,ITEM_RES!$J$5:$J$229,0)-1,0),0)</f>
        <v>211021101</v>
      </c>
      <c r="W85" s="18">
        <v>10</v>
      </c>
      <c r="X85" s="86" t="s">
        <v>533</v>
      </c>
      <c r="Y85" s="16">
        <f ca="1">IFERROR(OFFSET(ITEM_RES!$A$5,MATCH(BUILDING!X85,ITEM_RES!$J$5:$J$229,0)-1,0),0)</f>
        <v>211010401</v>
      </c>
      <c r="Z85" s="78"/>
      <c r="AA85" s="16" t="s">
        <v>503</v>
      </c>
      <c r="AB85" s="16">
        <v>1</v>
      </c>
      <c r="AC85" s="78"/>
      <c r="AD85" s="18">
        <f ca="1">IFERROR(OFFSET(MANOR_LEVEL!$B$1,MATCH(AE85-1,MANOR_LEVEL!$A:$A,0)-1,0),0)</f>
        <v>1956000</v>
      </c>
      <c r="AE85" s="57">
        <v>11</v>
      </c>
      <c r="AF85" s="78"/>
      <c r="AG85" s="57">
        <f t="shared" ca="1" si="9"/>
        <v>1105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1105</v>
      </c>
      <c r="AI85" s="181">
        <f ca="1">AG85</f>
        <v>1105</v>
      </c>
      <c r="AJ85" s="78"/>
      <c r="AK85" s="18">
        <f t="shared" si="20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3"/>
        <v>3</v>
      </c>
      <c r="AR85" s="18"/>
      <c r="AS85" s="18">
        <f ca="1">IFERROR(OFFSET(ITEM_RES!$A$1,MATCH(AT85,ITEM_RES!$J:$J,0)-1,0),0)</f>
        <v>211020201</v>
      </c>
      <c r="AT85" s="17" t="s">
        <v>426</v>
      </c>
      <c r="AU85" s="18">
        <v>50</v>
      </c>
      <c r="AV85" s="17"/>
      <c r="AW85" s="18"/>
      <c r="AX85" s="18">
        <f ca="1">IFERROR(OFFSET(ITEM_RES!$A$1,MATCH(AY85,ITEM_RES!$J:$J,0)-1,0),0)</f>
        <v>211020401</v>
      </c>
      <c r="AY85" s="17" t="s">
        <v>430</v>
      </c>
      <c r="AZ85" s="18">
        <v>50</v>
      </c>
      <c r="BA85" s="17"/>
      <c r="BB85" s="18"/>
      <c r="BC85" s="18">
        <f ca="1">IFERROR(OFFSET(ITEM_RES!$A$1,MATCH(BD85,ITEM_RES!$J:$J,0)-1,0),0)</f>
        <v>213010101</v>
      </c>
      <c r="BD85" s="17" t="s">
        <v>445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368</v>
      </c>
      <c r="M86" s="9">
        <v>1</v>
      </c>
      <c r="N86" s="9">
        <v>15</v>
      </c>
      <c r="O86" s="9" t="s">
        <v>756</v>
      </c>
      <c r="S86" s="9" t="s">
        <v>701</v>
      </c>
      <c r="U86" s="84" t="s">
        <v>534</v>
      </c>
      <c r="V86" s="9">
        <f ca="1">IFERROR(OFFSET(ITEM_RES!$A$5,MATCH(BUILDING!U86,ITEM_RES!$J$5:$J$229,0)-1,0),0)</f>
        <v>211021101</v>
      </c>
      <c r="W86" s="11">
        <v>10</v>
      </c>
      <c r="X86" s="84" t="s">
        <v>533</v>
      </c>
      <c r="Y86" s="9">
        <f ca="1">IFERROR(OFFSET(ITEM_RES!$A$5,MATCH(BUILDING!X86,ITEM_RES!$J$5:$J$229,0)-1,0),0)</f>
        <v>211010401</v>
      </c>
      <c r="AA86" s="9" t="s">
        <v>503</v>
      </c>
      <c r="AB86" s="9">
        <v>2</v>
      </c>
      <c r="AD86" s="11">
        <f ca="1">IFERROR(OFFSET(MANOR_LEVEL!$B$1,MATCH(AE86-1,MANOR_LEVEL!$A:$A,0)-1,0),0)</f>
        <v>1956000</v>
      </c>
      <c r="AE86" s="56">
        <v>11</v>
      </c>
      <c r="AG86" s="56">
        <f t="shared" ca="1" si="9"/>
        <v>210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210</v>
      </c>
      <c r="AI86" s="179">
        <f ca="1">AG85+AG86</f>
        <v>1315</v>
      </c>
      <c r="AK86" s="11">
        <f t="shared" si="20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3"/>
        <v>2</v>
      </c>
      <c r="AS86" s="11">
        <f ca="1">IFERROR(OFFSET(ITEM_RES!$A$1,MATCH(AT86,ITEM_RES!$J:$J,0)-1,0),0)</f>
        <v>211020201</v>
      </c>
      <c r="AT86" s="10" t="s">
        <v>427</v>
      </c>
      <c r="AU86" s="11">
        <v>100</v>
      </c>
      <c r="AX86" s="11">
        <f ca="1">IFERROR(OFFSET(ITEM_RES!$A$1,MATCH(AY86,ITEM_RES!$J:$J,0)-1,0),0)</f>
        <v>211020401</v>
      </c>
      <c r="AY86" s="10" t="s">
        <v>430</v>
      </c>
      <c r="AZ86" s="11">
        <v>100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368</v>
      </c>
      <c r="M87" s="9">
        <v>1</v>
      </c>
      <c r="N87" s="9">
        <v>15</v>
      </c>
      <c r="O87" s="9" t="s">
        <v>756</v>
      </c>
      <c r="S87" s="9" t="s">
        <v>701</v>
      </c>
      <c r="U87" s="84" t="s">
        <v>534</v>
      </c>
      <c r="V87" s="9">
        <f ca="1">IFERROR(OFFSET(ITEM_RES!$A$5,MATCH(BUILDING!U87,ITEM_RES!$J$5:$J$229,0)-1,0),0)</f>
        <v>211021101</v>
      </c>
      <c r="W87" s="11">
        <v>10</v>
      </c>
      <c r="X87" s="84" t="s">
        <v>533</v>
      </c>
      <c r="Y87" s="9">
        <f ca="1">IFERROR(OFFSET(ITEM_RES!$A$5,MATCH(BUILDING!X87,ITEM_RES!$J$5:$J$229,0)-1,0),0)</f>
        <v>211010401</v>
      </c>
      <c r="AA87" s="9" t="s">
        <v>503</v>
      </c>
      <c r="AB87" s="9">
        <v>3</v>
      </c>
      <c r="AD87" s="11">
        <f ca="1">IFERROR(OFFSET(MANOR_LEVEL!$B$1,MATCH(AE87-1,MANOR_LEVEL!$A:$A,0)-1,0),0)</f>
        <v>1956000</v>
      </c>
      <c r="AE87" s="56">
        <v>11</v>
      </c>
      <c r="AG87" s="56">
        <f t="shared" ca="1" si="9"/>
        <v>315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315</v>
      </c>
      <c r="AI87" s="179">
        <f t="shared" ref="AI87:AI104" ca="1" si="38">AG86+AG87</f>
        <v>525</v>
      </c>
      <c r="AK87" s="11">
        <f t="shared" si="20"/>
        <v>30</v>
      </c>
      <c r="AL87" s="10">
        <v>30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3"/>
        <v>2</v>
      </c>
      <c r="AS87" s="11">
        <f ca="1">IFERROR(OFFSET(ITEM_RES!$A$1,MATCH(AT87,ITEM_RES!$J:$J,0)-1,0),0)</f>
        <v>211020201</v>
      </c>
      <c r="AT87" s="10" t="s">
        <v>426</v>
      </c>
      <c r="AU87" s="11">
        <v>150</v>
      </c>
      <c r="AX87" s="11">
        <f ca="1">IFERROR(OFFSET(ITEM_RES!$A$1,MATCH(AY87,ITEM_RES!$J:$J,0)-1,0),0)</f>
        <v>211020401</v>
      </c>
      <c r="AY87" s="10" t="s">
        <v>430</v>
      </c>
      <c r="AZ87" s="11">
        <v>150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368</v>
      </c>
      <c r="M88" s="9">
        <v>1</v>
      </c>
      <c r="N88" s="9">
        <v>15</v>
      </c>
      <c r="O88" s="9" t="s">
        <v>756</v>
      </c>
      <c r="S88" s="9" t="s">
        <v>701</v>
      </c>
      <c r="U88" s="84" t="s">
        <v>534</v>
      </c>
      <c r="V88" s="9">
        <f ca="1">IFERROR(OFFSET(ITEM_RES!$A$5,MATCH(BUILDING!U88,ITEM_RES!$J$5:$J$229,0)-1,0),0)</f>
        <v>211021101</v>
      </c>
      <c r="W88" s="11">
        <v>10</v>
      </c>
      <c r="X88" s="84" t="s">
        <v>533</v>
      </c>
      <c r="Y88" s="9">
        <f ca="1">IFERROR(OFFSET(ITEM_RES!$A$5,MATCH(BUILDING!X88,ITEM_RES!$J$5:$J$229,0)-1,0),0)</f>
        <v>211010401</v>
      </c>
      <c r="AA88" s="9" t="s">
        <v>503</v>
      </c>
      <c r="AB88" s="9">
        <v>4</v>
      </c>
      <c r="AD88" s="11">
        <f ca="1">IFERROR(OFFSET(MANOR_LEVEL!$B$1,MATCH(AE88-1,MANOR_LEVEL!$A:$A,0)-1,0),0)</f>
        <v>3961500</v>
      </c>
      <c r="AE88" s="56">
        <v>12</v>
      </c>
      <c r="AG88" s="56">
        <f t="shared" ca="1" si="9"/>
        <v>1225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1225</v>
      </c>
      <c r="AI88" s="179">
        <f t="shared" ca="1" si="38"/>
        <v>1540</v>
      </c>
      <c r="AK88" s="11">
        <f t="shared" si="20"/>
        <v>300</v>
      </c>
      <c r="AL88" s="10">
        <v>300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3"/>
        <v>2</v>
      </c>
      <c r="AS88" s="11">
        <f ca="1">IFERROR(OFFSET(ITEM_RES!$A$1,MATCH(AT88,ITEM_RES!$J:$J,0)-1,0),0)</f>
        <v>211020201</v>
      </c>
      <c r="AT88" s="10" t="s">
        <v>427</v>
      </c>
      <c r="AU88" s="11">
        <v>600</v>
      </c>
      <c r="AX88" s="11">
        <f ca="1">IFERROR(OFFSET(ITEM_RES!$A$1,MATCH(AY88,ITEM_RES!$J:$J,0)-1,0),0)</f>
        <v>211020401</v>
      </c>
      <c r="AY88" s="10" t="s">
        <v>430</v>
      </c>
      <c r="AZ88" s="11">
        <v>600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39">B89*10000000+C89*1000000+D89*10000+E89*100+F89</f>
        <v>112010005</v>
      </c>
      <c r="B89" s="13">
        <v>11</v>
      </c>
      <c r="C89" s="12">
        <f t="shared" ref="C89:C152" si="40">H89</f>
        <v>2</v>
      </c>
      <c r="D89" s="13">
        <v>1</v>
      </c>
      <c r="E89" s="13">
        <v>0</v>
      </c>
      <c r="F89" s="12">
        <f t="shared" ref="F89:F152" si="41">I89</f>
        <v>5</v>
      </c>
      <c r="H89" s="9">
        <v>2</v>
      </c>
      <c r="I89" s="9">
        <v>5</v>
      </c>
      <c r="K89" s="9" t="s">
        <v>368</v>
      </c>
      <c r="M89" s="9">
        <v>1</v>
      </c>
      <c r="N89" s="9">
        <v>15</v>
      </c>
      <c r="O89" s="9" t="s">
        <v>756</v>
      </c>
      <c r="S89" s="9" t="s">
        <v>701</v>
      </c>
      <c r="U89" s="84" t="s">
        <v>534</v>
      </c>
      <c r="V89" s="9">
        <f ca="1">IFERROR(OFFSET(ITEM_RES!$A$5,MATCH(BUILDING!U89,ITEM_RES!$J$5:$J$229,0)-1,0),0)</f>
        <v>211021101</v>
      </c>
      <c r="W89" s="11">
        <v>10</v>
      </c>
      <c r="X89" s="84" t="s">
        <v>533</v>
      </c>
      <c r="Y89" s="9">
        <f ca="1">IFERROR(OFFSET(ITEM_RES!$A$5,MATCH(BUILDING!X89,ITEM_RES!$J$5:$J$229,0)-1,0),0)</f>
        <v>211010401</v>
      </c>
      <c r="AA89" s="9" t="s">
        <v>503</v>
      </c>
      <c r="AB89" s="9">
        <v>5</v>
      </c>
      <c r="AD89" s="11">
        <f ca="1">IFERROR(OFFSET(MANOR_LEVEL!$B$1,MATCH(AE89-1,MANOR_LEVEL!$A:$A,0)-1,0),0)</f>
        <v>3961500</v>
      </c>
      <c r="AE89" s="56">
        <v>12</v>
      </c>
      <c r="AG89" s="56">
        <f t="shared" ca="1" si="9"/>
        <v>5440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5440</v>
      </c>
      <c r="AI89" s="179">
        <f t="shared" ca="1" si="38"/>
        <v>6665</v>
      </c>
      <c r="AK89" s="11">
        <f t="shared" si="20"/>
        <v>600</v>
      </c>
      <c r="AL89" s="10">
        <v>600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3"/>
        <v>2</v>
      </c>
      <c r="AS89" s="11">
        <f ca="1">IFERROR(OFFSET(ITEM_RES!$A$1,MATCH(AT89,ITEM_RES!$J:$J,0)-1,0),0)</f>
        <v>211020201</v>
      </c>
      <c r="AT89" s="10" t="s">
        <v>426</v>
      </c>
      <c r="AU89" s="11">
        <v>2700</v>
      </c>
      <c r="AX89" s="11">
        <f ca="1">IFERROR(OFFSET(ITEM_RES!$A$1,MATCH(AY89,ITEM_RES!$J:$J,0)-1,0),0)</f>
        <v>211020401</v>
      </c>
      <c r="AY89" s="10" t="s">
        <v>430</v>
      </c>
      <c r="AZ89" s="11">
        <v>2700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42">IF(BP89&lt;100,ROUND(BP89,1-LEN(ROUND(BP89,0))),ROUND(BP89,2-LEN(ROUND(BP89,0))))</f>
        <v>0</v>
      </c>
    </row>
    <row r="90" spans="1:68" x14ac:dyDescent="0.3">
      <c r="A90" s="14">
        <f t="shared" si="39"/>
        <v>112010006</v>
      </c>
      <c r="B90" s="13">
        <v>11</v>
      </c>
      <c r="C90" s="12">
        <f t="shared" si="40"/>
        <v>2</v>
      </c>
      <c r="D90" s="13">
        <v>1</v>
      </c>
      <c r="E90" s="13">
        <v>0</v>
      </c>
      <c r="F90" s="12">
        <f t="shared" si="41"/>
        <v>6</v>
      </c>
      <c r="H90" s="9">
        <v>2</v>
      </c>
      <c r="I90" s="9">
        <v>6</v>
      </c>
      <c r="K90" s="9" t="s">
        <v>368</v>
      </c>
      <c r="M90" s="9">
        <v>1</v>
      </c>
      <c r="N90" s="9">
        <v>15</v>
      </c>
      <c r="O90" s="9" t="s">
        <v>756</v>
      </c>
      <c r="S90" s="9" t="s">
        <v>701</v>
      </c>
      <c r="U90" s="84" t="s">
        <v>534</v>
      </c>
      <c r="V90" s="9">
        <f ca="1">IFERROR(OFFSET(ITEM_RES!$A$5,MATCH(BUILDING!U90,ITEM_RES!$J$5:$J$229,0)-1,0),0)</f>
        <v>211021101</v>
      </c>
      <c r="W90" s="11">
        <v>10</v>
      </c>
      <c r="X90" s="84" t="s">
        <v>533</v>
      </c>
      <c r="Y90" s="9">
        <f ca="1">IFERROR(OFFSET(ITEM_RES!$A$5,MATCH(BUILDING!X90,ITEM_RES!$J$5:$J$229,0)-1,0),0)</f>
        <v>211010401</v>
      </c>
      <c r="AA90" s="9" t="s">
        <v>503</v>
      </c>
      <c r="AB90" s="9">
        <v>6</v>
      </c>
      <c r="AD90" s="11">
        <f ca="1">IFERROR(OFFSET(MANOR_LEVEL!$B$1,MATCH(AE90-1,MANOR_LEVEL!$A:$A,0)-1,0),0)</f>
        <v>3961500</v>
      </c>
      <c r="AE90" s="56">
        <v>12</v>
      </c>
      <c r="AG90" s="56">
        <f t="shared" ref="AG90:AG153" ca="1" si="43">ROUND(AH90,0)</f>
        <v>18050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18050</v>
      </c>
      <c r="AI90" s="179">
        <f t="shared" ca="1" si="38"/>
        <v>23490</v>
      </c>
      <c r="AK90" s="11">
        <f t="shared" si="20"/>
        <v>1200</v>
      </c>
      <c r="AL90" s="10">
        <v>1200</v>
      </c>
      <c r="AM90" s="11">
        <f t="shared" ref="AM90:AO153" si="44">ROUND(AN90,0)</f>
        <v>50</v>
      </c>
      <c r="AN90" s="10">
        <v>50</v>
      </c>
      <c r="AO90" s="11">
        <f t="shared" si="44"/>
        <v>0</v>
      </c>
      <c r="AP90" s="10">
        <v>0</v>
      </c>
      <c r="AQ90" s="56">
        <f t="shared" si="23"/>
        <v>2</v>
      </c>
      <c r="AS90" s="11">
        <f ca="1">IFERROR(OFFSET(ITEM_RES!$A$1,MATCH(AT90,ITEM_RES!$J:$J,0)-1,0),0)</f>
        <v>211020201</v>
      </c>
      <c r="AT90" s="10" t="s">
        <v>427</v>
      </c>
      <c r="AU90" s="11">
        <v>9000</v>
      </c>
      <c r="AX90" s="11">
        <f ca="1">IFERROR(OFFSET(ITEM_RES!$A$1,MATCH(AY90,ITEM_RES!$J:$J,0)-1,0),0)</f>
        <v>211020401</v>
      </c>
      <c r="AY90" s="10" t="s">
        <v>430</v>
      </c>
      <c r="AZ90" s="11">
        <v>9000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42"/>
        <v>0</v>
      </c>
    </row>
    <row r="91" spans="1:68" x14ac:dyDescent="0.3">
      <c r="A91" s="14">
        <f t="shared" si="39"/>
        <v>112010007</v>
      </c>
      <c r="B91" s="13">
        <v>11</v>
      </c>
      <c r="C91" s="12">
        <f t="shared" si="40"/>
        <v>2</v>
      </c>
      <c r="D91" s="13">
        <v>1</v>
      </c>
      <c r="E91" s="13">
        <v>0</v>
      </c>
      <c r="F91" s="12">
        <f t="shared" si="41"/>
        <v>7</v>
      </c>
      <c r="H91" s="9">
        <v>2</v>
      </c>
      <c r="I91" s="9">
        <v>7</v>
      </c>
      <c r="K91" s="9" t="s">
        <v>368</v>
      </c>
      <c r="M91" s="9">
        <v>1</v>
      </c>
      <c r="N91" s="9">
        <v>15</v>
      </c>
      <c r="O91" s="9" t="s">
        <v>756</v>
      </c>
      <c r="S91" s="9" t="s">
        <v>701</v>
      </c>
      <c r="U91" s="84" t="s">
        <v>534</v>
      </c>
      <c r="V91" s="9">
        <f ca="1">IFERROR(OFFSET(ITEM_RES!$A$5,MATCH(BUILDING!U91,ITEM_RES!$J$5:$J$229,0)-1,0),0)</f>
        <v>211021101</v>
      </c>
      <c r="W91" s="11">
        <v>10</v>
      </c>
      <c r="X91" s="84" t="s">
        <v>533</v>
      </c>
      <c r="Y91" s="9">
        <f ca="1">IFERROR(OFFSET(ITEM_RES!$A$5,MATCH(BUILDING!X91,ITEM_RES!$J$5:$J$229,0)-1,0),0)</f>
        <v>211010401</v>
      </c>
      <c r="AA91" s="9" t="s">
        <v>503</v>
      </c>
      <c r="AB91" s="9">
        <v>7</v>
      </c>
      <c r="AD91" s="11">
        <f ca="1">IFERROR(OFFSET(MANOR_LEVEL!$B$1,MATCH(AE91-1,MANOR_LEVEL!$A:$A,0)-1,0),0)</f>
        <v>3961500</v>
      </c>
      <c r="AE91" s="56">
        <v>12</v>
      </c>
      <c r="AG91" s="56">
        <f t="shared" ca="1" si="43"/>
        <v>44100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44100</v>
      </c>
      <c r="AI91" s="179">
        <f t="shared" ca="1" si="38"/>
        <v>62150</v>
      </c>
      <c r="AK91" s="11">
        <f t="shared" si="20"/>
        <v>1800</v>
      </c>
      <c r="AL91" s="10">
        <v>1800</v>
      </c>
      <c r="AM91" s="11">
        <f t="shared" si="44"/>
        <v>100</v>
      </c>
      <c r="AN91" s="10">
        <v>100</v>
      </c>
      <c r="AO91" s="11">
        <f t="shared" si="44"/>
        <v>0</v>
      </c>
      <c r="AP91" s="10">
        <v>0</v>
      </c>
      <c r="AQ91" s="56">
        <f t="shared" si="23"/>
        <v>2</v>
      </c>
      <c r="AS91" s="11">
        <f ca="1">IFERROR(OFFSET(ITEM_RES!$A$1,MATCH(AT91,ITEM_RES!$J:$J,0)-1,0),0)</f>
        <v>211020301</v>
      </c>
      <c r="AT91" s="10" t="s">
        <v>389</v>
      </c>
      <c r="AU91" s="11">
        <v>20000</v>
      </c>
      <c r="AX91" s="11">
        <f ca="1">IFERROR(OFFSET(ITEM_RES!$A$1,MATCH(AY91,ITEM_RES!$J:$J,0)-1,0),0)</f>
        <v>211020401</v>
      </c>
      <c r="AY91" s="10" t="s">
        <v>430</v>
      </c>
      <c r="AZ91" s="11">
        <v>20000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42"/>
        <v>0</v>
      </c>
    </row>
    <row r="92" spans="1:68" x14ac:dyDescent="0.3">
      <c r="A92" s="14">
        <f t="shared" si="39"/>
        <v>112010008</v>
      </c>
      <c r="B92" s="13">
        <v>11</v>
      </c>
      <c r="C92" s="12">
        <f t="shared" si="40"/>
        <v>2</v>
      </c>
      <c r="D92" s="13">
        <v>1</v>
      </c>
      <c r="E92" s="13">
        <v>0</v>
      </c>
      <c r="F92" s="12">
        <f t="shared" si="41"/>
        <v>8</v>
      </c>
      <c r="H92" s="9">
        <v>2</v>
      </c>
      <c r="I92" s="9">
        <v>8</v>
      </c>
      <c r="K92" s="9" t="s">
        <v>368</v>
      </c>
      <c r="M92" s="9">
        <v>1</v>
      </c>
      <c r="N92" s="9">
        <v>15</v>
      </c>
      <c r="O92" s="9" t="s">
        <v>756</v>
      </c>
      <c r="S92" s="9" t="s">
        <v>701</v>
      </c>
      <c r="U92" s="84" t="s">
        <v>534</v>
      </c>
      <c r="V92" s="9">
        <f ca="1">IFERROR(OFFSET(ITEM_RES!$A$5,MATCH(BUILDING!U92,ITEM_RES!$J$5:$J$229,0)-1,0),0)</f>
        <v>211021101</v>
      </c>
      <c r="W92" s="11">
        <v>10</v>
      </c>
      <c r="X92" s="84" t="s">
        <v>533</v>
      </c>
      <c r="Y92" s="9">
        <f ca="1">IFERROR(OFFSET(ITEM_RES!$A$5,MATCH(BUILDING!X92,ITEM_RES!$J$5:$J$229,0)-1,0),0)</f>
        <v>211010401</v>
      </c>
      <c r="AA92" s="9" t="s">
        <v>503</v>
      </c>
      <c r="AB92" s="9">
        <v>8</v>
      </c>
      <c r="AD92" s="11">
        <f ca="1">IFERROR(OFFSET(MANOR_LEVEL!$B$1,MATCH(AE92-1,MANOR_LEVEL!$A:$A,0)-1,0),0)</f>
        <v>3961500</v>
      </c>
      <c r="AE92" s="56">
        <v>12</v>
      </c>
      <c r="AG92" s="56">
        <f t="shared" ca="1" si="43"/>
        <v>92500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92500</v>
      </c>
      <c r="AI92" s="179">
        <f t="shared" ca="1" si="38"/>
        <v>136600</v>
      </c>
      <c r="AK92" s="11">
        <f t="shared" si="20"/>
        <v>3600</v>
      </c>
      <c r="AL92" s="10">
        <v>3600</v>
      </c>
      <c r="AM92" s="11">
        <f t="shared" si="44"/>
        <v>100</v>
      </c>
      <c r="AN92" s="10">
        <v>100</v>
      </c>
      <c r="AO92" s="11">
        <f t="shared" si="44"/>
        <v>0</v>
      </c>
      <c r="AP92" s="10">
        <v>0</v>
      </c>
      <c r="AQ92" s="56">
        <f t="shared" si="23"/>
        <v>2</v>
      </c>
      <c r="AS92" s="11">
        <f ca="1">IFERROR(OFFSET(ITEM_RES!$A$1,MATCH(AT92,ITEM_RES!$J:$J,0)-1,0),0)</f>
        <v>211020301</v>
      </c>
      <c r="AT92" s="10" t="s">
        <v>389</v>
      </c>
      <c r="AU92" s="11">
        <v>42000</v>
      </c>
      <c r="AX92" s="11">
        <f ca="1">IFERROR(OFFSET(ITEM_RES!$A$1,MATCH(AY92,ITEM_RES!$J:$J,0)-1,0),0)</f>
        <v>211020401</v>
      </c>
      <c r="AY92" s="10" t="s">
        <v>430</v>
      </c>
      <c r="AZ92" s="11">
        <v>42000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42"/>
        <v>0</v>
      </c>
    </row>
    <row r="93" spans="1:68" x14ac:dyDescent="0.3">
      <c r="A93" s="14">
        <f t="shared" si="39"/>
        <v>112010009</v>
      </c>
      <c r="B93" s="13">
        <v>11</v>
      </c>
      <c r="C93" s="12">
        <f t="shared" si="40"/>
        <v>2</v>
      </c>
      <c r="D93" s="13">
        <v>1</v>
      </c>
      <c r="E93" s="13">
        <v>0</v>
      </c>
      <c r="F93" s="12">
        <f t="shared" si="41"/>
        <v>9</v>
      </c>
      <c r="H93" s="9">
        <v>2</v>
      </c>
      <c r="I93" s="9">
        <v>9</v>
      </c>
      <c r="K93" s="9" t="s">
        <v>368</v>
      </c>
      <c r="M93" s="9">
        <v>1</v>
      </c>
      <c r="N93" s="9">
        <v>15</v>
      </c>
      <c r="O93" s="9" t="s">
        <v>756</v>
      </c>
      <c r="S93" s="9" t="s">
        <v>701</v>
      </c>
      <c r="U93" s="84" t="s">
        <v>534</v>
      </c>
      <c r="V93" s="9">
        <f ca="1">IFERROR(OFFSET(ITEM_RES!$A$5,MATCH(BUILDING!U93,ITEM_RES!$J$5:$J$229,0)-1,0),0)</f>
        <v>211021101</v>
      </c>
      <c r="W93" s="11">
        <v>10</v>
      </c>
      <c r="X93" s="84" t="s">
        <v>533</v>
      </c>
      <c r="Y93" s="9">
        <f ca="1">IFERROR(OFFSET(ITEM_RES!$A$5,MATCH(BUILDING!X93,ITEM_RES!$J$5:$J$229,0)-1,0),0)</f>
        <v>211010401</v>
      </c>
      <c r="AA93" s="9" t="s">
        <v>503</v>
      </c>
      <c r="AB93" s="9">
        <v>9</v>
      </c>
      <c r="AD93" s="11">
        <f ca="1">IFERROR(OFFSET(MANOR_LEVEL!$B$1,MATCH(AE93-1,MANOR_LEVEL!$A:$A,0)-1,0),0)</f>
        <v>3961500</v>
      </c>
      <c r="AE93" s="56">
        <v>12</v>
      </c>
      <c r="AG93" s="56">
        <f t="shared" ca="1" si="43"/>
        <v>171750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171750</v>
      </c>
      <c r="AI93" s="179">
        <f t="shared" ca="1" si="38"/>
        <v>264250</v>
      </c>
      <c r="AK93" s="11">
        <f t="shared" si="20"/>
        <v>5400</v>
      </c>
      <c r="AL93" s="10">
        <v>5400</v>
      </c>
      <c r="AM93" s="11">
        <f t="shared" si="44"/>
        <v>150</v>
      </c>
      <c r="AN93" s="10">
        <v>150</v>
      </c>
      <c r="AO93" s="11">
        <f t="shared" si="44"/>
        <v>0</v>
      </c>
      <c r="AP93" s="10">
        <v>0</v>
      </c>
      <c r="AQ93" s="56">
        <f t="shared" si="23"/>
        <v>2</v>
      </c>
      <c r="AS93" s="11">
        <f ca="1">IFERROR(OFFSET(ITEM_RES!$A$1,MATCH(AT93,ITEM_RES!$J:$J,0)-1,0),0)</f>
        <v>211020301</v>
      </c>
      <c r="AT93" s="10" t="s">
        <v>389</v>
      </c>
      <c r="AU93" s="11">
        <v>78000</v>
      </c>
      <c r="AX93" s="11">
        <f ca="1">IFERROR(OFFSET(ITEM_RES!$A$1,MATCH(AY93,ITEM_RES!$J:$J,0)-1,0),0)</f>
        <v>211020401</v>
      </c>
      <c r="AY93" s="10" t="s">
        <v>430</v>
      </c>
      <c r="AZ93" s="11">
        <v>78000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42"/>
        <v>0</v>
      </c>
    </row>
    <row r="94" spans="1:68" x14ac:dyDescent="0.3">
      <c r="A94" s="14">
        <f t="shared" si="39"/>
        <v>112010010</v>
      </c>
      <c r="B94" s="13">
        <v>11</v>
      </c>
      <c r="C94" s="12">
        <f t="shared" si="40"/>
        <v>2</v>
      </c>
      <c r="D94" s="13">
        <v>1</v>
      </c>
      <c r="E94" s="13">
        <v>0</v>
      </c>
      <c r="F94" s="12">
        <f t="shared" si="41"/>
        <v>10</v>
      </c>
      <c r="H94" s="9">
        <v>2</v>
      </c>
      <c r="I94" s="9">
        <v>10</v>
      </c>
      <c r="K94" s="9" t="s">
        <v>368</v>
      </c>
      <c r="M94" s="9">
        <v>1</v>
      </c>
      <c r="N94" s="9">
        <v>15</v>
      </c>
      <c r="O94" s="9" t="s">
        <v>756</v>
      </c>
      <c r="S94" s="9" t="s">
        <v>701</v>
      </c>
      <c r="U94" s="84" t="s">
        <v>534</v>
      </c>
      <c r="V94" s="9">
        <f ca="1">IFERROR(OFFSET(ITEM_RES!$A$5,MATCH(BUILDING!U94,ITEM_RES!$J$5:$J$229,0)-1,0),0)</f>
        <v>211021101</v>
      </c>
      <c r="W94" s="11">
        <v>10</v>
      </c>
      <c r="X94" s="84" t="s">
        <v>533</v>
      </c>
      <c r="Y94" s="9">
        <f ca="1">IFERROR(OFFSET(ITEM_RES!$A$5,MATCH(BUILDING!X94,ITEM_RES!$J$5:$J$229,0)-1,0),0)</f>
        <v>211010401</v>
      </c>
      <c r="AA94" s="9" t="s">
        <v>503</v>
      </c>
      <c r="AB94" s="9">
        <v>10</v>
      </c>
      <c r="AD94" s="11">
        <f ca="1">IFERROR(OFFSET(MANOR_LEVEL!$B$1,MATCH(AE94-1,MANOR_LEVEL!$A:$A,0)-1,0),0)</f>
        <v>3961500</v>
      </c>
      <c r="AE94" s="56">
        <v>12</v>
      </c>
      <c r="AG94" s="56">
        <f t="shared" ca="1" si="43"/>
        <v>286200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286200</v>
      </c>
      <c r="AI94" s="179">
        <f t="shared" ca="1" si="38"/>
        <v>457950</v>
      </c>
      <c r="AK94" s="11">
        <f t="shared" si="20"/>
        <v>7200</v>
      </c>
      <c r="AL94" s="10">
        <v>7200</v>
      </c>
      <c r="AM94" s="11">
        <f t="shared" si="44"/>
        <v>200</v>
      </c>
      <c r="AN94" s="10">
        <v>200</v>
      </c>
      <c r="AO94" s="11">
        <f t="shared" si="44"/>
        <v>0</v>
      </c>
      <c r="AP94" s="10">
        <v>0</v>
      </c>
      <c r="AQ94" s="56">
        <f t="shared" si="23"/>
        <v>2</v>
      </c>
      <c r="AS94" s="11">
        <f ca="1">IFERROR(OFFSET(ITEM_RES!$A$1,MATCH(AT94,ITEM_RES!$J:$J,0)-1,0),0)</f>
        <v>211020301</v>
      </c>
      <c r="AT94" s="10" t="s">
        <v>389</v>
      </c>
      <c r="AU94" s="11">
        <v>130000</v>
      </c>
      <c r="AX94" s="11">
        <f ca="1">IFERROR(OFFSET(ITEM_RES!$A$1,MATCH(AY94,ITEM_RES!$J:$J,0)-1,0),0)</f>
        <v>211020401</v>
      </c>
      <c r="AY94" s="10" t="s">
        <v>430</v>
      </c>
      <c r="AZ94" s="11">
        <v>130000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42"/>
        <v>0</v>
      </c>
    </row>
    <row r="95" spans="1:68" x14ac:dyDescent="0.3">
      <c r="A95" s="14">
        <f t="shared" si="39"/>
        <v>112010011</v>
      </c>
      <c r="B95" s="13">
        <v>11</v>
      </c>
      <c r="C95" s="12">
        <f t="shared" si="40"/>
        <v>2</v>
      </c>
      <c r="D95" s="13">
        <v>1</v>
      </c>
      <c r="E95" s="13">
        <v>0</v>
      </c>
      <c r="F95" s="12">
        <f t="shared" si="41"/>
        <v>11</v>
      </c>
      <c r="H95" s="9">
        <v>2</v>
      </c>
      <c r="I95" s="9">
        <v>11</v>
      </c>
      <c r="K95" s="9" t="s">
        <v>368</v>
      </c>
      <c r="M95" s="9">
        <v>1</v>
      </c>
      <c r="N95" s="9">
        <v>15</v>
      </c>
      <c r="O95" s="9" t="s">
        <v>756</v>
      </c>
      <c r="S95" s="9" t="s">
        <v>701</v>
      </c>
      <c r="U95" s="84" t="s">
        <v>534</v>
      </c>
      <c r="V95" s="9">
        <f ca="1">IFERROR(OFFSET(ITEM_RES!$A$5,MATCH(BUILDING!U95,ITEM_RES!$J$5:$J$229,0)-1,0),0)</f>
        <v>211021101</v>
      </c>
      <c r="W95" s="11">
        <v>10</v>
      </c>
      <c r="X95" s="84" t="s">
        <v>533</v>
      </c>
      <c r="Y95" s="9">
        <f ca="1">IFERROR(OFFSET(ITEM_RES!$A$5,MATCH(BUILDING!X95,ITEM_RES!$J$5:$J$229,0)-1,0),0)</f>
        <v>211010401</v>
      </c>
      <c r="AA95" s="9" t="s">
        <v>503</v>
      </c>
      <c r="AB95" s="9">
        <v>11</v>
      </c>
      <c r="AD95" s="11">
        <f ca="1">IFERROR(OFFSET(MANOR_LEVEL!$B$1,MATCH(AE95-1,MANOR_LEVEL!$A:$A,0)-1,0),0)</f>
        <v>3961500</v>
      </c>
      <c r="AE95" s="56">
        <v>12</v>
      </c>
      <c r="AG95" s="56">
        <f t="shared" ca="1" si="43"/>
        <v>484250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484250</v>
      </c>
      <c r="AI95" s="179">
        <f t="shared" ca="1" si="38"/>
        <v>770450</v>
      </c>
      <c r="AK95" s="11">
        <f t="shared" si="20"/>
        <v>9000</v>
      </c>
      <c r="AL95" s="10">
        <v>9000</v>
      </c>
      <c r="AM95" s="11">
        <f t="shared" si="44"/>
        <v>250</v>
      </c>
      <c r="AN95" s="10">
        <v>250</v>
      </c>
      <c r="AO95" s="11">
        <f t="shared" si="44"/>
        <v>0</v>
      </c>
      <c r="AP95" s="10">
        <v>0</v>
      </c>
      <c r="AQ95" s="56">
        <f t="shared" si="23"/>
        <v>2</v>
      </c>
      <c r="AS95" s="11">
        <f ca="1">IFERROR(OFFSET(ITEM_RES!$A$1,MATCH(AT95,ITEM_RES!$J:$J,0)-1,0),0)</f>
        <v>211020301</v>
      </c>
      <c r="AT95" s="10" t="s">
        <v>389</v>
      </c>
      <c r="AU95" s="11">
        <v>220000</v>
      </c>
      <c r="AX95" s="11">
        <f ca="1">IFERROR(OFFSET(ITEM_RES!$A$1,MATCH(AY95,ITEM_RES!$J:$J,0)-1,0),0)</f>
        <v>211020401</v>
      </c>
      <c r="AY95" s="10" t="s">
        <v>430</v>
      </c>
      <c r="AZ95" s="11">
        <v>220000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42"/>
        <v>0</v>
      </c>
    </row>
    <row r="96" spans="1:68" x14ac:dyDescent="0.3">
      <c r="A96" s="14">
        <f t="shared" si="39"/>
        <v>112010012</v>
      </c>
      <c r="B96" s="13">
        <v>11</v>
      </c>
      <c r="C96" s="12">
        <f t="shared" si="40"/>
        <v>2</v>
      </c>
      <c r="D96" s="13">
        <v>1</v>
      </c>
      <c r="E96" s="13">
        <v>0</v>
      </c>
      <c r="F96" s="12">
        <f t="shared" si="41"/>
        <v>12</v>
      </c>
      <c r="H96" s="9">
        <v>2</v>
      </c>
      <c r="I96" s="9">
        <v>12</v>
      </c>
      <c r="K96" s="9" t="s">
        <v>368</v>
      </c>
      <c r="M96" s="9">
        <v>1</v>
      </c>
      <c r="N96" s="9">
        <v>15</v>
      </c>
      <c r="O96" s="9" t="s">
        <v>756</v>
      </c>
      <c r="S96" s="9" t="s">
        <v>701</v>
      </c>
      <c r="U96" s="84" t="s">
        <v>534</v>
      </c>
      <c r="V96" s="9">
        <f ca="1">IFERROR(OFFSET(ITEM_RES!$A$5,MATCH(BUILDING!U96,ITEM_RES!$J$5:$J$229,0)-1,0),0)</f>
        <v>211021101</v>
      </c>
      <c r="W96" s="11">
        <v>10</v>
      </c>
      <c r="X96" s="84" t="s">
        <v>533</v>
      </c>
      <c r="Y96" s="9">
        <f ca="1">IFERROR(OFFSET(ITEM_RES!$A$5,MATCH(BUILDING!X96,ITEM_RES!$J$5:$J$229,0)-1,0),0)</f>
        <v>211010401</v>
      </c>
      <c r="AA96" s="9" t="s">
        <v>503</v>
      </c>
      <c r="AB96" s="9">
        <v>12</v>
      </c>
      <c r="AD96" s="11">
        <f ca="1">IFERROR(OFFSET(MANOR_LEVEL!$B$1,MATCH(AE96-1,MANOR_LEVEL!$A:$A,0)-1,0),0)</f>
        <v>3961500</v>
      </c>
      <c r="AE96" s="56">
        <v>12</v>
      </c>
      <c r="AG96" s="56">
        <f t="shared" ca="1" si="43"/>
        <v>819300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819300</v>
      </c>
      <c r="AI96" s="179">
        <f t="shared" ca="1" si="38"/>
        <v>1303550</v>
      </c>
      <c r="AK96" s="11">
        <f t="shared" si="20"/>
        <v>10800</v>
      </c>
      <c r="AL96" s="10">
        <v>10800</v>
      </c>
      <c r="AM96" s="11">
        <f t="shared" si="44"/>
        <v>300</v>
      </c>
      <c r="AN96" s="10">
        <v>300</v>
      </c>
      <c r="AO96" s="11">
        <f t="shared" si="44"/>
        <v>0</v>
      </c>
      <c r="AP96" s="10">
        <v>0</v>
      </c>
      <c r="AQ96" s="56">
        <f t="shared" si="23"/>
        <v>3</v>
      </c>
      <c r="AS96" s="11">
        <f ca="1">IFERROR(OFFSET(ITEM_RES!$A$1,MATCH(AT96,ITEM_RES!$J:$J,0)-1,0),0)</f>
        <v>211020301</v>
      </c>
      <c r="AT96" s="10" t="s">
        <v>389</v>
      </c>
      <c r="AU96" s="11">
        <v>370000</v>
      </c>
      <c r="AX96" s="11">
        <f ca="1">IFERROR(OFFSET(ITEM_RES!$A$1,MATCH(AY96,ITEM_RES!$J:$J,0)-1,0),0)</f>
        <v>211020401</v>
      </c>
      <c r="AY96" s="10" t="s">
        <v>430</v>
      </c>
      <c r="AZ96" s="11">
        <v>370000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454</v>
      </c>
      <c r="BJ96" s="11">
        <v>1</v>
      </c>
      <c r="BM96" s="11">
        <f ca="1">IFERROR(OFFSET(ITEM_RES!$A$1,MATCH(BN96,ITEM_RES!$J:$J,0)-1,0),0)</f>
        <v>0</v>
      </c>
      <c r="BO96" s="11">
        <f t="shared" si="42"/>
        <v>0</v>
      </c>
    </row>
    <row r="97" spans="1:68" x14ac:dyDescent="0.3">
      <c r="A97" s="14">
        <f t="shared" si="39"/>
        <v>112010013</v>
      </c>
      <c r="B97" s="13">
        <v>11</v>
      </c>
      <c r="C97" s="12">
        <f t="shared" si="40"/>
        <v>2</v>
      </c>
      <c r="D97" s="13">
        <v>1</v>
      </c>
      <c r="E97" s="13">
        <v>0</v>
      </c>
      <c r="F97" s="12">
        <f t="shared" si="41"/>
        <v>13</v>
      </c>
      <c r="H97" s="9">
        <v>2</v>
      </c>
      <c r="I97" s="9">
        <v>13</v>
      </c>
      <c r="K97" s="9" t="s">
        <v>368</v>
      </c>
      <c r="M97" s="9">
        <v>1</v>
      </c>
      <c r="N97" s="9">
        <v>15</v>
      </c>
      <c r="O97" s="9" t="s">
        <v>756</v>
      </c>
      <c r="S97" s="9" t="s">
        <v>701</v>
      </c>
      <c r="U97" s="84" t="s">
        <v>534</v>
      </c>
      <c r="V97" s="9">
        <f ca="1">IFERROR(OFFSET(ITEM_RES!$A$5,MATCH(BUILDING!U97,ITEM_RES!$J$5:$J$229,0)-1,0),0)</f>
        <v>211021101</v>
      </c>
      <c r="W97" s="11">
        <v>10</v>
      </c>
      <c r="X97" s="84" t="s">
        <v>533</v>
      </c>
      <c r="Y97" s="9">
        <f ca="1">IFERROR(OFFSET(ITEM_RES!$A$5,MATCH(BUILDING!X97,ITEM_RES!$J$5:$J$229,0)-1,0),0)</f>
        <v>211010401</v>
      </c>
      <c r="AA97" s="9" t="s">
        <v>503</v>
      </c>
      <c r="AB97" s="9">
        <v>13</v>
      </c>
      <c r="AD97" s="11">
        <f ca="1">IFERROR(OFFSET(MANOR_LEVEL!$B$1,MATCH(AE97-1,MANOR_LEVEL!$A:$A,0)-1,0),0)</f>
        <v>3961500</v>
      </c>
      <c r="AE97" s="56">
        <v>12</v>
      </c>
      <c r="AG97" s="56">
        <f t="shared" ca="1" si="43"/>
        <v>1364350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1364350</v>
      </c>
      <c r="AI97" s="179">
        <f t="shared" ca="1" si="38"/>
        <v>2183650</v>
      </c>
      <c r="AK97" s="11">
        <f t="shared" si="20"/>
        <v>12600</v>
      </c>
      <c r="AL97" s="10">
        <v>12600</v>
      </c>
      <c r="AM97" s="11">
        <f t="shared" si="44"/>
        <v>350</v>
      </c>
      <c r="AN97" s="10">
        <v>350</v>
      </c>
      <c r="AO97" s="11">
        <f t="shared" si="44"/>
        <v>0</v>
      </c>
      <c r="AP97" s="10">
        <v>0</v>
      </c>
      <c r="AQ97" s="56">
        <f t="shared" si="23"/>
        <v>2</v>
      </c>
      <c r="AS97" s="11">
        <f ca="1">IFERROR(OFFSET(ITEM_RES!$A$1,MATCH(AT97,ITEM_RES!$J:$J,0)-1,0),0)</f>
        <v>211020301</v>
      </c>
      <c r="AT97" s="10" t="s">
        <v>389</v>
      </c>
      <c r="AU97" s="11">
        <v>620000</v>
      </c>
      <c r="AX97" s="11">
        <f ca="1">IFERROR(OFFSET(ITEM_RES!$A$1,MATCH(AY97,ITEM_RES!$J:$J,0)-1,0),0)</f>
        <v>211020401</v>
      </c>
      <c r="AY97" s="10" t="s">
        <v>430</v>
      </c>
      <c r="AZ97" s="11">
        <v>620000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42"/>
        <v>0</v>
      </c>
    </row>
    <row r="98" spans="1:68" x14ac:dyDescent="0.3">
      <c r="A98" s="14">
        <f t="shared" si="39"/>
        <v>112010014</v>
      </c>
      <c r="B98" s="13">
        <v>11</v>
      </c>
      <c r="C98" s="12">
        <f t="shared" si="40"/>
        <v>2</v>
      </c>
      <c r="D98" s="13">
        <v>1</v>
      </c>
      <c r="E98" s="13">
        <v>0</v>
      </c>
      <c r="F98" s="12">
        <f t="shared" si="41"/>
        <v>14</v>
      </c>
      <c r="H98" s="9">
        <v>2</v>
      </c>
      <c r="I98" s="9">
        <v>14</v>
      </c>
      <c r="K98" s="9" t="s">
        <v>368</v>
      </c>
      <c r="M98" s="9">
        <v>1</v>
      </c>
      <c r="N98" s="9">
        <v>15</v>
      </c>
      <c r="O98" s="9" t="s">
        <v>756</v>
      </c>
      <c r="S98" s="9" t="s">
        <v>701</v>
      </c>
      <c r="U98" s="84" t="s">
        <v>534</v>
      </c>
      <c r="V98" s="9">
        <f ca="1">IFERROR(OFFSET(ITEM_RES!$A$5,MATCH(BUILDING!U98,ITEM_RES!$J$5:$J$229,0)-1,0),0)</f>
        <v>211021101</v>
      </c>
      <c r="W98" s="11">
        <v>10</v>
      </c>
      <c r="X98" s="84" t="s">
        <v>533</v>
      </c>
      <c r="Y98" s="9">
        <f ca="1">IFERROR(OFFSET(ITEM_RES!$A$5,MATCH(BUILDING!X98,ITEM_RES!$J$5:$J$229,0)-1,0),0)</f>
        <v>211010401</v>
      </c>
      <c r="AA98" s="9" t="s">
        <v>503</v>
      </c>
      <c r="AB98" s="9">
        <v>14</v>
      </c>
      <c r="AD98" s="11">
        <f ca="1">IFERROR(OFFSET(MANOR_LEVEL!$B$1,MATCH(AE98-1,MANOR_LEVEL!$A:$A,0)-1,0),0)</f>
        <v>3961500</v>
      </c>
      <c r="AE98" s="56">
        <v>12</v>
      </c>
      <c r="AG98" s="56">
        <f t="shared" ca="1" si="43"/>
        <v>2134450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2134450</v>
      </c>
      <c r="AI98" s="179">
        <f t="shared" ca="1" si="38"/>
        <v>3498800</v>
      </c>
      <c r="AK98" s="11">
        <f t="shared" si="20"/>
        <v>14400</v>
      </c>
      <c r="AL98" s="10">
        <v>14400</v>
      </c>
      <c r="AM98" s="11">
        <f t="shared" si="44"/>
        <v>450</v>
      </c>
      <c r="AN98" s="10">
        <v>450</v>
      </c>
      <c r="AO98" s="11">
        <f t="shared" si="44"/>
        <v>0</v>
      </c>
      <c r="AP98" s="10">
        <v>0</v>
      </c>
      <c r="AQ98" s="56">
        <f t="shared" si="23"/>
        <v>2</v>
      </c>
      <c r="AS98" s="11">
        <f ca="1">IFERROR(OFFSET(ITEM_RES!$A$1,MATCH(AT98,ITEM_RES!$J:$J,0)-1,0),0)</f>
        <v>211020301</v>
      </c>
      <c r="AT98" s="10" t="s">
        <v>389</v>
      </c>
      <c r="AU98" s="11">
        <v>970000</v>
      </c>
      <c r="AX98" s="11">
        <f ca="1">IFERROR(OFFSET(ITEM_RES!$A$1,MATCH(AY98,ITEM_RES!$J:$J,0)-1,0),0)</f>
        <v>211020401</v>
      </c>
      <c r="AY98" s="10" t="s">
        <v>430</v>
      </c>
      <c r="AZ98" s="11">
        <v>970000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42"/>
        <v>0</v>
      </c>
    </row>
    <row r="99" spans="1:68" x14ac:dyDescent="0.3">
      <c r="A99" s="14">
        <f t="shared" si="39"/>
        <v>112010015</v>
      </c>
      <c r="B99" s="13">
        <v>11</v>
      </c>
      <c r="C99" s="12">
        <f t="shared" si="40"/>
        <v>2</v>
      </c>
      <c r="D99" s="13">
        <v>1</v>
      </c>
      <c r="E99" s="13">
        <v>0</v>
      </c>
      <c r="F99" s="12">
        <f t="shared" si="41"/>
        <v>15</v>
      </c>
      <c r="H99" s="9">
        <v>2</v>
      </c>
      <c r="I99" s="9">
        <v>15</v>
      </c>
      <c r="K99" s="9" t="s">
        <v>368</v>
      </c>
      <c r="M99" s="9">
        <v>1</v>
      </c>
      <c r="N99" s="9">
        <v>15</v>
      </c>
      <c r="O99" s="9" t="s">
        <v>756</v>
      </c>
      <c r="S99" s="9" t="s">
        <v>701</v>
      </c>
      <c r="U99" s="84" t="s">
        <v>534</v>
      </c>
      <c r="V99" s="9">
        <f ca="1">IFERROR(OFFSET(ITEM_RES!$A$5,MATCH(BUILDING!U99,ITEM_RES!$J$5:$J$229,0)-1,0),0)</f>
        <v>211021101</v>
      </c>
      <c r="W99" s="11">
        <v>10</v>
      </c>
      <c r="X99" s="84" t="s">
        <v>533</v>
      </c>
      <c r="Y99" s="9">
        <f ca="1">IFERROR(OFFSET(ITEM_RES!$A$5,MATCH(BUILDING!X99,ITEM_RES!$J$5:$J$229,0)-1,0),0)</f>
        <v>211010401</v>
      </c>
      <c r="AA99" s="9" t="s">
        <v>503</v>
      </c>
      <c r="AB99" s="9">
        <v>15</v>
      </c>
      <c r="AD99" s="11">
        <f ca="1">IFERROR(OFFSET(MANOR_LEVEL!$B$1,MATCH(AE99-1,MANOR_LEVEL!$A:$A,0)-1,0),0)</f>
        <v>3961500</v>
      </c>
      <c r="AE99" s="56">
        <v>12</v>
      </c>
      <c r="AG99" s="56">
        <f t="shared" ca="1" si="43"/>
        <v>5040550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5040550</v>
      </c>
      <c r="AI99" s="179">
        <f t="shared" ca="1" si="38"/>
        <v>7175000</v>
      </c>
      <c r="AK99" s="11">
        <f t="shared" si="20"/>
        <v>16200</v>
      </c>
      <c r="AL99" s="10">
        <v>16200</v>
      </c>
      <c r="AM99" s="11">
        <f t="shared" si="44"/>
        <v>550</v>
      </c>
      <c r="AN99" s="10">
        <v>550</v>
      </c>
      <c r="AO99" s="11">
        <f t="shared" si="44"/>
        <v>0</v>
      </c>
      <c r="AP99" s="10">
        <v>0</v>
      </c>
      <c r="AQ99" s="56">
        <f t="shared" si="23"/>
        <v>2</v>
      </c>
      <c r="AS99" s="11">
        <f ca="1">IFERROR(OFFSET(ITEM_RES!$A$1,MATCH(AT99,ITEM_RES!$J:$J,0)-1,0),0)</f>
        <v>211020301</v>
      </c>
      <c r="AT99" s="10" t="s">
        <v>389</v>
      </c>
      <c r="AU99" s="11">
        <v>2100000</v>
      </c>
      <c r="AX99" s="11">
        <f ca="1">IFERROR(OFFSET(ITEM_RES!$A$1,MATCH(AY99,ITEM_RES!$J:$J,0)-1,0),0)</f>
        <v>211020501</v>
      </c>
      <c r="AY99" s="10" t="s">
        <v>428</v>
      </c>
      <c r="AZ99" s="11">
        <v>2100000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42"/>
        <v>0</v>
      </c>
    </row>
    <row r="100" spans="1:68" x14ac:dyDescent="0.3">
      <c r="A100" s="14">
        <f t="shared" si="39"/>
        <v>112010016</v>
      </c>
      <c r="B100" s="13">
        <v>11</v>
      </c>
      <c r="C100" s="12">
        <f t="shared" si="40"/>
        <v>2</v>
      </c>
      <c r="D100" s="13">
        <v>1</v>
      </c>
      <c r="E100" s="13">
        <v>0</v>
      </c>
      <c r="F100" s="12">
        <f t="shared" si="41"/>
        <v>16</v>
      </c>
      <c r="H100" s="9">
        <v>2</v>
      </c>
      <c r="I100" s="9">
        <v>16</v>
      </c>
      <c r="K100" s="9" t="s">
        <v>368</v>
      </c>
      <c r="M100" s="9">
        <v>0</v>
      </c>
      <c r="N100" s="9">
        <v>15</v>
      </c>
      <c r="O100" s="9" t="s">
        <v>756</v>
      </c>
      <c r="S100" s="9" t="s">
        <v>701</v>
      </c>
      <c r="U100" s="84" t="s">
        <v>534</v>
      </c>
      <c r="V100" s="9">
        <f ca="1">IFERROR(OFFSET(ITEM_RES!$A$5,MATCH(BUILDING!U100,ITEM_RES!$J$5:$J$229,0)-1,0),0)</f>
        <v>211021101</v>
      </c>
      <c r="W100" s="11">
        <v>10</v>
      </c>
      <c r="X100" s="84" t="s">
        <v>533</v>
      </c>
      <c r="Y100" s="9">
        <f ca="1">IFERROR(OFFSET(ITEM_RES!$A$5,MATCH(BUILDING!X100,ITEM_RES!$J$5:$J$229,0)-1,0),0)</f>
        <v>211010401</v>
      </c>
      <c r="AA100" s="9" t="s">
        <v>503</v>
      </c>
      <c r="AB100" s="9">
        <v>16</v>
      </c>
      <c r="AD100" s="11">
        <f ca="1">IFERROR(OFFSET(MANOR_LEVEL!$B$1,MATCH(AE100-1,MANOR_LEVEL!$A:$A,0)-1,0),0)</f>
        <v>3961500</v>
      </c>
      <c r="AE100" s="56">
        <v>12</v>
      </c>
      <c r="AG100" s="56">
        <f t="shared" ca="1" si="43"/>
        <v>10320700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10320700</v>
      </c>
      <c r="AI100" s="179">
        <f t="shared" ca="1" si="38"/>
        <v>15361250</v>
      </c>
      <c r="AK100" s="11">
        <f t="shared" si="20"/>
        <v>18000</v>
      </c>
      <c r="AL100" s="10">
        <v>18000</v>
      </c>
      <c r="AM100" s="11">
        <f t="shared" si="44"/>
        <v>700</v>
      </c>
      <c r="AN100" s="10">
        <v>700</v>
      </c>
      <c r="AO100" s="11">
        <f t="shared" si="44"/>
        <v>0</v>
      </c>
      <c r="AP100" s="10">
        <v>0</v>
      </c>
      <c r="AQ100" s="56">
        <f t="shared" si="23"/>
        <v>2</v>
      </c>
      <c r="AS100" s="11">
        <f ca="1">IFERROR(OFFSET(ITEM_RES!$A$1,MATCH(AT100,ITEM_RES!$J:$J,0)-1,0),0)</f>
        <v>211020301</v>
      </c>
      <c r="AT100" s="10" t="s">
        <v>389</v>
      </c>
      <c r="AU100" s="11">
        <v>4300000</v>
      </c>
      <c r="AX100" s="11">
        <f ca="1">IFERROR(OFFSET(ITEM_RES!$A$1,MATCH(AY100,ITEM_RES!$J:$J,0)-1,0),0)</f>
        <v>211020501</v>
      </c>
      <c r="AY100" s="10" t="s">
        <v>428</v>
      </c>
      <c r="AZ100" s="11">
        <v>4300000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42"/>
        <v>0</v>
      </c>
    </row>
    <row r="101" spans="1:68" x14ac:dyDescent="0.3">
      <c r="A101" s="14">
        <f t="shared" si="39"/>
        <v>112010017</v>
      </c>
      <c r="B101" s="13">
        <v>11</v>
      </c>
      <c r="C101" s="12">
        <f t="shared" si="40"/>
        <v>2</v>
      </c>
      <c r="D101" s="13">
        <v>1</v>
      </c>
      <c r="E101" s="13">
        <v>0</v>
      </c>
      <c r="F101" s="12">
        <f t="shared" si="41"/>
        <v>17</v>
      </c>
      <c r="H101" s="9">
        <v>2</v>
      </c>
      <c r="I101" s="9">
        <v>17</v>
      </c>
      <c r="K101" s="9" t="s">
        <v>368</v>
      </c>
      <c r="M101" s="9">
        <v>0</v>
      </c>
      <c r="N101" s="9">
        <v>15</v>
      </c>
      <c r="O101" s="9" t="s">
        <v>756</v>
      </c>
      <c r="S101" s="9" t="s">
        <v>701</v>
      </c>
      <c r="U101" s="84" t="s">
        <v>534</v>
      </c>
      <c r="V101" s="9">
        <f ca="1">IFERROR(OFFSET(ITEM_RES!$A$5,MATCH(BUILDING!U101,ITEM_RES!$J$5:$J$229,0)-1,0),0)</f>
        <v>211021101</v>
      </c>
      <c r="W101" s="11">
        <v>10</v>
      </c>
      <c r="X101" s="84" t="s">
        <v>533</v>
      </c>
      <c r="Y101" s="9">
        <f ca="1">IFERROR(OFFSET(ITEM_RES!$A$5,MATCH(BUILDING!X101,ITEM_RES!$J$5:$J$229,0)-1,0),0)</f>
        <v>211010401</v>
      </c>
      <c r="AA101" s="9" t="s">
        <v>503</v>
      </c>
      <c r="AB101" s="9">
        <v>17</v>
      </c>
      <c r="AD101" s="11">
        <f ca="1">IFERROR(OFFSET(MANOR_LEVEL!$B$1,MATCH(AE101-1,MANOR_LEVEL!$A:$A,0)-1,0),0)</f>
        <v>3961500</v>
      </c>
      <c r="AE101" s="56">
        <v>12</v>
      </c>
      <c r="AG101" s="56">
        <f t="shared" ca="1" si="43"/>
        <v>19200850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19200850</v>
      </c>
      <c r="AI101" s="179">
        <f t="shared" ca="1" si="38"/>
        <v>29521550</v>
      </c>
      <c r="AK101" s="11">
        <f t="shared" si="20"/>
        <v>19800</v>
      </c>
      <c r="AL101" s="10">
        <v>19800</v>
      </c>
      <c r="AM101" s="11">
        <f t="shared" si="44"/>
        <v>850</v>
      </c>
      <c r="AN101" s="10">
        <v>850</v>
      </c>
      <c r="AO101" s="11">
        <f t="shared" si="44"/>
        <v>0</v>
      </c>
      <c r="AP101" s="10">
        <v>0</v>
      </c>
      <c r="AQ101" s="56">
        <f t="shared" si="23"/>
        <v>2</v>
      </c>
      <c r="AS101" s="11">
        <f ca="1">IFERROR(OFFSET(ITEM_RES!$A$1,MATCH(AT101,ITEM_RES!$J:$J,0)-1,0),0)</f>
        <v>211020301</v>
      </c>
      <c r="AT101" s="10" t="s">
        <v>1012</v>
      </c>
      <c r="AU101" s="11">
        <v>8000000</v>
      </c>
      <c r="AX101" s="11">
        <f ca="1">IFERROR(OFFSET(ITEM_RES!$A$1,MATCH(AY101,ITEM_RES!$J:$J,0)-1,0),0)</f>
        <v>211020501</v>
      </c>
      <c r="AY101" s="10" t="s">
        <v>428</v>
      </c>
      <c r="AZ101" s="11">
        <v>8000000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42"/>
        <v>0</v>
      </c>
    </row>
    <row r="102" spans="1:68" x14ac:dyDescent="0.3">
      <c r="A102" s="14">
        <f t="shared" si="39"/>
        <v>112010018</v>
      </c>
      <c r="B102" s="13">
        <v>11</v>
      </c>
      <c r="C102" s="12">
        <f t="shared" si="40"/>
        <v>2</v>
      </c>
      <c r="D102" s="13">
        <v>1</v>
      </c>
      <c r="E102" s="13">
        <v>0</v>
      </c>
      <c r="F102" s="12">
        <f t="shared" si="41"/>
        <v>18</v>
      </c>
      <c r="H102" s="9">
        <v>2</v>
      </c>
      <c r="I102" s="9">
        <v>18</v>
      </c>
      <c r="K102" s="9" t="s">
        <v>368</v>
      </c>
      <c r="M102" s="9">
        <v>0</v>
      </c>
      <c r="N102" s="9">
        <v>15</v>
      </c>
      <c r="O102" s="9" t="s">
        <v>756</v>
      </c>
      <c r="S102" s="9" t="s">
        <v>701</v>
      </c>
      <c r="U102" s="84" t="s">
        <v>534</v>
      </c>
      <c r="V102" s="9">
        <f ca="1">IFERROR(OFFSET(ITEM_RES!$A$5,MATCH(BUILDING!U102,ITEM_RES!$J$5:$J$229,0)-1,0),0)</f>
        <v>211021101</v>
      </c>
      <c r="W102" s="11">
        <v>10</v>
      </c>
      <c r="X102" s="84" t="s">
        <v>533</v>
      </c>
      <c r="Y102" s="9">
        <f ca="1">IFERROR(OFFSET(ITEM_RES!$A$5,MATCH(BUILDING!X102,ITEM_RES!$J$5:$J$229,0)-1,0),0)</f>
        <v>211010401</v>
      </c>
      <c r="AA102" s="9" t="s">
        <v>503</v>
      </c>
      <c r="AB102" s="9">
        <v>18</v>
      </c>
      <c r="AD102" s="11">
        <f ca="1">IFERROR(OFFSET(MANOR_LEVEL!$B$1,MATCH(AE102-1,MANOR_LEVEL!$A:$A,0)-1,0),0)</f>
        <v>3961500</v>
      </c>
      <c r="AE102" s="56">
        <v>12</v>
      </c>
      <c r="AG102" s="56">
        <f t="shared" ca="1" si="43"/>
        <v>31201050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31201050</v>
      </c>
      <c r="AI102" s="179">
        <f t="shared" ca="1" si="38"/>
        <v>50401900</v>
      </c>
      <c r="AK102" s="11">
        <f t="shared" si="20"/>
        <v>21600</v>
      </c>
      <c r="AL102" s="10">
        <v>21600</v>
      </c>
      <c r="AM102" s="11">
        <f t="shared" si="44"/>
        <v>1050</v>
      </c>
      <c r="AN102" s="10">
        <v>1050</v>
      </c>
      <c r="AO102" s="11">
        <f t="shared" si="44"/>
        <v>0</v>
      </c>
      <c r="AP102" s="10">
        <v>0</v>
      </c>
      <c r="AQ102" s="56">
        <f t="shared" si="23"/>
        <v>2</v>
      </c>
      <c r="AS102" s="11">
        <f ca="1">IFERROR(OFFSET(ITEM_RES!$A$1,MATCH(AT102,ITEM_RES!$J:$J,0)-1,0),0)</f>
        <v>211020301</v>
      </c>
      <c r="AT102" s="10" t="s">
        <v>1012</v>
      </c>
      <c r="AU102" s="11">
        <v>13000000</v>
      </c>
      <c r="AX102" s="11">
        <f ca="1">IFERROR(OFFSET(ITEM_RES!$A$1,MATCH(AY102,ITEM_RES!$J:$J,0)-1,0),0)</f>
        <v>211020501</v>
      </c>
      <c r="AY102" s="10" t="s">
        <v>428</v>
      </c>
      <c r="AZ102" s="11">
        <v>13000000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42"/>
        <v>0</v>
      </c>
    </row>
    <row r="103" spans="1:68" x14ac:dyDescent="0.3">
      <c r="A103" s="14">
        <f t="shared" si="39"/>
        <v>112010019</v>
      </c>
      <c r="B103" s="13">
        <v>11</v>
      </c>
      <c r="C103" s="12">
        <f t="shared" si="40"/>
        <v>2</v>
      </c>
      <c r="D103" s="13">
        <v>1</v>
      </c>
      <c r="E103" s="13">
        <v>0</v>
      </c>
      <c r="F103" s="12">
        <f t="shared" si="41"/>
        <v>19</v>
      </c>
      <c r="H103" s="9">
        <v>2</v>
      </c>
      <c r="I103" s="9">
        <v>19</v>
      </c>
      <c r="K103" s="9" t="s">
        <v>368</v>
      </c>
      <c r="M103" s="9">
        <v>0</v>
      </c>
      <c r="N103" s="9">
        <v>15</v>
      </c>
      <c r="O103" s="9" t="s">
        <v>756</v>
      </c>
      <c r="S103" s="9" t="s">
        <v>701</v>
      </c>
      <c r="U103" s="84" t="s">
        <v>534</v>
      </c>
      <c r="V103" s="9">
        <f ca="1">IFERROR(OFFSET(ITEM_RES!$A$5,MATCH(BUILDING!U103,ITEM_RES!$J$5:$J$229,0)-1,0),0)</f>
        <v>211021101</v>
      </c>
      <c r="W103" s="11">
        <v>10</v>
      </c>
      <c r="X103" s="84" t="s">
        <v>533</v>
      </c>
      <c r="Y103" s="9">
        <f ca="1">IFERROR(OFFSET(ITEM_RES!$A$5,MATCH(BUILDING!X103,ITEM_RES!$J$5:$J$229,0)-1,0),0)</f>
        <v>211010401</v>
      </c>
      <c r="AA103" s="9" t="s">
        <v>503</v>
      </c>
      <c r="AB103" s="9">
        <v>19</v>
      </c>
      <c r="AD103" s="11">
        <f ca="1">IFERROR(OFFSET(MANOR_LEVEL!$B$1,MATCH(AE103-1,MANOR_LEVEL!$A:$A,0)-1,0),0)</f>
        <v>3961500</v>
      </c>
      <c r="AE103" s="56">
        <v>12</v>
      </c>
      <c r="AG103" s="56">
        <f t="shared" ca="1" si="43"/>
        <v>48001250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48001250</v>
      </c>
      <c r="AI103" s="179">
        <f t="shared" ca="1" si="38"/>
        <v>79202300</v>
      </c>
      <c r="AK103" s="11">
        <f t="shared" si="20"/>
        <v>23400</v>
      </c>
      <c r="AL103" s="10">
        <v>23400</v>
      </c>
      <c r="AM103" s="11">
        <f t="shared" si="44"/>
        <v>1250</v>
      </c>
      <c r="AN103" s="10">
        <v>1250</v>
      </c>
      <c r="AO103" s="11">
        <f t="shared" si="44"/>
        <v>0</v>
      </c>
      <c r="AP103" s="10">
        <v>0</v>
      </c>
      <c r="AQ103" s="56">
        <f t="shared" si="23"/>
        <v>2</v>
      </c>
      <c r="AS103" s="11">
        <f ca="1">IFERROR(OFFSET(ITEM_RES!$A$1,MATCH(AT103,ITEM_RES!$J:$J,0)-1,0),0)</f>
        <v>211020301</v>
      </c>
      <c r="AT103" s="10" t="s">
        <v>1012</v>
      </c>
      <c r="AU103" s="11">
        <v>20000000</v>
      </c>
      <c r="AX103" s="11">
        <f ca="1">IFERROR(OFFSET(ITEM_RES!$A$1,MATCH(AY103,ITEM_RES!$J:$J,0)-1,0),0)</f>
        <v>211020501</v>
      </c>
      <c r="AY103" s="10" t="s">
        <v>428</v>
      </c>
      <c r="AZ103" s="11">
        <v>20000000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42"/>
        <v>0</v>
      </c>
    </row>
    <row r="104" spans="1:68" ht="17.25" thickBot="1" x14ac:dyDescent="0.35">
      <c r="A104" s="14">
        <f t="shared" si="39"/>
        <v>112010020</v>
      </c>
      <c r="B104" s="13">
        <v>11</v>
      </c>
      <c r="C104" s="12">
        <f t="shared" si="40"/>
        <v>2</v>
      </c>
      <c r="D104" s="13">
        <v>1</v>
      </c>
      <c r="E104" s="13">
        <v>0</v>
      </c>
      <c r="F104" s="12">
        <f t="shared" si="41"/>
        <v>20</v>
      </c>
      <c r="H104" s="9">
        <v>2</v>
      </c>
      <c r="I104" s="9">
        <v>20</v>
      </c>
      <c r="K104" s="9" t="s">
        <v>368</v>
      </c>
      <c r="M104" s="9">
        <v>0</v>
      </c>
      <c r="N104" s="9">
        <v>15</v>
      </c>
      <c r="O104" s="9" t="s">
        <v>756</v>
      </c>
      <c r="S104" s="9" t="s">
        <v>701</v>
      </c>
      <c r="U104" s="84" t="s">
        <v>534</v>
      </c>
      <c r="V104" s="9">
        <f ca="1">IFERROR(OFFSET(ITEM_RES!$A$5,MATCH(BUILDING!U104,ITEM_RES!$J$5:$J$229,0)-1,0),0)</f>
        <v>211021101</v>
      </c>
      <c r="W104" s="11">
        <v>10</v>
      </c>
      <c r="X104" s="84" t="s">
        <v>533</v>
      </c>
      <c r="Y104" s="9">
        <f ca="1">IFERROR(OFFSET(ITEM_RES!$A$5,MATCH(BUILDING!X104,ITEM_RES!$J$5:$J$229,0)-1,0),0)</f>
        <v>211010401</v>
      </c>
      <c r="AA104" s="9" t="s">
        <v>503</v>
      </c>
      <c r="AB104" s="9">
        <v>20</v>
      </c>
      <c r="AD104" s="11">
        <f ca="1">IFERROR(OFFSET(MANOR_LEVEL!$B$1,MATCH(AE104-1,MANOR_LEVEL!$A:$A,0)-1,0),0)</f>
        <v>3961500</v>
      </c>
      <c r="AE104" s="56">
        <v>12</v>
      </c>
      <c r="AG104" s="56">
        <f t="shared" ca="1" si="43"/>
        <v>76801500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76801500</v>
      </c>
      <c r="AI104" s="179">
        <f t="shared" ca="1" si="38"/>
        <v>124802750</v>
      </c>
      <c r="AK104" s="11">
        <f t="shared" si="20"/>
        <v>25200</v>
      </c>
      <c r="AL104" s="10">
        <v>25200</v>
      </c>
      <c r="AM104" s="11">
        <f t="shared" si="44"/>
        <v>1500</v>
      </c>
      <c r="AN104" s="10">
        <v>1500</v>
      </c>
      <c r="AO104" s="11">
        <f t="shared" si="44"/>
        <v>0</v>
      </c>
      <c r="AP104" s="10">
        <v>0</v>
      </c>
      <c r="AQ104" s="56">
        <f t="shared" si="23"/>
        <v>2</v>
      </c>
      <c r="AS104" s="11">
        <f ca="1">IFERROR(OFFSET(ITEM_RES!$A$1,MATCH(AT104,ITEM_RES!$J:$J,0)-1,0),0)</f>
        <v>211020301</v>
      </c>
      <c r="AT104" s="10" t="s">
        <v>1012</v>
      </c>
      <c r="AU104" s="11">
        <v>32000000</v>
      </c>
      <c r="AX104" s="11">
        <f ca="1">IFERROR(OFFSET(ITEM_RES!$A$1,MATCH(AY104,ITEM_RES!$J:$J,0)-1,0),0)</f>
        <v>211020501</v>
      </c>
      <c r="AY104" s="10" t="s">
        <v>428</v>
      </c>
      <c r="AZ104" s="11">
        <v>32000000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42"/>
        <v>0</v>
      </c>
    </row>
    <row r="105" spans="1:68" s="15" customFormat="1" x14ac:dyDescent="0.3">
      <c r="A105" s="21">
        <f t="shared" si="39"/>
        <v>112020001</v>
      </c>
      <c r="B105" s="20">
        <v>11</v>
      </c>
      <c r="C105" s="19">
        <f t="shared" si="40"/>
        <v>2</v>
      </c>
      <c r="D105" s="20">
        <v>2</v>
      </c>
      <c r="E105" s="20">
        <v>0</v>
      </c>
      <c r="F105" s="19">
        <f t="shared" si="41"/>
        <v>1</v>
      </c>
      <c r="G105" s="78"/>
      <c r="H105" s="16">
        <v>2</v>
      </c>
      <c r="I105" s="16">
        <v>1</v>
      </c>
      <c r="J105" s="78"/>
      <c r="K105" s="66" t="s">
        <v>753</v>
      </c>
      <c r="L105" s="66">
        <v>5</v>
      </c>
      <c r="M105" s="16">
        <v>1</v>
      </c>
      <c r="N105" s="16">
        <v>15</v>
      </c>
      <c r="O105" s="16" t="s">
        <v>755</v>
      </c>
      <c r="P105" s="17"/>
      <c r="Q105" s="17"/>
      <c r="R105" s="18"/>
      <c r="S105" s="16" t="s">
        <v>754</v>
      </c>
      <c r="T105" s="78"/>
      <c r="U105" s="86" t="s">
        <v>541</v>
      </c>
      <c r="V105" s="16">
        <f ca="1">IFERROR(OFFSET(ITEM_RES!$A$5,MATCH(BUILDING!U105,ITEM_RES!$J$5:$J$229,0)-1,0),0)</f>
        <v>211021001</v>
      </c>
      <c r="W105" s="18">
        <v>10</v>
      </c>
      <c r="X105" s="86" t="s">
        <v>534</v>
      </c>
      <c r="Y105" s="16">
        <f ca="1">IFERROR(OFFSET(ITEM_RES!$A$5,MATCH(BUILDING!X105,ITEM_RES!$J$5:$J$229,0)-1,0),0)</f>
        <v>211021101</v>
      </c>
      <c r="Z105" s="78"/>
      <c r="AA105" s="16" t="s">
        <v>504</v>
      </c>
      <c r="AB105" s="16">
        <v>1</v>
      </c>
      <c r="AC105" s="78"/>
      <c r="AD105" s="18">
        <f ca="1">IFERROR(OFFSET(MANOR_LEVEL!$B$1,MATCH(AE105-1,MANOR_LEVEL!$A:$A,0)-1,0),0)</f>
        <v>1956000</v>
      </c>
      <c r="AE105" s="57">
        <v>11</v>
      </c>
      <c r="AF105" s="78"/>
      <c r="AG105" s="57">
        <f t="shared" ca="1" si="43"/>
        <v>1105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1105</v>
      </c>
      <c r="AI105" s="181">
        <f ca="1">AG105</f>
        <v>1105</v>
      </c>
      <c r="AJ105" s="78"/>
      <c r="AK105" s="18">
        <f t="shared" si="20"/>
        <v>5</v>
      </c>
      <c r="AL105" s="17">
        <v>5</v>
      </c>
      <c r="AM105" s="18">
        <f t="shared" si="44"/>
        <v>5</v>
      </c>
      <c r="AN105" s="17">
        <v>5</v>
      </c>
      <c r="AO105" s="18">
        <f t="shared" si="44"/>
        <v>0</v>
      </c>
      <c r="AP105" s="17">
        <v>0</v>
      </c>
      <c r="AQ105" s="57">
        <f t="shared" si="23"/>
        <v>3</v>
      </c>
      <c r="AR105" s="18"/>
      <c r="AS105" s="18">
        <f ca="1">IFERROR(OFFSET(ITEM_RES!$A$1,MATCH(AT105,ITEM_RES!$J:$J,0)-1,0),0)</f>
        <v>211020201</v>
      </c>
      <c r="AT105" s="17" t="s">
        <v>426</v>
      </c>
      <c r="AU105" s="18">
        <v>50</v>
      </c>
      <c r="AV105" s="17"/>
      <c r="AW105" s="18"/>
      <c r="AX105" s="18">
        <f ca="1">IFERROR(OFFSET(ITEM_RES!$A$1,MATCH(AY105,ITEM_RES!$J:$J,0)-1,0),0)</f>
        <v>211020401</v>
      </c>
      <c r="AY105" s="17" t="s">
        <v>418</v>
      </c>
      <c r="AZ105" s="18">
        <v>50</v>
      </c>
      <c r="BA105" s="17"/>
      <c r="BB105" s="18"/>
      <c r="BC105" s="18">
        <f ca="1">IFERROR(OFFSET(ITEM_RES!$A$1,MATCH(BD105,ITEM_RES!$J:$J,0)-1,0),0)</f>
        <v>213010101</v>
      </c>
      <c r="BD105" s="17" t="s">
        <v>445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42"/>
        <v>0</v>
      </c>
      <c r="BP105" s="17"/>
    </row>
    <row r="106" spans="1:68" x14ac:dyDescent="0.3">
      <c r="A106" s="14">
        <f t="shared" si="39"/>
        <v>112020002</v>
      </c>
      <c r="B106" s="13">
        <v>11</v>
      </c>
      <c r="C106" s="12">
        <f t="shared" si="40"/>
        <v>2</v>
      </c>
      <c r="D106" s="13">
        <v>2</v>
      </c>
      <c r="E106" s="13">
        <v>0</v>
      </c>
      <c r="F106" s="12">
        <f t="shared" si="41"/>
        <v>2</v>
      </c>
      <c r="H106" s="9">
        <v>2</v>
      </c>
      <c r="I106" s="9">
        <v>2</v>
      </c>
      <c r="K106" s="9" t="s">
        <v>753</v>
      </c>
      <c r="M106" s="9">
        <v>1</v>
      </c>
      <c r="N106" s="9">
        <v>15</v>
      </c>
      <c r="O106" s="9" t="s">
        <v>755</v>
      </c>
      <c r="S106" s="9" t="s">
        <v>754</v>
      </c>
      <c r="U106" s="84" t="s">
        <v>400</v>
      </c>
      <c r="V106" s="9">
        <f ca="1">IFERROR(OFFSET(ITEM_RES!$A$5,MATCH(BUILDING!U106,ITEM_RES!$J$5:$J$229,0)-1,0),0)</f>
        <v>211021001</v>
      </c>
      <c r="W106" s="11">
        <v>10</v>
      </c>
      <c r="X106" s="84" t="s">
        <v>534</v>
      </c>
      <c r="Y106" s="9">
        <f ca="1">IFERROR(OFFSET(ITEM_RES!$A$5,MATCH(BUILDING!X106,ITEM_RES!$J$5:$J$229,0)-1,0),0)</f>
        <v>211021101</v>
      </c>
      <c r="AA106" s="9" t="s">
        <v>504</v>
      </c>
      <c r="AB106" s="9">
        <v>2</v>
      </c>
      <c r="AD106" s="11">
        <f ca="1">IFERROR(OFFSET(MANOR_LEVEL!$B$1,MATCH(AE106-1,MANOR_LEVEL!$A:$A,0)-1,0),0)</f>
        <v>1956000</v>
      </c>
      <c r="AE106" s="56">
        <v>11</v>
      </c>
      <c r="AG106" s="56">
        <f t="shared" ca="1" si="43"/>
        <v>210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210</v>
      </c>
      <c r="AI106" s="179">
        <f ca="1">AG105+AG106</f>
        <v>1315</v>
      </c>
      <c r="AK106" s="11">
        <f t="shared" si="20"/>
        <v>10</v>
      </c>
      <c r="AL106" s="10">
        <v>10</v>
      </c>
      <c r="AM106" s="11">
        <f t="shared" si="44"/>
        <v>10</v>
      </c>
      <c r="AN106" s="10">
        <v>10</v>
      </c>
      <c r="AO106" s="11">
        <f t="shared" si="44"/>
        <v>0</v>
      </c>
      <c r="AP106" s="10">
        <v>0</v>
      </c>
      <c r="AQ106" s="56">
        <f t="shared" si="23"/>
        <v>2</v>
      </c>
      <c r="AS106" s="11">
        <f ca="1">IFERROR(OFFSET(ITEM_RES!$A$1,MATCH(AT106,ITEM_RES!$J:$J,0)-1,0),0)</f>
        <v>211020201</v>
      </c>
      <c r="AT106" s="10" t="s">
        <v>427</v>
      </c>
      <c r="AU106" s="11">
        <v>100</v>
      </c>
      <c r="AX106" s="11">
        <f ca="1">IFERROR(OFFSET(ITEM_RES!$A$1,MATCH(AY106,ITEM_RES!$J:$J,0)-1,0),0)</f>
        <v>211020401</v>
      </c>
      <c r="AY106" s="10" t="s">
        <v>418</v>
      </c>
      <c r="AZ106" s="11">
        <v>100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42"/>
        <v>0</v>
      </c>
    </row>
    <row r="107" spans="1:68" x14ac:dyDescent="0.3">
      <c r="A107" s="14">
        <f t="shared" si="39"/>
        <v>112020003</v>
      </c>
      <c r="B107" s="13">
        <v>11</v>
      </c>
      <c r="C107" s="12">
        <f t="shared" si="40"/>
        <v>2</v>
      </c>
      <c r="D107" s="13">
        <v>2</v>
      </c>
      <c r="E107" s="13">
        <v>0</v>
      </c>
      <c r="F107" s="12">
        <f t="shared" si="41"/>
        <v>3</v>
      </c>
      <c r="H107" s="9">
        <v>2</v>
      </c>
      <c r="I107" s="9">
        <v>3</v>
      </c>
      <c r="K107" s="9" t="s">
        <v>753</v>
      </c>
      <c r="M107" s="9">
        <v>1</v>
      </c>
      <c r="N107" s="9">
        <v>15</v>
      </c>
      <c r="O107" s="9" t="s">
        <v>755</v>
      </c>
      <c r="S107" s="9" t="s">
        <v>754</v>
      </c>
      <c r="U107" s="84" t="s">
        <v>400</v>
      </c>
      <c r="V107" s="9">
        <f ca="1">IFERROR(OFFSET(ITEM_RES!$A$5,MATCH(BUILDING!U107,ITEM_RES!$J$5:$J$229,0)-1,0),0)</f>
        <v>211021001</v>
      </c>
      <c r="W107" s="11">
        <v>10</v>
      </c>
      <c r="X107" s="84" t="s">
        <v>534</v>
      </c>
      <c r="Y107" s="9">
        <f ca="1">IFERROR(OFFSET(ITEM_RES!$A$5,MATCH(BUILDING!X107,ITEM_RES!$J$5:$J$229,0)-1,0),0)</f>
        <v>211021101</v>
      </c>
      <c r="AA107" s="9" t="s">
        <v>504</v>
      </c>
      <c r="AB107" s="9">
        <v>3</v>
      </c>
      <c r="AD107" s="11">
        <f ca="1">IFERROR(OFFSET(MANOR_LEVEL!$B$1,MATCH(AE107-1,MANOR_LEVEL!$A:$A,0)-1,0),0)</f>
        <v>1956000</v>
      </c>
      <c r="AE107" s="56">
        <v>11</v>
      </c>
      <c r="AG107" s="56">
        <f t="shared" ca="1" si="43"/>
        <v>315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315</v>
      </c>
      <c r="AI107" s="179">
        <f t="shared" ref="AI107:AI124" ca="1" si="45">AG106+AG107</f>
        <v>525</v>
      </c>
      <c r="AK107" s="11">
        <f t="shared" si="20"/>
        <v>30</v>
      </c>
      <c r="AL107" s="10">
        <v>30</v>
      </c>
      <c r="AM107" s="11">
        <f t="shared" si="44"/>
        <v>15</v>
      </c>
      <c r="AN107" s="10">
        <v>15</v>
      </c>
      <c r="AO107" s="11">
        <f t="shared" si="44"/>
        <v>0</v>
      </c>
      <c r="AP107" s="10">
        <v>0</v>
      </c>
      <c r="AQ107" s="56">
        <f t="shared" si="23"/>
        <v>2</v>
      </c>
      <c r="AS107" s="11">
        <f ca="1">IFERROR(OFFSET(ITEM_RES!$A$1,MATCH(AT107,ITEM_RES!$J:$J,0)-1,0),0)</f>
        <v>211020201</v>
      </c>
      <c r="AT107" s="10" t="s">
        <v>426</v>
      </c>
      <c r="AU107" s="11">
        <v>150</v>
      </c>
      <c r="AX107" s="11">
        <f ca="1">IFERROR(OFFSET(ITEM_RES!$A$1,MATCH(AY107,ITEM_RES!$J:$J,0)-1,0),0)</f>
        <v>211020401</v>
      </c>
      <c r="AY107" s="10" t="s">
        <v>418</v>
      </c>
      <c r="AZ107" s="11">
        <v>150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42"/>
        <v>0</v>
      </c>
    </row>
    <row r="108" spans="1:68" x14ac:dyDescent="0.3">
      <c r="A108" s="14">
        <f t="shared" si="39"/>
        <v>112020004</v>
      </c>
      <c r="B108" s="13">
        <v>11</v>
      </c>
      <c r="C108" s="12">
        <f t="shared" si="40"/>
        <v>2</v>
      </c>
      <c r="D108" s="13">
        <v>2</v>
      </c>
      <c r="E108" s="13">
        <v>0</v>
      </c>
      <c r="F108" s="12">
        <f t="shared" si="41"/>
        <v>4</v>
      </c>
      <c r="H108" s="9">
        <v>2</v>
      </c>
      <c r="I108" s="9">
        <v>4</v>
      </c>
      <c r="K108" s="9" t="s">
        <v>753</v>
      </c>
      <c r="M108" s="9">
        <v>1</v>
      </c>
      <c r="N108" s="9">
        <v>15</v>
      </c>
      <c r="O108" s="9" t="s">
        <v>755</v>
      </c>
      <c r="S108" s="9" t="s">
        <v>754</v>
      </c>
      <c r="U108" s="84" t="s">
        <v>400</v>
      </c>
      <c r="V108" s="9">
        <f ca="1">IFERROR(OFFSET(ITEM_RES!$A$5,MATCH(BUILDING!U108,ITEM_RES!$J$5:$J$229,0)-1,0),0)</f>
        <v>211021001</v>
      </c>
      <c r="W108" s="11">
        <v>10</v>
      </c>
      <c r="X108" s="84" t="s">
        <v>534</v>
      </c>
      <c r="Y108" s="9">
        <f ca="1">IFERROR(OFFSET(ITEM_RES!$A$5,MATCH(BUILDING!X108,ITEM_RES!$J$5:$J$229,0)-1,0),0)</f>
        <v>211021101</v>
      </c>
      <c r="AA108" s="9" t="s">
        <v>504</v>
      </c>
      <c r="AB108" s="9">
        <v>4</v>
      </c>
      <c r="AD108" s="11">
        <f ca="1">IFERROR(OFFSET(MANOR_LEVEL!$B$1,MATCH(AE108-1,MANOR_LEVEL!$A:$A,0)-1,0),0)</f>
        <v>3961500</v>
      </c>
      <c r="AE108" s="56">
        <v>12</v>
      </c>
      <c r="AG108" s="56">
        <f t="shared" ca="1" si="43"/>
        <v>1225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1225</v>
      </c>
      <c r="AI108" s="179">
        <f t="shared" ca="1" si="45"/>
        <v>1540</v>
      </c>
      <c r="AK108" s="11">
        <f t="shared" si="20"/>
        <v>300</v>
      </c>
      <c r="AL108" s="10">
        <v>300</v>
      </c>
      <c r="AM108" s="11">
        <f t="shared" si="44"/>
        <v>25</v>
      </c>
      <c r="AN108" s="10">
        <v>25</v>
      </c>
      <c r="AO108" s="11">
        <f t="shared" si="44"/>
        <v>0</v>
      </c>
      <c r="AP108" s="10">
        <v>0</v>
      </c>
      <c r="AQ108" s="56">
        <f t="shared" si="23"/>
        <v>2</v>
      </c>
      <c r="AS108" s="11">
        <f ca="1">IFERROR(OFFSET(ITEM_RES!$A$1,MATCH(AT108,ITEM_RES!$J:$J,0)-1,0),0)</f>
        <v>211020201</v>
      </c>
      <c r="AT108" s="10" t="s">
        <v>426</v>
      </c>
      <c r="AU108" s="11">
        <v>600</v>
      </c>
      <c r="AX108" s="11">
        <f ca="1">IFERROR(OFFSET(ITEM_RES!$A$1,MATCH(AY108,ITEM_RES!$J:$J,0)-1,0),0)</f>
        <v>211020401</v>
      </c>
      <c r="AY108" s="10" t="s">
        <v>418</v>
      </c>
      <c r="AZ108" s="11">
        <v>600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42"/>
        <v>0</v>
      </c>
    </row>
    <row r="109" spans="1:68" x14ac:dyDescent="0.3">
      <c r="A109" s="14">
        <f t="shared" si="39"/>
        <v>112020005</v>
      </c>
      <c r="B109" s="13">
        <v>11</v>
      </c>
      <c r="C109" s="12">
        <f t="shared" si="40"/>
        <v>2</v>
      </c>
      <c r="D109" s="13">
        <v>2</v>
      </c>
      <c r="E109" s="13">
        <v>0</v>
      </c>
      <c r="F109" s="12">
        <f t="shared" si="41"/>
        <v>5</v>
      </c>
      <c r="H109" s="9">
        <v>2</v>
      </c>
      <c r="I109" s="9">
        <v>5</v>
      </c>
      <c r="K109" s="9" t="s">
        <v>753</v>
      </c>
      <c r="M109" s="9">
        <v>1</v>
      </c>
      <c r="N109" s="9">
        <v>15</v>
      </c>
      <c r="O109" s="9" t="s">
        <v>755</v>
      </c>
      <c r="S109" s="9" t="s">
        <v>754</v>
      </c>
      <c r="U109" s="84" t="s">
        <v>400</v>
      </c>
      <c r="V109" s="9">
        <f ca="1">IFERROR(OFFSET(ITEM_RES!$A$5,MATCH(BUILDING!U109,ITEM_RES!$J$5:$J$229,0)-1,0),0)</f>
        <v>211021001</v>
      </c>
      <c r="W109" s="11">
        <v>10</v>
      </c>
      <c r="X109" s="84" t="s">
        <v>534</v>
      </c>
      <c r="Y109" s="9">
        <f ca="1">IFERROR(OFFSET(ITEM_RES!$A$5,MATCH(BUILDING!X109,ITEM_RES!$J$5:$J$229,0)-1,0),0)</f>
        <v>211021101</v>
      </c>
      <c r="AA109" s="9" t="s">
        <v>504</v>
      </c>
      <c r="AB109" s="9">
        <v>5</v>
      </c>
      <c r="AD109" s="11">
        <f ca="1">IFERROR(OFFSET(MANOR_LEVEL!$B$1,MATCH(AE109-1,MANOR_LEVEL!$A:$A,0)-1,0),0)</f>
        <v>3961500</v>
      </c>
      <c r="AE109" s="56">
        <v>12</v>
      </c>
      <c r="AG109" s="56">
        <f t="shared" ca="1" si="43"/>
        <v>5440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5440</v>
      </c>
      <c r="AI109" s="179">
        <f t="shared" ca="1" si="45"/>
        <v>6665</v>
      </c>
      <c r="AK109" s="11">
        <f t="shared" si="20"/>
        <v>600</v>
      </c>
      <c r="AL109" s="10">
        <v>600</v>
      </c>
      <c r="AM109" s="11">
        <f t="shared" si="44"/>
        <v>40</v>
      </c>
      <c r="AN109" s="10">
        <v>40</v>
      </c>
      <c r="AO109" s="11">
        <f t="shared" si="44"/>
        <v>0</v>
      </c>
      <c r="AP109" s="10">
        <v>0</v>
      </c>
      <c r="AQ109" s="56">
        <f t="shared" si="23"/>
        <v>2</v>
      </c>
      <c r="AS109" s="11">
        <f ca="1">IFERROR(OFFSET(ITEM_RES!$A$1,MATCH(AT109,ITEM_RES!$J:$J,0)-1,0),0)</f>
        <v>211020201</v>
      </c>
      <c r="AT109" s="10" t="s">
        <v>426</v>
      </c>
      <c r="AU109" s="11">
        <v>2700</v>
      </c>
      <c r="AX109" s="11">
        <f ca="1">IFERROR(OFFSET(ITEM_RES!$A$1,MATCH(AY109,ITEM_RES!$J:$J,0)-1,0),0)</f>
        <v>211020401</v>
      </c>
      <c r="AY109" s="10" t="s">
        <v>418</v>
      </c>
      <c r="AZ109" s="11">
        <v>2700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42"/>
        <v>0</v>
      </c>
    </row>
    <row r="110" spans="1:68" x14ac:dyDescent="0.3">
      <c r="A110" s="14">
        <f t="shared" si="39"/>
        <v>112020006</v>
      </c>
      <c r="B110" s="13">
        <v>11</v>
      </c>
      <c r="C110" s="12">
        <f t="shared" si="40"/>
        <v>2</v>
      </c>
      <c r="D110" s="13">
        <v>2</v>
      </c>
      <c r="E110" s="13">
        <v>0</v>
      </c>
      <c r="F110" s="12">
        <f t="shared" si="41"/>
        <v>6</v>
      </c>
      <c r="H110" s="9">
        <v>2</v>
      </c>
      <c r="I110" s="9">
        <v>6</v>
      </c>
      <c r="K110" s="9" t="s">
        <v>753</v>
      </c>
      <c r="M110" s="9">
        <v>1</v>
      </c>
      <c r="N110" s="9">
        <v>15</v>
      </c>
      <c r="O110" s="9" t="s">
        <v>755</v>
      </c>
      <c r="S110" s="9" t="s">
        <v>754</v>
      </c>
      <c r="U110" s="84" t="s">
        <v>400</v>
      </c>
      <c r="V110" s="9">
        <f ca="1">IFERROR(OFFSET(ITEM_RES!$A$5,MATCH(BUILDING!U110,ITEM_RES!$J$5:$J$229,0)-1,0),0)</f>
        <v>211021001</v>
      </c>
      <c r="W110" s="11">
        <v>10</v>
      </c>
      <c r="X110" s="84" t="s">
        <v>534</v>
      </c>
      <c r="Y110" s="9">
        <f ca="1">IFERROR(OFFSET(ITEM_RES!$A$5,MATCH(BUILDING!X110,ITEM_RES!$J$5:$J$229,0)-1,0),0)</f>
        <v>211021101</v>
      </c>
      <c r="AA110" s="9" t="s">
        <v>504</v>
      </c>
      <c r="AB110" s="9">
        <v>6</v>
      </c>
      <c r="AD110" s="11">
        <f ca="1">IFERROR(OFFSET(MANOR_LEVEL!$B$1,MATCH(AE110-1,MANOR_LEVEL!$A:$A,0)-1,0),0)</f>
        <v>3961500</v>
      </c>
      <c r="AE110" s="56">
        <v>12</v>
      </c>
      <c r="AG110" s="56">
        <f t="shared" ca="1" si="43"/>
        <v>18050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18050</v>
      </c>
      <c r="AI110" s="179">
        <f t="shared" ca="1" si="45"/>
        <v>23490</v>
      </c>
      <c r="AK110" s="11">
        <f t="shared" si="20"/>
        <v>1200</v>
      </c>
      <c r="AL110" s="10">
        <v>1200</v>
      </c>
      <c r="AM110" s="11">
        <f t="shared" si="44"/>
        <v>50</v>
      </c>
      <c r="AN110" s="10">
        <v>50</v>
      </c>
      <c r="AO110" s="11">
        <f t="shared" si="44"/>
        <v>0</v>
      </c>
      <c r="AP110" s="10">
        <v>0</v>
      </c>
      <c r="AQ110" s="56">
        <f t="shared" si="23"/>
        <v>2</v>
      </c>
      <c r="AS110" s="11">
        <f ca="1">IFERROR(OFFSET(ITEM_RES!$A$1,MATCH(AT110,ITEM_RES!$J:$J,0)-1,0),0)</f>
        <v>211020201</v>
      </c>
      <c r="AT110" s="10" t="s">
        <v>426</v>
      </c>
      <c r="AU110" s="11">
        <v>9000</v>
      </c>
      <c r="AX110" s="11">
        <f ca="1">IFERROR(OFFSET(ITEM_RES!$A$1,MATCH(AY110,ITEM_RES!$J:$J,0)-1,0),0)</f>
        <v>211020401</v>
      </c>
      <c r="AY110" s="10" t="s">
        <v>418</v>
      </c>
      <c r="AZ110" s="11">
        <v>9000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42"/>
        <v>0</v>
      </c>
    </row>
    <row r="111" spans="1:68" x14ac:dyDescent="0.3">
      <c r="A111" s="14">
        <f t="shared" si="39"/>
        <v>112020007</v>
      </c>
      <c r="B111" s="13">
        <v>11</v>
      </c>
      <c r="C111" s="12">
        <f t="shared" si="40"/>
        <v>2</v>
      </c>
      <c r="D111" s="13">
        <v>2</v>
      </c>
      <c r="E111" s="13">
        <v>0</v>
      </c>
      <c r="F111" s="12">
        <f t="shared" si="41"/>
        <v>7</v>
      </c>
      <c r="H111" s="9">
        <v>2</v>
      </c>
      <c r="I111" s="9">
        <v>7</v>
      </c>
      <c r="K111" s="9" t="s">
        <v>753</v>
      </c>
      <c r="M111" s="9">
        <v>1</v>
      </c>
      <c r="N111" s="9">
        <v>15</v>
      </c>
      <c r="O111" s="9" t="s">
        <v>755</v>
      </c>
      <c r="S111" s="9" t="s">
        <v>754</v>
      </c>
      <c r="U111" s="84" t="s">
        <v>400</v>
      </c>
      <c r="V111" s="9">
        <f ca="1">IFERROR(OFFSET(ITEM_RES!$A$5,MATCH(BUILDING!U111,ITEM_RES!$J$5:$J$229,0)-1,0),0)</f>
        <v>211021001</v>
      </c>
      <c r="W111" s="11">
        <v>10</v>
      </c>
      <c r="X111" s="84" t="s">
        <v>534</v>
      </c>
      <c r="Y111" s="9">
        <f ca="1">IFERROR(OFFSET(ITEM_RES!$A$5,MATCH(BUILDING!X111,ITEM_RES!$J$5:$J$229,0)-1,0),0)</f>
        <v>211021101</v>
      </c>
      <c r="AA111" s="9" t="s">
        <v>504</v>
      </c>
      <c r="AB111" s="9">
        <v>7</v>
      </c>
      <c r="AD111" s="11">
        <f ca="1">IFERROR(OFFSET(MANOR_LEVEL!$B$1,MATCH(AE111-1,MANOR_LEVEL!$A:$A,0)-1,0),0)</f>
        <v>3961500</v>
      </c>
      <c r="AE111" s="56">
        <v>12</v>
      </c>
      <c r="AG111" s="56">
        <f t="shared" ca="1" si="43"/>
        <v>40100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40100</v>
      </c>
      <c r="AI111" s="179">
        <f t="shared" ca="1" si="45"/>
        <v>58150</v>
      </c>
      <c r="AK111" s="11">
        <f t="shared" si="20"/>
        <v>1800</v>
      </c>
      <c r="AL111" s="10">
        <v>1800</v>
      </c>
      <c r="AM111" s="11">
        <f t="shared" si="44"/>
        <v>100</v>
      </c>
      <c r="AN111" s="10">
        <v>100</v>
      </c>
      <c r="AO111" s="11">
        <f t="shared" si="44"/>
        <v>0</v>
      </c>
      <c r="AP111" s="10">
        <v>0</v>
      </c>
      <c r="AQ111" s="56">
        <f t="shared" si="23"/>
        <v>2</v>
      </c>
      <c r="AS111" s="11">
        <f ca="1">IFERROR(OFFSET(ITEM_RES!$A$1,MATCH(AT111,ITEM_RES!$J:$J,0)-1,0),0)</f>
        <v>211020201</v>
      </c>
      <c r="AT111" s="10" t="s">
        <v>426</v>
      </c>
      <c r="AU111" s="11">
        <v>20000</v>
      </c>
      <c r="AX111" s="11">
        <f ca="1">IFERROR(OFFSET(ITEM_RES!$A$1,MATCH(AY111,ITEM_RES!$J:$J,0)-1,0),0)</f>
        <v>211020401</v>
      </c>
      <c r="AY111" s="10" t="s">
        <v>418</v>
      </c>
      <c r="AZ111" s="11">
        <v>20000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42"/>
        <v>0</v>
      </c>
    </row>
    <row r="112" spans="1:68" x14ac:dyDescent="0.3">
      <c r="A112" s="14">
        <f t="shared" si="39"/>
        <v>112020008</v>
      </c>
      <c r="B112" s="13">
        <v>11</v>
      </c>
      <c r="C112" s="12">
        <f t="shared" si="40"/>
        <v>2</v>
      </c>
      <c r="D112" s="13">
        <v>2</v>
      </c>
      <c r="E112" s="13">
        <v>0</v>
      </c>
      <c r="F112" s="12">
        <f t="shared" si="41"/>
        <v>8</v>
      </c>
      <c r="H112" s="9">
        <v>2</v>
      </c>
      <c r="I112" s="9">
        <v>8</v>
      </c>
      <c r="K112" s="9" t="s">
        <v>753</v>
      </c>
      <c r="M112" s="9">
        <v>1</v>
      </c>
      <c r="N112" s="9">
        <v>15</v>
      </c>
      <c r="O112" s="9" t="s">
        <v>755</v>
      </c>
      <c r="S112" s="9" t="s">
        <v>754</v>
      </c>
      <c r="U112" s="84" t="s">
        <v>400</v>
      </c>
      <c r="V112" s="9">
        <f ca="1">IFERROR(OFFSET(ITEM_RES!$A$5,MATCH(BUILDING!U112,ITEM_RES!$J$5:$J$229,0)-1,0),0)</f>
        <v>211021001</v>
      </c>
      <c r="W112" s="11">
        <v>10</v>
      </c>
      <c r="X112" s="84" t="s">
        <v>534</v>
      </c>
      <c r="Y112" s="9">
        <f ca="1">IFERROR(OFFSET(ITEM_RES!$A$5,MATCH(BUILDING!X112,ITEM_RES!$J$5:$J$229,0)-1,0),0)</f>
        <v>211021101</v>
      </c>
      <c r="AA112" s="9" t="s">
        <v>504</v>
      </c>
      <c r="AB112" s="9">
        <v>8</v>
      </c>
      <c r="AD112" s="11">
        <f ca="1">IFERROR(OFFSET(MANOR_LEVEL!$B$1,MATCH(AE112-1,MANOR_LEVEL!$A:$A,0)-1,0),0)</f>
        <v>3961500</v>
      </c>
      <c r="AE112" s="56">
        <v>12</v>
      </c>
      <c r="AG112" s="56">
        <f t="shared" ca="1" si="43"/>
        <v>84100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84100</v>
      </c>
      <c r="AI112" s="179">
        <f t="shared" ca="1" si="45"/>
        <v>124200</v>
      </c>
      <c r="AK112" s="11">
        <f t="shared" si="20"/>
        <v>3600</v>
      </c>
      <c r="AL112" s="10">
        <v>3600</v>
      </c>
      <c r="AM112" s="11">
        <f t="shared" si="44"/>
        <v>100</v>
      </c>
      <c r="AN112" s="10">
        <v>100</v>
      </c>
      <c r="AO112" s="11">
        <v>0</v>
      </c>
      <c r="AP112" s="10">
        <v>0</v>
      </c>
      <c r="AQ112" s="56">
        <f t="shared" si="23"/>
        <v>2</v>
      </c>
      <c r="AS112" s="11">
        <f ca="1">IFERROR(OFFSET(ITEM_RES!$A$1,MATCH(AT112,ITEM_RES!$J:$J,0)-1,0),0)</f>
        <v>211020201</v>
      </c>
      <c r="AT112" s="10" t="s">
        <v>426</v>
      </c>
      <c r="AU112" s="11">
        <v>42000</v>
      </c>
      <c r="AX112" s="11">
        <f ca="1">IFERROR(OFFSET(ITEM_RES!$A$1,MATCH(AY112,ITEM_RES!$J:$J,0)-1,0),0)</f>
        <v>211020401</v>
      </c>
      <c r="AY112" s="10" t="s">
        <v>418</v>
      </c>
      <c r="AZ112" s="11">
        <v>42000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42"/>
        <v>0</v>
      </c>
    </row>
    <row r="113" spans="1:68" x14ac:dyDescent="0.3">
      <c r="A113" s="14">
        <f t="shared" si="39"/>
        <v>112020009</v>
      </c>
      <c r="B113" s="13">
        <v>11</v>
      </c>
      <c r="C113" s="12">
        <f t="shared" si="40"/>
        <v>2</v>
      </c>
      <c r="D113" s="13">
        <v>2</v>
      </c>
      <c r="E113" s="13">
        <v>0</v>
      </c>
      <c r="F113" s="12">
        <f t="shared" si="41"/>
        <v>9</v>
      </c>
      <c r="H113" s="9">
        <v>2</v>
      </c>
      <c r="I113" s="9">
        <v>9</v>
      </c>
      <c r="K113" s="9" t="s">
        <v>753</v>
      </c>
      <c r="M113" s="9">
        <v>1</v>
      </c>
      <c r="N113" s="9">
        <v>15</v>
      </c>
      <c r="O113" s="9" t="s">
        <v>755</v>
      </c>
      <c r="S113" s="9" t="s">
        <v>754</v>
      </c>
      <c r="U113" s="84" t="s">
        <v>400</v>
      </c>
      <c r="V113" s="9">
        <f ca="1">IFERROR(OFFSET(ITEM_RES!$A$5,MATCH(BUILDING!U113,ITEM_RES!$J$5:$J$229,0)-1,0),0)</f>
        <v>211021001</v>
      </c>
      <c r="W113" s="11">
        <v>10</v>
      </c>
      <c r="X113" s="84" t="s">
        <v>534</v>
      </c>
      <c r="Y113" s="9">
        <f ca="1">IFERROR(OFFSET(ITEM_RES!$A$5,MATCH(BUILDING!X113,ITEM_RES!$J$5:$J$229,0)-1,0),0)</f>
        <v>211021101</v>
      </c>
      <c r="AA113" s="9" t="s">
        <v>504</v>
      </c>
      <c r="AB113" s="9">
        <v>9</v>
      </c>
      <c r="AD113" s="11">
        <f ca="1">IFERROR(OFFSET(MANOR_LEVEL!$B$1,MATCH(AE113-1,MANOR_LEVEL!$A:$A,0)-1,0),0)</f>
        <v>3961500</v>
      </c>
      <c r="AE113" s="56">
        <v>12</v>
      </c>
      <c r="AG113" s="56">
        <f t="shared" ca="1" si="43"/>
        <v>156650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156650</v>
      </c>
      <c r="AI113" s="179">
        <f t="shared" ca="1" si="45"/>
        <v>240750</v>
      </c>
      <c r="AK113" s="11">
        <f t="shared" si="20"/>
        <v>5400</v>
      </c>
      <c r="AL113" s="10">
        <v>5400</v>
      </c>
      <c r="AM113" s="11">
        <f t="shared" si="44"/>
        <v>150</v>
      </c>
      <c r="AN113" s="10">
        <v>150</v>
      </c>
      <c r="AO113" s="11">
        <v>500</v>
      </c>
      <c r="AP113" s="10">
        <v>0</v>
      </c>
      <c r="AQ113" s="56">
        <f t="shared" si="23"/>
        <v>2</v>
      </c>
      <c r="AS113" s="11">
        <f ca="1">IFERROR(OFFSET(ITEM_RES!$A$1,MATCH(AT113,ITEM_RES!$J:$J,0)-1,0),0)</f>
        <v>211020201</v>
      </c>
      <c r="AT113" s="10" t="s">
        <v>426</v>
      </c>
      <c r="AU113" s="11">
        <v>78000</v>
      </c>
      <c r="AX113" s="11">
        <f ca="1">IFERROR(OFFSET(ITEM_RES!$A$1,MATCH(AY113,ITEM_RES!$J:$J,0)-1,0),0)</f>
        <v>211020401</v>
      </c>
      <c r="AY113" s="10" t="s">
        <v>418</v>
      </c>
      <c r="AZ113" s="11">
        <v>78000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42"/>
        <v>0</v>
      </c>
    </row>
    <row r="114" spans="1:68" x14ac:dyDescent="0.3">
      <c r="A114" s="14">
        <f t="shared" si="39"/>
        <v>112020010</v>
      </c>
      <c r="B114" s="13">
        <v>11</v>
      </c>
      <c r="C114" s="12">
        <f t="shared" si="40"/>
        <v>2</v>
      </c>
      <c r="D114" s="13">
        <v>2</v>
      </c>
      <c r="E114" s="13">
        <v>0</v>
      </c>
      <c r="F114" s="12">
        <f t="shared" si="41"/>
        <v>10</v>
      </c>
      <c r="H114" s="9">
        <v>2</v>
      </c>
      <c r="I114" s="9">
        <v>10</v>
      </c>
      <c r="K114" s="9" t="s">
        <v>753</v>
      </c>
      <c r="M114" s="9">
        <v>1</v>
      </c>
      <c r="N114" s="9">
        <v>15</v>
      </c>
      <c r="O114" s="9" t="s">
        <v>755</v>
      </c>
      <c r="S114" s="9" t="s">
        <v>754</v>
      </c>
      <c r="U114" s="84" t="s">
        <v>400</v>
      </c>
      <c r="V114" s="9">
        <f ca="1">IFERROR(OFFSET(ITEM_RES!$A$5,MATCH(BUILDING!U114,ITEM_RES!$J$5:$J$229,0)-1,0),0)</f>
        <v>211021001</v>
      </c>
      <c r="W114" s="11">
        <v>10</v>
      </c>
      <c r="X114" s="84" t="s">
        <v>534</v>
      </c>
      <c r="Y114" s="9">
        <f ca="1">IFERROR(OFFSET(ITEM_RES!$A$5,MATCH(BUILDING!X114,ITEM_RES!$J$5:$J$229,0)-1,0),0)</f>
        <v>211021101</v>
      </c>
      <c r="AA114" s="9" t="s">
        <v>504</v>
      </c>
      <c r="AB114" s="9">
        <v>10</v>
      </c>
      <c r="AD114" s="11">
        <f ca="1">IFERROR(OFFSET(MANOR_LEVEL!$B$1,MATCH(AE114-1,MANOR_LEVEL!$A:$A,0)-1,0),0)</f>
        <v>3961500</v>
      </c>
      <c r="AE114" s="56">
        <v>12</v>
      </c>
      <c r="AG114" s="56">
        <f t="shared" ca="1" si="43"/>
        <v>266200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266200</v>
      </c>
      <c r="AI114" s="179">
        <f t="shared" ca="1" si="45"/>
        <v>422850</v>
      </c>
      <c r="AK114" s="11">
        <f t="shared" si="20"/>
        <v>7200</v>
      </c>
      <c r="AL114" s="10">
        <v>7200</v>
      </c>
      <c r="AM114" s="11">
        <f t="shared" si="44"/>
        <v>200</v>
      </c>
      <c r="AN114" s="10">
        <v>200</v>
      </c>
      <c r="AO114" s="11">
        <v>6000</v>
      </c>
      <c r="AP114" s="10">
        <v>0</v>
      </c>
      <c r="AQ114" s="56">
        <f t="shared" si="23"/>
        <v>2</v>
      </c>
      <c r="AS114" s="11">
        <f ca="1">IFERROR(OFFSET(ITEM_RES!$A$1,MATCH(AT114,ITEM_RES!$J:$J,0)-1,0),0)</f>
        <v>211020201</v>
      </c>
      <c r="AT114" s="10" t="s">
        <v>426</v>
      </c>
      <c r="AU114" s="11">
        <v>130000</v>
      </c>
      <c r="AX114" s="11">
        <f ca="1">IFERROR(OFFSET(ITEM_RES!$A$1,MATCH(AY114,ITEM_RES!$J:$J,0)-1,0),0)</f>
        <v>211020401</v>
      </c>
      <c r="AY114" s="10" t="s">
        <v>418</v>
      </c>
      <c r="AZ114" s="11">
        <v>130000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42"/>
        <v>0</v>
      </c>
    </row>
    <row r="115" spans="1:68" x14ac:dyDescent="0.3">
      <c r="A115" s="14">
        <f t="shared" si="39"/>
        <v>112020011</v>
      </c>
      <c r="B115" s="13">
        <v>11</v>
      </c>
      <c r="C115" s="12">
        <f t="shared" si="40"/>
        <v>2</v>
      </c>
      <c r="D115" s="13">
        <v>2</v>
      </c>
      <c r="E115" s="13">
        <v>0</v>
      </c>
      <c r="F115" s="12">
        <f t="shared" si="41"/>
        <v>11</v>
      </c>
      <c r="H115" s="9">
        <v>2</v>
      </c>
      <c r="I115" s="9">
        <v>11</v>
      </c>
      <c r="K115" s="9" t="s">
        <v>753</v>
      </c>
      <c r="M115" s="9">
        <v>1</v>
      </c>
      <c r="N115" s="9">
        <v>15</v>
      </c>
      <c r="O115" s="9" t="s">
        <v>755</v>
      </c>
      <c r="S115" s="9" t="s">
        <v>754</v>
      </c>
      <c r="U115" s="84" t="s">
        <v>400</v>
      </c>
      <c r="V115" s="9">
        <f ca="1">IFERROR(OFFSET(ITEM_RES!$A$5,MATCH(BUILDING!U115,ITEM_RES!$J$5:$J$229,0)-1,0),0)</f>
        <v>211021001</v>
      </c>
      <c r="W115" s="11">
        <v>10</v>
      </c>
      <c r="X115" s="84" t="s">
        <v>534</v>
      </c>
      <c r="Y115" s="9">
        <f ca="1">IFERROR(OFFSET(ITEM_RES!$A$5,MATCH(BUILDING!X115,ITEM_RES!$J$5:$J$229,0)-1,0),0)</f>
        <v>211021101</v>
      </c>
      <c r="AA115" s="9" t="s">
        <v>504</v>
      </c>
      <c r="AB115" s="9">
        <v>11</v>
      </c>
      <c r="AD115" s="11">
        <f ca="1">IFERROR(OFFSET(MANOR_LEVEL!$B$1,MATCH(AE115-1,MANOR_LEVEL!$A:$A,0)-1,0),0)</f>
        <v>3961500</v>
      </c>
      <c r="AE115" s="56">
        <v>12</v>
      </c>
      <c r="AG115" s="56">
        <f t="shared" ca="1" si="43"/>
        <v>523250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523250</v>
      </c>
      <c r="AI115" s="179">
        <f t="shared" ca="1" si="45"/>
        <v>789450</v>
      </c>
      <c r="AK115" s="11">
        <f t="shared" si="20"/>
        <v>9000</v>
      </c>
      <c r="AL115" s="10">
        <v>9000</v>
      </c>
      <c r="AM115" s="11">
        <f t="shared" si="44"/>
        <v>250</v>
      </c>
      <c r="AN115" s="10">
        <v>250</v>
      </c>
      <c r="AO115" s="11">
        <v>39000</v>
      </c>
      <c r="AP115" s="10">
        <v>0</v>
      </c>
      <c r="AQ115" s="56">
        <f t="shared" si="23"/>
        <v>2</v>
      </c>
      <c r="AS115" s="11">
        <f ca="1">IFERROR(OFFSET(ITEM_RES!$A$1,MATCH(AT115,ITEM_RES!$J:$J,0)-1,0),0)</f>
        <v>211020301</v>
      </c>
      <c r="AT115" s="10" t="s">
        <v>389</v>
      </c>
      <c r="AU115" s="11">
        <v>220000</v>
      </c>
      <c r="AX115" s="11">
        <f ca="1">IFERROR(OFFSET(ITEM_RES!$A$1,MATCH(AY115,ITEM_RES!$J:$J,0)-1,0),0)</f>
        <v>211020401</v>
      </c>
      <c r="AY115" s="10" t="s">
        <v>418</v>
      </c>
      <c r="AZ115" s="11">
        <v>220000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42"/>
        <v>0</v>
      </c>
    </row>
    <row r="116" spans="1:68" x14ac:dyDescent="0.3">
      <c r="A116" s="14">
        <f t="shared" si="39"/>
        <v>112020012</v>
      </c>
      <c r="B116" s="13">
        <v>11</v>
      </c>
      <c r="C116" s="12">
        <f t="shared" si="40"/>
        <v>2</v>
      </c>
      <c r="D116" s="13">
        <v>2</v>
      </c>
      <c r="E116" s="13">
        <v>0</v>
      </c>
      <c r="F116" s="12">
        <f t="shared" si="41"/>
        <v>12</v>
      </c>
      <c r="H116" s="9">
        <v>2</v>
      </c>
      <c r="I116" s="9">
        <v>12</v>
      </c>
      <c r="K116" s="9" t="s">
        <v>753</v>
      </c>
      <c r="M116" s="9">
        <v>1</v>
      </c>
      <c r="N116" s="9">
        <v>15</v>
      </c>
      <c r="O116" s="9" t="s">
        <v>755</v>
      </c>
      <c r="S116" s="9" t="s">
        <v>754</v>
      </c>
      <c r="U116" s="84" t="s">
        <v>400</v>
      </c>
      <c r="V116" s="9">
        <f ca="1">IFERROR(OFFSET(ITEM_RES!$A$5,MATCH(BUILDING!U116,ITEM_RES!$J$5:$J$229,0)-1,0),0)</f>
        <v>211021001</v>
      </c>
      <c r="W116" s="11">
        <v>10</v>
      </c>
      <c r="X116" s="84" t="s">
        <v>534</v>
      </c>
      <c r="Y116" s="9">
        <f ca="1">IFERROR(OFFSET(ITEM_RES!$A$5,MATCH(BUILDING!X116,ITEM_RES!$J$5:$J$229,0)-1,0),0)</f>
        <v>211021101</v>
      </c>
      <c r="AA116" s="9" t="s">
        <v>504</v>
      </c>
      <c r="AB116" s="9">
        <v>12</v>
      </c>
      <c r="AD116" s="11">
        <f ca="1">IFERROR(OFFSET(MANOR_LEVEL!$B$1,MATCH(AE116-1,MANOR_LEVEL!$A:$A,0)-1,0),0)</f>
        <v>3961500</v>
      </c>
      <c r="AE116" s="56">
        <v>12</v>
      </c>
      <c r="AG116" s="56">
        <f t="shared" ca="1" si="43"/>
        <v>879300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879300</v>
      </c>
      <c r="AI116" s="179">
        <f t="shared" ca="1" si="45"/>
        <v>1402550</v>
      </c>
      <c r="AK116" s="11">
        <f t="shared" si="20"/>
        <v>10800</v>
      </c>
      <c r="AL116" s="10">
        <v>10800</v>
      </c>
      <c r="AM116" s="11">
        <f t="shared" si="44"/>
        <v>300</v>
      </c>
      <c r="AN116" s="10">
        <v>300</v>
      </c>
      <c r="AO116" s="11">
        <v>65000</v>
      </c>
      <c r="AP116" s="10">
        <v>0</v>
      </c>
      <c r="AQ116" s="56">
        <f t="shared" si="23"/>
        <v>2</v>
      </c>
      <c r="AS116" s="11">
        <f ca="1">IFERROR(OFFSET(ITEM_RES!$A$1,MATCH(AT116,ITEM_RES!$J:$J,0)-1,0),0)</f>
        <v>211020301</v>
      </c>
      <c r="AT116" s="10" t="s">
        <v>389</v>
      </c>
      <c r="AU116" s="11">
        <v>370000</v>
      </c>
      <c r="AX116" s="11">
        <f ca="1">IFERROR(OFFSET(ITEM_RES!$A$1,MATCH(AY116,ITEM_RES!$J:$J,0)-1,0),0)</f>
        <v>211020401</v>
      </c>
      <c r="AY116" s="10" t="s">
        <v>418</v>
      </c>
      <c r="AZ116" s="11">
        <v>370000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42"/>
        <v>0</v>
      </c>
    </row>
    <row r="117" spans="1:68" x14ac:dyDescent="0.3">
      <c r="A117" s="14">
        <f t="shared" si="39"/>
        <v>112020013</v>
      </c>
      <c r="B117" s="13">
        <v>11</v>
      </c>
      <c r="C117" s="12">
        <f t="shared" si="40"/>
        <v>2</v>
      </c>
      <c r="D117" s="13">
        <v>2</v>
      </c>
      <c r="E117" s="13">
        <v>0</v>
      </c>
      <c r="F117" s="12">
        <f t="shared" si="41"/>
        <v>13</v>
      </c>
      <c r="H117" s="9">
        <v>2</v>
      </c>
      <c r="I117" s="9">
        <v>13</v>
      </c>
      <c r="K117" s="9" t="s">
        <v>753</v>
      </c>
      <c r="M117" s="9">
        <v>1</v>
      </c>
      <c r="N117" s="9">
        <v>15</v>
      </c>
      <c r="O117" s="9" t="s">
        <v>755</v>
      </c>
      <c r="S117" s="9" t="s">
        <v>754</v>
      </c>
      <c r="U117" s="84" t="s">
        <v>400</v>
      </c>
      <c r="V117" s="9">
        <f ca="1">IFERROR(OFFSET(ITEM_RES!$A$5,MATCH(BUILDING!U117,ITEM_RES!$J$5:$J$229,0)-1,0),0)</f>
        <v>211021001</v>
      </c>
      <c r="W117" s="11">
        <v>10</v>
      </c>
      <c r="X117" s="84" t="s">
        <v>534</v>
      </c>
      <c r="Y117" s="9">
        <f ca="1">IFERROR(OFFSET(ITEM_RES!$A$5,MATCH(BUILDING!X117,ITEM_RES!$J$5:$J$229,0)-1,0),0)</f>
        <v>211021101</v>
      </c>
      <c r="AA117" s="9" t="s">
        <v>504</v>
      </c>
      <c r="AB117" s="9">
        <v>13</v>
      </c>
      <c r="AD117" s="11">
        <f ca="1">IFERROR(OFFSET(MANOR_LEVEL!$B$1,MATCH(AE117-1,MANOR_LEVEL!$A:$A,0)-1,0),0)</f>
        <v>3961500</v>
      </c>
      <c r="AE117" s="56">
        <v>12</v>
      </c>
      <c r="AG117" s="56">
        <f t="shared" ca="1" si="43"/>
        <v>1474350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1474350</v>
      </c>
      <c r="AI117" s="179">
        <f t="shared" ca="1" si="45"/>
        <v>2353650</v>
      </c>
      <c r="AK117" s="11">
        <f t="shared" si="20"/>
        <v>12600</v>
      </c>
      <c r="AL117" s="10">
        <v>12600</v>
      </c>
      <c r="AM117" s="11">
        <f t="shared" si="44"/>
        <v>350</v>
      </c>
      <c r="AN117" s="10">
        <v>350</v>
      </c>
      <c r="AO117" s="11">
        <v>110000</v>
      </c>
      <c r="AP117" s="10">
        <v>0</v>
      </c>
      <c r="AQ117" s="56">
        <f t="shared" si="23"/>
        <v>2</v>
      </c>
      <c r="AS117" s="11">
        <f ca="1">IFERROR(OFFSET(ITEM_RES!$A$1,MATCH(AT117,ITEM_RES!$J:$J,0)-1,0),0)</f>
        <v>211020301</v>
      </c>
      <c r="AT117" s="10" t="s">
        <v>389</v>
      </c>
      <c r="AU117" s="11">
        <v>620000</v>
      </c>
      <c r="AX117" s="11">
        <f ca="1">IFERROR(OFFSET(ITEM_RES!$A$1,MATCH(AY117,ITEM_RES!$J:$J,0)-1,0),0)</f>
        <v>211020401</v>
      </c>
      <c r="AY117" s="10" t="s">
        <v>418</v>
      </c>
      <c r="AZ117" s="11">
        <v>620000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42"/>
        <v>0</v>
      </c>
    </row>
    <row r="118" spans="1:68" x14ac:dyDescent="0.3">
      <c r="A118" s="14">
        <f t="shared" si="39"/>
        <v>112020014</v>
      </c>
      <c r="B118" s="13">
        <v>11</v>
      </c>
      <c r="C118" s="12">
        <f t="shared" si="40"/>
        <v>2</v>
      </c>
      <c r="D118" s="13">
        <v>2</v>
      </c>
      <c r="E118" s="13">
        <v>0</v>
      </c>
      <c r="F118" s="12">
        <f t="shared" si="41"/>
        <v>14</v>
      </c>
      <c r="H118" s="9">
        <v>2</v>
      </c>
      <c r="I118" s="9">
        <v>14</v>
      </c>
      <c r="K118" s="9" t="s">
        <v>753</v>
      </c>
      <c r="M118" s="9">
        <v>1</v>
      </c>
      <c r="N118" s="9">
        <v>15</v>
      </c>
      <c r="O118" s="9" t="s">
        <v>755</v>
      </c>
      <c r="S118" s="9" t="s">
        <v>754</v>
      </c>
      <c r="U118" s="84" t="s">
        <v>400</v>
      </c>
      <c r="V118" s="9">
        <f ca="1">IFERROR(OFFSET(ITEM_RES!$A$5,MATCH(BUILDING!U118,ITEM_RES!$J$5:$J$229,0)-1,0),0)</f>
        <v>211021001</v>
      </c>
      <c r="W118" s="11">
        <v>10</v>
      </c>
      <c r="X118" s="84" t="s">
        <v>534</v>
      </c>
      <c r="Y118" s="9">
        <f ca="1">IFERROR(OFFSET(ITEM_RES!$A$5,MATCH(BUILDING!X118,ITEM_RES!$J$5:$J$229,0)-1,0),0)</f>
        <v>211021101</v>
      </c>
      <c r="AA118" s="9" t="s">
        <v>504</v>
      </c>
      <c r="AB118" s="9">
        <v>14</v>
      </c>
      <c r="AD118" s="11">
        <f ca="1">IFERROR(OFFSET(MANOR_LEVEL!$B$1,MATCH(AE118-1,MANOR_LEVEL!$A:$A,0)-1,0),0)</f>
        <v>3961500</v>
      </c>
      <c r="AE118" s="56">
        <v>12</v>
      </c>
      <c r="AG118" s="56">
        <f t="shared" ca="1" si="43"/>
        <v>2319450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2319450</v>
      </c>
      <c r="AI118" s="179">
        <f t="shared" ca="1" si="45"/>
        <v>3793800</v>
      </c>
      <c r="AK118" s="11">
        <f t="shared" si="20"/>
        <v>14400</v>
      </c>
      <c r="AL118" s="10">
        <v>14400</v>
      </c>
      <c r="AM118" s="11">
        <f t="shared" si="44"/>
        <v>450</v>
      </c>
      <c r="AN118" s="10">
        <v>450</v>
      </c>
      <c r="AO118" s="11">
        <v>185000</v>
      </c>
      <c r="AP118" s="10">
        <v>0</v>
      </c>
      <c r="AQ118" s="56">
        <f t="shared" si="23"/>
        <v>2</v>
      </c>
      <c r="AS118" s="11">
        <f ca="1">IFERROR(OFFSET(ITEM_RES!$A$1,MATCH(AT118,ITEM_RES!$J:$J,0)-1,0),0)</f>
        <v>211020301</v>
      </c>
      <c r="AT118" s="10" t="s">
        <v>389</v>
      </c>
      <c r="AU118" s="11">
        <v>970000</v>
      </c>
      <c r="AX118" s="11">
        <f ca="1">IFERROR(OFFSET(ITEM_RES!$A$1,MATCH(AY118,ITEM_RES!$J:$J,0)-1,0),0)</f>
        <v>211020401</v>
      </c>
      <c r="AY118" s="10" t="s">
        <v>418</v>
      </c>
      <c r="AZ118" s="11">
        <v>970000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42"/>
        <v>0</v>
      </c>
    </row>
    <row r="119" spans="1:68" x14ac:dyDescent="0.3">
      <c r="A119" s="14">
        <f t="shared" si="39"/>
        <v>112020015</v>
      </c>
      <c r="B119" s="13">
        <v>11</v>
      </c>
      <c r="C119" s="12">
        <f t="shared" si="40"/>
        <v>2</v>
      </c>
      <c r="D119" s="13">
        <v>2</v>
      </c>
      <c r="E119" s="13">
        <v>0</v>
      </c>
      <c r="F119" s="12">
        <f t="shared" si="41"/>
        <v>15</v>
      </c>
      <c r="H119" s="9">
        <v>2</v>
      </c>
      <c r="I119" s="9">
        <v>15</v>
      </c>
      <c r="K119" s="9" t="s">
        <v>753</v>
      </c>
      <c r="M119" s="9">
        <v>1</v>
      </c>
      <c r="N119" s="9">
        <v>15</v>
      </c>
      <c r="O119" s="9" t="s">
        <v>755</v>
      </c>
      <c r="S119" s="9" t="s">
        <v>754</v>
      </c>
      <c r="U119" s="84" t="s">
        <v>400</v>
      </c>
      <c r="V119" s="9">
        <f ca="1">IFERROR(OFFSET(ITEM_RES!$A$5,MATCH(BUILDING!U119,ITEM_RES!$J$5:$J$229,0)-1,0),0)</f>
        <v>211021001</v>
      </c>
      <c r="W119" s="11">
        <v>10</v>
      </c>
      <c r="X119" s="84" t="s">
        <v>534</v>
      </c>
      <c r="Y119" s="9">
        <f ca="1">IFERROR(OFFSET(ITEM_RES!$A$5,MATCH(BUILDING!X119,ITEM_RES!$J$5:$J$229,0)-1,0),0)</f>
        <v>211021101</v>
      </c>
      <c r="AA119" s="9" t="s">
        <v>504</v>
      </c>
      <c r="AB119" s="9">
        <v>15</v>
      </c>
      <c r="AD119" s="11">
        <f ca="1">IFERROR(OFFSET(MANOR_LEVEL!$B$1,MATCH(AE119-1,MANOR_LEVEL!$A:$A,0)-1,0),0)</f>
        <v>3961500</v>
      </c>
      <c r="AE119" s="56">
        <v>12</v>
      </c>
      <c r="AG119" s="56">
        <f t="shared" ca="1" si="43"/>
        <v>5350550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5350550</v>
      </c>
      <c r="AI119" s="179">
        <f t="shared" ca="1" si="45"/>
        <v>7670000</v>
      </c>
      <c r="AK119" s="11">
        <f t="shared" si="20"/>
        <v>16200</v>
      </c>
      <c r="AL119" s="10">
        <v>16200</v>
      </c>
      <c r="AM119" s="11">
        <f t="shared" si="44"/>
        <v>550</v>
      </c>
      <c r="AN119" s="10">
        <v>550</v>
      </c>
      <c r="AO119" s="11">
        <v>310000</v>
      </c>
      <c r="AP119" s="10">
        <v>0</v>
      </c>
      <c r="AQ119" s="56">
        <f t="shared" si="23"/>
        <v>2</v>
      </c>
      <c r="AS119" s="11">
        <f ca="1">IFERROR(OFFSET(ITEM_RES!$A$1,MATCH(AT119,ITEM_RES!$J:$J,0)-1,0),0)</f>
        <v>211020301</v>
      </c>
      <c r="AT119" s="10" t="s">
        <v>389</v>
      </c>
      <c r="AU119" s="11">
        <v>2100000</v>
      </c>
      <c r="AX119" s="11">
        <f ca="1">IFERROR(OFFSET(ITEM_RES!$A$1,MATCH(AY119,ITEM_RES!$J:$J,0)-1,0),0)</f>
        <v>211020501</v>
      </c>
      <c r="AY119" s="10" t="s">
        <v>419</v>
      </c>
      <c r="AZ119" s="11">
        <v>2100000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42"/>
        <v>0</v>
      </c>
    </row>
    <row r="120" spans="1:68" x14ac:dyDescent="0.3">
      <c r="A120" s="14">
        <f t="shared" si="39"/>
        <v>112020016</v>
      </c>
      <c r="B120" s="13">
        <v>11</v>
      </c>
      <c r="C120" s="12">
        <f t="shared" si="40"/>
        <v>2</v>
      </c>
      <c r="D120" s="13">
        <v>2</v>
      </c>
      <c r="E120" s="13">
        <v>0</v>
      </c>
      <c r="F120" s="12">
        <f t="shared" si="41"/>
        <v>16</v>
      </c>
      <c r="H120" s="9">
        <v>2</v>
      </c>
      <c r="I120" s="9">
        <v>16</v>
      </c>
      <c r="K120" s="9" t="s">
        <v>753</v>
      </c>
      <c r="M120" s="9">
        <v>0</v>
      </c>
      <c r="N120" s="9">
        <v>15</v>
      </c>
      <c r="O120" s="9" t="s">
        <v>755</v>
      </c>
      <c r="S120" s="9" t="s">
        <v>754</v>
      </c>
      <c r="U120" s="84" t="s">
        <v>400</v>
      </c>
      <c r="V120" s="9">
        <f ca="1">IFERROR(OFFSET(ITEM_RES!$A$5,MATCH(BUILDING!U120,ITEM_RES!$J$5:$J$229,0)-1,0),0)</f>
        <v>211021001</v>
      </c>
      <c r="W120" s="11">
        <v>10</v>
      </c>
      <c r="X120" s="84" t="s">
        <v>534</v>
      </c>
      <c r="Y120" s="9">
        <f ca="1">IFERROR(OFFSET(ITEM_RES!$A$5,MATCH(BUILDING!X120,ITEM_RES!$J$5:$J$229,0)-1,0),0)</f>
        <v>211021101</v>
      </c>
      <c r="AA120" s="9" t="s">
        <v>504</v>
      </c>
      <c r="AB120" s="9">
        <v>16</v>
      </c>
      <c r="AD120" s="11">
        <f ca="1">IFERROR(OFFSET(MANOR_LEVEL!$B$1,MATCH(AE120-1,MANOR_LEVEL!$A:$A,0)-1,0),0)</f>
        <v>3961500</v>
      </c>
      <c r="AE120" s="56">
        <v>12</v>
      </c>
      <c r="AG120" s="56">
        <f t="shared" ca="1" si="43"/>
        <v>10805700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10805700</v>
      </c>
      <c r="AI120" s="179">
        <f t="shared" ca="1" si="45"/>
        <v>16156250</v>
      </c>
      <c r="AK120" s="11">
        <f t="shared" si="20"/>
        <v>18000</v>
      </c>
      <c r="AL120" s="10">
        <v>18000</v>
      </c>
      <c r="AM120" s="11">
        <f t="shared" si="44"/>
        <v>700</v>
      </c>
      <c r="AN120" s="10">
        <v>700</v>
      </c>
      <c r="AO120" s="11">
        <v>485000</v>
      </c>
      <c r="AP120" s="10">
        <v>0</v>
      </c>
      <c r="AQ120" s="56">
        <f t="shared" si="23"/>
        <v>2</v>
      </c>
      <c r="AS120" s="11">
        <f ca="1">IFERROR(OFFSET(ITEM_RES!$A$1,MATCH(AT120,ITEM_RES!$J:$J,0)-1,0),0)</f>
        <v>211020301</v>
      </c>
      <c r="AT120" s="10" t="s">
        <v>389</v>
      </c>
      <c r="AU120" s="11">
        <v>4300000</v>
      </c>
      <c r="AX120" s="11">
        <f ca="1">IFERROR(OFFSET(ITEM_RES!$A$1,MATCH(AY120,ITEM_RES!$J:$J,0)-1,0),0)</f>
        <v>211020501</v>
      </c>
      <c r="AY120" s="10" t="s">
        <v>419</v>
      </c>
      <c r="AZ120" s="11">
        <v>4300000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42"/>
        <v>0</v>
      </c>
    </row>
    <row r="121" spans="1:68" x14ac:dyDescent="0.3">
      <c r="A121" s="14">
        <f t="shared" si="39"/>
        <v>112020017</v>
      </c>
      <c r="B121" s="13">
        <v>11</v>
      </c>
      <c r="C121" s="12">
        <f t="shared" si="40"/>
        <v>2</v>
      </c>
      <c r="D121" s="13">
        <v>2</v>
      </c>
      <c r="E121" s="13">
        <v>0</v>
      </c>
      <c r="F121" s="12">
        <f t="shared" si="41"/>
        <v>17</v>
      </c>
      <c r="H121" s="9">
        <v>2</v>
      </c>
      <c r="I121" s="9">
        <v>17</v>
      </c>
      <c r="K121" s="9" t="s">
        <v>753</v>
      </c>
      <c r="M121" s="9">
        <v>0</v>
      </c>
      <c r="N121" s="9">
        <v>15</v>
      </c>
      <c r="O121" s="9" t="s">
        <v>755</v>
      </c>
      <c r="S121" s="9" t="s">
        <v>754</v>
      </c>
      <c r="U121" s="84" t="s">
        <v>400</v>
      </c>
      <c r="V121" s="9">
        <f ca="1">IFERROR(OFFSET(ITEM_RES!$A$5,MATCH(BUILDING!U121,ITEM_RES!$J$5:$J$229,0)-1,0),0)</f>
        <v>211021001</v>
      </c>
      <c r="W121" s="11">
        <v>10</v>
      </c>
      <c r="X121" s="84" t="s">
        <v>534</v>
      </c>
      <c r="Y121" s="9">
        <f ca="1">IFERROR(OFFSET(ITEM_RES!$A$5,MATCH(BUILDING!X121,ITEM_RES!$J$5:$J$229,0)-1,0),0)</f>
        <v>211021101</v>
      </c>
      <c r="AA121" s="9" t="s">
        <v>504</v>
      </c>
      <c r="AB121" s="9">
        <v>17</v>
      </c>
      <c r="AD121" s="11">
        <f ca="1">IFERROR(OFFSET(MANOR_LEVEL!$B$1,MATCH(AE121-1,MANOR_LEVEL!$A:$A,0)-1,0),0)</f>
        <v>3961500</v>
      </c>
      <c r="AE121" s="56">
        <v>12</v>
      </c>
      <c r="AG121" s="56">
        <f t="shared" ca="1" si="43"/>
        <v>20250850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20250850</v>
      </c>
      <c r="AI121" s="179">
        <f t="shared" ca="1" si="45"/>
        <v>31056550</v>
      </c>
      <c r="AK121" s="11">
        <f t="shared" si="20"/>
        <v>19800</v>
      </c>
      <c r="AL121" s="10">
        <v>19800</v>
      </c>
      <c r="AM121" s="11">
        <f t="shared" si="44"/>
        <v>850</v>
      </c>
      <c r="AN121" s="10">
        <v>850</v>
      </c>
      <c r="AO121" s="11">
        <v>1050000</v>
      </c>
      <c r="AP121" s="10">
        <v>0</v>
      </c>
      <c r="AQ121" s="56">
        <f t="shared" si="23"/>
        <v>2</v>
      </c>
      <c r="AS121" s="11">
        <f ca="1">IFERROR(OFFSET(ITEM_RES!$A$1,MATCH(AT121,ITEM_RES!$J:$J,0)-1,0),0)</f>
        <v>211020301</v>
      </c>
      <c r="AT121" s="10" t="s">
        <v>1012</v>
      </c>
      <c r="AU121" s="11">
        <v>8000000</v>
      </c>
      <c r="AX121" s="11">
        <f ca="1">IFERROR(OFFSET(ITEM_RES!$A$1,MATCH(AY121,ITEM_RES!$J:$J,0)-1,0),0)</f>
        <v>211020501</v>
      </c>
      <c r="AY121" s="10" t="s">
        <v>419</v>
      </c>
      <c r="AZ121" s="11">
        <v>8000000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42"/>
        <v>0</v>
      </c>
    </row>
    <row r="122" spans="1:68" x14ac:dyDescent="0.3">
      <c r="A122" s="14">
        <f t="shared" si="39"/>
        <v>112020018</v>
      </c>
      <c r="B122" s="13">
        <v>11</v>
      </c>
      <c r="C122" s="12">
        <f t="shared" si="40"/>
        <v>2</v>
      </c>
      <c r="D122" s="13">
        <v>2</v>
      </c>
      <c r="E122" s="13">
        <v>0</v>
      </c>
      <c r="F122" s="12">
        <f t="shared" si="41"/>
        <v>18</v>
      </c>
      <c r="H122" s="9">
        <v>2</v>
      </c>
      <c r="I122" s="9">
        <v>18</v>
      </c>
      <c r="K122" s="9" t="s">
        <v>753</v>
      </c>
      <c r="M122" s="9">
        <v>0</v>
      </c>
      <c r="N122" s="9">
        <v>15</v>
      </c>
      <c r="O122" s="9" t="s">
        <v>755</v>
      </c>
      <c r="S122" s="9" t="s">
        <v>754</v>
      </c>
      <c r="U122" s="84" t="s">
        <v>400</v>
      </c>
      <c r="V122" s="9">
        <f ca="1">IFERROR(OFFSET(ITEM_RES!$A$5,MATCH(BUILDING!U122,ITEM_RES!$J$5:$J$229,0)-1,0),0)</f>
        <v>211021001</v>
      </c>
      <c r="W122" s="11">
        <v>10</v>
      </c>
      <c r="X122" s="84" t="s">
        <v>534</v>
      </c>
      <c r="Y122" s="9">
        <f ca="1">IFERROR(OFFSET(ITEM_RES!$A$5,MATCH(BUILDING!X122,ITEM_RES!$J$5:$J$229,0)-1,0),0)</f>
        <v>211021101</v>
      </c>
      <c r="AA122" s="9" t="s">
        <v>504</v>
      </c>
      <c r="AB122" s="9">
        <v>18</v>
      </c>
      <c r="AD122" s="11">
        <f ca="1">IFERROR(OFFSET(MANOR_LEVEL!$B$1,MATCH(AE122-1,MANOR_LEVEL!$A:$A,0)-1,0),0)</f>
        <v>3961500</v>
      </c>
      <c r="AE122" s="56">
        <v>12</v>
      </c>
      <c r="AG122" s="56">
        <f t="shared" ca="1" si="43"/>
        <v>33351050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33351050</v>
      </c>
      <c r="AI122" s="179">
        <f t="shared" ca="1" si="45"/>
        <v>53601900</v>
      </c>
      <c r="AK122" s="11">
        <f t="shared" si="20"/>
        <v>21600</v>
      </c>
      <c r="AL122" s="10">
        <v>21600</v>
      </c>
      <c r="AM122" s="11">
        <f t="shared" si="44"/>
        <v>1050</v>
      </c>
      <c r="AN122" s="10">
        <v>1050</v>
      </c>
      <c r="AO122" s="11">
        <v>2150000</v>
      </c>
      <c r="AP122" s="10">
        <v>0</v>
      </c>
      <c r="AQ122" s="56">
        <f t="shared" si="23"/>
        <v>2</v>
      </c>
      <c r="AS122" s="11">
        <f ca="1">IFERROR(OFFSET(ITEM_RES!$A$1,MATCH(AT122,ITEM_RES!$J:$J,0)-1,0),0)</f>
        <v>211020301</v>
      </c>
      <c r="AT122" s="10" t="s">
        <v>1012</v>
      </c>
      <c r="AU122" s="11">
        <v>13000000</v>
      </c>
      <c r="AX122" s="11">
        <f ca="1">IFERROR(OFFSET(ITEM_RES!$A$1,MATCH(AY122,ITEM_RES!$J:$J,0)-1,0),0)</f>
        <v>211020501</v>
      </c>
      <c r="AY122" s="10" t="s">
        <v>419</v>
      </c>
      <c r="AZ122" s="11">
        <v>13000000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42"/>
        <v>0</v>
      </c>
    </row>
    <row r="123" spans="1:68" x14ac:dyDescent="0.3">
      <c r="A123" s="14">
        <f t="shared" si="39"/>
        <v>112020019</v>
      </c>
      <c r="B123" s="13">
        <v>11</v>
      </c>
      <c r="C123" s="12">
        <f t="shared" si="40"/>
        <v>2</v>
      </c>
      <c r="D123" s="13">
        <v>2</v>
      </c>
      <c r="E123" s="13">
        <v>0</v>
      </c>
      <c r="F123" s="12">
        <f t="shared" si="41"/>
        <v>19</v>
      </c>
      <c r="H123" s="9">
        <v>2</v>
      </c>
      <c r="I123" s="9">
        <v>19</v>
      </c>
      <c r="K123" s="9" t="s">
        <v>753</v>
      </c>
      <c r="M123" s="9">
        <v>0</v>
      </c>
      <c r="N123" s="9">
        <v>15</v>
      </c>
      <c r="O123" s="9" t="s">
        <v>755</v>
      </c>
      <c r="S123" s="9" t="s">
        <v>754</v>
      </c>
      <c r="U123" s="84" t="s">
        <v>400</v>
      </c>
      <c r="V123" s="9">
        <f ca="1">IFERROR(OFFSET(ITEM_RES!$A$5,MATCH(BUILDING!U123,ITEM_RES!$J$5:$J$229,0)-1,0),0)</f>
        <v>211021001</v>
      </c>
      <c r="W123" s="11">
        <v>10</v>
      </c>
      <c r="X123" s="84" t="s">
        <v>534</v>
      </c>
      <c r="Y123" s="9">
        <f ca="1">IFERROR(OFFSET(ITEM_RES!$A$5,MATCH(BUILDING!X123,ITEM_RES!$J$5:$J$229,0)-1,0),0)</f>
        <v>211021101</v>
      </c>
      <c r="AA123" s="9" t="s">
        <v>504</v>
      </c>
      <c r="AB123" s="9">
        <v>19</v>
      </c>
      <c r="AD123" s="11">
        <f ca="1">IFERROR(OFFSET(MANOR_LEVEL!$B$1,MATCH(AE123-1,MANOR_LEVEL!$A:$A,0)-1,0),0)</f>
        <v>3961500</v>
      </c>
      <c r="AE123" s="56">
        <v>12</v>
      </c>
      <c r="AG123" s="56">
        <f t="shared" ca="1" si="43"/>
        <v>52001250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52001250</v>
      </c>
      <c r="AI123" s="179">
        <f t="shared" ca="1" si="45"/>
        <v>85352300</v>
      </c>
      <c r="AK123" s="11">
        <f t="shared" si="20"/>
        <v>23400</v>
      </c>
      <c r="AL123" s="10">
        <v>23400</v>
      </c>
      <c r="AM123" s="11">
        <f t="shared" si="44"/>
        <v>1250</v>
      </c>
      <c r="AN123" s="10">
        <v>1250</v>
      </c>
      <c r="AO123" s="11">
        <v>4000000</v>
      </c>
      <c r="AP123" s="10">
        <v>0</v>
      </c>
      <c r="AQ123" s="56">
        <f t="shared" si="23"/>
        <v>2</v>
      </c>
      <c r="AS123" s="11">
        <f ca="1">IFERROR(OFFSET(ITEM_RES!$A$1,MATCH(AT123,ITEM_RES!$J:$J,0)-1,0),0)</f>
        <v>211020301</v>
      </c>
      <c r="AT123" s="10" t="s">
        <v>1012</v>
      </c>
      <c r="AU123" s="11">
        <v>20000000</v>
      </c>
      <c r="AX123" s="11">
        <f ca="1">IFERROR(OFFSET(ITEM_RES!$A$1,MATCH(AY123,ITEM_RES!$J:$J,0)-1,0),0)</f>
        <v>211020501</v>
      </c>
      <c r="AY123" s="10" t="s">
        <v>419</v>
      </c>
      <c r="AZ123" s="11">
        <v>20000000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42"/>
        <v>0</v>
      </c>
    </row>
    <row r="124" spans="1:68" ht="17.25" thickBot="1" x14ac:dyDescent="0.35">
      <c r="A124" s="14">
        <f t="shared" si="39"/>
        <v>112020020</v>
      </c>
      <c r="B124" s="13">
        <v>11</v>
      </c>
      <c r="C124" s="12">
        <f t="shared" si="40"/>
        <v>2</v>
      </c>
      <c r="D124" s="13">
        <v>2</v>
      </c>
      <c r="E124" s="13">
        <v>0</v>
      </c>
      <c r="F124" s="12">
        <f t="shared" si="41"/>
        <v>20</v>
      </c>
      <c r="H124" s="9">
        <v>2</v>
      </c>
      <c r="I124" s="9">
        <v>20</v>
      </c>
      <c r="K124" s="9" t="s">
        <v>753</v>
      </c>
      <c r="M124" s="9">
        <v>0</v>
      </c>
      <c r="N124" s="9">
        <v>15</v>
      </c>
      <c r="O124" s="9" t="s">
        <v>755</v>
      </c>
      <c r="S124" s="9" t="s">
        <v>754</v>
      </c>
      <c r="U124" s="84" t="s">
        <v>400</v>
      </c>
      <c r="V124" s="9">
        <f ca="1">IFERROR(OFFSET(ITEM_RES!$A$5,MATCH(BUILDING!U124,ITEM_RES!$J$5:$J$229,0)-1,0),0)</f>
        <v>211021001</v>
      </c>
      <c r="W124" s="11">
        <v>10</v>
      </c>
      <c r="X124" s="84" t="s">
        <v>534</v>
      </c>
      <c r="Y124" s="9">
        <f ca="1">IFERROR(OFFSET(ITEM_RES!$A$5,MATCH(BUILDING!X124,ITEM_RES!$J$5:$J$229,0)-1,0),0)</f>
        <v>211021101</v>
      </c>
      <c r="AA124" s="9" t="s">
        <v>504</v>
      </c>
      <c r="AB124" s="9">
        <v>20</v>
      </c>
      <c r="AD124" s="11">
        <f ca="1">IFERROR(OFFSET(MANOR_LEVEL!$B$1,MATCH(AE124-1,MANOR_LEVEL!$A:$A,0)-1,0),0)</f>
        <v>3961500</v>
      </c>
      <c r="AE124" s="56">
        <v>12</v>
      </c>
      <c r="AG124" s="56">
        <f t="shared" ca="1" si="43"/>
        <v>83301500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83301500</v>
      </c>
      <c r="AI124" s="179">
        <f t="shared" ca="1" si="45"/>
        <v>135302750</v>
      </c>
      <c r="AK124" s="11">
        <f t="shared" si="20"/>
        <v>25200</v>
      </c>
      <c r="AL124" s="10">
        <v>25200</v>
      </c>
      <c r="AM124" s="11">
        <f t="shared" si="44"/>
        <v>1500</v>
      </c>
      <c r="AN124" s="10">
        <v>1500</v>
      </c>
      <c r="AO124" s="11">
        <v>6500000</v>
      </c>
      <c r="AP124" s="10">
        <v>0</v>
      </c>
      <c r="AQ124" s="56">
        <f t="shared" si="23"/>
        <v>2</v>
      </c>
      <c r="AS124" s="11">
        <f ca="1">IFERROR(OFFSET(ITEM_RES!$A$1,MATCH(AT124,ITEM_RES!$J:$J,0)-1,0),0)</f>
        <v>211020301</v>
      </c>
      <c r="AT124" s="10" t="s">
        <v>1012</v>
      </c>
      <c r="AU124" s="11">
        <v>32000000</v>
      </c>
      <c r="AX124" s="11">
        <f ca="1">IFERROR(OFFSET(ITEM_RES!$A$1,MATCH(AY124,ITEM_RES!$J:$J,0)-1,0),0)</f>
        <v>211020501</v>
      </c>
      <c r="AY124" s="10" t="s">
        <v>419</v>
      </c>
      <c r="AZ124" s="11">
        <v>32000000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42"/>
        <v>0</v>
      </c>
    </row>
    <row r="125" spans="1:68" s="15" customFormat="1" x14ac:dyDescent="0.3">
      <c r="A125" s="21">
        <f t="shared" si="39"/>
        <v>111050001</v>
      </c>
      <c r="B125" s="20">
        <v>11</v>
      </c>
      <c r="C125" s="19">
        <f t="shared" si="40"/>
        <v>1</v>
      </c>
      <c r="D125" s="20">
        <v>5</v>
      </c>
      <c r="E125" s="20">
        <v>0</v>
      </c>
      <c r="F125" s="19">
        <f t="shared" si="41"/>
        <v>1</v>
      </c>
      <c r="G125" s="78"/>
      <c r="H125" s="16">
        <v>1</v>
      </c>
      <c r="I125" s="16">
        <v>1</v>
      </c>
      <c r="J125" s="78"/>
      <c r="K125" s="16" t="s">
        <v>359</v>
      </c>
      <c r="L125" s="16">
        <v>1</v>
      </c>
      <c r="M125" s="16">
        <v>1</v>
      </c>
      <c r="N125" s="16">
        <v>15</v>
      </c>
      <c r="O125" s="16" t="s">
        <v>1108</v>
      </c>
      <c r="P125" s="17"/>
      <c r="Q125" s="17"/>
      <c r="R125" s="18"/>
      <c r="S125" s="16" t="s">
        <v>680</v>
      </c>
      <c r="T125" s="78"/>
      <c r="U125" s="86"/>
      <c r="V125" s="16">
        <f ca="1">IFERROR(OFFSET(ITEM_RES!$A$5,MATCH(BUILDING!U125,ITEM_RES!$J$5:$J$229,0)-1,0),0)</f>
        <v>0</v>
      </c>
      <c r="W125" s="18"/>
      <c r="X125" s="86" t="s">
        <v>535</v>
      </c>
      <c r="Y125" s="16">
        <f ca="1">IFERROR(OFFSET(ITEM_RES!$A$5,MATCH(BUILDING!X125,ITEM_RES!$J$5:$J$229,0)-1,0),0)</f>
        <v>211010501</v>
      </c>
      <c r="Z125" s="78"/>
      <c r="AA125" s="16" t="s">
        <v>505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43"/>
        <v>1030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1030</v>
      </c>
      <c r="AI125" s="181">
        <f ca="1">AG125</f>
        <v>1030</v>
      </c>
      <c r="AJ125" s="78"/>
      <c r="AK125" s="18">
        <f t="shared" si="20"/>
        <v>5</v>
      </c>
      <c r="AL125" s="17">
        <v>5</v>
      </c>
      <c r="AM125" s="18">
        <f t="shared" si="44"/>
        <v>5</v>
      </c>
      <c r="AN125" s="17">
        <v>5</v>
      </c>
      <c r="AO125" s="18">
        <f t="shared" si="44"/>
        <v>0</v>
      </c>
      <c r="AP125" s="17">
        <v>0</v>
      </c>
      <c r="AQ125" s="57">
        <f t="shared" si="23"/>
        <v>2</v>
      </c>
      <c r="AR125" s="18"/>
      <c r="AS125" s="18">
        <f ca="1">IFERROR(OFFSET(ITEM_RES!$A$1,MATCH(AT125,ITEM_RES!$J:$J,0)-1,0),0)</f>
        <v>211020401</v>
      </c>
      <c r="AT125" s="17" t="s">
        <v>430</v>
      </c>
      <c r="AU125" s="18">
        <v>25</v>
      </c>
      <c r="AV125" s="17"/>
      <c r="AW125" s="18"/>
      <c r="AX125" s="18">
        <f ca="1">IFERROR(OFFSET(ITEM_RES!$A$1,MATCH(AY125,ITEM_RES!$J:$J,0)-1,0),0)</f>
        <v>0</v>
      </c>
      <c r="AY125" s="17"/>
      <c r="AZ125" s="18"/>
      <c r="BA125" s="17"/>
      <c r="BB125" s="18"/>
      <c r="BC125" s="18">
        <f ca="1">IFERROR(OFFSET(ITEM_RES!$A$1,MATCH(BD125,ITEM_RES!$J:$J,0)-1,0),0)</f>
        <v>213010101</v>
      </c>
      <c r="BD125" s="17" t="s">
        <v>445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42"/>
        <v>0</v>
      </c>
      <c r="BP125" s="17"/>
    </row>
    <row r="126" spans="1:68" x14ac:dyDescent="0.3">
      <c r="A126" s="14">
        <f t="shared" si="39"/>
        <v>111050002</v>
      </c>
      <c r="B126" s="13">
        <v>11</v>
      </c>
      <c r="C126" s="12">
        <f t="shared" si="40"/>
        <v>1</v>
      </c>
      <c r="D126" s="13">
        <v>5</v>
      </c>
      <c r="E126" s="13">
        <v>0</v>
      </c>
      <c r="F126" s="12">
        <f t="shared" si="41"/>
        <v>2</v>
      </c>
      <c r="H126" s="9">
        <v>1</v>
      </c>
      <c r="I126" s="9">
        <v>2</v>
      </c>
      <c r="K126" s="9" t="s">
        <v>359</v>
      </c>
      <c r="M126" s="9">
        <v>1</v>
      </c>
      <c r="N126" s="9">
        <v>15</v>
      </c>
      <c r="O126" s="9" t="s">
        <v>1109</v>
      </c>
      <c r="S126" s="9" t="s">
        <v>680</v>
      </c>
      <c r="V126" s="9">
        <f ca="1">IFERROR(OFFSET(ITEM_RES!$A$5,MATCH(BUILDING!U126,ITEM_RES!$J$5:$J$229,0)-1,0),0)</f>
        <v>0</v>
      </c>
      <c r="X126" s="84" t="s">
        <v>535</v>
      </c>
      <c r="Y126" s="9">
        <f ca="1">IFERROR(OFFSET(ITEM_RES!$A$5,MATCH(BUILDING!X126,ITEM_RES!$J$5:$J$229,0)-1,0),0)</f>
        <v>211010501</v>
      </c>
      <c r="AA126" s="9" t="s">
        <v>505</v>
      </c>
      <c r="AB126" s="9">
        <v>2</v>
      </c>
      <c r="AD126" s="11">
        <f ca="1">IFERROR(OFFSET(MANOR_LEVEL!$B$1,MATCH(AE126-1,MANOR_LEVEL!$A:$A,0)-1,0),0)</f>
        <v>100</v>
      </c>
      <c r="AE126" s="56">
        <v>2</v>
      </c>
      <c r="AG126" s="56">
        <f t="shared" ca="1" si="43"/>
        <v>60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60</v>
      </c>
      <c r="AI126" s="179">
        <f ca="1">AG125+AG126</f>
        <v>1090</v>
      </c>
      <c r="AK126" s="11">
        <f t="shared" si="20"/>
        <v>10</v>
      </c>
      <c r="AL126" s="10">
        <v>10</v>
      </c>
      <c r="AM126" s="11">
        <f t="shared" si="44"/>
        <v>10</v>
      </c>
      <c r="AN126" s="10">
        <v>10</v>
      </c>
      <c r="AO126" s="11">
        <f t="shared" si="44"/>
        <v>0</v>
      </c>
      <c r="AP126" s="10">
        <v>0</v>
      </c>
      <c r="AQ126" s="56">
        <f t="shared" si="23"/>
        <v>1</v>
      </c>
      <c r="AS126" s="11">
        <f ca="1">IFERROR(OFFSET(ITEM_RES!$A$1,MATCH(AT126,ITEM_RES!$J:$J,0)-1,0),0)</f>
        <v>211020401</v>
      </c>
      <c r="AT126" s="10" t="s">
        <v>430</v>
      </c>
      <c r="AU126" s="11">
        <v>50</v>
      </c>
      <c r="AX126" s="11">
        <f ca="1">IFERROR(OFFSET(ITEM_RES!$A$1,MATCH(AY126,ITEM_RES!$J:$J,0)-1,0),0)</f>
        <v>0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42"/>
        <v>0</v>
      </c>
    </row>
    <row r="127" spans="1:68" x14ac:dyDescent="0.3">
      <c r="A127" s="14">
        <f t="shared" si="39"/>
        <v>111050003</v>
      </c>
      <c r="B127" s="13">
        <v>11</v>
      </c>
      <c r="C127" s="12">
        <f t="shared" si="40"/>
        <v>1</v>
      </c>
      <c r="D127" s="13">
        <v>5</v>
      </c>
      <c r="E127" s="13">
        <v>0</v>
      </c>
      <c r="F127" s="12">
        <f t="shared" si="41"/>
        <v>3</v>
      </c>
      <c r="H127" s="9">
        <v>1</v>
      </c>
      <c r="I127" s="9">
        <v>3</v>
      </c>
      <c r="K127" s="9" t="s">
        <v>359</v>
      </c>
      <c r="M127" s="9">
        <v>1</v>
      </c>
      <c r="N127" s="9">
        <v>15</v>
      </c>
      <c r="O127" s="9" t="s">
        <v>1110</v>
      </c>
      <c r="S127" s="9" t="s">
        <v>680</v>
      </c>
      <c r="V127" s="9">
        <f ca="1">IFERROR(OFFSET(ITEM_RES!$A$5,MATCH(BUILDING!U127,ITEM_RES!$J$5:$J$229,0)-1,0),0)</f>
        <v>0</v>
      </c>
      <c r="X127" s="84" t="s">
        <v>535</v>
      </c>
      <c r="Y127" s="9">
        <f ca="1">IFERROR(OFFSET(ITEM_RES!$A$5,MATCH(BUILDING!X127,ITEM_RES!$J$5:$J$229,0)-1,0),0)</f>
        <v>211010501</v>
      </c>
      <c r="AA127" s="9" t="s">
        <v>505</v>
      </c>
      <c r="AB127" s="9">
        <v>3</v>
      </c>
      <c r="AD127" s="11">
        <f ca="1">IFERROR(OFFSET(MANOR_LEVEL!$B$1,MATCH(AE127-1,MANOR_LEVEL!$A:$A,0)-1,0),0)</f>
        <v>310</v>
      </c>
      <c r="AE127" s="56">
        <v>3</v>
      </c>
      <c r="AG127" s="56">
        <f t="shared" ca="1" si="43"/>
        <v>90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90</v>
      </c>
      <c r="AI127" s="179">
        <f t="shared" ref="AI127:AI144" ca="1" si="46">AG126+AG127</f>
        <v>150</v>
      </c>
      <c r="AK127" s="11">
        <f t="shared" si="20"/>
        <v>30</v>
      </c>
      <c r="AL127" s="10">
        <v>30</v>
      </c>
      <c r="AM127" s="11">
        <f t="shared" si="44"/>
        <v>15</v>
      </c>
      <c r="AN127" s="10">
        <v>15</v>
      </c>
      <c r="AO127" s="11">
        <f t="shared" si="44"/>
        <v>0</v>
      </c>
      <c r="AP127" s="10">
        <v>0</v>
      </c>
      <c r="AQ127" s="56">
        <f t="shared" si="23"/>
        <v>1</v>
      </c>
      <c r="AS127" s="11">
        <f ca="1">IFERROR(OFFSET(ITEM_RES!$A$1,MATCH(AT127,ITEM_RES!$J:$J,0)-1,0),0)</f>
        <v>211020401</v>
      </c>
      <c r="AT127" s="10" t="s">
        <v>430</v>
      </c>
      <c r="AU127" s="11">
        <v>75</v>
      </c>
      <c r="AX127" s="11">
        <f ca="1">IFERROR(OFFSET(ITEM_RES!$A$1,MATCH(AY127,ITEM_RES!$J:$J,0)-1,0),0)</f>
        <v>0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42"/>
        <v>0</v>
      </c>
    </row>
    <row r="128" spans="1:68" x14ac:dyDescent="0.3">
      <c r="A128" s="14">
        <f t="shared" si="39"/>
        <v>111050004</v>
      </c>
      <c r="B128" s="13">
        <v>11</v>
      </c>
      <c r="C128" s="12">
        <f t="shared" si="40"/>
        <v>1</v>
      </c>
      <c r="D128" s="13">
        <v>5</v>
      </c>
      <c r="E128" s="13">
        <v>0</v>
      </c>
      <c r="F128" s="12">
        <f t="shared" si="41"/>
        <v>4</v>
      </c>
      <c r="H128" s="9">
        <v>1</v>
      </c>
      <c r="I128" s="9">
        <v>4</v>
      </c>
      <c r="K128" s="9" t="s">
        <v>359</v>
      </c>
      <c r="M128" s="9">
        <v>1</v>
      </c>
      <c r="N128" s="9">
        <v>15</v>
      </c>
      <c r="O128" s="9" t="s">
        <v>1111</v>
      </c>
      <c r="S128" s="9" t="s">
        <v>680</v>
      </c>
      <c r="V128" s="9">
        <f ca="1">IFERROR(OFFSET(ITEM_RES!$A$5,MATCH(BUILDING!U128,ITEM_RES!$J$5:$J$229,0)-1,0),0)</f>
        <v>0</v>
      </c>
      <c r="X128" s="84" t="s">
        <v>535</v>
      </c>
      <c r="Y128" s="9">
        <f ca="1">IFERROR(OFFSET(ITEM_RES!$A$5,MATCH(BUILDING!X128,ITEM_RES!$J$5:$J$229,0)-1,0),0)</f>
        <v>211010501</v>
      </c>
      <c r="AA128" s="9" t="s">
        <v>505</v>
      </c>
      <c r="AB128" s="9">
        <v>4</v>
      </c>
      <c r="AD128" s="11">
        <f ca="1">IFERROR(OFFSET(MANOR_LEVEL!$B$1,MATCH(AE128-1,MANOR_LEVEL!$A:$A,0)-1,0),0)</f>
        <v>310</v>
      </c>
      <c r="AE128" s="56">
        <v>3</v>
      </c>
      <c r="AG128" s="56">
        <f t="shared" ca="1" si="43"/>
        <v>325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325</v>
      </c>
      <c r="AI128" s="179">
        <f t="shared" ca="1" si="46"/>
        <v>415</v>
      </c>
      <c r="AK128" s="11">
        <f t="shared" si="20"/>
        <v>300</v>
      </c>
      <c r="AL128" s="10">
        <v>300</v>
      </c>
      <c r="AM128" s="11">
        <f t="shared" si="44"/>
        <v>25</v>
      </c>
      <c r="AN128" s="10">
        <v>25</v>
      </c>
      <c r="AO128" s="11">
        <f t="shared" si="44"/>
        <v>0</v>
      </c>
      <c r="AP128" s="10">
        <v>0</v>
      </c>
      <c r="AQ128" s="56">
        <f t="shared" si="23"/>
        <v>1</v>
      </c>
      <c r="AS128" s="11">
        <f ca="1">IFERROR(OFFSET(ITEM_RES!$A$1,MATCH(AT128,ITEM_RES!$J:$J,0)-1,0),0)</f>
        <v>211020401</v>
      </c>
      <c r="AT128" s="10" t="s">
        <v>430</v>
      </c>
      <c r="AU128" s="11">
        <v>300</v>
      </c>
      <c r="AX128" s="11">
        <f ca="1">IFERROR(OFFSET(ITEM_RES!$A$1,MATCH(AY128,ITEM_RES!$J:$J,0)-1,0),0)</f>
        <v>0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42"/>
        <v>0</v>
      </c>
    </row>
    <row r="129" spans="1:67" x14ac:dyDescent="0.3">
      <c r="A129" s="14">
        <f t="shared" si="39"/>
        <v>111050005</v>
      </c>
      <c r="B129" s="13">
        <v>11</v>
      </c>
      <c r="C129" s="12">
        <f t="shared" si="40"/>
        <v>1</v>
      </c>
      <c r="D129" s="13">
        <v>5</v>
      </c>
      <c r="E129" s="13">
        <v>0</v>
      </c>
      <c r="F129" s="12">
        <f t="shared" si="41"/>
        <v>5</v>
      </c>
      <c r="H129" s="9">
        <v>1</v>
      </c>
      <c r="I129" s="9">
        <v>5</v>
      </c>
      <c r="K129" s="9" t="s">
        <v>359</v>
      </c>
      <c r="M129" s="9">
        <v>1</v>
      </c>
      <c r="N129" s="9">
        <v>15</v>
      </c>
      <c r="O129" s="9" t="s">
        <v>1112</v>
      </c>
      <c r="S129" s="9" t="s">
        <v>680</v>
      </c>
      <c r="V129" s="9">
        <f ca="1">IFERROR(OFFSET(ITEM_RES!$A$5,MATCH(BUILDING!U129,ITEM_RES!$J$5:$J$229,0)-1,0),0)</f>
        <v>0</v>
      </c>
      <c r="X129" s="84" t="s">
        <v>535</v>
      </c>
      <c r="Y129" s="9">
        <f ca="1">IFERROR(OFFSET(ITEM_RES!$A$5,MATCH(BUILDING!X129,ITEM_RES!$J$5:$J$229,0)-1,0),0)</f>
        <v>211010501</v>
      </c>
      <c r="AA129" s="9" t="s">
        <v>505</v>
      </c>
      <c r="AB129" s="9">
        <v>5</v>
      </c>
      <c r="AD129" s="11">
        <f ca="1">IFERROR(OFFSET(MANOR_LEVEL!$B$1,MATCH(AE129-1,MANOR_LEVEL!$A:$A,0)-1,0),0)</f>
        <v>930</v>
      </c>
      <c r="AE129" s="56">
        <v>4</v>
      </c>
      <c r="AG129" s="56">
        <f t="shared" ca="1" si="43"/>
        <v>1390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1390</v>
      </c>
      <c r="AI129" s="179">
        <f t="shared" ca="1" si="46"/>
        <v>1715</v>
      </c>
      <c r="AK129" s="11">
        <f t="shared" si="20"/>
        <v>600</v>
      </c>
      <c r="AL129" s="10">
        <v>600</v>
      </c>
      <c r="AM129" s="11">
        <f t="shared" si="44"/>
        <v>40</v>
      </c>
      <c r="AN129" s="10">
        <v>40</v>
      </c>
      <c r="AO129" s="11">
        <f t="shared" si="44"/>
        <v>0</v>
      </c>
      <c r="AP129" s="10">
        <v>0</v>
      </c>
      <c r="AQ129" s="56">
        <f t="shared" si="23"/>
        <v>1</v>
      </c>
      <c r="AS129" s="11">
        <f ca="1">IFERROR(OFFSET(ITEM_RES!$A$1,MATCH(AT129,ITEM_RES!$J:$J,0)-1,0),0)</f>
        <v>211020401</v>
      </c>
      <c r="AT129" s="10" t="s">
        <v>430</v>
      </c>
      <c r="AU129" s="11">
        <v>1350</v>
      </c>
      <c r="AX129" s="11">
        <f ca="1">IFERROR(OFFSET(ITEM_RES!$A$1,MATCH(AY129,ITEM_RES!$J:$J,0)-1,0),0)</f>
        <v>0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42"/>
        <v>0</v>
      </c>
    </row>
    <row r="130" spans="1:67" x14ac:dyDescent="0.3">
      <c r="A130" s="14">
        <f t="shared" si="39"/>
        <v>111050006</v>
      </c>
      <c r="B130" s="13">
        <v>11</v>
      </c>
      <c r="C130" s="12">
        <f t="shared" si="40"/>
        <v>1</v>
      </c>
      <c r="D130" s="13">
        <v>5</v>
      </c>
      <c r="E130" s="13">
        <v>0</v>
      </c>
      <c r="F130" s="12">
        <f t="shared" si="41"/>
        <v>6</v>
      </c>
      <c r="H130" s="9">
        <v>1</v>
      </c>
      <c r="I130" s="9">
        <v>6</v>
      </c>
      <c r="K130" s="9" t="s">
        <v>359</v>
      </c>
      <c r="M130" s="9">
        <v>1</v>
      </c>
      <c r="N130" s="9">
        <v>15</v>
      </c>
      <c r="O130" s="9" t="s">
        <v>1113</v>
      </c>
      <c r="S130" s="9" t="s">
        <v>680</v>
      </c>
      <c r="V130" s="9">
        <f ca="1">IFERROR(OFFSET(ITEM_RES!$A$5,MATCH(BUILDING!U130,ITEM_RES!$J$5:$J$229,0)-1,0),0)</f>
        <v>0</v>
      </c>
      <c r="X130" s="84" t="s">
        <v>535</v>
      </c>
      <c r="Y130" s="9">
        <f ca="1">IFERROR(OFFSET(ITEM_RES!$A$5,MATCH(BUILDING!X130,ITEM_RES!$J$5:$J$229,0)-1,0),0)</f>
        <v>211010501</v>
      </c>
      <c r="AA130" s="9" t="s">
        <v>505</v>
      </c>
      <c r="AB130" s="9">
        <v>6</v>
      </c>
      <c r="AD130" s="11">
        <f ca="1">IFERROR(OFFSET(MANOR_LEVEL!$B$1,MATCH(AE130-1,MANOR_LEVEL!$A:$A,0)-1,0),0)</f>
        <v>930</v>
      </c>
      <c r="AE130" s="56">
        <v>4</v>
      </c>
      <c r="AG130" s="56">
        <f t="shared" ca="1" si="43"/>
        <v>4550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4550</v>
      </c>
      <c r="AI130" s="179">
        <f t="shared" ca="1" si="46"/>
        <v>5940</v>
      </c>
      <c r="AK130" s="11">
        <f t="shared" si="20"/>
        <v>1200</v>
      </c>
      <c r="AL130" s="10">
        <v>1200</v>
      </c>
      <c r="AM130" s="11">
        <f t="shared" si="44"/>
        <v>50</v>
      </c>
      <c r="AN130" s="10">
        <v>50</v>
      </c>
      <c r="AO130" s="11">
        <f t="shared" si="44"/>
        <v>0</v>
      </c>
      <c r="AP130" s="10">
        <v>0</v>
      </c>
      <c r="AQ130" s="56">
        <f t="shared" si="23"/>
        <v>1</v>
      </c>
      <c r="AS130" s="11">
        <f ca="1">IFERROR(OFFSET(ITEM_RES!$A$1,MATCH(AT130,ITEM_RES!$J:$J,0)-1,0),0)</f>
        <v>211020401</v>
      </c>
      <c r="AT130" s="10" t="s">
        <v>430</v>
      </c>
      <c r="AU130" s="11">
        <v>4500</v>
      </c>
      <c r="AX130" s="11">
        <f ca="1">IFERROR(OFFSET(ITEM_RES!$A$1,MATCH(AY130,ITEM_RES!$J:$J,0)-1,0),0)</f>
        <v>0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42"/>
        <v>0</v>
      </c>
    </row>
    <row r="131" spans="1:67" x14ac:dyDescent="0.3">
      <c r="A131" s="14">
        <f t="shared" si="39"/>
        <v>111050007</v>
      </c>
      <c r="B131" s="13">
        <v>11</v>
      </c>
      <c r="C131" s="12">
        <f t="shared" si="40"/>
        <v>1</v>
      </c>
      <c r="D131" s="13">
        <v>5</v>
      </c>
      <c r="E131" s="13">
        <v>0</v>
      </c>
      <c r="F131" s="12">
        <f t="shared" si="41"/>
        <v>7</v>
      </c>
      <c r="H131" s="9">
        <v>1</v>
      </c>
      <c r="I131" s="9">
        <v>7</v>
      </c>
      <c r="K131" s="9" t="s">
        <v>359</v>
      </c>
      <c r="M131" s="9">
        <v>1</v>
      </c>
      <c r="N131" s="9">
        <v>15</v>
      </c>
      <c r="O131" s="9" t="s">
        <v>1114</v>
      </c>
      <c r="S131" s="9" t="s">
        <v>680</v>
      </c>
      <c r="V131" s="9">
        <f ca="1">IFERROR(OFFSET(ITEM_RES!$A$5,MATCH(BUILDING!U131,ITEM_RES!$J$5:$J$229,0)-1,0),0)</f>
        <v>0</v>
      </c>
      <c r="X131" s="84" t="s">
        <v>535</v>
      </c>
      <c r="Y131" s="9">
        <f ca="1">IFERROR(OFFSET(ITEM_RES!$A$5,MATCH(BUILDING!X131,ITEM_RES!$J$5:$J$229,0)-1,0),0)</f>
        <v>211010501</v>
      </c>
      <c r="AA131" s="9" t="s">
        <v>505</v>
      </c>
      <c r="AB131" s="9">
        <v>7</v>
      </c>
      <c r="AD131" s="11">
        <f ca="1">IFERROR(OFFSET(MANOR_LEVEL!$B$1,MATCH(AE131-1,MANOR_LEVEL!$A:$A,0)-1,0),0)</f>
        <v>930</v>
      </c>
      <c r="AE131" s="56">
        <v>4</v>
      </c>
      <c r="AG131" s="56">
        <f t="shared" ca="1" si="43"/>
        <v>10100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10100</v>
      </c>
      <c r="AI131" s="179">
        <f t="shared" ca="1" si="46"/>
        <v>14650</v>
      </c>
      <c r="AK131" s="11">
        <f t="shared" si="20"/>
        <v>1800</v>
      </c>
      <c r="AL131" s="10">
        <v>1800</v>
      </c>
      <c r="AM131" s="11">
        <f t="shared" si="44"/>
        <v>100</v>
      </c>
      <c r="AN131" s="10">
        <v>100</v>
      </c>
      <c r="AO131" s="11">
        <f t="shared" si="44"/>
        <v>0</v>
      </c>
      <c r="AP131" s="10">
        <v>0</v>
      </c>
      <c r="AQ131" s="56">
        <f t="shared" si="23"/>
        <v>1</v>
      </c>
      <c r="AS131" s="11">
        <f ca="1">IFERROR(OFFSET(ITEM_RES!$A$1,MATCH(AT131,ITEM_RES!$J:$J,0)-1,0),0)</f>
        <v>211020401</v>
      </c>
      <c r="AT131" s="10" t="s">
        <v>430</v>
      </c>
      <c r="AU131" s="11">
        <v>10000</v>
      </c>
      <c r="AX131" s="11">
        <f ca="1">IFERROR(OFFSET(ITEM_RES!$A$1,MATCH(AY131,ITEM_RES!$J:$J,0)-1,0),0)</f>
        <v>0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42"/>
        <v>0</v>
      </c>
    </row>
    <row r="132" spans="1:67" x14ac:dyDescent="0.3">
      <c r="A132" s="14">
        <f t="shared" si="39"/>
        <v>111050008</v>
      </c>
      <c r="B132" s="13">
        <v>11</v>
      </c>
      <c r="C132" s="12">
        <f t="shared" si="40"/>
        <v>1</v>
      </c>
      <c r="D132" s="13">
        <v>5</v>
      </c>
      <c r="E132" s="13">
        <v>0</v>
      </c>
      <c r="F132" s="12">
        <f t="shared" si="41"/>
        <v>8</v>
      </c>
      <c r="H132" s="9">
        <v>1</v>
      </c>
      <c r="I132" s="9">
        <v>8</v>
      </c>
      <c r="K132" s="9" t="s">
        <v>359</v>
      </c>
      <c r="M132" s="9">
        <v>1</v>
      </c>
      <c r="N132" s="9">
        <v>15</v>
      </c>
      <c r="O132" s="9" t="s">
        <v>1114</v>
      </c>
      <c r="S132" s="9" t="s">
        <v>680</v>
      </c>
      <c r="V132" s="9">
        <f ca="1">IFERROR(OFFSET(ITEM_RES!$A$5,MATCH(BUILDING!U132,ITEM_RES!$J$5:$J$229,0)-1,0),0)</f>
        <v>0</v>
      </c>
      <c r="X132" s="84" t="s">
        <v>535</v>
      </c>
      <c r="Y132" s="9">
        <f ca="1">IFERROR(OFFSET(ITEM_RES!$A$5,MATCH(BUILDING!X132,ITEM_RES!$J$5:$J$229,0)-1,0),0)</f>
        <v>211010501</v>
      </c>
      <c r="AA132" s="9" t="s">
        <v>505</v>
      </c>
      <c r="AB132" s="9">
        <v>8</v>
      </c>
      <c r="AD132" s="11">
        <f ca="1">IFERROR(OFFSET(MANOR_LEVEL!$B$1,MATCH(AE132-1,MANOR_LEVEL!$A:$A,0)-1,0),0)</f>
        <v>5475</v>
      </c>
      <c r="AE132" s="56">
        <v>5</v>
      </c>
      <c r="AG132" s="56">
        <f t="shared" ca="1" si="43"/>
        <v>21100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21100</v>
      </c>
      <c r="AI132" s="179">
        <f t="shared" ca="1" si="46"/>
        <v>31200</v>
      </c>
      <c r="AK132" s="11">
        <f t="shared" si="20"/>
        <v>3600</v>
      </c>
      <c r="AL132" s="10">
        <v>3600</v>
      </c>
      <c r="AM132" s="11">
        <f t="shared" si="44"/>
        <v>100</v>
      </c>
      <c r="AN132" s="10">
        <v>100</v>
      </c>
      <c r="AO132" s="11">
        <f t="shared" si="44"/>
        <v>0</v>
      </c>
      <c r="AP132" s="10">
        <v>0</v>
      </c>
      <c r="AQ132" s="56">
        <f t="shared" si="23"/>
        <v>1</v>
      </c>
      <c r="AS132" s="11">
        <f ca="1">IFERROR(OFFSET(ITEM_RES!$A$1,MATCH(AT132,ITEM_RES!$J:$J,0)-1,0),0)</f>
        <v>211020401</v>
      </c>
      <c r="AT132" s="10" t="s">
        <v>430</v>
      </c>
      <c r="AU132" s="11">
        <v>21000</v>
      </c>
      <c r="AX132" s="11">
        <f ca="1">IFERROR(OFFSET(ITEM_RES!$A$1,MATCH(AY132,ITEM_RES!$J:$J,0)-1,0),0)</f>
        <v>0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42"/>
        <v>0</v>
      </c>
    </row>
    <row r="133" spans="1:67" x14ac:dyDescent="0.3">
      <c r="A133" s="14">
        <f t="shared" si="39"/>
        <v>111050009</v>
      </c>
      <c r="B133" s="13">
        <v>11</v>
      </c>
      <c r="C133" s="12">
        <f t="shared" si="40"/>
        <v>1</v>
      </c>
      <c r="D133" s="13">
        <v>5</v>
      </c>
      <c r="E133" s="13">
        <v>0</v>
      </c>
      <c r="F133" s="12">
        <f t="shared" si="41"/>
        <v>9</v>
      </c>
      <c r="H133" s="9">
        <v>1</v>
      </c>
      <c r="I133" s="9">
        <v>9</v>
      </c>
      <c r="K133" s="9" t="s">
        <v>359</v>
      </c>
      <c r="M133" s="9">
        <v>1</v>
      </c>
      <c r="N133" s="9">
        <v>15</v>
      </c>
      <c r="O133" s="9" t="s">
        <v>1114</v>
      </c>
      <c r="S133" s="9" t="s">
        <v>680</v>
      </c>
      <c r="V133" s="9">
        <f ca="1">IFERROR(OFFSET(ITEM_RES!$A$5,MATCH(BUILDING!U133,ITEM_RES!$J$5:$J$229,0)-1,0),0)</f>
        <v>0</v>
      </c>
      <c r="X133" s="84" t="s">
        <v>535</v>
      </c>
      <c r="Y133" s="9">
        <f ca="1">IFERROR(OFFSET(ITEM_RES!$A$5,MATCH(BUILDING!X133,ITEM_RES!$J$5:$J$229,0)-1,0),0)</f>
        <v>211010501</v>
      </c>
      <c r="AA133" s="9" t="s">
        <v>505</v>
      </c>
      <c r="AB133" s="9">
        <v>9</v>
      </c>
      <c r="AD133" s="11">
        <f ca="1">IFERROR(OFFSET(MANOR_LEVEL!$B$1,MATCH(AE133-1,MANOR_LEVEL!$A:$A,0)-1,0),0)</f>
        <v>32560</v>
      </c>
      <c r="AE133" s="56">
        <v>6</v>
      </c>
      <c r="AG133" s="56">
        <f t="shared" ca="1" si="43"/>
        <v>46950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46950</v>
      </c>
      <c r="AI133" s="179">
        <f t="shared" ca="1" si="46"/>
        <v>68050</v>
      </c>
      <c r="AK133" s="11">
        <f t="shared" ref="AK133:AK236" si="47">ROUND(AL133,0)</f>
        <v>5400</v>
      </c>
      <c r="AL133" s="10">
        <v>5400</v>
      </c>
      <c r="AM133" s="11">
        <f t="shared" si="44"/>
        <v>150</v>
      </c>
      <c r="AN133" s="10">
        <v>150</v>
      </c>
      <c r="AO133" s="11">
        <f t="shared" si="44"/>
        <v>0</v>
      </c>
      <c r="AP133" s="10">
        <v>0</v>
      </c>
      <c r="AQ133" s="56">
        <f t="shared" si="23"/>
        <v>1</v>
      </c>
      <c r="AS133" s="11">
        <f ca="1">IFERROR(OFFSET(ITEM_RES!$A$1,MATCH(AT133,ITEM_RES!$J:$J,0)-1,0),0)</f>
        <v>211020501</v>
      </c>
      <c r="AT133" s="10" t="s">
        <v>1349</v>
      </c>
      <c r="AU133" s="11">
        <v>39000</v>
      </c>
      <c r="AX133" s="11">
        <f ca="1">IFERROR(OFFSET(ITEM_RES!$A$1,MATCH(AY133,ITEM_RES!$J:$J,0)-1,0),0)</f>
        <v>0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42"/>
        <v>0</v>
      </c>
    </row>
    <row r="134" spans="1:67" x14ac:dyDescent="0.3">
      <c r="A134" s="14">
        <f t="shared" si="39"/>
        <v>111050010</v>
      </c>
      <c r="B134" s="13">
        <v>11</v>
      </c>
      <c r="C134" s="12">
        <f t="shared" si="40"/>
        <v>1</v>
      </c>
      <c r="D134" s="13">
        <v>5</v>
      </c>
      <c r="E134" s="13">
        <v>0</v>
      </c>
      <c r="F134" s="12">
        <f t="shared" si="41"/>
        <v>10</v>
      </c>
      <c r="H134" s="9">
        <v>1</v>
      </c>
      <c r="I134" s="9">
        <v>10</v>
      </c>
      <c r="K134" s="9" t="s">
        <v>359</v>
      </c>
      <c r="M134" s="9">
        <v>1</v>
      </c>
      <c r="N134" s="9">
        <v>15</v>
      </c>
      <c r="O134" s="9" t="s">
        <v>1114</v>
      </c>
      <c r="S134" s="9" t="s">
        <v>680</v>
      </c>
      <c r="V134" s="9">
        <f ca="1">IFERROR(OFFSET(ITEM_RES!$A$5,MATCH(BUILDING!U134,ITEM_RES!$J$5:$J$229,0)-1,0),0)</f>
        <v>0</v>
      </c>
      <c r="X134" s="84" t="s">
        <v>535</v>
      </c>
      <c r="Y134" s="9">
        <f ca="1">IFERROR(OFFSET(ITEM_RES!$A$5,MATCH(BUILDING!X134,ITEM_RES!$J$5:$J$229,0)-1,0),0)</f>
        <v>211010501</v>
      </c>
      <c r="AA134" s="9" t="s">
        <v>505</v>
      </c>
      <c r="AB134" s="9">
        <v>10</v>
      </c>
      <c r="AD134" s="11">
        <f ca="1">IFERROR(OFFSET(MANOR_LEVEL!$B$1,MATCH(AE134-1,MANOR_LEVEL!$A:$A,0)-1,0),0)</f>
        <v>108200</v>
      </c>
      <c r="AE134" s="56">
        <v>7</v>
      </c>
      <c r="AG134" s="56">
        <f t="shared" ca="1" si="43"/>
        <v>78200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78200</v>
      </c>
      <c r="AI134" s="179">
        <f t="shared" ca="1" si="46"/>
        <v>125150</v>
      </c>
      <c r="AK134" s="11">
        <f t="shared" si="47"/>
        <v>7200</v>
      </c>
      <c r="AL134" s="10">
        <v>7200</v>
      </c>
      <c r="AM134" s="11">
        <f t="shared" si="44"/>
        <v>200</v>
      </c>
      <c r="AN134" s="10">
        <v>200</v>
      </c>
      <c r="AO134" s="11">
        <f t="shared" si="44"/>
        <v>0</v>
      </c>
      <c r="AP134" s="10">
        <v>0</v>
      </c>
      <c r="AQ134" s="56">
        <f t="shared" ref="AQ134:AQ237" si="48">(AU134&gt;0)*1+(AZ134&gt;0)*1+(BE134&gt;0)*1+(BJ134&gt;0)*1+(BO134&gt;0)*1</f>
        <v>1</v>
      </c>
      <c r="AS134" s="11">
        <f ca="1">IFERROR(OFFSET(ITEM_RES!$A$1,MATCH(AT134,ITEM_RES!$J:$J,0)-1,0),0)</f>
        <v>211020501</v>
      </c>
      <c r="AT134" s="10" t="s">
        <v>1349</v>
      </c>
      <c r="AU134" s="11">
        <v>65000</v>
      </c>
      <c r="AX134" s="11">
        <f ca="1">IFERROR(OFFSET(ITEM_RES!$A$1,MATCH(AY134,ITEM_RES!$J:$J,0)-1,0),0)</f>
        <v>0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42"/>
        <v>0</v>
      </c>
    </row>
    <row r="135" spans="1:67" x14ac:dyDescent="0.3">
      <c r="A135" s="14">
        <f t="shared" si="39"/>
        <v>111050011</v>
      </c>
      <c r="B135" s="13">
        <v>11</v>
      </c>
      <c r="C135" s="12">
        <f t="shared" si="40"/>
        <v>1</v>
      </c>
      <c r="D135" s="13">
        <v>5</v>
      </c>
      <c r="E135" s="13">
        <v>0</v>
      </c>
      <c r="F135" s="12">
        <f t="shared" si="41"/>
        <v>11</v>
      </c>
      <c r="H135" s="9">
        <v>1</v>
      </c>
      <c r="I135" s="9">
        <v>11</v>
      </c>
      <c r="K135" s="9" t="s">
        <v>359</v>
      </c>
      <c r="M135" s="9">
        <v>1</v>
      </c>
      <c r="N135" s="9">
        <v>15</v>
      </c>
      <c r="O135" s="9" t="s">
        <v>1114</v>
      </c>
      <c r="S135" s="9" t="s">
        <v>680</v>
      </c>
      <c r="V135" s="9">
        <f ca="1">IFERROR(OFFSET(ITEM_RES!$A$5,MATCH(BUILDING!U135,ITEM_RES!$J$5:$J$229,0)-1,0),0)</f>
        <v>0</v>
      </c>
      <c r="X135" s="84" t="s">
        <v>535</v>
      </c>
      <c r="Y135" s="9">
        <f ca="1">IFERROR(OFFSET(ITEM_RES!$A$5,MATCH(BUILDING!X135,ITEM_RES!$J$5:$J$229,0)-1,0),0)</f>
        <v>211010501</v>
      </c>
      <c r="AA135" s="9" t="s">
        <v>505</v>
      </c>
      <c r="AB135" s="9">
        <v>11</v>
      </c>
      <c r="AD135" s="11">
        <f ca="1">IFERROR(OFFSET(MANOR_LEVEL!$B$1,MATCH(AE135-1,MANOR_LEVEL!$A:$A,0)-1,0),0)</f>
        <v>240400</v>
      </c>
      <c r="AE135" s="56">
        <v>8</v>
      </c>
      <c r="AG135" s="56">
        <f t="shared" ca="1" si="43"/>
        <v>132250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132250</v>
      </c>
      <c r="AI135" s="179">
        <f t="shared" ca="1" si="46"/>
        <v>210450</v>
      </c>
      <c r="AK135" s="11">
        <f t="shared" si="47"/>
        <v>9000</v>
      </c>
      <c r="AL135" s="10">
        <v>9000</v>
      </c>
      <c r="AM135" s="11">
        <f t="shared" si="44"/>
        <v>250</v>
      </c>
      <c r="AN135" s="10">
        <v>250</v>
      </c>
      <c r="AO135" s="11">
        <f t="shared" si="44"/>
        <v>0</v>
      </c>
      <c r="AP135" s="10">
        <v>0</v>
      </c>
      <c r="AQ135" s="56">
        <f t="shared" si="48"/>
        <v>1</v>
      </c>
      <c r="AS135" s="11">
        <f ca="1">IFERROR(OFFSET(ITEM_RES!$A$1,MATCH(AT135,ITEM_RES!$J:$J,0)-1,0),0)</f>
        <v>211020501</v>
      </c>
      <c r="AT135" s="10" t="s">
        <v>1349</v>
      </c>
      <c r="AU135" s="11">
        <v>110000</v>
      </c>
      <c r="AX135" s="11">
        <f ca="1">IFERROR(OFFSET(ITEM_RES!$A$1,MATCH(AY135,ITEM_RES!$J:$J,0)-1,0),0)</f>
        <v>0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42"/>
        <v>0</v>
      </c>
    </row>
    <row r="136" spans="1:67" x14ac:dyDescent="0.3">
      <c r="A136" s="14">
        <f t="shared" si="39"/>
        <v>111050012</v>
      </c>
      <c r="B136" s="13">
        <v>11</v>
      </c>
      <c r="C136" s="12">
        <f t="shared" si="40"/>
        <v>1</v>
      </c>
      <c r="D136" s="13">
        <v>5</v>
      </c>
      <c r="E136" s="13">
        <v>0</v>
      </c>
      <c r="F136" s="12">
        <f t="shared" si="41"/>
        <v>12</v>
      </c>
      <c r="H136" s="9">
        <v>1</v>
      </c>
      <c r="I136" s="9">
        <v>12</v>
      </c>
      <c r="K136" s="9" t="s">
        <v>359</v>
      </c>
      <c r="M136" s="9">
        <v>1</v>
      </c>
      <c r="N136" s="9">
        <v>15</v>
      </c>
      <c r="O136" s="9" t="s">
        <v>1114</v>
      </c>
      <c r="S136" s="9" t="s">
        <v>680</v>
      </c>
      <c r="V136" s="9">
        <f ca="1">IFERROR(OFFSET(ITEM_RES!$A$5,MATCH(BUILDING!U136,ITEM_RES!$J$5:$J$229,0)-1,0),0)</f>
        <v>0</v>
      </c>
      <c r="X136" s="84" t="s">
        <v>535</v>
      </c>
      <c r="Y136" s="9">
        <f ca="1">IFERROR(OFFSET(ITEM_RES!$A$5,MATCH(BUILDING!X136,ITEM_RES!$J$5:$J$229,0)-1,0),0)</f>
        <v>211010501</v>
      </c>
      <c r="AA136" s="9" t="s">
        <v>505</v>
      </c>
      <c r="AB136" s="9">
        <v>12</v>
      </c>
      <c r="AD136" s="11">
        <f ca="1">IFERROR(OFFSET(MANOR_LEVEL!$B$1,MATCH(AE136-1,MANOR_LEVEL!$A:$A,0)-1,0),0)</f>
        <v>630500</v>
      </c>
      <c r="AE136" s="56">
        <v>9</v>
      </c>
      <c r="AG136" s="56">
        <f t="shared" ca="1" si="43"/>
        <v>222300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222300</v>
      </c>
      <c r="AI136" s="179">
        <f t="shared" ca="1" si="46"/>
        <v>354550</v>
      </c>
      <c r="AK136" s="11">
        <f t="shared" si="47"/>
        <v>10800</v>
      </c>
      <c r="AL136" s="10">
        <v>10800</v>
      </c>
      <c r="AM136" s="11">
        <f t="shared" si="44"/>
        <v>300</v>
      </c>
      <c r="AN136" s="10">
        <v>300</v>
      </c>
      <c r="AO136" s="11">
        <f t="shared" si="44"/>
        <v>0</v>
      </c>
      <c r="AP136" s="10">
        <v>0</v>
      </c>
      <c r="AQ136" s="56">
        <f t="shared" si="48"/>
        <v>1</v>
      </c>
      <c r="AS136" s="11">
        <f ca="1">IFERROR(OFFSET(ITEM_RES!$A$1,MATCH(AT136,ITEM_RES!$J:$J,0)-1,0),0)</f>
        <v>211020501</v>
      </c>
      <c r="AT136" s="10" t="s">
        <v>1349</v>
      </c>
      <c r="AU136" s="11">
        <v>185000</v>
      </c>
      <c r="AX136" s="11">
        <f ca="1">IFERROR(OFFSET(ITEM_RES!$A$1,MATCH(AY136,ITEM_RES!$J:$J,0)-1,0),0)</f>
        <v>0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42"/>
        <v>0</v>
      </c>
    </row>
    <row r="137" spans="1:67" x14ac:dyDescent="0.3">
      <c r="A137" s="14">
        <f t="shared" si="39"/>
        <v>111050013</v>
      </c>
      <c r="B137" s="13">
        <v>11</v>
      </c>
      <c r="C137" s="12">
        <f t="shared" si="40"/>
        <v>1</v>
      </c>
      <c r="D137" s="13">
        <v>5</v>
      </c>
      <c r="E137" s="13">
        <v>0</v>
      </c>
      <c r="F137" s="12">
        <f t="shared" si="41"/>
        <v>13</v>
      </c>
      <c r="H137" s="9">
        <v>1</v>
      </c>
      <c r="I137" s="9">
        <v>13</v>
      </c>
      <c r="K137" s="9" t="s">
        <v>359</v>
      </c>
      <c r="M137" s="9">
        <v>1</v>
      </c>
      <c r="N137" s="9">
        <v>15</v>
      </c>
      <c r="O137" s="9" t="s">
        <v>1114</v>
      </c>
      <c r="S137" s="9" t="s">
        <v>680</v>
      </c>
      <c r="V137" s="9">
        <f ca="1">IFERROR(OFFSET(ITEM_RES!$A$5,MATCH(BUILDING!U137,ITEM_RES!$J$5:$J$229,0)-1,0),0)</f>
        <v>0</v>
      </c>
      <c r="X137" s="84" t="s">
        <v>535</v>
      </c>
      <c r="Y137" s="9">
        <f ca="1">IFERROR(OFFSET(ITEM_RES!$A$5,MATCH(BUILDING!X137,ITEM_RES!$J$5:$J$229,0)-1,0),0)</f>
        <v>211010501</v>
      </c>
      <c r="AA137" s="9" t="s">
        <v>505</v>
      </c>
      <c r="AB137" s="9">
        <v>13</v>
      </c>
      <c r="AD137" s="11">
        <f ca="1">IFERROR(OFFSET(MANOR_LEVEL!$B$1,MATCH(AE137-1,MANOR_LEVEL!$A:$A,0)-1,0),0)</f>
        <v>1170750</v>
      </c>
      <c r="AE137" s="56">
        <v>10</v>
      </c>
      <c r="AG137" s="56">
        <f t="shared" ca="1" si="43"/>
        <v>372350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372350</v>
      </c>
      <c r="AI137" s="179">
        <f t="shared" ca="1" si="46"/>
        <v>594650</v>
      </c>
      <c r="AK137" s="11">
        <f t="shared" si="47"/>
        <v>12600</v>
      </c>
      <c r="AL137" s="10">
        <v>12600</v>
      </c>
      <c r="AM137" s="11">
        <f t="shared" si="44"/>
        <v>350</v>
      </c>
      <c r="AN137" s="10">
        <v>350</v>
      </c>
      <c r="AO137" s="11">
        <f t="shared" si="44"/>
        <v>0</v>
      </c>
      <c r="AP137" s="10">
        <v>0</v>
      </c>
      <c r="AQ137" s="56">
        <f t="shared" si="48"/>
        <v>1</v>
      </c>
      <c r="AS137" s="11">
        <f ca="1">IFERROR(OFFSET(ITEM_RES!$A$1,MATCH(AT137,ITEM_RES!$J:$J,0)-1,0),0)</f>
        <v>211020501</v>
      </c>
      <c r="AT137" s="10" t="s">
        <v>1349</v>
      </c>
      <c r="AU137" s="11">
        <v>310000</v>
      </c>
      <c r="AX137" s="11">
        <f ca="1">IFERROR(OFFSET(ITEM_RES!$A$1,MATCH(AY137,ITEM_RES!$J:$J,0)-1,0),0)</f>
        <v>0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42"/>
        <v>0</v>
      </c>
    </row>
    <row r="138" spans="1:67" x14ac:dyDescent="0.3">
      <c r="A138" s="14">
        <f t="shared" si="39"/>
        <v>111050014</v>
      </c>
      <c r="B138" s="13">
        <v>11</v>
      </c>
      <c r="C138" s="12">
        <f t="shared" si="40"/>
        <v>1</v>
      </c>
      <c r="D138" s="13">
        <v>5</v>
      </c>
      <c r="E138" s="13">
        <v>0</v>
      </c>
      <c r="F138" s="12">
        <f t="shared" si="41"/>
        <v>14</v>
      </c>
      <c r="H138" s="9">
        <v>1</v>
      </c>
      <c r="I138" s="9">
        <v>14</v>
      </c>
      <c r="K138" s="9" t="s">
        <v>359</v>
      </c>
      <c r="M138" s="9">
        <v>1</v>
      </c>
      <c r="N138" s="9">
        <v>15</v>
      </c>
      <c r="O138" s="9" t="s">
        <v>1114</v>
      </c>
      <c r="S138" s="9" t="s">
        <v>680</v>
      </c>
      <c r="V138" s="9">
        <f ca="1">IFERROR(OFFSET(ITEM_RES!$A$5,MATCH(BUILDING!U138,ITEM_RES!$J$5:$J$229,0)-1,0),0)</f>
        <v>0</v>
      </c>
      <c r="X138" s="84" t="s">
        <v>535</v>
      </c>
      <c r="Y138" s="9">
        <f ca="1">IFERROR(OFFSET(ITEM_RES!$A$5,MATCH(BUILDING!X138,ITEM_RES!$J$5:$J$229,0)-1,0),0)</f>
        <v>211010501</v>
      </c>
      <c r="AA138" s="9" t="s">
        <v>505</v>
      </c>
      <c r="AB138" s="9">
        <v>14</v>
      </c>
      <c r="AD138" s="11">
        <f ca="1">IFERROR(OFFSET(MANOR_LEVEL!$B$1,MATCH(AE138-1,MANOR_LEVEL!$A:$A,0)-1,0),0)</f>
        <v>1956000</v>
      </c>
      <c r="AE138" s="56">
        <v>11</v>
      </c>
      <c r="AG138" s="56">
        <f t="shared" ca="1" si="43"/>
        <v>582450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582450</v>
      </c>
      <c r="AI138" s="179">
        <f t="shared" ca="1" si="46"/>
        <v>954800</v>
      </c>
      <c r="AK138" s="11">
        <f t="shared" si="47"/>
        <v>14400</v>
      </c>
      <c r="AL138" s="10">
        <v>14400</v>
      </c>
      <c r="AM138" s="11">
        <f t="shared" si="44"/>
        <v>450</v>
      </c>
      <c r="AN138" s="10">
        <v>450</v>
      </c>
      <c r="AO138" s="11">
        <f t="shared" si="44"/>
        <v>0</v>
      </c>
      <c r="AP138" s="10">
        <v>0</v>
      </c>
      <c r="AQ138" s="56">
        <f t="shared" si="48"/>
        <v>1</v>
      </c>
      <c r="AS138" s="11">
        <f ca="1">IFERROR(OFFSET(ITEM_RES!$A$1,MATCH(AT138,ITEM_RES!$J:$J,0)-1,0),0)</f>
        <v>211020501</v>
      </c>
      <c r="AT138" s="10" t="s">
        <v>1349</v>
      </c>
      <c r="AU138" s="11">
        <v>485000</v>
      </c>
      <c r="AX138" s="11">
        <f ca="1">IFERROR(OFFSET(ITEM_RES!$A$1,MATCH(AY138,ITEM_RES!$J:$J,0)-1,0),0)</f>
        <v>0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42"/>
        <v>0</v>
      </c>
    </row>
    <row r="139" spans="1:67" x14ac:dyDescent="0.3">
      <c r="A139" s="14">
        <f t="shared" si="39"/>
        <v>111050015</v>
      </c>
      <c r="B139" s="13">
        <v>11</v>
      </c>
      <c r="C139" s="12">
        <f t="shared" si="40"/>
        <v>1</v>
      </c>
      <c r="D139" s="13">
        <v>5</v>
      </c>
      <c r="E139" s="13">
        <v>0</v>
      </c>
      <c r="F139" s="12">
        <f t="shared" si="41"/>
        <v>15</v>
      </c>
      <c r="H139" s="9">
        <v>1</v>
      </c>
      <c r="I139" s="9">
        <v>15</v>
      </c>
      <c r="K139" s="9" t="s">
        <v>359</v>
      </c>
      <c r="M139" s="9">
        <v>1</v>
      </c>
      <c r="N139" s="9">
        <v>15</v>
      </c>
      <c r="O139" s="9" t="s">
        <v>1114</v>
      </c>
      <c r="S139" s="9" t="s">
        <v>680</v>
      </c>
      <c r="V139" s="9">
        <f ca="1">IFERROR(OFFSET(ITEM_RES!$A$5,MATCH(BUILDING!U139,ITEM_RES!$J$5:$J$229,0)-1,0),0)</f>
        <v>0</v>
      </c>
      <c r="X139" s="84" t="s">
        <v>535</v>
      </c>
      <c r="Y139" s="9">
        <f ca="1">IFERROR(OFFSET(ITEM_RES!$A$5,MATCH(BUILDING!X139,ITEM_RES!$J$5:$J$229,0)-1,0),0)</f>
        <v>211010501</v>
      </c>
      <c r="AA139" s="9" t="s">
        <v>505</v>
      </c>
      <c r="AB139" s="9">
        <v>15</v>
      </c>
      <c r="AD139" s="11">
        <f ca="1">IFERROR(OFFSET(MANOR_LEVEL!$B$1,MATCH(AE139-1,MANOR_LEVEL!$A:$A,0)-1,0),0)</f>
        <v>3961500</v>
      </c>
      <c r="AE139" s="56">
        <v>12</v>
      </c>
      <c r="AG139" s="56">
        <f t="shared" ca="1" si="43"/>
        <v>1260550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1260550</v>
      </c>
      <c r="AI139" s="179">
        <f t="shared" ca="1" si="46"/>
        <v>1843000</v>
      </c>
      <c r="AK139" s="11">
        <f t="shared" si="47"/>
        <v>16200</v>
      </c>
      <c r="AL139" s="10">
        <v>16200</v>
      </c>
      <c r="AM139" s="11">
        <f t="shared" si="44"/>
        <v>550</v>
      </c>
      <c r="AN139" s="10">
        <v>550</v>
      </c>
      <c r="AO139" s="11">
        <f t="shared" si="44"/>
        <v>0</v>
      </c>
      <c r="AP139" s="10">
        <v>0</v>
      </c>
      <c r="AQ139" s="56">
        <f t="shared" si="48"/>
        <v>1</v>
      </c>
      <c r="AS139" s="11">
        <f ca="1">IFERROR(OFFSET(ITEM_RES!$A$1,MATCH(AT139,ITEM_RES!$J:$J,0)-1,0),0)</f>
        <v>211020501</v>
      </c>
      <c r="AT139" s="10" t="s">
        <v>1349</v>
      </c>
      <c r="AU139" s="11">
        <v>1050000</v>
      </c>
      <c r="AX139" s="11">
        <f ca="1">IFERROR(OFFSET(ITEM_RES!$A$1,MATCH(AY139,ITEM_RES!$J:$J,0)-1,0),0)</f>
        <v>0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42"/>
        <v>0</v>
      </c>
    </row>
    <row r="140" spans="1:67" x14ac:dyDescent="0.3">
      <c r="A140" s="14">
        <f t="shared" si="39"/>
        <v>111050016</v>
      </c>
      <c r="B140" s="13">
        <v>11</v>
      </c>
      <c r="C140" s="12">
        <f t="shared" si="40"/>
        <v>1</v>
      </c>
      <c r="D140" s="13">
        <v>5</v>
      </c>
      <c r="E140" s="13">
        <v>0</v>
      </c>
      <c r="F140" s="12">
        <f t="shared" si="41"/>
        <v>16</v>
      </c>
      <c r="H140" s="9">
        <v>1</v>
      </c>
      <c r="I140" s="9">
        <v>16</v>
      </c>
      <c r="K140" s="9" t="s">
        <v>359</v>
      </c>
      <c r="M140" s="9">
        <v>0</v>
      </c>
      <c r="N140" s="9">
        <v>15</v>
      </c>
      <c r="O140" s="9" t="s">
        <v>1114</v>
      </c>
      <c r="S140" s="9" t="s">
        <v>680</v>
      </c>
      <c r="V140" s="9">
        <f ca="1">IFERROR(OFFSET(ITEM_RES!$A$5,MATCH(BUILDING!U140,ITEM_RES!$J$5:$J$229,0)-1,0),0)</f>
        <v>0</v>
      </c>
      <c r="X140" s="84" t="s">
        <v>535</v>
      </c>
      <c r="Y140" s="9">
        <f ca="1">IFERROR(OFFSET(ITEM_RES!$A$5,MATCH(BUILDING!X140,ITEM_RES!$J$5:$J$229,0)-1,0),0)</f>
        <v>211010501</v>
      </c>
      <c r="AA140" s="9" t="s">
        <v>505</v>
      </c>
      <c r="AB140" s="9">
        <v>16</v>
      </c>
      <c r="AD140" s="11">
        <f ca="1">IFERROR(OFFSET(MANOR_LEVEL!$B$1,MATCH(AE140-1,MANOR_LEVEL!$A:$A,0)-1,0),0)</f>
        <v>7772100</v>
      </c>
      <c r="AE140" s="56">
        <v>13</v>
      </c>
      <c r="AG140" s="56">
        <f t="shared" ca="1" si="43"/>
        <v>2580700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2580700</v>
      </c>
      <c r="AI140" s="179">
        <f t="shared" ca="1" si="46"/>
        <v>3841250</v>
      </c>
      <c r="AK140" s="11">
        <f t="shared" si="47"/>
        <v>18000</v>
      </c>
      <c r="AL140" s="10">
        <v>18000</v>
      </c>
      <c r="AM140" s="11">
        <f t="shared" si="44"/>
        <v>700</v>
      </c>
      <c r="AN140" s="10">
        <v>700</v>
      </c>
      <c r="AO140" s="11">
        <f t="shared" si="44"/>
        <v>0</v>
      </c>
      <c r="AP140" s="10">
        <v>0</v>
      </c>
      <c r="AQ140" s="56">
        <f t="shared" si="48"/>
        <v>1</v>
      </c>
      <c r="AS140" s="11">
        <f ca="1">IFERROR(OFFSET(ITEM_RES!$A$1,MATCH(AT140,ITEM_RES!$J:$J,0)-1,0),0)</f>
        <v>211020501</v>
      </c>
      <c r="AT140" s="10" t="s">
        <v>1349</v>
      </c>
      <c r="AU140" s="11">
        <v>2150000</v>
      </c>
      <c r="AX140" s="11">
        <f ca="1">IFERROR(OFFSET(ITEM_RES!$A$1,MATCH(AY140,ITEM_RES!$J:$J,0)-1,0),0)</f>
        <v>0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42"/>
        <v>0</v>
      </c>
    </row>
    <row r="141" spans="1:67" x14ac:dyDescent="0.3">
      <c r="A141" s="14">
        <f t="shared" si="39"/>
        <v>111050017</v>
      </c>
      <c r="B141" s="13">
        <v>11</v>
      </c>
      <c r="C141" s="12">
        <f t="shared" si="40"/>
        <v>1</v>
      </c>
      <c r="D141" s="13">
        <v>5</v>
      </c>
      <c r="E141" s="13">
        <v>0</v>
      </c>
      <c r="F141" s="12">
        <f t="shared" si="41"/>
        <v>17</v>
      </c>
      <c r="H141" s="9">
        <v>1</v>
      </c>
      <c r="I141" s="9">
        <v>17</v>
      </c>
      <c r="K141" s="9" t="s">
        <v>359</v>
      </c>
      <c r="M141" s="9">
        <v>0</v>
      </c>
      <c r="N141" s="9">
        <v>15</v>
      </c>
      <c r="O141" s="9" t="s">
        <v>1114</v>
      </c>
      <c r="S141" s="9" t="s">
        <v>680</v>
      </c>
      <c r="V141" s="9">
        <f ca="1">IFERROR(OFFSET(ITEM_RES!$A$5,MATCH(BUILDING!U141,ITEM_RES!$J$5:$J$229,0)-1,0),0)</f>
        <v>0</v>
      </c>
      <c r="X141" s="84" t="s">
        <v>535</v>
      </c>
      <c r="Y141" s="9">
        <f ca="1">IFERROR(OFFSET(ITEM_RES!$A$5,MATCH(BUILDING!X141,ITEM_RES!$J$5:$J$229,0)-1,0),0)</f>
        <v>211010501</v>
      </c>
      <c r="AA141" s="9" t="s">
        <v>505</v>
      </c>
      <c r="AB141" s="9">
        <v>17</v>
      </c>
      <c r="AD141" s="11">
        <f ca="1">IFERROR(OFFSET(MANOR_LEVEL!$B$1,MATCH(AE141-1,MANOR_LEVEL!$A:$A,0)-1,0),0)</f>
        <v>13022450</v>
      </c>
      <c r="AE141" s="56">
        <v>14</v>
      </c>
      <c r="AG141" s="56">
        <f t="shared" ca="1" si="43"/>
        <v>4800850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4800850</v>
      </c>
      <c r="AI141" s="179">
        <f t="shared" ca="1" si="46"/>
        <v>7381550</v>
      </c>
      <c r="AK141" s="11">
        <f t="shared" si="47"/>
        <v>19800</v>
      </c>
      <c r="AL141" s="10">
        <v>19800</v>
      </c>
      <c r="AM141" s="11">
        <f t="shared" si="44"/>
        <v>850</v>
      </c>
      <c r="AN141" s="10">
        <v>850</v>
      </c>
      <c r="AO141" s="11">
        <f t="shared" si="44"/>
        <v>0</v>
      </c>
      <c r="AP141" s="10">
        <v>0</v>
      </c>
      <c r="AQ141" s="56">
        <f t="shared" si="48"/>
        <v>1</v>
      </c>
      <c r="AS141" s="11">
        <f ca="1">IFERROR(OFFSET(ITEM_RES!$A$1,MATCH(AT141,ITEM_RES!$J:$J,0)-1,0),0)</f>
        <v>211020501</v>
      </c>
      <c r="AT141" s="10" t="s">
        <v>420</v>
      </c>
      <c r="AU141" s="11">
        <v>4000000</v>
      </c>
      <c r="AX141" s="11">
        <f ca="1">IFERROR(OFFSET(ITEM_RES!$A$1,MATCH(AY141,ITEM_RES!$J:$J,0)-1,0),0)</f>
        <v>0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42"/>
        <v>0</v>
      </c>
    </row>
    <row r="142" spans="1:67" x14ac:dyDescent="0.3">
      <c r="A142" s="14">
        <f t="shared" si="39"/>
        <v>111050018</v>
      </c>
      <c r="B142" s="13">
        <v>11</v>
      </c>
      <c r="C142" s="12">
        <f t="shared" si="40"/>
        <v>1</v>
      </c>
      <c r="D142" s="13">
        <v>5</v>
      </c>
      <c r="E142" s="13">
        <v>0</v>
      </c>
      <c r="F142" s="12">
        <f t="shared" si="41"/>
        <v>18</v>
      </c>
      <c r="H142" s="9">
        <v>1</v>
      </c>
      <c r="I142" s="9">
        <v>18</v>
      </c>
      <c r="K142" s="9" t="s">
        <v>359</v>
      </c>
      <c r="M142" s="9">
        <v>0</v>
      </c>
      <c r="N142" s="9">
        <v>15</v>
      </c>
      <c r="O142" s="9" t="s">
        <v>1114</v>
      </c>
      <c r="S142" s="9" t="s">
        <v>680</v>
      </c>
      <c r="V142" s="9">
        <f ca="1">IFERROR(OFFSET(ITEM_RES!$A$5,MATCH(BUILDING!U142,ITEM_RES!$J$5:$J$229,0)-1,0),0)</f>
        <v>0</v>
      </c>
      <c r="X142" s="84" t="s">
        <v>535</v>
      </c>
      <c r="Y142" s="9">
        <f ca="1">IFERROR(OFFSET(ITEM_RES!$A$5,MATCH(BUILDING!X142,ITEM_RES!$J$5:$J$229,0)-1,0),0)</f>
        <v>211010501</v>
      </c>
      <c r="AA142" s="9" t="s">
        <v>505</v>
      </c>
      <c r="AB142" s="9">
        <v>18</v>
      </c>
      <c r="AD142" s="11">
        <f ca="1">IFERROR(OFFSET(MANOR_LEVEL!$B$1,MATCH(AE142-1,MANOR_LEVEL!$A:$A,0)-1,0),0)</f>
        <v>23283600</v>
      </c>
      <c r="AE142" s="56">
        <v>15</v>
      </c>
      <c r="AG142" s="56">
        <f t="shared" ca="1" si="43"/>
        <v>7801050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7801050</v>
      </c>
      <c r="AI142" s="179">
        <f t="shared" ca="1" si="46"/>
        <v>12601900</v>
      </c>
      <c r="AK142" s="11">
        <f t="shared" si="47"/>
        <v>21600</v>
      </c>
      <c r="AL142" s="10">
        <v>21600</v>
      </c>
      <c r="AM142" s="11">
        <f t="shared" si="44"/>
        <v>1050</v>
      </c>
      <c r="AN142" s="10">
        <v>1050</v>
      </c>
      <c r="AO142" s="11">
        <f t="shared" si="44"/>
        <v>0</v>
      </c>
      <c r="AP142" s="10">
        <v>0</v>
      </c>
      <c r="AQ142" s="56">
        <f t="shared" si="48"/>
        <v>1</v>
      </c>
      <c r="AS142" s="11">
        <f ca="1">IFERROR(OFFSET(ITEM_RES!$A$1,MATCH(AT142,ITEM_RES!$J:$J,0)-1,0),0)</f>
        <v>211020501</v>
      </c>
      <c r="AT142" s="10" t="s">
        <v>420</v>
      </c>
      <c r="AU142" s="11">
        <v>6500000</v>
      </c>
      <c r="AX142" s="11">
        <f ca="1">IFERROR(OFFSET(ITEM_RES!$A$1,MATCH(AY142,ITEM_RES!$J:$J,0)-1,0),0)</f>
        <v>0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42"/>
        <v>0</v>
      </c>
    </row>
    <row r="143" spans="1:67" x14ac:dyDescent="0.3">
      <c r="A143" s="14">
        <f t="shared" si="39"/>
        <v>111050019</v>
      </c>
      <c r="B143" s="13">
        <v>11</v>
      </c>
      <c r="C143" s="12">
        <f t="shared" si="40"/>
        <v>1</v>
      </c>
      <c r="D143" s="13">
        <v>5</v>
      </c>
      <c r="E143" s="13">
        <v>0</v>
      </c>
      <c r="F143" s="12">
        <f t="shared" si="41"/>
        <v>19</v>
      </c>
      <c r="H143" s="9">
        <v>1</v>
      </c>
      <c r="I143" s="9">
        <v>19</v>
      </c>
      <c r="K143" s="9" t="s">
        <v>359</v>
      </c>
      <c r="M143" s="9">
        <v>0</v>
      </c>
      <c r="N143" s="9">
        <v>15</v>
      </c>
      <c r="O143" s="9" t="s">
        <v>1114</v>
      </c>
      <c r="S143" s="9" t="s">
        <v>680</v>
      </c>
      <c r="V143" s="9">
        <f ca="1">IFERROR(OFFSET(ITEM_RES!$A$5,MATCH(BUILDING!U143,ITEM_RES!$J$5:$J$229,0)-1,0),0)</f>
        <v>0</v>
      </c>
      <c r="X143" s="84" t="s">
        <v>535</v>
      </c>
      <c r="Y143" s="9">
        <f ca="1">IFERROR(OFFSET(ITEM_RES!$A$5,MATCH(BUILDING!X143,ITEM_RES!$J$5:$J$229,0)-1,0),0)</f>
        <v>211010501</v>
      </c>
      <c r="AA143" s="9" t="s">
        <v>505</v>
      </c>
      <c r="AB143" s="9">
        <v>19</v>
      </c>
      <c r="AD143" s="11">
        <f ca="1">IFERROR(OFFSET(MANOR_LEVEL!$B$1,MATCH(AE143-1,MANOR_LEVEL!$A:$A,0)-1,0),0)</f>
        <v>50404400</v>
      </c>
      <c r="AE143" s="56">
        <v>16</v>
      </c>
      <c r="AG143" s="56">
        <f t="shared" ca="1" si="43"/>
        <v>12001250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12001250</v>
      </c>
      <c r="AI143" s="179">
        <f t="shared" ca="1" si="46"/>
        <v>19802300</v>
      </c>
      <c r="AK143" s="11">
        <f t="shared" si="47"/>
        <v>23400</v>
      </c>
      <c r="AL143" s="10">
        <v>23400</v>
      </c>
      <c r="AM143" s="11">
        <f t="shared" si="44"/>
        <v>1250</v>
      </c>
      <c r="AN143" s="10">
        <v>1250</v>
      </c>
      <c r="AO143" s="11">
        <f t="shared" si="44"/>
        <v>0</v>
      </c>
      <c r="AP143" s="10">
        <v>0</v>
      </c>
      <c r="AQ143" s="56">
        <f t="shared" si="48"/>
        <v>1</v>
      </c>
      <c r="AS143" s="11">
        <f ca="1">IFERROR(OFFSET(ITEM_RES!$A$1,MATCH(AT143,ITEM_RES!$J:$J,0)-1,0),0)</f>
        <v>211020501</v>
      </c>
      <c r="AT143" s="10" t="s">
        <v>420</v>
      </c>
      <c r="AU143" s="11">
        <v>10000000</v>
      </c>
      <c r="AX143" s="11">
        <f ca="1">IFERROR(OFFSET(ITEM_RES!$A$1,MATCH(AY143,ITEM_RES!$J:$J,0)-1,0),0)</f>
        <v>0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42"/>
        <v>0</v>
      </c>
    </row>
    <row r="144" spans="1:67" ht="17.25" thickBot="1" x14ac:dyDescent="0.35">
      <c r="A144" s="14">
        <f t="shared" si="39"/>
        <v>111050020</v>
      </c>
      <c r="B144" s="13">
        <v>11</v>
      </c>
      <c r="C144" s="12">
        <f t="shared" si="40"/>
        <v>1</v>
      </c>
      <c r="D144" s="13">
        <v>5</v>
      </c>
      <c r="E144" s="13">
        <v>0</v>
      </c>
      <c r="F144" s="12">
        <f t="shared" si="41"/>
        <v>20</v>
      </c>
      <c r="H144" s="9">
        <v>1</v>
      </c>
      <c r="I144" s="9">
        <v>20</v>
      </c>
      <c r="K144" s="9" t="s">
        <v>359</v>
      </c>
      <c r="M144" s="9">
        <v>0</v>
      </c>
      <c r="N144" s="9">
        <v>15</v>
      </c>
      <c r="O144" s="9" t="s">
        <v>1114</v>
      </c>
      <c r="S144" s="9" t="s">
        <v>680</v>
      </c>
      <c r="V144" s="9">
        <f ca="1">IFERROR(OFFSET(ITEM_RES!$A$5,MATCH(BUILDING!U144,ITEM_RES!$J$5:$J$229,0)-1,0),0)</f>
        <v>0</v>
      </c>
      <c r="X144" s="84" t="s">
        <v>535</v>
      </c>
      <c r="Y144" s="9">
        <f ca="1">IFERROR(OFFSET(ITEM_RES!$A$5,MATCH(BUILDING!X144,ITEM_RES!$J$5:$J$229,0)-1,0),0)</f>
        <v>211010501</v>
      </c>
      <c r="AA144" s="9" t="s">
        <v>505</v>
      </c>
      <c r="AB144" s="9">
        <v>20</v>
      </c>
      <c r="AD144" s="11">
        <f ca="1">IFERROR(OFFSET(MANOR_LEVEL!$B$1,MATCH(AE144-1,MANOR_LEVEL!$A:$A,0)-1,0),0)</f>
        <v>119976300</v>
      </c>
      <c r="AE144" s="56">
        <v>17</v>
      </c>
      <c r="AG144" s="56">
        <f t="shared" ca="1" si="43"/>
        <v>19201500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19201500</v>
      </c>
      <c r="AI144" s="179">
        <f t="shared" ca="1" si="46"/>
        <v>31202750</v>
      </c>
      <c r="AK144" s="11">
        <f t="shared" si="47"/>
        <v>25200</v>
      </c>
      <c r="AL144" s="10">
        <v>25200</v>
      </c>
      <c r="AM144" s="11">
        <f t="shared" si="44"/>
        <v>1500</v>
      </c>
      <c r="AN144" s="10">
        <v>1500</v>
      </c>
      <c r="AO144" s="11">
        <f t="shared" si="44"/>
        <v>0</v>
      </c>
      <c r="AP144" s="10">
        <v>0</v>
      </c>
      <c r="AQ144" s="56">
        <f t="shared" si="48"/>
        <v>1</v>
      </c>
      <c r="AS144" s="11">
        <f ca="1">IFERROR(OFFSET(ITEM_RES!$A$1,MATCH(AT144,ITEM_RES!$J:$J,0)-1,0),0)</f>
        <v>211020501</v>
      </c>
      <c r="AT144" s="10" t="s">
        <v>420</v>
      </c>
      <c r="AU144" s="11">
        <v>16000000</v>
      </c>
      <c r="AX144" s="11">
        <f ca="1">IFERROR(OFFSET(ITEM_RES!$A$1,MATCH(AY144,ITEM_RES!$J:$J,0)-1,0),0)</f>
        <v>0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42"/>
        <v>0</v>
      </c>
    </row>
    <row r="145" spans="1:68" s="15" customFormat="1" x14ac:dyDescent="0.3">
      <c r="A145" s="21">
        <f t="shared" si="39"/>
        <v>111060001</v>
      </c>
      <c r="B145" s="20">
        <v>11</v>
      </c>
      <c r="C145" s="19">
        <f t="shared" si="40"/>
        <v>1</v>
      </c>
      <c r="D145" s="20">
        <v>6</v>
      </c>
      <c r="E145" s="20">
        <v>0</v>
      </c>
      <c r="F145" s="19">
        <f t="shared" si="41"/>
        <v>1</v>
      </c>
      <c r="G145" s="78"/>
      <c r="H145" s="16">
        <v>1</v>
      </c>
      <c r="I145" s="16">
        <v>1</v>
      </c>
      <c r="J145" s="78"/>
      <c r="K145" s="16" t="s">
        <v>358</v>
      </c>
      <c r="L145" s="16">
        <v>6</v>
      </c>
      <c r="M145" s="16">
        <v>1</v>
      </c>
      <c r="N145" s="16">
        <v>15</v>
      </c>
      <c r="O145" s="16" t="s">
        <v>1115</v>
      </c>
      <c r="P145" s="17"/>
      <c r="Q145" s="17"/>
      <c r="R145" s="18"/>
      <c r="S145" s="16" t="s">
        <v>700</v>
      </c>
      <c r="T145" s="78"/>
      <c r="U145" s="86"/>
      <c r="V145" s="16">
        <f ca="1">IFERROR(OFFSET(ITEM_RES!$A$5,MATCH(BUILDING!U145,ITEM_RES!$J$5:$J$229,0)-1,0),0)</f>
        <v>0</v>
      </c>
      <c r="W145" s="18"/>
      <c r="X145" s="86" t="s">
        <v>535</v>
      </c>
      <c r="Y145" s="16">
        <f ca="1">IFERROR(OFFSET(ITEM_RES!$A$5,MATCH(BUILDING!X145,ITEM_RES!$J$5:$J$229,0)-1,0),0)</f>
        <v>211010501</v>
      </c>
      <c r="Z145" s="78"/>
      <c r="AA145" s="16" t="s">
        <v>506</v>
      </c>
      <c r="AB145" s="16">
        <v>1</v>
      </c>
      <c r="AC145" s="78"/>
      <c r="AD145" s="18">
        <f ca="1">IFERROR(OFFSET(MANOR_LEVEL!$B$1,MATCH(AE145-1,MANOR_LEVEL!$A:$A,0)-1,0),0)</f>
        <v>630500</v>
      </c>
      <c r="AE145" s="57">
        <v>9</v>
      </c>
      <c r="AF145" s="78"/>
      <c r="AG145" s="57">
        <f t="shared" ca="1" si="43"/>
        <v>1255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1255</v>
      </c>
      <c r="AI145" s="181">
        <f ca="1">AG145</f>
        <v>1255</v>
      </c>
      <c r="AJ145" s="78"/>
      <c r="AK145" s="18">
        <f t="shared" si="47"/>
        <v>5</v>
      </c>
      <c r="AL145" s="17">
        <v>5</v>
      </c>
      <c r="AM145" s="18">
        <f t="shared" si="44"/>
        <v>5</v>
      </c>
      <c r="AN145" s="17">
        <v>5</v>
      </c>
      <c r="AO145" s="18">
        <f t="shared" si="44"/>
        <v>0</v>
      </c>
      <c r="AP145" s="17">
        <v>0</v>
      </c>
      <c r="AQ145" s="57">
        <f t="shared" si="48"/>
        <v>2</v>
      </c>
      <c r="AR145" s="18"/>
      <c r="AS145" s="18">
        <f ca="1">IFERROR(OFFSET(ITEM_RES!$A$1,MATCH(AT145,ITEM_RES!$J:$J,0)-1,0),0)</f>
        <v>211020801</v>
      </c>
      <c r="AT145" s="17" t="s">
        <v>1081</v>
      </c>
      <c r="AU145" s="18">
        <v>25</v>
      </c>
      <c r="AV145" s="17"/>
      <c r="AW145" s="18"/>
      <c r="AX145" s="18">
        <f ca="1">IFERROR(OFFSET(ITEM_RES!$A$1,MATCH(AY145,ITEM_RES!$J:$J,0)-1,0),0)</f>
        <v>0</v>
      </c>
      <c r="AY145" s="17"/>
      <c r="AZ145" s="18"/>
      <c r="BA145" s="17"/>
      <c r="BB145" s="18"/>
      <c r="BC145" s="18">
        <f ca="1">IFERROR(OFFSET(ITEM_RES!$A$1,MATCH(BD145,ITEM_RES!$J:$J,0)-1,0),0)</f>
        <v>213010101</v>
      </c>
      <c r="BD145" s="17" t="s">
        <v>445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42"/>
        <v>0</v>
      </c>
      <c r="BP145" s="17"/>
    </row>
    <row r="146" spans="1:68" x14ac:dyDescent="0.3">
      <c r="A146" s="14">
        <f t="shared" si="39"/>
        <v>111060002</v>
      </c>
      <c r="B146" s="13">
        <v>11</v>
      </c>
      <c r="C146" s="12">
        <f t="shared" si="40"/>
        <v>1</v>
      </c>
      <c r="D146" s="13">
        <v>6</v>
      </c>
      <c r="E146" s="13">
        <v>0</v>
      </c>
      <c r="F146" s="12">
        <f t="shared" si="41"/>
        <v>2</v>
      </c>
      <c r="H146" s="9">
        <v>1</v>
      </c>
      <c r="I146" s="9">
        <v>2</v>
      </c>
      <c r="K146" s="9" t="s">
        <v>358</v>
      </c>
      <c r="M146" s="9">
        <v>1</v>
      </c>
      <c r="N146" s="9">
        <v>15</v>
      </c>
      <c r="O146" s="9" t="s">
        <v>1115</v>
      </c>
      <c r="S146" s="9" t="s">
        <v>700</v>
      </c>
      <c r="V146" s="9">
        <f ca="1">IFERROR(OFFSET(ITEM_RES!$A$5,MATCH(BUILDING!U146,ITEM_RES!$J$5:$J$229,0)-1,0),0)</f>
        <v>0</v>
      </c>
      <c r="X146" s="84" t="s">
        <v>535</v>
      </c>
      <c r="Y146" s="9">
        <f ca="1">IFERROR(OFFSET(ITEM_RES!$A$5,MATCH(BUILDING!X146,ITEM_RES!$J$5:$J$229,0)-1,0),0)</f>
        <v>211010501</v>
      </c>
      <c r="AA146" s="9" t="s">
        <v>506</v>
      </c>
      <c r="AB146" s="9">
        <v>2</v>
      </c>
      <c r="AD146" s="11">
        <f ca="1">IFERROR(OFFSET(MANOR_LEVEL!$B$1,MATCH(AE146-1,MANOR_LEVEL!$A:$A,0)-1,0),0)</f>
        <v>630500</v>
      </c>
      <c r="AE146" s="56">
        <v>9</v>
      </c>
      <c r="AG146" s="56">
        <f t="shared" ca="1" si="43"/>
        <v>510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510</v>
      </c>
      <c r="AI146" s="179">
        <f ca="1">AG145+AG146</f>
        <v>1765</v>
      </c>
      <c r="AK146" s="11">
        <f t="shared" si="47"/>
        <v>10</v>
      </c>
      <c r="AL146" s="10">
        <v>10</v>
      </c>
      <c r="AM146" s="11">
        <f t="shared" si="44"/>
        <v>10</v>
      </c>
      <c r="AN146" s="10">
        <v>10</v>
      </c>
      <c r="AO146" s="11">
        <f t="shared" si="44"/>
        <v>0</v>
      </c>
      <c r="AP146" s="10">
        <v>0</v>
      </c>
      <c r="AQ146" s="56">
        <f t="shared" si="48"/>
        <v>1</v>
      </c>
      <c r="AS146" s="11">
        <f ca="1">IFERROR(OFFSET(ITEM_RES!$A$1,MATCH(AT146,ITEM_RES!$J:$J,0)-1,0),0)</f>
        <v>211020801</v>
      </c>
      <c r="AT146" s="10" t="s">
        <v>1081</v>
      </c>
      <c r="AU146" s="11">
        <v>50</v>
      </c>
      <c r="AX146" s="11">
        <f ca="1">IFERROR(OFFSET(ITEM_RES!$A$1,MATCH(AY146,ITEM_RES!$J:$J,0)-1,0),0)</f>
        <v>0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42"/>
        <v>0</v>
      </c>
    </row>
    <row r="147" spans="1:68" x14ac:dyDescent="0.3">
      <c r="A147" s="14">
        <f t="shared" si="39"/>
        <v>111060003</v>
      </c>
      <c r="B147" s="13">
        <v>11</v>
      </c>
      <c r="C147" s="12">
        <f t="shared" si="40"/>
        <v>1</v>
      </c>
      <c r="D147" s="13">
        <v>6</v>
      </c>
      <c r="E147" s="13">
        <v>0</v>
      </c>
      <c r="F147" s="12">
        <f t="shared" si="41"/>
        <v>3</v>
      </c>
      <c r="H147" s="9">
        <v>1</v>
      </c>
      <c r="I147" s="9">
        <v>3</v>
      </c>
      <c r="K147" s="9" t="s">
        <v>358</v>
      </c>
      <c r="M147" s="9">
        <v>1</v>
      </c>
      <c r="N147" s="9">
        <v>15</v>
      </c>
      <c r="O147" s="9" t="s">
        <v>1116</v>
      </c>
      <c r="S147" s="9" t="s">
        <v>700</v>
      </c>
      <c r="V147" s="9">
        <f ca="1">IFERROR(OFFSET(ITEM_RES!$A$5,MATCH(BUILDING!U147,ITEM_RES!$J$5:$J$229,0)-1,0),0)</f>
        <v>0</v>
      </c>
      <c r="X147" s="84" t="s">
        <v>535</v>
      </c>
      <c r="Y147" s="9">
        <f ca="1">IFERROR(OFFSET(ITEM_RES!$A$5,MATCH(BUILDING!X147,ITEM_RES!$J$5:$J$229,0)-1,0),0)</f>
        <v>211010501</v>
      </c>
      <c r="AA147" s="9" t="s">
        <v>506</v>
      </c>
      <c r="AB147" s="9">
        <v>3</v>
      </c>
      <c r="AD147" s="11">
        <f ca="1">IFERROR(OFFSET(MANOR_LEVEL!$B$1,MATCH(AE147-1,MANOR_LEVEL!$A:$A,0)-1,0),0)</f>
        <v>1170750</v>
      </c>
      <c r="AE147" s="56">
        <v>10</v>
      </c>
      <c r="AG147" s="56">
        <f t="shared" ca="1" si="43"/>
        <v>765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765</v>
      </c>
      <c r="AI147" s="179">
        <f t="shared" ref="AI147:AI164" ca="1" si="49">AG146+AG147</f>
        <v>1275</v>
      </c>
      <c r="AK147" s="11">
        <f t="shared" si="47"/>
        <v>30</v>
      </c>
      <c r="AL147" s="10">
        <v>30</v>
      </c>
      <c r="AM147" s="11">
        <f t="shared" si="44"/>
        <v>15</v>
      </c>
      <c r="AN147" s="10">
        <v>15</v>
      </c>
      <c r="AO147" s="11">
        <f t="shared" si="44"/>
        <v>0</v>
      </c>
      <c r="AP147" s="10">
        <v>0</v>
      </c>
      <c r="AQ147" s="56">
        <f t="shared" si="48"/>
        <v>1</v>
      </c>
      <c r="AS147" s="11">
        <f ca="1">IFERROR(OFFSET(ITEM_RES!$A$1,MATCH(AT147,ITEM_RES!$J:$J,0)-1,0),0)</f>
        <v>211020801</v>
      </c>
      <c r="AT147" s="10" t="s">
        <v>1081</v>
      </c>
      <c r="AU147" s="11">
        <v>75</v>
      </c>
      <c r="AX147" s="11">
        <f ca="1">IFERROR(OFFSET(ITEM_RES!$A$1,MATCH(AY147,ITEM_RES!$J:$J,0)-1,0),0)</f>
        <v>0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42"/>
        <v>0</v>
      </c>
    </row>
    <row r="148" spans="1:68" x14ac:dyDescent="0.3">
      <c r="A148" s="14">
        <f t="shared" si="39"/>
        <v>111060004</v>
      </c>
      <c r="B148" s="13">
        <v>11</v>
      </c>
      <c r="C148" s="12">
        <f t="shared" si="40"/>
        <v>1</v>
      </c>
      <c r="D148" s="13">
        <v>6</v>
      </c>
      <c r="E148" s="13">
        <v>0</v>
      </c>
      <c r="F148" s="12">
        <f t="shared" si="41"/>
        <v>4</v>
      </c>
      <c r="H148" s="9">
        <v>1</v>
      </c>
      <c r="I148" s="9">
        <v>4</v>
      </c>
      <c r="K148" s="9" t="s">
        <v>358</v>
      </c>
      <c r="M148" s="9">
        <v>1</v>
      </c>
      <c r="N148" s="9">
        <v>15</v>
      </c>
      <c r="O148" s="9" t="s">
        <v>1117</v>
      </c>
      <c r="S148" s="9" t="s">
        <v>700</v>
      </c>
      <c r="V148" s="9">
        <f ca="1">IFERROR(OFFSET(ITEM_RES!$A$5,MATCH(BUILDING!U148,ITEM_RES!$J$5:$J$229,0)-1,0),0)</f>
        <v>0</v>
      </c>
      <c r="X148" s="84" t="s">
        <v>535</v>
      </c>
      <c r="Y148" s="9">
        <f ca="1">IFERROR(OFFSET(ITEM_RES!$A$5,MATCH(BUILDING!X148,ITEM_RES!$J$5:$J$229,0)-1,0),0)</f>
        <v>211010501</v>
      </c>
      <c r="AA148" s="9" t="s">
        <v>506</v>
      </c>
      <c r="AB148" s="9">
        <v>4</v>
      </c>
      <c r="AD148" s="11">
        <f ca="1">IFERROR(OFFSET(MANOR_LEVEL!$B$1,MATCH(AE148-1,MANOR_LEVEL!$A:$A,0)-1,0),0)</f>
        <v>1170750</v>
      </c>
      <c r="AE148" s="56">
        <v>10</v>
      </c>
      <c r="AG148" s="56">
        <f t="shared" ca="1" si="43"/>
        <v>3025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3025</v>
      </c>
      <c r="AI148" s="179">
        <f t="shared" ca="1" si="49"/>
        <v>3790</v>
      </c>
      <c r="AK148" s="11">
        <f t="shared" si="47"/>
        <v>300</v>
      </c>
      <c r="AL148" s="10">
        <v>300</v>
      </c>
      <c r="AM148" s="11">
        <f t="shared" si="44"/>
        <v>25</v>
      </c>
      <c r="AN148" s="10">
        <v>25</v>
      </c>
      <c r="AO148" s="11">
        <f t="shared" si="44"/>
        <v>0</v>
      </c>
      <c r="AP148" s="10">
        <v>0</v>
      </c>
      <c r="AQ148" s="56">
        <f t="shared" si="48"/>
        <v>1</v>
      </c>
      <c r="AS148" s="11">
        <f ca="1">IFERROR(OFFSET(ITEM_RES!$A$1,MATCH(AT148,ITEM_RES!$J:$J,0)-1,0),0)</f>
        <v>211020801</v>
      </c>
      <c r="AT148" s="10" t="s">
        <v>1081</v>
      </c>
      <c r="AU148" s="11">
        <v>300</v>
      </c>
      <c r="AX148" s="11">
        <f ca="1">IFERROR(OFFSET(ITEM_RES!$A$1,MATCH(AY148,ITEM_RES!$J:$J,0)-1,0),0)</f>
        <v>0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42"/>
        <v>0</v>
      </c>
    </row>
    <row r="149" spans="1:68" x14ac:dyDescent="0.3">
      <c r="A149" s="14">
        <f t="shared" si="39"/>
        <v>111060005</v>
      </c>
      <c r="B149" s="13">
        <v>11</v>
      </c>
      <c r="C149" s="12">
        <f t="shared" si="40"/>
        <v>1</v>
      </c>
      <c r="D149" s="13">
        <v>6</v>
      </c>
      <c r="E149" s="13">
        <v>0</v>
      </c>
      <c r="F149" s="12">
        <f t="shared" si="41"/>
        <v>5</v>
      </c>
      <c r="H149" s="9">
        <v>1</v>
      </c>
      <c r="I149" s="9">
        <v>5</v>
      </c>
      <c r="K149" s="9" t="s">
        <v>358</v>
      </c>
      <c r="M149" s="9">
        <v>1</v>
      </c>
      <c r="N149" s="9">
        <v>15</v>
      </c>
      <c r="O149" s="9" t="s">
        <v>1118</v>
      </c>
      <c r="S149" s="9" t="s">
        <v>700</v>
      </c>
      <c r="V149" s="9">
        <f ca="1">IFERROR(OFFSET(ITEM_RES!$A$5,MATCH(BUILDING!U149,ITEM_RES!$J$5:$J$229,0)-1,0),0)</f>
        <v>0</v>
      </c>
      <c r="X149" s="84" t="s">
        <v>535</v>
      </c>
      <c r="Y149" s="9">
        <f ca="1">IFERROR(OFFSET(ITEM_RES!$A$5,MATCH(BUILDING!X149,ITEM_RES!$J$5:$J$229,0)-1,0),0)</f>
        <v>211010501</v>
      </c>
      <c r="AA149" s="9" t="s">
        <v>506</v>
      </c>
      <c r="AB149" s="9">
        <v>5</v>
      </c>
      <c r="AD149" s="11">
        <f ca="1">IFERROR(OFFSET(MANOR_LEVEL!$B$1,MATCH(AE149-1,MANOR_LEVEL!$A:$A,0)-1,0),0)</f>
        <v>1170750</v>
      </c>
      <c r="AE149" s="56">
        <v>10</v>
      </c>
      <c r="AG149" s="56">
        <f t="shared" ca="1" si="43"/>
        <v>13540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13540</v>
      </c>
      <c r="AI149" s="179">
        <f t="shared" ca="1" si="49"/>
        <v>16565</v>
      </c>
      <c r="AK149" s="11">
        <f t="shared" si="47"/>
        <v>600</v>
      </c>
      <c r="AL149" s="10">
        <v>600</v>
      </c>
      <c r="AM149" s="11">
        <f t="shared" si="44"/>
        <v>40</v>
      </c>
      <c r="AN149" s="10">
        <v>40</v>
      </c>
      <c r="AO149" s="11">
        <f t="shared" si="44"/>
        <v>0</v>
      </c>
      <c r="AP149" s="10">
        <v>0</v>
      </c>
      <c r="AQ149" s="56">
        <f t="shared" si="48"/>
        <v>1</v>
      </c>
      <c r="AS149" s="11">
        <f ca="1">IFERROR(OFFSET(ITEM_RES!$A$1,MATCH(AT149,ITEM_RES!$J:$J,0)-1,0),0)</f>
        <v>211020801</v>
      </c>
      <c r="AT149" s="10" t="s">
        <v>1081</v>
      </c>
      <c r="AU149" s="11">
        <v>1350</v>
      </c>
      <c r="AX149" s="11">
        <f ca="1">IFERROR(OFFSET(ITEM_RES!$A$1,MATCH(AY149,ITEM_RES!$J:$J,0)-1,0),0)</f>
        <v>0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42"/>
        <v>0</v>
      </c>
    </row>
    <row r="150" spans="1:68" x14ac:dyDescent="0.3">
      <c r="A150" s="14">
        <f t="shared" si="39"/>
        <v>111060006</v>
      </c>
      <c r="B150" s="13">
        <v>11</v>
      </c>
      <c r="C150" s="12">
        <f t="shared" si="40"/>
        <v>1</v>
      </c>
      <c r="D150" s="13">
        <v>6</v>
      </c>
      <c r="E150" s="13">
        <v>0</v>
      </c>
      <c r="F150" s="12">
        <f t="shared" si="41"/>
        <v>6</v>
      </c>
      <c r="H150" s="9">
        <v>1</v>
      </c>
      <c r="I150" s="9">
        <v>6</v>
      </c>
      <c r="K150" s="9" t="s">
        <v>358</v>
      </c>
      <c r="M150" s="9">
        <v>1</v>
      </c>
      <c r="N150" s="9">
        <v>15</v>
      </c>
      <c r="O150" s="9" t="s">
        <v>1119</v>
      </c>
      <c r="S150" s="9" t="s">
        <v>700</v>
      </c>
      <c r="V150" s="9">
        <f ca="1">IFERROR(OFFSET(ITEM_RES!$A$5,MATCH(BUILDING!U150,ITEM_RES!$J$5:$J$229,0)-1,0),0)</f>
        <v>0</v>
      </c>
      <c r="X150" s="84" t="s">
        <v>535</v>
      </c>
      <c r="Y150" s="9">
        <f ca="1">IFERROR(OFFSET(ITEM_RES!$A$5,MATCH(BUILDING!X150,ITEM_RES!$J$5:$J$229,0)-1,0),0)</f>
        <v>211010501</v>
      </c>
      <c r="AA150" s="9" t="s">
        <v>506</v>
      </c>
      <c r="AB150" s="9">
        <v>6</v>
      </c>
      <c r="AD150" s="11">
        <f ca="1">IFERROR(OFFSET(MANOR_LEVEL!$B$1,MATCH(AE150-1,MANOR_LEVEL!$A:$A,0)-1,0),0)</f>
        <v>1170750</v>
      </c>
      <c r="AE150" s="56">
        <v>10</v>
      </c>
      <c r="AG150" s="56">
        <f t="shared" ca="1" si="43"/>
        <v>45050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45050</v>
      </c>
      <c r="AI150" s="179">
        <f t="shared" ca="1" si="49"/>
        <v>58590</v>
      </c>
      <c r="AK150" s="11">
        <f t="shared" si="47"/>
        <v>1200</v>
      </c>
      <c r="AL150" s="10">
        <v>1200</v>
      </c>
      <c r="AM150" s="11">
        <f t="shared" si="44"/>
        <v>50</v>
      </c>
      <c r="AN150" s="10">
        <v>50</v>
      </c>
      <c r="AO150" s="11">
        <f t="shared" si="44"/>
        <v>0</v>
      </c>
      <c r="AP150" s="10">
        <v>0</v>
      </c>
      <c r="AQ150" s="56">
        <f t="shared" si="48"/>
        <v>1</v>
      </c>
      <c r="AS150" s="11">
        <f ca="1">IFERROR(OFFSET(ITEM_RES!$A$1,MATCH(AT150,ITEM_RES!$J:$J,0)-1,0),0)</f>
        <v>211020801</v>
      </c>
      <c r="AT150" s="10" t="s">
        <v>1081</v>
      </c>
      <c r="AU150" s="11">
        <v>4500</v>
      </c>
      <c r="AX150" s="11">
        <f ca="1">IFERROR(OFFSET(ITEM_RES!$A$1,MATCH(AY150,ITEM_RES!$J:$J,0)-1,0),0)</f>
        <v>0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42"/>
        <v>0</v>
      </c>
    </row>
    <row r="151" spans="1:68" x14ac:dyDescent="0.3">
      <c r="A151" s="14">
        <f t="shared" si="39"/>
        <v>111060007</v>
      </c>
      <c r="B151" s="13">
        <v>11</v>
      </c>
      <c r="C151" s="12">
        <f t="shared" si="40"/>
        <v>1</v>
      </c>
      <c r="D151" s="13">
        <v>6</v>
      </c>
      <c r="E151" s="13">
        <v>0</v>
      </c>
      <c r="F151" s="12">
        <f t="shared" si="41"/>
        <v>7</v>
      </c>
      <c r="H151" s="9">
        <v>1</v>
      </c>
      <c r="I151" s="9">
        <v>7</v>
      </c>
      <c r="K151" s="9" t="s">
        <v>358</v>
      </c>
      <c r="M151" s="9">
        <v>1</v>
      </c>
      <c r="N151" s="9">
        <v>15</v>
      </c>
      <c r="O151" s="9" t="s">
        <v>1120</v>
      </c>
      <c r="S151" s="9" t="s">
        <v>700</v>
      </c>
      <c r="V151" s="9">
        <f ca="1">IFERROR(OFFSET(ITEM_RES!$A$5,MATCH(BUILDING!U151,ITEM_RES!$J$5:$J$229,0)-1,0),0)</f>
        <v>0</v>
      </c>
      <c r="X151" s="84" t="s">
        <v>535</v>
      </c>
      <c r="Y151" s="9">
        <f ca="1">IFERROR(OFFSET(ITEM_RES!$A$5,MATCH(BUILDING!X151,ITEM_RES!$J$5:$J$229,0)-1,0),0)</f>
        <v>211010501</v>
      </c>
      <c r="AA151" s="9" t="s">
        <v>506</v>
      </c>
      <c r="AB151" s="9">
        <v>7</v>
      </c>
      <c r="AD151" s="11">
        <f ca="1">IFERROR(OFFSET(MANOR_LEVEL!$B$1,MATCH(AE151-1,MANOR_LEVEL!$A:$A,0)-1,0),0)</f>
        <v>1956000</v>
      </c>
      <c r="AE151" s="56">
        <v>11</v>
      </c>
      <c r="AG151" s="56">
        <f t="shared" ca="1" si="43"/>
        <v>100100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100100</v>
      </c>
      <c r="AI151" s="179">
        <f t="shared" ca="1" si="49"/>
        <v>145150</v>
      </c>
      <c r="AK151" s="11">
        <f t="shared" si="47"/>
        <v>1800</v>
      </c>
      <c r="AL151" s="10">
        <v>1800</v>
      </c>
      <c r="AM151" s="11">
        <f t="shared" si="44"/>
        <v>100</v>
      </c>
      <c r="AN151" s="10">
        <v>100</v>
      </c>
      <c r="AO151" s="11">
        <f t="shared" si="44"/>
        <v>0</v>
      </c>
      <c r="AP151" s="10">
        <v>0</v>
      </c>
      <c r="AQ151" s="56">
        <f t="shared" si="48"/>
        <v>1</v>
      </c>
      <c r="AS151" s="11">
        <f ca="1">IFERROR(OFFSET(ITEM_RES!$A$1,MATCH(AT151,ITEM_RES!$J:$J,0)-1,0),0)</f>
        <v>211020801</v>
      </c>
      <c r="AT151" s="10" t="s">
        <v>1081</v>
      </c>
      <c r="AU151" s="11">
        <v>10000</v>
      </c>
      <c r="AX151" s="11">
        <f ca="1">IFERROR(OFFSET(ITEM_RES!$A$1,MATCH(AY151,ITEM_RES!$J:$J,0)-1,0),0)</f>
        <v>0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42"/>
        <v>0</v>
      </c>
    </row>
    <row r="152" spans="1:68" x14ac:dyDescent="0.3">
      <c r="A152" s="14">
        <f t="shared" si="39"/>
        <v>111060008</v>
      </c>
      <c r="B152" s="13">
        <v>11</v>
      </c>
      <c r="C152" s="12">
        <f t="shared" si="40"/>
        <v>1</v>
      </c>
      <c r="D152" s="13">
        <v>6</v>
      </c>
      <c r="E152" s="13">
        <v>0</v>
      </c>
      <c r="F152" s="12">
        <f t="shared" si="41"/>
        <v>8</v>
      </c>
      <c r="H152" s="9">
        <v>1</v>
      </c>
      <c r="I152" s="9">
        <v>8</v>
      </c>
      <c r="K152" s="9" t="s">
        <v>358</v>
      </c>
      <c r="M152" s="9">
        <v>1</v>
      </c>
      <c r="N152" s="9">
        <v>15</v>
      </c>
      <c r="O152" s="9" t="s">
        <v>1120</v>
      </c>
      <c r="S152" s="9" t="s">
        <v>700</v>
      </c>
      <c r="V152" s="9">
        <f ca="1">IFERROR(OFFSET(ITEM_RES!$A$5,MATCH(BUILDING!U152,ITEM_RES!$J$5:$J$229,0)-1,0),0)</f>
        <v>0</v>
      </c>
      <c r="X152" s="84" t="s">
        <v>535</v>
      </c>
      <c r="Y152" s="9">
        <f ca="1">IFERROR(OFFSET(ITEM_RES!$A$5,MATCH(BUILDING!X152,ITEM_RES!$J$5:$J$229,0)-1,0),0)</f>
        <v>211010501</v>
      </c>
      <c r="AA152" s="9" t="s">
        <v>506</v>
      </c>
      <c r="AB152" s="9">
        <v>8</v>
      </c>
      <c r="AD152" s="11">
        <f ca="1">IFERROR(OFFSET(MANOR_LEVEL!$B$1,MATCH(AE152-1,MANOR_LEVEL!$A:$A,0)-1,0),0)</f>
        <v>3961500</v>
      </c>
      <c r="AE152" s="56">
        <v>12</v>
      </c>
      <c r="AG152" s="56">
        <f t="shared" ca="1" si="43"/>
        <v>210600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210600</v>
      </c>
      <c r="AI152" s="179">
        <f t="shared" ca="1" si="49"/>
        <v>310700</v>
      </c>
      <c r="AK152" s="11">
        <f t="shared" si="47"/>
        <v>3600</v>
      </c>
      <c r="AL152" s="10">
        <v>3600</v>
      </c>
      <c r="AM152" s="11">
        <f t="shared" si="44"/>
        <v>100</v>
      </c>
      <c r="AN152" s="10">
        <v>100</v>
      </c>
      <c r="AO152" s="11">
        <v>500</v>
      </c>
      <c r="AP152" s="10">
        <v>0</v>
      </c>
      <c r="AQ152" s="56">
        <f t="shared" si="48"/>
        <v>1</v>
      </c>
      <c r="AS152" s="11">
        <f ca="1">IFERROR(OFFSET(ITEM_RES!$A$1,MATCH(AT152,ITEM_RES!$J:$J,0)-1,0),0)</f>
        <v>211020801</v>
      </c>
      <c r="AT152" s="10" t="s">
        <v>1081</v>
      </c>
      <c r="AU152" s="11">
        <v>21000</v>
      </c>
      <c r="AX152" s="11">
        <f ca="1">IFERROR(OFFSET(ITEM_RES!$A$1,MATCH(AY152,ITEM_RES!$J:$J,0)-1,0),0)</f>
        <v>0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42"/>
        <v>0</v>
      </c>
    </row>
    <row r="153" spans="1:68" x14ac:dyDescent="0.3">
      <c r="A153" s="14">
        <f t="shared" ref="A153:A256" si="50">B153*10000000+C153*1000000+D153*10000+E153*100+F153</f>
        <v>111060009</v>
      </c>
      <c r="B153" s="13">
        <v>11</v>
      </c>
      <c r="C153" s="12">
        <f t="shared" ref="C153:C256" si="51">H153</f>
        <v>1</v>
      </c>
      <c r="D153" s="13">
        <v>6</v>
      </c>
      <c r="E153" s="13">
        <v>0</v>
      </c>
      <c r="F153" s="12">
        <f t="shared" ref="F153:F256" si="52">I153</f>
        <v>9</v>
      </c>
      <c r="H153" s="9">
        <v>1</v>
      </c>
      <c r="I153" s="9">
        <v>9</v>
      </c>
      <c r="K153" s="9" t="s">
        <v>358</v>
      </c>
      <c r="M153" s="9">
        <v>1</v>
      </c>
      <c r="N153" s="9">
        <v>15</v>
      </c>
      <c r="O153" s="9" t="s">
        <v>1120</v>
      </c>
      <c r="S153" s="9" t="s">
        <v>700</v>
      </c>
      <c r="V153" s="9">
        <f ca="1">IFERROR(OFFSET(ITEM_RES!$A$5,MATCH(BUILDING!U153,ITEM_RES!$J$5:$J$229,0)-1,0),0)</f>
        <v>0</v>
      </c>
      <c r="X153" s="84" t="s">
        <v>535</v>
      </c>
      <c r="Y153" s="9">
        <f ca="1">IFERROR(OFFSET(ITEM_RES!$A$5,MATCH(BUILDING!X153,ITEM_RES!$J$5:$J$229,0)-1,0),0)</f>
        <v>211010501</v>
      </c>
      <c r="AA153" s="9" t="s">
        <v>506</v>
      </c>
      <c r="AB153" s="9">
        <v>9</v>
      </c>
      <c r="AD153" s="11">
        <f ca="1">IFERROR(OFFSET(MANOR_LEVEL!$B$1,MATCH(AE153-1,MANOR_LEVEL!$A:$A,0)-1,0),0)</f>
        <v>7772100</v>
      </c>
      <c r="AE153" s="56">
        <v>13</v>
      </c>
      <c r="AG153" s="56">
        <f t="shared" ca="1" si="43"/>
        <v>396150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396150</v>
      </c>
      <c r="AI153" s="179">
        <f t="shared" ca="1" si="49"/>
        <v>606750</v>
      </c>
      <c r="AK153" s="11">
        <f t="shared" si="47"/>
        <v>5400</v>
      </c>
      <c r="AL153" s="10">
        <v>5400</v>
      </c>
      <c r="AM153" s="11">
        <f t="shared" si="44"/>
        <v>150</v>
      </c>
      <c r="AN153" s="10">
        <v>150</v>
      </c>
      <c r="AO153" s="11">
        <v>6000</v>
      </c>
      <c r="AP153" s="10">
        <v>0</v>
      </c>
      <c r="AQ153" s="56">
        <f t="shared" si="48"/>
        <v>1</v>
      </c>
      <c r="AS153" s="11">
        <f ca="1">IFERROR(OFFSET(ITEM_RES!$A$1,MATCH(AT153,ITEM_RES!$J:$J,0)-1,0),0)</f>
        <v>211020801</v>
      </c>
      <c r="AT153" s="10" t="s">
        <v>1081</v>
      </c>
      <c r="AU153" s="11">
        <v>39000</v>
      </c>
      <c r="AX153" s="11">
        <f ca="1">IFERROR(OFFSET(ITEM_RES!$A$1,MATCH(AY153,ITEM_RES!$J:$J,0)-1,0),0)</f>
        <v>0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53">IF(BP153&lt;100,ROUND(BP153,1-LEN(ROUND(BP153,0))),ROUND(BP153,2-LEN(ROUND(BP153,0))))</f>
        <v>0</v>
      </c>
    </row>
    <row r="154" spans="1:68" x14ac:dyDescent="0.3">
      <c r="A154" s="14">
        <f t="shared" si="50"/>
        <v>111060010</v>
      </c>
      <c r="B154" s="13">
        <v>11</v>
      </c>
      <c r="C154" s="12">
        <f t="shared" si="51"/>
        <v>1</v>
      </c>
      <c r="D154" s="13">
        <v>6</v>
      </c>
      <c r="E154" s="13">
        <v>0</v>
      </c>
      <c r="F154" s="12">
        <f t="shared" si="52"/>
        <v>10</v>
      </c>
      <c r="H154" s="9">
        <v>1</v>
      </c>
      <c r="I154" s="9">
        <v>10</v>
      </c>
      <c r="K154" s="9" t="s">
        <v>358</v>
      </c>
      <c r="M154" s="9">
        <v>1</v>
      </c>
      <c r="N154" s="9">
        <v>15</v>
      </c>
      <c r="O154" s="9" t="s">
        <v>1120</v>
      </c>
      <c r="S154" s="9" t="s">
        <v>700</v>
      </c>
      <c r="V154" s="9">
        <f ca="1">IFERROR(OFFSET(ITEM_RES!$A$5,MATCH(BUILDING!U154,ITEM_RES!$J$5:$J$229,0)-1,0),0)</f>
        <v>0</v>
      </c>
      <c r="X154" s="84" t="s">
        <v>535</v>
      </c>
      <c r="Y154" s="9">
        <f ca="1">IFERROR(OFFSET(ITEM_RES!$A$5,MATCH(BUILDING!X154,ITEM_RES!$J$5:$J$229,0)-1,0),0)</f>
        <v>211010501</v>
      </c>
      <c r="AA154" s="9" t="s">
        <v>506</v>
      </c>
      <c r="AB154" s="9">
        <v>10</v>
      </c>
      <c r="AD154" s="11">
        <f ca="1">IFERROR(OFFSET(MANOR_LEVEL!$B$1,MATCH(AE154-1,MANOR_LEVEL!$A:$A,0)-1,0),0)</f>
        <v>7772100</v>
      </c>
      <c r="AE154" s="56">
        <v>13</v>
      </c>
      <c r="AG154" s="56">
        <f t="shared" ref="AG154:AG217" ca="1" si="54">ROUND(AH154,0)</f>
        <v>689200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689200</v>
      </c>
      <c r="AI154" s="179">
        <f t="shared" ca="1" si="49"/>
        <v>1085350</v>
      </c>
      <c r="AK154" s="11">
        <f t="shared" si="47"/>
        <v>7200</v>
      </c>
      <c r="AL154" s="10">
        <v>7200</v>
      </c>
      <c r="AM154" s="11">
        <f t="shared" ref="AM154:AO257" si="55">ROUND(AN154,0)</f>
        <v>200</v>
      </c>
      <c r="AN154" s="10">
        <v>200</v>
      </c>
      <c r="AO154" s="11">
        <v>39000</v>
      </c>
      <c r="AP154" s="10">
        <v>0</v>
      </c>
      <c r="AQ154" s="56">
        <f t="shared" si="48"/>
        <v>1</v>
      </c>
      <c r="AS154" s="11">
        <f ca="1">IFERROR(OFFSET(ITEM_RES!$A$1,MATCH(AT154,ITEM_RES!$J:$J,0)-1,0),0)</f>
        <v>211020801</v>
      </c>
      <c r="AT154" s="10" t="s">
        <v>1081</v>
      </c>
      <c r="AU154" s="11">
        <v>65000</v>
      </c>
      <c r="AX154" s="11">
        <f ca="1">IFERROR(OFFSET(ITEM_RES!$A$1,MATCH(AY154,ITEM_RES!$J:$J,0)-1,0),0)</f>
        <v>0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53"/>
        <v>0</v>
      </c>
    </row>
    <row r="155" spans="1:68" x14ac:dyDescent="0.3">
      <c r="A155" s="14">
        <f t="shared" si="50"/>
        <v>111060011</v>
      </c>
      <c r="B155" s="13">
        <v>11</v>
      </c>
      <c r="C155" s="12">
        <f t="shared" si="51"/>
        <v>1</v>
      </c>
      <c r="D155" s="13">
        <v>6</v>
      </c>
      <c r="E155" s="13">
        <v>0</v>
      </c>
      <c r="F155" s="12">
        <f t="shared" si="52"/>
        <v>11</v>
      </c>
      <c r="H155" s="9">
        <v>1</v>
      </c>
      <c r="I155" s="9">
        <v>11</v>
      </c>
      <c r="K155" s="9" t="s">
        <v>358</v>
      </c>
      <c r="M155" s="9">
        <v>1</v>
      </c>
      <c r="N155" s="9">
        <v>15</v>
      </c>
      <c r="O155" s="9" t="s">
        <v>1120</v>
      </c>
      <c r="S155" s="9" t="s">
        <v>700</v>
      </c>
      <c r="V155" s="9">
        <f ca="1">IFERROR(OFFSET(ITEM_RES!$A$5,MATCH(BUILDING!U155,ITEM_RES!$J$5:$J$229,0)-1,0),0)</f>
        <v>0</v>
      </c>
      <c r="X155" s="84" t="s">
        <v>535</v>
      </c>
      <c r="Y155" s="9">
        <f ca="1">IFERROR(OFFSET(ITEM_RES!$A$5,MATCH(BUILDING!X155,ITEM_RES!$J$5:$J$229,0)-1,0),0)</f>
        <v>211010501</v>
      </c>
      <c r="AA155" s="9" t="s">
        <v>506</v>
      </c>
      <c r="AB155" s="9">
        <v>11</v>
      </c>
      <c r="AD155" s="11">
        <f ca="1">IFERROR(OFFSET(MANOR_LEVEL!$B$1,MATCH(AE155-1,MANOR_LEVEL!$A:$A,0)-1,0),0)</f>
        <v>13022450</v>
      </c>
      <c r="AE155" s="56">
        <v>14</v>
      </c>
      <c r="AG155" s="56">
        <f t="shared" ca="1" si="54"/>
        <v>1165250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1165250</v>
      </c>
      <c r="AI155" s="179">
        <f t="shared" ca="1" si="49"/>
        <v>1854450</v>
      </c>
      <c r="AK155" s="11">
        <f t="shared" si="47"/>
        <v>9000</v>
      </c>
      <c r="AL155" s="10">
        <v>9000</v>
      </c>
      <c r="AM155" s="11">
        <f t="shared" si="55"/>
        <v>250</v>
      </c>
      <c r="AN155" s="10">
        <v>250</v>
      </c>
      <c r="AO155" s="11">
        <v>65000</v>
      </c>
      <c r="AP155" s="10">
        <v>0</v>
      </c>
      <c r="AQ155" s="56">
        <f t="shared" si="48"/>
        <v>1</v>
      </c>
      <c r="AS155" s="11">
        <f ca="1">IFERROR(OFFSET(ITEM_RES!$A$1,MATCH(AT155,ITEM_RES!$J:$J,0)-1,0),0)</f>
        <v>211020801</v>
      </c>
      <c r="AT155" s="10" t="s">
        <v>1081</v>
      </c>
      <c r="AU155" s="11">
        <v>110000</v>
      </c>
      <c r="AX155" s="11">
        <f ca="1">IFERROR(OFFSET(ITEM_RES!$A$1,MATCH(AY155,ITEM_RES!$J:$J,0)-1,0),0)</f>
        <v>0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53"/>
        <v>0</v>
      </c>
    </row>
    <row r="156" spans="1:68" x14ac:dyDescent="0.3">
      <c r="A156" s="14">
        <f t="shared" si="50"/>
        <v>111060012</v>
      </c>
      <c r="B156" s="13">
        <v>11</v>
      </c>
      <c r="C156" s="12">
        <f t="shared" si="51"/>
        <v>1</v>
      </c>
      <c r="D156" s="13">
        <v>6</v>
      </c>
      <c r="E156" s="13">
        <v>0</v>
      </c>
      <c r="F156" s="12">
        <f t="shared" si="52"/>
        <v>12</v>
      </c>
      <c r="H156" s="9">
        <v>1</v>
      </c>
      <c r="I156" s="9">
        <v>12</v>
      </c>
      <c r="K156" s="9" t="s">
        <v>358</v>
      </c>
      <c r="M156" s="9">
        <v>1</v>
      </c>
      <c r="N156" s="9">
        <v>15</v>
      </c>
      <c r="O156" s="9" t="s">
        <v>1120</v>
      </c>
      <c r="S156" s="9" t="s">
        <v>700</v>
      </c>
      <c r="V156" s="9">
        <f ca="1">IFERROR(OFFSET(ITEM_RES!$A$5,MATCH(BUILDING!U156,ITEM_RES!$J$5:$J$229,0)-1,0),0)</f>
        <v>0</v>
      </c>
      <c r="X156" s="84" t="s">
        <v>535</v>
      </c>
      <c r="Y156" s="9">
        <f ca="1">IFERROR(OFFSET(ITEM_RES!$A$5,MATCH(BUILDING!X156,ITEM_RES!$J$5:$J$229,0)-1,0),0)</f>
        <v>211010501</v>
      </c>
      <c r="AA156" s="9" t="s">
        <v>506</v>
      </c>
      <c r="AB156" s="9">
        <v>12</v>
      </c>
      <c r="AD156" s="11">
        <f ca="1">IFERROR(OFFSET(MANOR_LEVEL!$B$1,MATCH(AE156-1,MANOR_LEVEL!$A:$A,0)-1,0),0)</f>
        <v>23283600</v>
      </c>
      <c r="AE156" s="56">
        <v>15</v>
      </c>
      <c r="AG156" s="56">
        <f t="shared" ca="1" si="54"/>
        <v>1960300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1960300</v>
      </c>
      <c r="AI156" s="179">
        <f t="shared" ca="1" si="49"/>
        <v>3125550</v>
      </c>
      <c r="AK156" s="11">
        <f t="shared" si="47"/>
        <v>10800</v>
      </c>
      <c r="AL156" s="10">
        <v>10800</v>
      </c>
      <c r="AM156" s="11">
        <f t="shared" si="55"/>
        <v>300</v>
      </c>
      <c r="AN156" s="10">
        <v>300</v>
      </c>
      <c r="AO156" s="11">
        <v>110000</v>
      </c>
      <c r="AP156" s="10">
        <v>0</v>
      </c>
      <c r="AQ156" s="56">
        <f t="shared" si="48"/>
        <v>1</v>
      </c>
      <c r="AS156" s="11">
        <f ca="1">IFERROR(OFFSET(ITEM_RES!$A$1,MATCH(AT156,ITEM_RES!$J:$J,0)-1,0),0)</f>
        <v>211020801</v>
      </c>
      <c r="AT156" s="10" t="s">
        <v>1081</v>
      </c>
      <c r="AU156" s="11">
        <v>185000</v>
      </c>
      <c r="AX156" s="11">
        <f ca="1">IFERROR(OFFSET(ITEM_RES!$A$1,MATCH(AY156,ITEM_RES!$J:$J,0)-1,0),0)</f>
        <v>0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53"/>
        <v>0</v>
      </c>
    </row>
    <row r="157" spans="1:68" x14ac:dyDescent="0.3">
      <c r="A157" s="14">
        <f t="shared" si="50"/>
        <v>111060013</v>
      </c>
      <c r="B157" s="13">
        <v>11</v>
      </c>
      <c r="C157" s="12">
        <f t="shared" si="51"/>
        <v>1</v>
      </c>
      <c r="D157" s="13">
        <v>6</v>
      </c>
      <c r="E157" s="13">
        <v>0</v>
      </c>
      <c r="F157" s="12">
        <f t="shared" si="52"/>
        <v>13</v>
      </c>
      <c r="H157" s="9">
        <v>1</v>
      </c>
      <c r="I157" s="9">
        <v>13</v>
      </c>
      <c r="K157" s="9" t="s">
        <v>358</v>
      </c>
      <c r="M157" s="9">
        <v>1</v>
      </c>
      <c r="N157" s="9">
        <v>15</v>
      </c>
      <c r="O157" s="9" t="s">
        <v>1120</v>
      </c>
      <c r="S157" s="9" t="s">
        <v>700</v>
      </c>
      <c r="V157" s="9">
        <f ca="1">IFERROR(OFFSET(ITEM_RES!$A$5,MATCH(BUILDING!U157,ITEM_RES!$J$5:$J$229,0)-1,0),0)</f>
        <v>0</v>
      </c>
      <c r="X157" s="84" t="s">
        <v>535</v>
      </c>
      <c r="Y157" s="9">
        <f ca="1">IFERROR(OFFSET(ITEM_RES!$A$5,MATCH(BUILDING!X157,ITEM_RES!$J$5:$J$229,0)-1,0),0)</f>
        <v>211010501</v>
      </c>
      <c r="AA157" s="9" t="s">
        <v>506</v>
      </c>
      <c r="AB157" s="9">
        <v>13</v>
      </c>
      <c r="AD157" s="11">
        <f ca="1">IFERROR(OFFSET(MANOR_LEVEL!$B$1,MATCH(AE157-1,MANOR_LEVEL!$A:$A,0)-1,0),0)</f>
        <v>50404400</v>
      </c>
      <c r="AE157" s="56">
        <v>16</v>
      </c>
      <c r="AG157" s="56">
        <f t="shared" ca="1" si="54"/>
        <v>3905350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3905350</v>
      </c>
      <c r="AI157" s="179">
        <f t="shared" ca="1" si="49"/>
        <v>5865650</v>
      </c>
      <c r="AK157" s="11">
        <f t="shared" si="47"/>
        <v>12600</v>
      </c>
      <c r="AL157" s="10">
        <v>12600</v>
      </c>
      <c r="AM157" s="11">
        <f t="shared" si="55"/>
        <v>350</v>
      </c>
      <c r="AN157" s="10">
        <v>350</v>
      </c>
      <c r="AO157" s="11">
        <v>185000</v>
      </c>
      <c r="AP157" s="10">
        <v>0</v>
      </c>
      <c r="AQ157" s="56">
        <f t="shared" si="48"/>
        <v>1</v>
      </c>
      <c r="AS157" s="11">
        <f ca="1">IFERROR(OFFSET(ITEM_RES!$A$1,MATCH(AT157,ITEM_RES!$J:$J,0)-1,0),0)</f>
        <v>211020901</v>
      </c>
      <c r="AT157" s="10" t="s">
        <v>1082</v>
      </c>
      <c r="AU157" s="11">
        <v>310000</v>
      </c>
      <c r="AX157" s="11">
        <f ca="1">IFERROR(OFFSET(ITEM_RES!$A$1,MATCH(AY157,ITEM_RES!$J:$J,0)-1,0),0)</f>
        <v>0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53"/>
        <v>0</v>
      </c>
    </row>
    <row r="158" spans="1:68" x14ac:dyDescent="0.3">
      <c r="A158" s="14">
        <f t="shared" si="50"/>
        <v>111060014</v>
      </c>
      <c r="B158" s="13">
        <v>11</v>
      </c>
      <c r="C158" s="12">
        <f t="shared" si="51"/>
        <v>1</v>
      </c>
      <c r="D158" s="13">
        <v>6</v>
      </c>
      <c r="E158" s="13">
        <v>0</v>
      </c>
      <c r="F158" s="12">
        <f t="shared" si="52"/>
        <v>14</v>
      </c>
      <c r="H158" s="9">
        <v>1</v>
      </c>
      <c r="I158" s="9">
        <v>14</v>
      </c>
      <c r="K158" s="9" t="s">
        <v>358</v>
      </c>
      <c r="M158" s="9">
        <v>1</v>
      </c>
      <c r="N158" s="9">
        <v>15</v>
      </c>
      <c r="O158" s="9" t="s">
        <v>1120</v>
      </c>
      <c r="S158" s="9" t="s">
        <v>700</v>
      </c>
      <c r="V158" s="9">
        <f ca="1">IFERROR(OFFSET(ITEM_RES!$A$5,MATCH(BUILDING!U158,ITEM_RES!$J$5:$J$229,0)-1,0),0)</f>
        <v>0</v>
      </c>
      <c r="X158" s="84" t="s">
        <v>535</v>
      </c>
      <c r="Y158" s="9">
        <f ca="1">IFERROR(OFFSET(ITEM_RES!$A$5,MATCH(BUILDING!X158,ITEM_RES!$J$5:$J$229,0)-1,0),0)</f>
        <v>211010501</v>
      </c>
      <c r="AA158" s="9" t="s">
        <v>506</v>
      </c>
      <c r="AB158" s="9">
        <v>14</v>
      </c>
      <c r="AD158" s="11">
        <f ca="1">IFERROR(OFFSET(MANOR_LEVEL!$B$1,MATCH(AE158-1,MANOR_LEVEL!$A:$A,0)-1,0),0)</f>
        <v>119976300</v>
      </c>
      <c r="AE158" s="56">
        <v>17</v>
      </c>
      <c r="AG158" s="56">
        <f t="shared" ca="1" si="54"/>
        <v>6130450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6130450</v>
      </c>
      <c r="AI158" s="179">
        <f t="shared" ca="1" si="49"/>
        <v>10035800</v>
      </c>
      <c r="AK158" s="11">
        <f t="shared" si="47"/>
        <v>14400</v>
      </c>
      <c r="AL158" s="10">
        <v>14400</v>
      </c>
      <c r="AM158" s="11">
        <f t="shared" si="55"/>
        <v>450</v>
      </c>
      <c r="AN158" s="10">
        <v>450</v>
      </c>
      <c r="AO158" s="11">
        <v>310000</v>
      </c>
      <c r="AP158" s="10">
        <v>0</v>
      </c>
      <c r="AQ158" s="56">
        <f t="shared" si="48"/>
        <v>1</v>
      </c>
      <c r="AS158" s="11">
        <f ca="1">IFERROR(OFFSET(ITEM_RES!$A$1,MATCH(AT158,ITEM_RES!$J:$J,0)-1,0),0)</f>
        <v>211020901</v>
      </c>
      <c r="AT158" s="10" t="s">
        <v>1082</v>
      </c>
      <c r="AU158" s="11">
        <v>485000</v>
      </c>
      <c r="AX158" s="11">
        <f ca="1">IFERROR(OFFSET(ITEM_RES!$A$1,MATCH(AY158,ITEM_RES!$J:$J,0)-1,0),0)</f>
        <v>0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53"/>
        <v>0</v>
      </c>
    </row>
    <row r="159" spans="1:68" x14ac:dyDescent="0.3">
      <c r="A159" s="14">
        <f t="shared" si="50"/>
        <v>111060015</v>
      </c>
      <c r="B159" s="13">
        <v>11</v>
      </c>
      <c r="C159" s="12">
        <f t="shared" si="51"/>
        <v>1</v>
      </c>
      <c r="D159" s="13">
        <v>6</v>
      </c>
      <c r="E159" s="13">
        <v>0</v>
      </c>
      <c r="F159" s="12">
        <f t="shared" si="52"/>
        <v>15</v>
      </c>
      <c r="H159" s="9">
        <v>1</v>
      </c>
      <c r="I159" s="9">
        <v>15</v>
      </c>
      <c r="K159" s="9" t="s">
        <v>358</v>
      </c>
      <c r="M159" s="9">
        <v>1</v>
      </c>
      <c r="N159" s="9">
        <v>15</v>
      </c>
      <c r="O159" s="9" t="s">
        <v>1120</v>
      </c>
      <c r="S159" s="9" t="s">
        <v>700</v>
      </c>
      <c r="V159" s="9">
        <f ca="1">IFERROR(OFFSET(ITEM_RES!$A$5,MATCH(BUILDING!U159,ITEM_RES!$J$5:$J$229,0)-1,0),0)</f>
        <v>0</v>
      </c>
      <c r="X159" s="84" t="s">
        <v>535</v>
      </c>
      <c r="Y159" s="9">
        <f ca="1">IFERROR(OFFSET(ITEM_RES!$A$5,MATCH(BUILDING!X159,ITEM_RES!$J$5:$J$229,0)-1,0),0)</f>
        <v>211010501</v>
      </c>
      <c r="AA159" s="9" t="s">
        <v>506</v>
      </c>
      <c r="AB159" s="9">
        <v>15</v>
      </c>
      <c r="AD159" s="11">
        <f ca="1">IFERROR(OFFSET(MANOR_LEVEL!$B$1,MATCH(AE159-1,MANOR_LEVEL!$A:$A,0)-1,0),0)</f>
        <v>223207650</v>
      </c>
      <c r="AE159" s="56">
        <v>18</v>
      </c>
      <c r="AG159" s="56">
        <f t="shared" ca="1" si="54"/>
        <v>13085550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13085550</v>
      </c>
      <c r="AI159" s="179">
        <f t="shared" ca="1" si="49"/>
        <v>19216000</v>
      </c>
      <c r="AK159" s="11">
        <f t="shared" si="47"/>
        <v>16200</v>
      </c>
      <c r="AL159" s="10">
        <v>16200</v>
      </c>
      <c r="AM159" s="11">
        <f t="shared" si="55"/>
        <v>550</v>
      </c>
      <c r="AN159" s="10">
        <v>550</v>
      </c>
      <c r="AO159" s="11">
        <v>485000</v>
      </c>
      <c r="AP159" s="10">
        <v>0</v>
      </c>
      <c r="AQ159" s="56">
        <f t="shared" si="48"/>
        <v>1</v>
      </c>
      <c r="AS159" s="11">
        <f ca="1">IFERROR(OFFSET(ITEM_RES!$A$1,MATCH(AT159,ITEM_RES!$J:$J,0)-1,0),0)</f>
        <v>211020901</v>
      </c>
      <c r="AT159" s="10" t="s">
        <v>1082</v>
      </c>
      <c r="AU159" s="11">
        <v>1050000</v>
      </c>
      <c r="AX159" s="11">
        <f ca="1">IFERROR(OFFSET(ITEM_RES!$A$1,MATCH(AY159,ITEM_RES!$J:$J,0)-1,0),0)</f>
        <v>0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53"/>
        <v>0</v>
      </c>
    </row>
    <row r="160" spans="1:68" x14ac:dyDescent="0.3">
      <c r="A160" s="14">
        <f t="shared" si="50"/>
        <v>111060016</v>
      </c>
      <c r="B160" s="13">
        <v>11</v>
      </c>
      <c r="C160" s="12">
        <f t="shared" si="51"/>
        <v>1</v>
      </c>
      <c r="D160" s="13">
        <v>6</v>
      </c>
      <c r="E160" s="13">
        <v>0</v>
      </c>
      <c r="F160" s="12">
        <f t="shared" si="52"/>
        <v>16</v>
      </c>
      <c r="H160" s="9">
        <v>1</v>
      </c>
      <c r="I160" s="9">
        <v>16</v>
      </c>
      <c r="K160" s="9" t="s">
        <v>358</v>
      </c>
      <c r="M160" s="9">
        <v>0</v>
      </c>
      <c r="N160" s="9">
        <v>15</v>
      </c>
      <c r="O160" s="9" t="s">
        <v>1120</v>
      </c>
      <c r="S160" s="9" t="s">
        <v>700</v>
      </c>
      <c r="V160" s="9">
        <f ca="1">IFERROR(OFFSET(ITEM_RES!$A$5,MATCH(BUILDING!U160,ITEM_RES!$J$5:$J$229,0)-1,0),0)</f>
        <v>0</v>
      </c>
      <c r="X160" s="84" t="s">
        <v>535</v>
      </c>
      <c r="Y160" s="9">
        <f ca="1">IFERROR(OFFSET(ITEM_RES!$A$5,MATCH(BUILDING!X160,ITEM_RES!$J$5:$J$229,0)-1,0),0)</f>
        <v>211010501</v>
      </c>
      <c r="AA160" s="9" t="s">
        <v>506</v>
      </c>
      <c r="AB160" s="9">
        <v>16</v>
      </c>
      <c r="AD160" s="11">
        <f ca="1">IFERROR(OFFSET(MANOR_LEVEL!$B$1,MATCH(AE160-1,MANOR_LEVEL!$A:$A,0)-1,0),0)</f>
        <v>223207650</v>
      </c>
      <c r="AE160" s="56">
        <v>18</v>
      </c>
      <c r="AG160" s="56">
        <f t="shared" ca="1" si="54"/>
        <v>26850700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26850700</v>
      </c>
      <c r="AI160" s="179">
        <f t="shared" ca="1" si="49"/>
        <v>39936250</v>
      </c>
      <c r="AK160" s="11">
        <f t="shared" si="47"/>
        <v>18000</v>
      </c>
      <c r="AL160" s="10">
        <v>18000</v>
      </c>
      <c r="AM160" s="11">
        <f t="shared" si="55"/>
        <v>700</v>
      </c>
      <c r="AN160" s="10">
        <v>700</v>
      </c>
      <c r="AO160" s="11">
        <v>1050000</v>
      </c>
      <c r="AP160" s="10">
        <v>0</v>
      </c>
      <c r="AQ160" s="56">
        <f t="shared" si="48"/>
        <v>1</v>
      </c>
      <c r="AS160" s="11">
        <f ca="1">IFERROR(OFFSET(ITEM_RES!$A$1,MATCH(AT160,ITEM_RES!$J:$J,0)-1,0),0)</f>
        <v>211020901</v>
      </c>
      <c r="AT160" s="10" t="s">
        <v>1082</v>
      </c>
      <c r="AU160" s="11">
        <v>2150000</v>
      </c>
      <c r="AX160" s="11">
        <f ca="1">IFERROR(OFFSET(ITEM_RES!$A$1,MATCH(AY160,ITEM_RES!$J:$J,0)-1,0),0)</f>
        <v>0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53"/>
        <v>0</v>
      </c>
    </row>
    <row r="161" spans="1:68" x14ac:dyDescent="0.3">
      <c r="A161" s="14">
        <f t="shared" si="50"/>
        <v>111060017</v>
      </c>
      <c r="B161" s="13">
        <v>11</v>
      </c>
      <c r="C161" s="12">
        <f t="shared" si="51"/>
        <v>1</v>
      </c>
      <c r="D161" s="13">
        <v>6</v>
      </c>
      <c r="E161" s="13">
        <v>0</v>
      </c>
      <c r="F161" s="12">
        <f t="shared" si="52"/>
        <v>17</v>
      </c>
      <c r="H161" s="9">
        <v>1</v>
      </c>
      <c r="I161" s="9">
        <v>17</v>
      </c>
      <c r="K161" s="9" t="s">
        <v>358</v>
      </c>
      <c r="M161" s="9">
        <v>0</v>
      </c>
      <c r="N161" s="9">
        <v>15</v>
      </c>
      <c r="O161" s="9" t="s">
        <v>1120</v>
      </c>
      <c r="S161" s="9" t="s">
        <v>700</v>
      </c>
      <c r="V161" s="9">
        <f ca="1">IFERROR(OFFSET(ITEM_RES!$A$5,MATCH(BUILDING!U161,ITEM_RES!$J$5:$J$229,0)-1,0),0)</f>
        <v>0</v>
      </c>
      <c r="X161" s="84" t="s">
        <v>535</v>
      </c>
      <c r="Y161" s="9">
        <f ca="1">IFERROR(OFFSET(ITEM_RES!$A$5,MATCH(BUILDING!X161,ITEM_RES!$J$5:$J$229,0)-1,0),0)</f>
        <v>211010501</v>
      </c>
      <c r="AA161" s="9" t="s">
        <v>506</v>
      </c>
      <c r="AB161" s="9">
        <v>17</v>
      </c>
      <c r="AD161" s="11">
        <f ca="1">IFERROR(OFFSET(MANOR_LEVEL!$B$1,MATCH(AE161-1,MANOR_LEVEL!$A:$A,0)-1,0),0)</f>
        <v>223207650</v>
      </c>
      <c r="AE161" s="56">
        <v>18</v>
      </c>
      <c r="AG161" s="56">
        <f t="shared" ca="1" si="54"/>
        <v>50150850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50150850</v>
      </c>
      <c r="AI161" s="179">
        <f t="shared" ca="1" si="49"/>
        <v>77001550</v>
      </c>
      <c r="AK161" s="11">
        <f t="shared" si="47"/>
        <v>19800</v>
      </c>
      <c r="AL161" s="10">
        <v>19800</v>
      </c>
      <c r="AM161" s="11">
        <f t="shared" si="55"/>
        <v>850</v>
      </c>
      <c r="AN161" s="10">
        <v>850</v>
      </c>
      <c r="AO161" s="11">
        <v>2150000</v>
      </c>
      <c r="AP161" s="10">
        <v>0</v>
      </c>
      <c r="AQ161" s="56">
        <f t="shared" si="48"/>
        <v>1</v>
      </c>
      <c r="AS161" s="11">
        <f ca="1">IFERROR(OFFSET(ITEM_RES!$A$1,MATCH(AT161,ITEM_RES!$J:$J,0)-1,0),0)</f>
        <v>211020901</v>
      </c>
      <c r="AT161" s="10" t="s">
        <v>1082</v>
      </c>
      <c r="AU161" s="11">
        <v>4000000</v>
      </c>
      <c r="AX161" s="11">
        <f ca="1">IFERROR(OFFSET(ITEM_RES!$A$1,MATCH(AY161,ITEM_RES!$J:$J,0)-1,0),0)</f>
        <v>0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53"/>
        <v>0</v>
      </c>
    </row>
    <row r="162" spans="1:68" x14ac:dyDescent="0.3">
      <c r="A162" s="14">
        <f t="shared" si="50"/>
        <v>111060018</v>
      </c>
      <c r="B162" s="13">
        <v>11</v>
      </c>
      <c r="C162" s="12">
        <f t="shared" si="51"/>
        <v>1</v>
      </c>
      <c r="D162" s="13">
        <v>6</v>
      </c>
      <c r="E162" s="13">
        <v>0</v>
      </c>
      <c r="F162" s="12">
        <f t="shared" si="52"/>
        <v>18</v>
      </c>
      <c r="H162" s="9">
        <v>1</v>
      </c>
      <c r="I162" s="9">
        <v>18</v>
      </c>
      <c r="K162" s="9" t="s">
        <v>358</v>
      </c>
      <c r="M162" s="9">
        <v>0</v>
      </c>
      <c r="N162" s="9">
        <v>15</v>
      </c>
      <c r="O162" s="9" t="s">
        <v>1120</v>
      </c>
      <c r="S162" s="9" t="s">
        <v>700</v>
      </c>
      <c r="V162" s="9">
        <f ca="1">IFERROR(OFFSET(ITEM_RES!$A$5,MATCH(BUILDING!U162,ITEM_RES!$J$5:$J$229,0)-1,0),0)</f>
        <v>0</v>
      </c>
      <c r="X162" s="84" t="s">
        <v>535</v>
      </c>
      <c r="Y162" s="9">
        <f ca="1">IFERROR(OFFSET(ITEM_RES!$A$5,MATCH(BUILDING!X162,ITEM_RES!$J$5:$J$229,0)-1,0),0)</f>
        <v>211010501</v>
      </c>
      <c r="AA162" s="9" t="s">
        <v>506</v>
      </c>
      <c r="AB162" s="9">
        <v>18</v>
      </c>
      <c r="AD162" s="11">
        <f ca="1">IFERROR(OFFSET(MANOR_LEVEL!$B$1,MATCH(AE162-1,MANOR_LEVEL!$A:$A,0)-1,0),0)</f>
        <v>223207650</v>
      </c>
      <c r="AE162" s="56">
        <v>18</v>
      </c>
      <c r="AG162" s="56">
        <f t="shared" ca="1" si="54"/>
        <v>82001050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82001050</v>
      </c>
      <c r="AI162" s="179">
        <f t="shared" ca="1" si="49"/>
        <v>132151900</v>
      </c>
      <c r="AK162" s="11">
        <f t="shared" si="47"/>
        <v>21600</v>
      </c>
      <c r="AL162" s="10">
        <v>21600</v>
      </c>
      <c r="AM162" s="11">
        <f t="shared" si="55"/>
        <v>1050</v>
      </c>
      <c r="AN162" s="10">
        <v>1050</v>
      </c>
      <c r="AO162" s="11">
        <v>4000000</v>
      </c>
      <c r="AP162" s="10">
        <v>0</v>
      </c>
      <c r="AQ162" s="56">
        <f t="shared" si="48"/>
        <v>1</v>
      </c>
      <c r="AS162" s="11">
        <f ca="1">IFERROR(OFFSET(ITEM_RES!$A$1,MATCH(AT162,ITEM_RES!$J:$J,0)-1,0),0)</f>
        <v>211020901</v>
      </c>
      <c r="AT162" s="10" t="s">
        <v>1082</v>
      </c>
      <c r="AU162" s="11">
        <v>6500000</v>
      </c>
      <c r="AX162" s="11">
        <f ca="1">IFERROR(OFFSET(ITEM_RES!$A$1,MATCH(AY162,ITEM_RES!$J:$J,0)-1,0),0)</f>
        <v>0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53"/>
        <v>0</v>
      </c>
    </row>
    <row r="163" spans="1:68" x14ac:dyDescent="0.3">
      <c r="A163" s="14">
        <f t="shared" si="50"/>
        <v>111060019</v>
      </c>
      <c r="B163" s="13">
        <v>11</v>
      </c>
      <c r="C163" s="12">
        <f t="shared" si="51"/>
        <v>1</v>
      </c>
      <c r="D163" s="13">
        <v>6</v>
      </c>
      <c r="E163" s="13">
        <v>0</v>
      </c>
      <c r="F163" s="12">
        <f t="shared" si="52"/>
        <v>19</v>
      </c>
      <c r="H163" s="9">
        <v>1</v>
      </c>
      <c r="I163" s="9">
        <v>19</v>
      </c>
      <c r="K163" s="9" t="s">
        <v>358</v>
      </c>
      <c r="M163" s="9">
        <v>0</v>
      </c>
      <c r="N163" s="9">
        <v>15</v>
      </c>
      <c r="O163" s="9" t="s">
        <v>1120</v>
      </c>
      <c r="S163" s="9" t="s">
        <v>700</v>
      </c>
      <c r="V163" s="9">
        <f ca="1">IFERROR(OFFSET(ITEM_RES!$A$5,MATCH(BUILDING!U163,ITEM_RES!$J$5:$J$229,0)-1,0),0)</f>
        <v>0</v>
      </c>
      <c r="X163" s="84" t="s">
        <v>535</v>
      </c>
      <c r="Y163" s="9">
        <f ca="1">IFERROR(OFFSET(ITEM_RES!$A$5,MATCH(BUILDING!X163,ITEM_RES!$J$5:$J$229,0)-1,0),0)</f>
        <v>211010501</v>
      </c>
      <c r="AA163" s="9" t="s">
        <v>506</v>
      </c>
      <c r="AB163" s="9">
        <v>19</v>
      </c>
      <c r="AD163" s="11">
        <f ca="1">IFERROR(OFFSET(MANOR_LEVEL!$B$1,MATCH(AE163-1,MANOR_LEVEL!$A:$A,0)-1,0),0)</f>
        <v>223207650</v>
      </c>
      <c r="AE163" s="56">
        <v>18</v>
      </c>
      <c r="AG163" s="56">
        <f t="shared" ca="1" si="54"/>
        <v>126501250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126501250</v>
      </c>
      <c r="AI163" s="179">
        <f t="shared" ca="1" si="49"/>
        <v>208502300</v>
      </c>
      <c r="AK163" s="11">
        <f t="shared" si="47"/>
        <v>23400</v>
      </c>
      <c r="AL163" s="10">
        <v>23400</v>
      </c>
      <c r="AM163" s="11">
        <f t="shared" si="55"/>
        <v>1250</v>
      </c>
      <c r="AN163" s="10">
        <v>1250</v>
      </c>
      <c r="AO163" s="11">
        <v>6500000</v>
      </c>
      <c r="AP163" s="10">
        <v>0</v>
      </c>
      <c r="AQ163" s="56">
        <f t="shared" si="48"/>
        <v>1</v>
      </c>
      <c r="AS163" s="11">
        <f ca="1">IFERROR(OFFSET(ITEM_RES!$A$1,MATCH(AT163,ITEM_RES!$J:$J,0)-1,0),0)</f>
        <v>211020901</v>
      </c>
      <c r="AT163" s="10" t="s">
        <v>1082</v>
      </c>
      <c r="AU163" s="11">
        <v>10000000</v>
      </c>
      <c r="AX163" s="11">
        <f ca="1">IFERROR(OFFSET(ITEM_RES!$A$1,MATCH(AY163,ITEM_RES!$J:$J,0)-1,0),0)</f>
        <v>0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53"/>
        <v>0</v>
      </c>
    </row>
    <row r="164" spans="1:68" ht="17.25" thickBot="1" x14ac:dyDescent="0.35">
      <c r="A164" s="14">
        <f t="shared" si="50"/>
        <v>111060020</v>
      </c>
      <c r="B164" s="13">
        <v>11</v>
      </c>
      <c r="C164" s="12">
        <f t="shared" si="51"/>
        <v>1</v>
      </c>
      <c r="D164" s="13">
        <v>6</v>
      </c>
      <c r="E164" s="13">
        <v>0</v>
      </c>
      <c r="F164" s="12">
        <f t="shared" si="52"/>
        <v>20</v>
      </c>
      <c r="H164" s="9">
        <v>1</v>
      </c>
      <c r="I164" s="9">
        <v>20</v>
      </c>
      <c r="K164" s="9" t="s">
        <v>358</v>
      </c>
      <c r="M164" s="9">
        <v>0</v>
      </c>
      <c r="N164" s="9">
        <v>15</v>
      </c>
      <c r="O164" s="9" t="s">
        <v>1120</v>
      </c>
      <c r="S164" s="9" t="s">
        <v>700</v>
      </c>
      <c r="V164" s="9">
        <f ca="1">IFERROR(OFFSET(ITEM_RES!$A$5,MATCH(BUILDING!U164,ITEM_RES!$J$5:$J$229,0)-1,0),0)</f>
        <v>0</v>
      </c>
      <c r="X164" s="84" t="s">
        <v>535</v>
      </c>
      <c r="Y164" s="9">
        <f ca="1">IFERROR(OFFSET(ITEM_RES!$A$5,MATCH(BUILDING!X164,ITEM_RES!$J$5:$J$229,0)-1,0),0)</f>
        <v>211010501</v>
      </c>
      <c r="AA164" s="9" t="s">
        <v>506</v>
      </c>
      <c r="AB164" s="9">
        <v>20</v>
      </c>
      <c r="AD164" s="11">
        <f ca="1">IFERROR(OFFSET(MANOR_LEVEL!$B$1,MATCH(AE164-1,MANOR_LEVEL!$A:$A,0)-1,0),0)</f>
        <v>403010500</v>
      </c>
      <c r="AE164" s="56">
        <v>19</v>
      </c>
      <c r="AG164" s="56">
        <f t="shared" ca="1" si="54"/>
        <v>202001500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202001500</v>
      </c>
      <c r="AI164" s="179">
        <f t="shared" ca="1" si="49"/>
        <v>328502750</v>
      </c>
      <c r="AK164" s="11">
        <f t="shared" si="47"/>
        <v>25200</v>
      </c>
      <c r="AL164" s="10">
        <v>25200</v>
      </c>
      <c r="AM164" s="11">
        <f t="shared" si="55"/>
        <v>1500</v>
      </c>
      <c r="AN164" s="10">
        <v>1500</v>
      </c>
      <c r="AO164" s="11">
        <v>10000000</v>
      </c>
      <c r="AP164" s="10">
        <v>0</v>
      </c>
      <c r="AQ164" s="56">
        <f t="shared" si="48"/>
        <v>1</v>
      </c>
      <c r="AS164" s="11">
        <f ca="1">IFERROR(OFFSET(ITEM_RES!$A$1,MATCH(AT164,ITEM_RES!$J:$J,0)-1,0),0)</f>
        <v>211020901</v>
      </c>
      <c r="AT164" s="10" t="s">
        <v>1082</v>
      </c>
      <c r="AU164" s="11">
        <v>16000000</v>
      </c>
      <c r="AX164" s="11">
        <f ca="1">IFERROR(OFFSET(ITEM_RES!$A$1,MATCH(AY164,ITEM_RES!$J:$J,0)-1,0),0)</f>
        <v>0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53"/>
        <v>0</v>
      </c>
    </row>
    <row r="165" spans="1:68" s="15" customFormat="1" x14ac:dyDescent="0.3">
      <c r="A165" s="21">
        <f t="shared" si="50"/>
        <v>112030001</v>
      </c>
      <c r="B165" s="20">
        <v>11</v>
      </c>
      <c r="C165" s="19">
        <f t="shared" si="51"/>
        <v>2</v>
      </c>
      <c r="D165" s="20">
        <v>3</v>
      </c>
      <c r="E165" s="20">
        <v>0</v>
      </c>
      <c r="F165" s="19">
        <f t="shared" si="52"/>
        <v>1</v>
      </c>
      <c r="G165" s="78"/>
      <c r="H165" s="16">
        <v>2</v>
      </c>
      <c r="I165" s="16">
        <v>1</v>
      </c>
      <c r="J165" s="78"/>
      <c r="K165" s="16" t="s">
        <v>360</v>
      </c>
      <c r="L165" s="16">
        <v>9</v>
      </c>
      <c r="M165" s="16">
        <v>1</v>
      </c>
      <c r="N165" s="16">
        <v>15</v>
      </c>
      <c r="O165" s="16" t="s">
        <v>752</v>
      </c>
      <c r="P165" s="17"/>
      <c r="Q165" s="17"/>
      <c r="R165" s="18"/>
      <c r="S165" s="16" t="s">
        <v>681</v>
      </c>
      <c r="T165" s="78"/>
      <c r="U165" s="86" t="s">
        <v>535</v>
      </c>
      <c r="V165" s="16">
        <f ca="1">IFERROR(OFFSET(ITEM_RES!$A$5,MATCH(BUILDING!U165,ITEM_RES!$J$5:$J$229,0)-1,0),0)</f>
        <v>211010501</v>
      </c>
      <c r="W165" s="18">
        <v>1</v>
      </c>
      <c r="X165" s="86" t="s">
        <v>536</v>
      </c>
      <c r="Y165" s="16">
        <f ca="1">IFERROR(OFFSET(ITEM_RES!$A$5,MATCH(BUILDING!X165,ITEM_RES!$J$5:$J$229,0)-1,0),0)</f>
        <v>211010601</v>
      </c>
      <c r="Z165" s="78"/>
      <c r="AA165" s="16" t="s">
        <v>507</v>
      </c>
      <c r="AB165" s="16">
        <v>1</v>
      </c>
      <c r="AC165" s="78"/>
      <c r="AD165" s="18">
        <f ca="1">IFERROR(OFFSET(MANOR_LEVEL!$B$1,MATCH(AE165-1,MANOR_LEVEL!$A:$A,0)-1,0),0)</f>
        <v>3961500</v>
      </c>
      <c r="AE165" s="57">
        <v>12</v>
      </c>
      <c r="AF165" s="78"/>
      <c r="AG165" s="57">
        <f t="shared" ca="1" si="54"/>
        <v>1555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1555</v>
      </c>
      <c r="AI165" s="181">
        <f ca="1">AG165</f>
        <v>1555</v>
      </c>
      <c r="AJ165" s="78"/>
      <c r="AK165" s="18">
        <f t="shared" si="47"/>
        <v>5</v>
      </c>
      <c r="AL165" s="17">
        <v>5</v>
      </c>
      <c r="AM165" s="18">
        <f t="shared" si="55"/>
        <v>5</v>
      </c>
      <c r="AN165" s="17">
        <v>5</v>
      </c>
      <c r="AO165" s="18">
        <f t="shared" si="55"/>
        <v>0</v>
      </c>
      <c r="AP165" s="17">
        <v>0</v>
      </c>
      <c r="AQ165" s="57">
        <f t="shared" si="48"/>
        <v>3</v>
      </c>
      <c r="AR165" s="18"/>
      <c r="AS165" s="18">
        <f ca="1">IFERROR(OFFSET(ITEM_RES!$A$1,MATCH(AT165,ITEM_RES!$J:$J,0)-1,0),0)</f>
        <v>211010501</v>
      </c>
      <c r="AT165" s="17" t="s">
        <v>1079</v>
      </c>
      <c r="AU165" s="18">
        <v>50</v>
      </c>
      <c r="AV165" s="17"/>
      <c r="AW165" s="18"/>
      <c r="AX165" s="18">
        <f ca="1">IFERROR(OFFSET(ITEM_RES!$A$1,MATCH(AY165,ITEM_RES!$J:$J,0)-1,0),0)</f>
        <v>211020801</v>
      </c>
      <c r="AY165" s="17" t="s">
        <v>1081</v>
      </c>
      <c r="AZ165" s="18">
        <v>50</v>
      </c>
      <c r="BA165" s="17"/>
      <c r="BB165" s="18"/>
      <c r="BC165" s="18">
        <f ca="1">IFERROR(OFFSET(ITEM_RES!$A$1,MATCH(BD165,ITEM_RES!$J:$J,0)-1,0),0)</f>
        <v>213010101</v>
      </c>
      <c r="BD165" s="17" t="s">
        <v>445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53"/>
        <v>0</v>
      </c>
      <c r="BP165" s="17"/>
    </row>
    <row r="166" spans="1:68" x14ac:dyDescent="0.3">
      <c r="A166" s="14">
        <f t="shared" si="50"/>
        <v>112030002</v>
      </c>
      <c r="B166" s="13">
        <v>11</v>
      </c>
      <c r="C166" s="12">
        <f t="shared" si="51"/>
        <v>2</v>
      </c>
      <c r="D166" s="13">
        <v>3</v>
      </c>
      <c r="E166" s="13">
        <v>0</v>
      </c>
      <c r="F166" s="12">
        <f t="shared" si="52"/>
        <v>2</v>
      </c>
      <c r="H166" s="9">
        <v>2</v>
      </c>
      <c r="I166" s="9">
        <v>2</v>
      </c>
      <c r="K166" s="9" t="s">
        <v>360</v>
      </c>
      <c r="M166" s="9">
        <v>1</v>
      </c>
      <c r="N166" s="9">
        <v>15</v>
      </c>
      <c r="O166" s="9" t="s">
        <v>752</v>
      </c>
      <c r="S166" s="9" t="s">
        <v>681</v>
      </c>
      <c r="U166" s="84" t="s">
        <v>535</v>
      </c>
      <c r="V166" s="9">
        <f ca="1">IFERROR(OFFSET(ITEM_RES!$A$5,MATCH(BUILDING!U166,ITEM_RES!$J$5:$J$229,0)-1,0),0)</f>
        <v>211010501</v>
      </c>
      <c r="W166" s="11">
        <v>1</v>
      </c>
      <c r="X166" s="84" t="s">
        <v>536</v>
      </c>
      <c r="Y166" s="9">
        <f ca="1">IFERROR(OFFSET(ITEM_RES!$A$5,MATCH(BUILDING!X166,ITEM_RES!$J$5:$J$229,0)-1,0),0)</f>
        <v>211010601</v>
      </c>
      <c r="AA166" s="9" t="s">
        <v>507</v>
      </c>
      <c r="AB166" s="9">
        <v>2</v>
      </c>
      <c r="AD166" s="11">
        <f ca="1">IFERROR(OFFSET(MANOR_LEVEL!$B$1,MATCH(AE166-1,MANOR_LEVEL!$A:$A,0)-1,0),0)</f>
        <v>3961500</v>
      </c>
      <c r="AE166" s="56">
        <v>12</v>
      </c>
      <c r="AG166" s="56">
        <f t="shared" ca="1" si="54"/>
        <v>1110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1110</v>
      </c>
      <c r="AI166" s="179">
        <f ca="1">AG165+AG166</f>
        <v>2665</v>
      </c>
      <c r="AK166" s="11">
        <f t="shared" si="47"/>
        <v>10</v>
      </c>
      <c r="AL166" s="10">
        <v>10</v>
      </c>
      <c r="AM166" s="11">
        <f t="shared" si="55"/>
        <v>10</v>
      </c>
      <c r="AN166" s="10">
        <v>10</v>
      </c>
      <c r="AO166" s="11">
        <f t="shared" si="55"/>
        <v>0</v>
      </c>
      <c r="AP166" s="10">
        <v>0</v>
      </c>
      <c r="AQ166" s="56">
        <f t="shared" si="48"/>
        <v>2</v>
      </c>
      <c r="AS166" s="11">
        <f ca="1">IFERROR(OFFSET(ITEM_RES!$A$1,MATCH(AT166,ITEM_RES!$J:$J,0)-1,0),0)</f>
        <v>211010501</v>
      </c>
      <c r="AT166" s="10" t="s">
        <v>1079</v>
      </c>
      <c r="AU166" s="11">
        <v>100</v>
      </c>
      <c r="AX166" s="11">
        <f ca="1">IFERROR(OFFSET(ITEM_RES!$A$1,MATCH(AY166,ITEM_RES!$J:$J,0)-1,0),0)</f>
        <v>211020801</v>
      </c>
      <c r="AY166" s="10" t="s">
        <v>1081</v>
      </c>
      <c r="AZ166" s="11">
        <v>100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53"/>
        <v>0</v>
      </c>
    </row>
    <row r="167" spans="1:68" x14ac:dyDescent="0.3">
      <c r="A167" s="14">
        <f t="shared" si="50"/>
        <v>112030003</v>
      </c>
      <c r="B167" s="13">
        <v>11</v>
      </c>
      <c r="C167" s="12">
        <f t="shared" si="51"/>
        <v>2</v>
      </c>
      <c r="D167" s="13">
        <v>3</v>
      </c>
      <c r="E167" s="13">
        <v>0</v>
      </c>
      <c r="F167" s="12">
        <f t="shared" si="52"/>
        <v>3</v>
      </c>
      <c r="H167" s="9">
        <v>2</v>
      </c>
      <c r="I167" s="9">
        <v>3</v>
      </c>
      <c r="K167" s="9" t="s">
        <v>360</v>
      </c>
      <c r="M167" s="9">
        <v>1</v>
      </c>
      <c r="N167" s="9">
        <v>15</v>
      </c>
      <c r="O167" s="9" t="s">
        <v>752</v>
      </c>
      <c r="S167" s="9" t="s">
        <v>681</v>
      </c>
      <c r="U167" s="84" t="s">
        <v>535</v>
      </c>
      <c r="V167" s="9">
        <f ca="1">IFERROR(OFFSET(ITEM_RES!$A$5,MATCH(BUILDING!U167,ITEM_RES!$J$5:$J$229,0)-1,0),0)</f>
        <v>211010501</v>
      </c>
      <c r="W167" s="11">
        <v>1</v>
      </c>
      <c r="X167" s="84" t="s">
        <v>536</v>
      </c>
      <c r="Y167" s="9">
        <f ca="1">IFERROR(OFFSET(ITEM_RES!$A$5,MATCH(BUILDING!X167,ITEM_RES!$J$5:$J$229,0)-1,0),0)</f>
        <v>211010601</v>
      </c>
      <c r="AA167" s="9" t="s">
        <v>507</v>
      </c>
      <c r="AB167" s="9">
        <v>3</v>
      </c>
      <c r="AD167" s="11">
        <f ca="1">IFERROR(OFFSET(MANOR_LEVEL!$B$1,MATCH(AE167-1,MANOR_LEVEL!$A:$A,0)-1,0),0)</f>
        <v>3961500</v>
      </c>
      <c r="AE167" s="56">
        <v>12</v>
      </c>
      <c r="AG167" s="56">
        <f t="shared" ca="1" si="54"/>
        <v>1665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1665</v>
      </c>
      <c r="AI167" s="179">
        <f t="shared" ref="AI167:AI184" ca="1" si="56">AG166+AG167</f>
        <v>2775</v>
      </c>
      <c r="AK167" s="11">
        <f t="shared" si="47"/>
        <v>30</v>
      </c>
      <c r="AL167" s="10">
        <v>30</v>
      </c>
      <c r="AM167" s="11">
        <f t="shared" si="55"/>
        <v>15</v>
      </c>
      <c r="AN167" s="10">
        <v>15</v>
      </c>
      <c r="AO167" s="11">
        <f t="shared" si="55"/>
        <v>0</v>
      </c>
      <c r="AP167" s="10">
        <v>0</v>
      </c>
      <c r="AQ167" s="56">
        <f t="shared" si="48"/>
        <v>2</v>
      </c>
      <c r="AS167" s="11">
        <f ca="1">IFERROR(OFFSET(ITEM_RES!$A$1,MATCH(AT167,ITEM_RES!$J:$J,0)-1,0),0)</f>
        <v>211010501</v>
      </c>
      <c r="AT167" s="10" t="s">
        <v>1079</v>
      </c>
      <c r="AU167" s="11">
        <v>150</v>
      </c>
      <c r="AX167" s="11">
        <f ca="1">IFERROR(OFFSET(ITEM_RES!$A$1,MATCH(AY167,ITEM_RES!$J:$J,0)-1,0),0)</f>
        <v>211020801</v>
      </c>
      <c r="AY167" s="10" t="s">
        <v>1081</v>
      </c>
      <c r="AZ167" s="11">
        <v>150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53"/>
        <v>0</v>
      </c>
    </row>
    <row r="168" spans="1:68" x14ac:dyDescent="0.3">
      <c r="A168" s="14">
        <f t="shared" si="50"/>
        <v>112030004</v>
      </c>
      <c r="B168" s="13">
        <v>11</v>
      </c>
      <c r="C168" s="12">
        <f t="shared" si="51"/>
        <v>2</v>
      </c>
      <c r="D168" s="13">
        <v>3</v>
      </c>
      <c r="E168" s="13">
        <v>0</v>
      </c>
      <c r="F168" s="12">
        <f t="shared" si="52"/>
        <v>4</v>
      </c>
      <c r="H168" s="9">
        <v>2</v>
      </c>
      <c r="I168" s="9">
        <v>4</v>
      </c>
      <c r="K168" s="9" t="s">
        <v>360</v>
      </c>
      <c r="M168" s="9">
        <v>1</v>
      </c>
      <c r="N168" s="9">
        <v>15</v>
      </c>
      <c r="O168" s="9" t="s">
        <v>752</v>
      </c>
      <c r="S168" s="9" t="s">
        <v>681</v>
      </c>
      <c r="U168" s="84" t="s">
        <v>535</v>
      </c>
      <c r="V168" s="9">
        <f ca="1">IFERROR(OFFSET(ITEM_RES!$A$5,MATCH(BUILDING!U168,ITEM_RES!$J$5:$J$229,0)-1,0),0)</f>
        <v>211010501</v>
      </c>
      <c r="W168" s="11">
        <v>1</v>
      </c>
      <c r="X168" s="84" t="s">
        <v>536</v>
      </c>
      <c r="Y168" s="9">
        <f ca="1">IFERROR(OFFSET(ITEM_RES!$A$5,MATCH(BUILDING!X168,ITEM_RES!$J$5:$J$229,0)-1,0),0)</f>
        <v>211010601</v>
      </c>
      <c r="AA168" s="9" t="s">
        <v>507</v>
      </c>
      <c r="AB168" s="9">
        <v>4</v>
      </c>
      <c r="AD168" s="11">
        <f ca="1">IFERROR(OFFSET(MANOR_LEVEL!$B$1,MATCH(AE168-1,MANOR_LEVEL!$A:$A,0)-1,0),0)</f>
        <v>3961500</v>
      </c>
      <c r="AE168" s="56">
        <v>12</v>
      </c>
      <c r="AG168" s="56">
        <f t="shared" ca="1" si="54"/>
        <v>6625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6625</v>
      </c>
      <c r="AI168" s="179">
        <f t="shared" ca="1" si="56"/>
        <v>8290</v>
      </c>
      <c r="AK168" s="11">
        <f t="shared" si="47"/>
        <v>300</v>
      </c>
      <c r="AL168" s="10">
        <v>300</v>
      </c>
      <c r="AM168" s="11">
        <f t="shared" si="55"/>
        <v>25</v>
      </c>
      <c r="AN168" s="10">
        <v>25</v>
      </c>
      <c r="AO168" s="11">
        <f t="shared" si="55"/>
        <v>0</v>
      </c>
      <c r="AP168" s="10">
        <v>0</v>
      </c>
      <c r="AQ168" s="56">
        <f t="shared" si="48"/>
        <v>2</v>
      </c>
      <c r="AS168" s="11">
        <f ca="1">IFERROR(OFFSET(ITEM_RES!$A$1,MATCH(AT168,ITEM_RES!$J:$J,0)-1,0),0)</f>
        <v>211010501</v>
      </c>
      <c r="AT168" s="10" t="s">
        <v>1079</v>
      </c>
      <c r="AU168" s="11">
        <v>600</v>
      </c>
      <c r="AX168" s="11">
        <f ca="1">IFERROR(OFFSET(ITEM_RES!$A$1,MATCH(AY168,ITEM_RES!$J:$J,0)-1,0),0)</f>
        <v>211020801</v>
      </c>
      <c r="AY168" s="10" t="s">
        <v>1081</v>
      </c>
      <c r="AZ168" s="11">
        <v>600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53"/>
        <v>0</v>
      </c>
    </row>
    <row r="169" spans="1:68" x14ac:dyDescent="0.3">
      <c r="A169" s="14">
        <f t="shared" si="50"/>
        <v>112030005</v>
      </c>
      <c r="B169" s="13">
        <v>11</v>
      </c>
      <c r="C169" s="12">
        <f t="shared" si="51"/>
        <v>2</v>
      </c>
      <c r="D169" s="13">
        <v>3</v>
      </c>
      <c r="E169" s="13">
        <v>0</v>
      </c>
      <c r="F169" s="12">
        <f t="shared" si="52"/>
        <v>5</v>
      </c>
      <c r="H169" s="9">
        <v>2</v>
      </c>
      <c r="I169" s="9">
        <v>5</v>
      </c>
      <c r="K169" s="9" t="s">
        <v>360</v>
      </c>
      <c r="M169" s="9">
        <v>1</v>
      </c>
      <c r="N169" s="9">
        <v>15</v>
      </c>
      <c r="O169" s="9" t="s">
        <v>752</v>
      </c>
      <c r="S169" s="9" t="s">
        <v>681</v>
      </c>
      <c r="U169" s="84" t="s">
        <v>535</v>
      </c>
      <c r="V169" s="9">
        <f ca="1">IFERROR(OFFSET(ITEM_RES!$A$5,MATCH(BUILDING!U169,ITEM_RES!$J$5:$J$229,0)-1,0),0)</f>
        <v>211010501</v>
      </c>
      <c r="W169" s="11">
        <v>1</v>
      </c>
      <c r="X169" s="84" t="s">
        <v>536</v>
      </c>
      <c r="Y169" s="9">
        <f ca="1">IFERROR(OFFSET(ITEM_RES!$A$5,MATCH(BUILDING!X169,ITEM_RES!$J$5:$J$229,0)-1,0),0)</f>
        <v>211010601</v>
      </c>
      <c r="AA169" s="9" t="s">
        <v>507</v>
      </c>
      <c r="AB169" s="9">
        <v>5</v>
      </c>
      <c r="AD169" s="11">
        <f ca="1">IFERROR(OFFSET(MANOR_LEVEL!$B$1,MATCH(AE169-1,MANOR_LEVEL!$A:$A,0)-1,0),0)</f>
        <v>3961500</v>
      </c>
      <c r="AE169" s="56">
        <v>12</v>
      </c>
      <c r="AG169" s="56">
        <f t="shared" ca="1" si="54"/>
        <v>29740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29740</v>
      </c>
      <c r="AI169" s="179">
        <f t="shared" ca="1" si="56"/>
        <v>36365</v>
      </c>
      <c r="AK169" s="11">
        <f t="shared" si="47"/>
        <v>600</v>
      </c>
      <c r="AL169" s="10">
        <v>600</v>
      </c>
      <c r="AM169" s="11">
        <f t="shared" si="55"/>
        <v>40</v>
      </c>
      <c r="AN169" s="10">
        <v>40</v>
      </c>
      <c r="AO169" s="11">
        <f t="shared" si="55"/>
        <v>0</v>
      </c>
      <c r="AP169" s="10">
        <v>0</v>
      </c>
      <c r="AQ169" s="56">
        <f t="shared" si="48"/>
        <v>2</v>
      </c>
      <c r="AS169" s="11">
        <f ca="1">IFERROR(OFFSET(ITEM_RES!$A$1,MATCH(AT169,ITEM_RES!$J:$J,0)-1,0),0)</f>
        <v>211010501</v>
      </c>
      <c r="AT169" s="10" t="s">
        <v>1079</v>
      </c>
      <c r="AU169" s="11">
        <v>2700</v>
      </c>
      <c r="AX169" s="11">
        <f ca="1">IFERROR(OFFSET(ITEM_RES!$A$1,MATCH(AY169,ITEM_RES!$J:$J,0)-1,0),0)</f>
        <v>211020801</v>
      </c>
      <c r="AY169" s="10" t="s">
        <v>1081</v>
      </c>
      <c r="AZ169" s="11">
        <v>2700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53"/>
        <v>0</v>
      </c>
    </row>
    <row r="170" spans="1:68" x14ac:dyDescent="0.3">
      <c r="A170" s="14">
        <f t="shared" si="50"/>
        <v>112030006</v>
      </c>
      <c r="B170" s="13">
        <v>11</v>
      </c>
      <c r="C170" s="12">
        <f t="shared" si="51"/>
        <v>2</v>
      </c>
      <c r="D170" s="13">
        <v>3</v>
      </c>
      <c r="E170" s="13">
        <v>0</v>
      </c>
      <c r="F170" s="12">
        <f t="shared" si="52"/>
        <v>6</v>
      </c>
      <c r="H170" s="9">
        <v>2</v>
      </c>
      <c r="I170" s="9">
        <v>6</v>
      </c>
      <c r="K170" s="9" t="s">
        <v>360</v>
      </c>
      <c r="M170" s="9">
        <v>1</v>
      </c>
      <c r="N170" s="9">
        <v>15</v>
      </c>
      <c r="O170" s="9" t="s">
        <v>752</v>
      </c>
      <c r="S170" s="9" t="s">
        <v>681</v>
      </c>
      <c r="U170" s="84" t="s">
        <v>535</v>
      </c>
      <c r="V170" s="9">
        <f ca="1">IFERROR(OFFSET(ITEM_RES!$A$5,MATCH(BUILDING!U170,ITEM_RES!$J$5:$J$229,0)-1,0),0)</f>
        <v>211010501</v>
      </c>
      <c r="W170" s="11">
        <v>1</v>
      </c>
      <c r="X170" s="84" t="s">
        <v>536</v>
      </c>
      <c r="Y170" s="9">
        <f ca="1">IFERROR(OFFSET(ITEM_RES!$A$5,MATCH(BUILDING!X170,ITEM_RES!$J$5:$J$229,0)-1,0),0)</f>
        <v>211010601</v>
      </c>
      <c r="AA170" s="9" t="s">
        <v>507</v>
      </c>
      <c r="AB170" s="9">
        <v>6</v>
      </c>
      <c r="AD170" s="11">
        <f ca="1">IFERROR(OFFSET(MANOR_LEVEL!$B$1,MATCH(AE170-1,MANOR_LEVEL!$A:$A,0)-1,0),0)</f>
        <v>3961500</v>
      </c>
      <c r="AE170" s="56">
        <v>12</v>
      </c>
      <c r="AG170" s="56">
        <f t="shared" ca="1" si="54"/>
        <v>99050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99050</v>
      </c>
      <c r="AI170" s="179">
        <f t="shared" ca="1" si="56"/>
        <v>128790</v>
      </c>
      <c r="AK170" s="11">
        <f t="shared" si="47"/>
        <v>1200</v>
      </c>
      <c r="AL170" s="10">
        <v>1200</v>
      </c>
      <c r="AM170" s="11">
        <f t="shared" si="55"/>
        <v>50</v>
      </c>
      <c r="AN170" s="10">
        <v>50</v>
      </c>
      <c r="AO170" s="11">
        <f t="shared" si="55"/>
        <v>0</v>
      </c>
      <c r="AP170" s="10">
        <v>0</v>
      </c>
      <c r="AQ170" s="56">
        <f t="shared" si="48"/>
        <v>2</v>
      </c>
      <c r="AS170" s="11">
        <f ca="1">IFERROR(OFFSET(ITEM_RES!$A$1,MATCH(AT170,ITEM_RES!$J:$J,0)-1,0),0)</f>
        <v>211010501</v>
      </c>
      <c r="AT170" s="10" t="s">
        <v>1079</v>
      </c>
      <c r="AU170" s="11">
        <v>9000</v>
      </c>
      <c r="AX170" s="11">
        <f ca="1">IFERROR(OFFSET(ITEM_RES!$A$1,MATCH(AY170,ITEM_RES!$J:$J,0)-1,0),0)</f>
        <v>211020801</v>
      </c>
      <c r="AY170" s="10" t="s">
        <v>1081</v>
      </c>
      <c r="AZ170" s="11">
        <v>9000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53"/>
        <v>0</v>
      </c>
    </row>
    <row r="171" spans="1:68" x14ac:dyDescent="0.3">
      <c r="A171" s="14">
        <f t="shared" si="50"/>
        <v>112030007</v>
      </c>
      <c r="B171" s="13">
        <v>11</v>
      </c>
      <c r="C171" s="12">
        <f t="shared" si="51"/>
        <v>2</v>
      </c>
      <c r="D171" s="13">
        <v>3</v>
      </c>
      <c r="E171" s="13">
        <v>0</v>
      </c>
      <c r="F171" s="12">
        <f t="shared" si="52"/>
        <v>7</v>
      </c>
      <c r="H171" s="9">
        <v>2</v>
      </c>
      <c r="I171" s="9">
        <v>7</v>
      </c>
      <c r="K171" s="9" t="s">
        <v>360</v>
      </c>
      <c r="M171" s="9">
        <v>1</v>
      </c>
      <c r="N171" s="9">
        <v>15</v>
      </c>
      <c r="O171" s="9" t="s">
        <v>752</v>
      </c>
      <c r="S171" s="9" t="s">
        <v>681</v>
      </c>
      <c r="U171" s="84" t="s">
        <v>535</v>
      </c>
      <c r="V171" s="9">
        <f ca="1">IFERROR(OFFSET(ITEM_RES!$A$5,MATCH(BUILDING!U171,ITEM_RES!$J$5:$J$229,0)-1,0),0)</f>
        <v>211010501</v>
      </c>
      <c r="W171" s="11">
        <v>1</v>
      </c>
      <c r="X171" s="84" t="s">
        <v>536</v>
      </c>
      <c r="Y171" s="9">
        <f ca="1">IFERROR(OFFSET(ITEM_RES!$A$5,MATCH(BUILDING!X171,ITEM_RES!$J$5:$J$229,0)-1,0),0)</f>
        <v>211010601</v>
      </c>
      <c r="AA171" s="9" t="s">
        <v>507</v>
      </c>
      <c r="AB171" s="9">
        <v>7</v>
      </c>
      <c r="AD171" s="11">
        <f ca="1">IFERROR(OFFSET(MANOR_LEVEL!$B$1,MATCH(AE171-1,MANOR_LEVEL!$A:$A,0)-1,0),0)</f>
        <v>3961500</v>
      </c>
      <c r="AE171" s="56">
        <v>12</v>
      </c>
      <c r="AG171" s="56">
        <f t="shared" ca="1" si="54"/>
        <v>220100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220100</v>
      </c>
      <c r="AI171" s="179">
        <f t="shared" ca="1" si="56"/>
        <v>319150</v>
      </c>
      <c r="AK171" s="11">
        <f t="shared" si="47"/>
        <v>1800</v>
      </c>
      <c r="AL171" s="10">
        <v>1800</v>
      </c>
      <c r="AM171" s="11">
        <f t="shared" si="55"/>
        <v>100</v>
      </c>
      <c r="AN171" s="10">
        <v>100</v>
      </c>
      <c r="AO171" s="11">
        <f t="shared" si="55"/>
        <v>0</v>
      </c>
      <c r="AP171" s="10">
        <v>0</v>
      </c>
      <c r="AQ171" s="56">
        <f t="shared" si="48"/>
        <v>2</v>
      </c>
      <c r="AS171" s="11">
        <f ca="1">IFERROR(OFFSET(ITEM_RES!$A$1,MATCH(AT171,ITEM_RES!$J:$J,0)-1,0),0)</f>
        <v>211010501</v>
      </c>
      <c r="AT171" s="10" t="s">
        <v>1079</v>
      </c>
      <c r="AU171" s="11">
        <v>20000</v>
      </c>
      <c r="AX171" s="11">
        <f ca="1">IFERROR(OFFSET(ITEM_RES!$A$1,MATCH(AY171,ITEM_RES!$J:$J,0)-1,0),0)</f>
        <v>211020801</v>
      </c>
      <c r="AY171" s="10" t="s">
        <v>1081</v>
      </c>
      <c r="AZ171" s="11">
        <v>20000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53"/>
        <v>0</v>
      </c>
    </row>
    <row r="172" spans="1:68" x14ac:dyDescent="0.3">
      <c r="A172" s="14">
        <f t="shared" si="50"/>
        <v>112030008</v>
      </c>
      <c r="B172" s="13">
        <v>11</v>
      </c>
      <c r="C172" s="12">
        <f t="shared" si="51"/>
        <v>2</v>
      </c>
      <c r="D172" s="13">
        <v>3</v>
      </c>
      <c r="E172" s="13">
        <v>0</v>
      </c>
      <c r="F172" s="12">
        <f t="shared" si="52"/>
        <v>8</v>
      </c>
      <c r="H172" s="9">
        <v>2</v>
      </c>
      <c r="I172" s="9">
        <v>8</v>
      </c>
      <c r="K172" s="9" t="s">
        <v>360</v>
      </c>
      <c r="M172" s="9">
        <v>1</v>
      </c>
      <c r="N172" s="9">
        <v>15</v>
      </c>
      <c r="O172" s="9" t="s">
        <v>752</v>
      </c>
      <c r="S172" s="9" t="s">
        <v>681</v>
      </c>
      <c r="U172" s="84" t="s">
        <v>535</v>
      </c>
      <c r="V172" s="9">
        <f ca="1">IFERROR(OFFSET(ITEM_RES!$A$5,MATCH(BUILDING!U172,ITEM_RES!$J$5:$J$229,0)-1,0),0)</f>
        <v>211010501</v>
      </c>
      <c r="W172" s="11">
        <v>1</v>
      </c>
      <c r="X172" s="84" t="s">
        <v>536</v>
      </c>
      <c r="Y172" s="9">
        <f ca="1">IFERROR(OFFSET(ITEM_RES!$A$5,MATCH(BUILDING!X172,ITEM_RES!$J$5:$J$229,0)-1,0),0)</f>
        <v>211010601</v>
      </c>
      <c r="AA172" s="9" t="s">
        <v>507</v>
      </c>
      <c r="AB172" s="9">
        <v>8</v>
      </c>
      <c r="AD172" s="11">
        <f ca="1">IFERROR(OFFSET(MANOR_LEVEL!$B$1,MATCH(AE172-1,MANOR_LEVEL!$A:$A,0)-1,0),0)</f>
        <v>3961500</v>
      </c>
      <c r="AE172" s="56">
        <v>12</v>
      </c>
      <c r="AG172" s="56">
        <f t="shared" ca="1" si="54"/>
        <v>462600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462600</v>
      </c>
      <c r="AI172" s="179">
        <f t="shared" ca="1" si="56"/>
        <v>682700</v>
      </c>
      <c r="AK172" s="11">
        <f t="shared" si="47"/>
        <v>3600</v>
      </c>
      <c r="AL172" s="10">
        <v>3600</v>
      </c>
      <c r="AM172" s="11">
        <f t="shared" si="55"/>
        <v>100</v>
      </c>
      <c r="AN172" s="10">
        <v>100</v>
      </c>
      <c r="AO172" s="11">
        <v>500</v>
      </c>
      <c r="AP172" s="10">
        <v>0</v>
      </c>
      <c r="AQ172" s="56">
        <f t="shared" si="48"/>
        <v>2</v>
      </c>
      <c r="AS172" s="11">
        <f ca="1">IFERROR(OFFSET(ITEM_RES!$A$1,MATCH(AT172,ITEM_RES!$J:$J,0)-1,0),0)</f>
        <v>211010501</v>
      </c>
      <c r="AT172" s="10" t="s">
        <v>1079</v>
      </c>
      <c r="AU172" s="11">
        <v>42000</v>
      </c>
      <c r="AX172" s="11">
        <f ca="1">IFERROR(OFFSET(ITEM_RES!$A$1,MATCH(AY172,ITEM_RES!$J:$J,0)-1,0),0)</f>
        <v>211020801</v>
      </c>
      <c r="AY172" s="10" t="s">
        <v>1081</v>
      </c>
      <c r="AZ172" s="11">
        <v>42000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53"/>
        <v>0</v>
      </c>
    </row>
    <row r="173" spans="1:68" x14ac:dyDescent="0.3">
      <c r="A173" s="14">
        <f t="shared" si="50"/>
        <v>112030009</v>
      </c>
      <c r="B173" s="13">
        <v>11</v>
      </c>
      <c r="C173" s="12">
        <f t="shared" si="51"/>
        <v>2</v>
      </c>
      <c r="D173" s="13">
        <v>3</v>
      </c>
      <c r="E173" s="13">
        <v>0</v>
      </c>
      <c r="F173" s="12">
        <f t="shared" si="52"/>
        <v>9</v>
      </c>
      <c r="H173" s="9">
        <v>2</v>
      </c>
      <c r="I173" s="9">
        <v>9</v>
      </c>
      <c r="K173" s="9" t="s">
        <v>360</v>
      </c>
      <c r="M173" s="9">
        <v>1</v>
      </c>
      <c r="N173" s="9">
        <v>15</v>
      </c>
      <c r="O173" s="9" t="s">
        <v>752</v>
      </c>
      <c r="S173" s="9" t="s">
        <v>681</v>
      </c>
      <c r="U173" s="84" t="s">
        <v>535</v>
      </c>
      <c r="V173" s="9">
        <f ca="1">IFERROR(OFFSET(ITEM_RES!$A$5,MATCH(BUILDING!U173,ITEM_RES!$J$5:$J$229,0)-1,0),0)</f>
        <v>211010501</v>
      </c>
      <c r="W173" s="11">
        <v>1</v>
      </c>
      <c r="X173" s="84" t="s">
        <v>536</v>
      </c>
      <c r="Y173" s="9">
        <f ca="1">IFERROR(OFFSET(ITEM_RES!$A$5,MATCH(BUILDING!X173,ITEM_RES!$J$5:$J$229,0)-1,0),0)</f>
        <v>211010601</v>
      </c>
      <c r="AA173" s="9" t="s">
        <v>507</v>
      </c>
      <c r="AB173" s="9">
        <v>9</v>
      </c>
      <c r="AD173" s="11">
        <f ca="1">IFERROR(OFFSET(MANOR_LEVEL!$B$1,MATCH(AE173-1,MANOR_LEVEL!$A:$A,0)-1,0),0)</f>
        <v>3961500</v>
      </c>
      <c r="AE173" s="56">
        <v>12</v>
      </c>
      <c r="AG173" s="56">
        <f t="shared" ca="1" si="54"/>
        <v>864150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864150</v>
      </c>
      <c r="AI173" s="179">
        <f t="shared" ca="1" si="56"/>
        <v>1326750</v>
      </c>
      <c r="AK173" s="11">
        <f t="shared" si="47"/>
        <v>5400</v>
      </c>
      <c r="AL173" s="10">
        <v>5400</v>
      </c>
      <c r="AM173" s="11">
        <f t="shared" si="55"/>
        <v>150</v>
      </c>
      <c r="AN173" s="10">
        <v>150</v>
      </c>
      <c r="AO173" s="11">
        <v>6000</v>
      </c>
      <c r="AP173" s="10">
        <v>0</v>
      </c>
      <c r="AQ173" s="56">
        <f t="shared" si="48"/>
        <v>2</v>
      </c>
      <c r="AS173" s="11">
        <f ca="1">IFERROR(OFFSET(ITEM_RES!$A$1,MATCH(AT173,ITEM_RES!$J:$J,0)-1,0),0)</f>
        <v>211010501</v>
      </c>
      <c r="AT173" s="10" t="s">
        <v>1079</v>
      </c>
      <c r="AU173" s="11">
        <v>78000</v>
      </c>
      <c r="AX173" s="11">
        <f ca="1">IFERROR(OFFSET(ITEM_RES!$A$1,MATCH(AY173,ITEM_RES!$J:$J,0)-1,0),0)</f>
        <v>211020801</v>
      </c>
      <c r="AY173" s="10" t="s">
        <v>1081</v>
      </c>
      <c r="AZ173" s="11">
        <v>78000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53"/>
        <v>0</v>
      </c>
    </row>
    <row r="174" spans="1:68" x14ac:dyDescent="0.3">
      <c r="A174" s="14">
        <f t="shared" si="50"/>
        <v>112030010</v>
      </c>
      <c r="B174" s="13">
        <v>11</v>
      </c>
      <c r="C174" s="12">
        <f t="shared" si="51"/>
        <v>2</v>
      </c>
      <c r="D174" s="13">
        <v>3</v>
      </c>
      <c r="E174" s="13">
        <v>0</v>
      </c>
      <c r="F174" s="12">
        <f t="shared" si="52"/>
        <v>10</v>
      </c>
      <c r="H174" s="9">
        <v>2</v>
      </c>
      <c r="I174" s="9">
        <v>10</v>
      </c>
      <c r="K174" s="9" t="s">
        <v>360</v>
      </c>
      <c r="M174" s="9">
        <v>1</v>
      </c>
      <c r="N174" s="9">
        <v>15</v>
      </c>
      <c r="O174" s="9" t="s">
        <v>752</v>
      </c>
      <c r="S174" s="9" t="s">
        <v>681</v>
      </c>
      <c r="U174" s="84" t="s">
        <v>535</v>
      </c>
      <c r="V174" s="9">
        <f ca="1">IFERROR(OFFSET(ITEM_RES!$A$5,MATCH(BUILDING!U174,ITEM_RES!$J$5:$J$229,0)-1,0),0)</f>
        <v>211010501</v>
      </c>
      <c r="W174" s="11">
        <v>1</v>
      </c>
      <c r="X174" s="84" t="s">
        <v>536</v>
      </c>
      <c r="Y174" s="9">
        <f ca="1">IFERROR(OFFSET(ITEM_RES!$A$5,MATCH(BUILDING!X174,ITEM_RES!$J$5:$J$229,0)-1,0),0)</f>
        <v>211010601</v>
      </c>
      <c r="AA174" s="9" t="s">
        <v>507</v>
      </c>
      <c r="AB174" s="9">
        <v>10</v>
      </c>
      <c r="AD174" s="11">
        <f ca="1">IFERROR(OFFSET(MANOR_LEVEL!$B$1,MATCH(AE174-1,MANOR_LEVEL!$A:$A,0)-1,0),0)</f>
        <v>3961500</v>
      </c>
      <c r="AE174" s="56">
        <v>12</v>
      </c>
      <c r="AG174" s="56">
        <f t="shared" ca="1" si="54"/>
        <v>1469200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1469200</v>
      </c>
      <c r="AI174" s="179">
        <f t="shared" ca="1" si="56"/>
        <v>2333350</v>
      </c>
      <c r="AK174" s="11">
        <f t="shared" si="47"/>
        <v>7200</v>
      </c>
      <c r="AL174" s="10">
        <v>7200</v>
      </c>
      <c r="AM174" s="11">
        <f t="shared" si="55"/>
        <v>200</v>
      </c>
      <c r="AN174" s="10">
        <v>200</v>
      </c>
      <c r="AO174" s="11">
        <v>39000</v>
      </c>
      <c r="AP174" s="10">
        <v>0</v>
      </c>
      <c r="AQ174" s="56">
        <f t="shared" si="48"/>
        <v>2</v>
      </c>
      <c r="AS174" s="11">
        <f ca="1">IFERROR(OFFSET(ITEM_RES!$A$1,MATCH(AT174,ITEM_RES!$J:$J,0)-1,0),0)</f>
        <v>211010501</v>
      </c>
      <c r="AT174" s="10" t="s">
        <v>1079</v>
      </c>
      <c r="AU174" s="11">
        <v>130000</v>
      </c>
      <c r="AX174" s="11">
        <f ca="1">IFERROR(OFFSET(ITEM_RES!$A$1,MATCH(AY174,ITEM_RES!$J:$J,0)-1,0),0)</f>
        <v>211020801</v>
      </c>
      <c r="AY174" s="10" t="s">
        <v>1081</v>
      </c>
      <c r="AZ174" s="11">
        <v>130000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53"/>
        <v>0</v>
      </c>
    </row>
    <row r="175" spans="1:68" x14ac:dyDescent="0.3">
      <c r="A175" s="14">
        <f t="shared" si="50"/>
        <v>112030011</v>
      </c>
      <c r="B175" s="13">
        <v>11</v>
      </c>
      <c r="C175" s="12">
        <f t="shared" si="51"/>
        <v>2</v>
      </c>
      <c r="D175" s="13">
        <v>3</v>
      </c>
      <c r="E175" s="13">
        <v>0</v>
      </c>
      <c r="F175" s="12">
        <f t="shared" si="52"/>
        <v>11</v>
      </c>
      <c r="H175" s="9">
        <v>2</v>
      </c>
      <c r="I175" s="9">
        <v>11</v>
      </c>
      <c r="K175" s="9" t="s">
        <v>360</v>
      </c>
      <c r="M175" s="9">
        <v>1</v>
      </c>
      <c r="N175" s="9">
        <v>15</v>
      </c>
      <c r="O175" s="9" t="s">
        <v>752</v>
      </c>
      <c r="S175" s="9" t="s">
        <v>681</v>
      </c>
      <c r="U175" s="84" t="s">
        <v>535</v>
      </c>
      <c r="V175" s="9">
        <f ca="1">IFERROR(OFFSET(ITEM_RES!$A$5,MATCH(BUILDING!U175,ITEM_RES!$J$5:$J$229,0)-1,0),0)</f>
        <v>211010501</v>
      </c>
      <c r="W175" s="11">
        <v>1</v>
      </c>
      <c r="X175" s="84" t="s">
        <v>536</v>
      </c>
      <c r="Y175" s="9">
        <f ca="1">IFERROR(OFFSET(ITEM_RES!$A$5,MATCH(BUILDING!X175,ITEM_RES!$J$5:$J$229,0)-1,0),0)</f>
        <v>211010601</v>
      </c>
      <c r="AA175" s="9" t="s">
        <v>507</v>
      </c>
      <c r="AB175" s="9">
        <v>11</v>
      </c>
      <c r="AD175" s="11">
        <f ca="1">IFERROR(OFFSET(MANOR_LEVEL!$B$1,MATCH(AE175-1,MANOR_LEVEL!$A:$A,0)-1,0),0)</f>
        <v>3961500</v>
      </c>
      <c r="AE175" s="56">
        <v>12</v>
      </c>
      <c r="AG175" s="56">
        <f t="shared" ca="1" si="54"/>
        <v>2507250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2507250</v>
      </c>
      <c r="AI175" s="179">
        <f t="shared" ca="1" si="56"/>
        <v>3976450</v>
      </c>
      <c r="AK175" s="11">
        <f t="shared" si="47"/>
        <v>9000</v>
      </c>
      <c r="AL175" s="10">
        <v>9000</v>
      </c>
      <c r="AM175" s="11">
        <f t="shared" si="55"/>
        <v>250</v>
      </c>
      <c r="AN175" s="10">
        <v>250</v>
      </c>
      <c r="AO175" s="11">
        <v>65000</v>
      </c>
      <c r="AP175" s="10">
        <v>0</v>
      </c>
      <c r="AQ175" s="56">
        <f t="shared" si="48"/>
        <v>2</v>
      </c>
      <c r="AS175" s="11">
        <f ca="1">IFERROR(OFFSET(ITEM_RES!$A$1,MATCH(AT175,ITEM_RES!$J:$J,0)-1,0),0)</f>
        <v>211010601</v>
      </c>
      <c r="AT175" s="10" t="s">
        <v>1077</v>
      </c>
      <c r="AU175" s="11">
        <v>220000</v>
      </c>
      <c r="AX175" s="11">
        <f ca="1">IFERROR(OFFSET(ITEM_RES!$A$1,MATCH(AY175,ITEM_RES!$J:$J,0)-1,0),0)</f>
        <v>211020801</v>
      </c>
      <c r="AY175" s="10" t="s">
        <v>1081</v>
      </c>
      <c r="AZ175" s="11">
        <v>220000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53"/>
        <v>0</v>
      </c>
    </row>
    <row r="176" spans="1:68" x14ac:dyDescent="0.3">
      <c r="A176" s="14">
        <f t="shared" si="50"/>
        <v>112030012</v>
      </c>
      <c r="B176" s="13">
        <v>11</v>
      </c>
      <c r="C176" s="12">
        <f t="shared" si="51"/>
        <v>2</v>
      </c>
      <c r="D176" s="13">
        <v>3</v>
      </c>
      <c r="E176" s="13">
        <v>0</v>
      </c>
      <c r="F176" s="12">
        <f t="shared" si="52"/>
        <v>12</v>
      </c>
      <c r="H176" s="9">
        <v>2</v>
      </c>
      <c r="I176" s="9">
        <v>12</v>
      </c>
      <c r="K176" s="9" t="s">
        <v>360</v>
      </c>
      <c r="M176" s="9">
        <v>1</v>
      </c>
      <c r="N176" s="9">
        <v>15</v>
      </c>
      <c r="O176" s="9" t="s">
        <v>752</v>
      </c>
      <c r="S176" s="9" t="s">
        <v>681</v>
      </c>
      <c r="U176" s="84" t="s">
        <v>535</v>
      </c>
      <c r="V176" s="9">
        <f ca="1">IFERROR(OFFSET(ITEM_RES!$A$5,MATCH(BUILDING!U176,ITEM_RES!$J$5:$J$229,0)-1,0),0)</f>
        <v>211010501</v>
      </c>
      <c r="W176" s="11">
        <v>1</v>
      </c>
      <c r="X176" s="84" t="s">
        <v>536</v>
      </c>
      <c r="Y176" s="9">
        <f ca="1">IFERROR(OFFSET(ITEM_RES!$A$5,MATCH(BUILDING!X176,ITEM_RES!$J$5:$J$229,0)-1,0),0)</f>
        <v>211010601</v>
      </c>
      <c r="AA176" s="9" t="s">
        <v>507</v>
      </c>
      <c r="AB176" s="9">
        <v>12</v>
      </c>
      <c r="AD176" s="11">
        <f ca="1">IFERROR(OFFSET(MANOR_LEVEL!$B$1,MATCH(AE176-1,MANOR_LEVEL!$A:$A,0)-1,0),0)</f>
        <v>3961500</v>
      </c>
      <c r="AE176" s="56">
        <v>12</v>
      </c>
      <c r="AG176" s="56">
        <f t="shared" ca="1" si="54"/>
        <v>4217300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4217300</v>
      </c>
      <c r="AI176" s="179">
        <f t="shared" ca="1" si="56"/>
        <v>6724550</v>
      </c>
      <c r="AK176" s="11">
        <f t="shared" si="47"/>
        <v>10800</v>
      </c>
      <c r="AL176" s="10">
        <v>10800</v>
      </c>
      <c r="AM176" s="11">
        <f t="shared" si="55"/>
        <v>300</v>
      </c>
      <c r="AN176" s="10">
        <v>300</v>
      </c>
      <c r="AO176" s="11">
        <v>110000</v>
      </c>
      <c r="AP176" s="10">
        <v>0</v>
      </c>
      <c r="AQ176" s="56">
        <f t="shared" si="48"/>
        <v>2</v>
      </c>
      <c r="AS176" s="11">
        <f ca="1">IFERROR(OFFSET(ITEM_RES!$A$1,MATCH(AT176,ITEM_RES!$J:$J,0)-1,0),0)</f>
        <v>211010601</v>
      </c>
      <c r="AT176" s="10" t="s">
        <v>1077</v>
      </c>
      <c r="AU176" s="11">
        <v>370000</v>
      </c>
      <c r="AX176" s="11">
        <f ca="1">IFERROR(OFFSET(ITEM_RES!$A$1,MATCH(AY176,ITEM_RES!$J:$J,0)-1,0),0)</f>
        <v>211020801</v>
      </c>
      <c r="AY176" s="10" t="s">
        <v>1081</v>
      </c>
      <c r="AZ176" s="11">
        <v>370000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53"/>
        <v>0</v>
      </c>
    </row>
    <row r="177" spans="1:68" x14ac:dyDescent="0.3">
      <c r="A177" s="14">
        <f t="shared" si="50"/>
        <v>112030013</v>
      </c>
      <c r="B177" s="13">
        <v>11</v>
      </c>
      <c r="C177" s="12">
        <f t="shared" si="51"/>
        <v>2</v>
      </c>
      <c r="D177" s="13">
        <v>3</v>
      </c>
      <c r="E177" s="13">
        <v>0</v>
      </c>
      <c r="F177" s="12">
        <f t="shared" si="52"/>
        <v>13</v>
      </c>
      <c r="H177" s="9">
        <v>2</v>
      </c>
      <c r="I177" s="9">
        <v>13</v>
      </c>
      <c r="K177" s="9" t="s">
        <v>360</v>
      </c>
      <c r="M177" s="9">
        <v>1</v>
      </c>
      <c r="N177" s="9">
        <v>15</v>
      </c>
      <c r="O177" s="9" t="s">
        <v>752</v>
      </c>
      <c r="S177" s="9" t="s">
        <v>681</v>
      </c>
      <c r="U177" s="84" t="s">
        <v>535</v>
      </c>
      <c r="V177" s="9">
        <f ca="1">IFERROR(OFFSET(ITEM_RES!$A$5,MATCH(BUILDING!U177,ITEM_RES!$J$5:$J$229,0)-1,0),0)</f>
        <v>211010501</v>
      </c>
      <c r="W177" s="11">
        <v>1</v>
      </c>
      <c r="X177" s="84" t="s">
        <v>536</v>
      </c>
      <c r="Y177" s="9">
        <f ca="1">IFERROR(OFFSET(ITEM_RES!$A$5,MATCH(BUILDING!X177,ITEM_RES!$J$5:$J$229,0)-1,0),0)</f>
        <v>211010601</v>
      </c>
      <c r="AA177" s="9" t="s">
        <v>507</v>
      </c>
      <c r="AB177" s="9">
        <v>13</v>
      </c>
      <c r="AD177" s="11">
        <f ca="1">IFERROR(OFFSET(MANOR_LEVEL!$B$1,MATCH(AE177-1,MANOR_LEVEL!$A:$A,0)-1,0),0)</f>
        <v>3961500</v>
      </c>
      <c r="AE177" s="56">
        <v>12</v>
      </c>
      <c r="AG177" s="56">
        <f t="shared" ca="1" si="54"/>
        <v>7067350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7067350</v>
      </c>
      <c r="AI177" s="179">
        <f t="shared" ca="1" si="56"/>
        <v>11284650</v>
      </c>
      <c r="AK177" s="11">
        <f t="shared" si="47"/>
        <v>12600</v>
      </c>
      <c r="AL177" s="10">
        <v>12600</v>
      </c>
      <c r="AM177" s="11">
        <f t="shared" si="55"/>
        <v>350</v>
      </c>
      <c r="AN177" s="10">
        <v>350</v>
      </c>
      <c r="AO177" s="11">
        <v>185000</v>
      </c>
      <c r="AP177" s="10">
        <v>0</v>
      </c>
      <c r="AQ177" s="56">
        <f t="shared" si="48"/>
        <v>2</v>
      </c>
      <c r="AS177" s="11">
        <f ca="1">IFERROR(OFFSET(ITEM_RES!$A$1,MATCH(AT177,ITEM_RES!$J:$J,0)-1,0),0)</f>
        <v>211010601</v>
      </c>
      <c r="AT177" s="10" t="s">
        <v>1077</v>
      </c>
      <c r="AU177" s="11">
        <v>620000</v>
      </c>
      <c r="AX177" s="11">
        <f ca="1">IFERROR(OFFSET(ITEM_RES!$A$1,MATCH(AY177,ITEM_RES!$J:$J,0)-1,0),0)</f>
        <v>211020801</v>
      </c>
      <c r="AY177" s="10" t="s">
        <v>1081</v>
      </c>
      <c r="AZ177" s="11">
        <v>620000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53"/>
        <v>0</v>
      </c>
    </row>
    <row r="178" spans="1:68" x14ac:dyDescent="0.3">
      <c r="A178" s="14">
        <f t="shared" si="50"/>
        <v>112030014</v>
      </c>
      <c r="B178" s="13">
        <v>11</v>
      </c>
      <c r="C178" s="12">
        <f t="shared" si="51"/>
        <v>2</v>
      </c>
      <c r="D178" s="13">
        <v>3</v>
      </c>
      <c r="E178" s="13">
        <v>0</v>
      </c>
      <c r="F178" s="12">
        <f t="shared" si="52"/>
        <v>14</v>
      </c>
      <c r="H178" s="9">
        <v>2</v>
      </c>
      <c r="I178" s="9">
        <v>14</v>
      </c>
      <c r="K178" s="9" t="s">
        <v>360</v>
      </c>
      <c r="M178" s="9">
        <v>1</v>
      </c>
      <c r="N178" s="9">
        <v>15</v>
      </c>
      <c r="O178" s="9" t="s">
        <v>752</v>
      </c>
      <c r="S178" s="9" t="s">
        <v>681</v>
      </c>
      <c r="U178" s="84" t="s">
        <v>535</v>
      </c>
      <c r="V178" s="9">
        <f ca="1">IFERROR(OFFSET(ITEM_RES!$A$5,MATCH(BUILDING!U178,ITEM_RES!$J$5:$J$229,0)-1,0),0)</f>
        <v>211010501</v>
      </c>
      <c r="W178" s="11">
        <v>1</v>
      </c>
      <c r="X178" s="84" t="s">
        <v>536</v>
      </c>
      <c r="Y178" s="9">
        <f ca="1">IFERROR(OFFSET(ITEM_RES!$A$5,MATCH(BUILDING!X178,ITEM_RES!$J$5:$J$229,0)-1,0),0)</f>
        <v>211010601</v>
      </c>
      <c r="AA178" s="9" t="s">
        <v>507</v>
      </c>
      <c r="AB178" s="9">
        <v>14</v>
      </c>
      <c r="AD178" s="11">
        <f ca="1">IFERROR(OFFSET(MANOR_LEVEL!$B$1,MATCH(AE178-1,MANOR_LEVEL!$A:$A,0)-1,0),0)</f>
        <v>3961500</v>
      </c>
      <c r="AE178" s="56">
        <v>12</v>
      </c>
      <c r="AG178" s="56">
        <f t="shared" ca="1" si="54"/>
        <v>11077450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11077450</v>
      </c>
      <c r="AI178" s="179">
        <f t="shared" ca="1" si="56"/>
        <v>18144800</v>
      </c>
      <c r="AK178" s="11">
        <f t="shared" si="47"/>
        <v>14400</v>
      </c>
      <c r="AL178" s="10">
        <v>14400</v>
      </c>
      <c r="AM178" s="11">
        <f t="shared" si="55"/>
        <v>450</v>
      </c>
      <c r="AN178" s="10">
        <v>450</v>
      </c>
      <c r="AO178" s="11">
        <v>310000</v>
      </c>
      <c r="AP178" s="10">
        <v>0</v>
      </c>
      <c r="AQ178" s="56">
        <f t="shared" si="48"/>
        <v>2</v>
      </c>
      <c r="AS178" s="11">
        <f ca="1">IFERROR(OFFSET(ITEM_RES!$A$1,MATCH(AT178,ITEM_RES!$J:$J,0)-1,0),0)</f>
        <v>211010601</v>
      </c>
      <c r="AT178" s="10" t="s">
        <v>1077</v>
      </c>
      <c r="AU178" s="11">
        <v>970000</v>
      </c>
      <c r="AX178" s="11">
        <f ca="1">IFERROR(OFFSET(ITEM_RES!$A$1,MATCH(AY178,ITEM_RES!$J:$J,0)-1,0),0)</f>
        <v>211020801</v>
      </c>
      <c r="AY178" s="10" t="s">
        <v>1081</v>
      </c>
      <c r="AZ178" s="11">
        <v>970000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53"/>
        <v>0</v>
      </c>
    </row>
    <row r="179" spans="1:68" x14ac:dyDescent="0.3">
      <c r="A179" s="14">
        <f t="shared" si="50"/>
        <v>112030015</v>
      </c>
      <c r="B179" s="13">
        <v>11</v>
      </c>
      <c r="C179" s="12">
        <f t="shared" si="51"/>
        <v>2</v>
      </c>
      <c r="D179" s="13">
        <v>3</v>
      </c>
      <c r="E179" s="13">
        <v>0</v>
      </c>
      <c r="F179" s="12">
        <f t="shared" si="52"/>
        <v>15</v>
      </c>
      <c r="H179" s="9">
        <v>2</v>
      </c>
      <c r="I179" s="9">
        <v>15</v>
      </c>
      <c r="K179" s="9" t="s">
        <v>360</v>
      </c>
      <c r="M179" s="9">
        <v>1</v>
      </c>
      <c r="N179" s="9">
        <v>15</v>
      </c>
      <c r="O179" s="9" t="s">
        <v>752</v>
      </c>
      <c r="S179" s="9" t="s">
        <v>681</v>
      </c>
      <c r="U179" s="84" t="s">
        <v>535</v>
      </c>
      <c r="V179" s="9">
        <f ca="1">IFERROR(OFFSET(ITEM_RES!$A$5,MATCH(BUILDING!U179,ITEM_RES!$J$5:$J$229,0)-1,0),0)</f>
        <v>211010501</v>
      </c>
      <c r="W179" s="11">
        <v>1</v>
      </c>
      <c r="X179" s="84" t="s">
        <v>536</v>
      </c>
      <c r="Y179" s="9">
        <f ca="1">IFERROR(OFFSET(ITEM_RES!$A$5,MATCH(BUILDING!X179,ITEM_RES!$J$5:$J$229,0)-1,0),0)</f>
        <v>211010601</v>
      </c>
      <c r="AA179" s="9" t="s">
        <v>507</v>
      </c>
      <c r="AB179" s="9">
        <v>15</v>
      </c>
      <c r="AD179" s="11">
        <f ca="1">IFERROR(OFFSET(MANOR_LEVEL!$B$1,MATCH(AE179-1,MANOR_LEVEL!$A:$A,0)-1,0),0)</f>
        <v>3961500</v>
      </c>
      <c r="AE179" s="56">
        <v>12</v>
      </c>
      <c r="AG179" s="56">
        <f t="shared" ca="1" si="54"/>
        <v>23795550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23795550</v>
      </c>
      <c r="AI179" s="179">
        <f t="shared" ca="1" si="56"/>
        <v>34873000</v>
      </c>
      <c r="AK179" s="11">
        <f t="shared" si="47"/>
        <v>16200</v>
      </c>
      <c r="AL179" s="10">
        <v>16200</v>
      </c>
      <c r="AM179" s="11">
        <f t="shared" si="55"/>
        <v>550</v>
      </c>
      <c r="AN179" s="10">
        <v>550</v>
      </c>
      <c r="AO179" s="11">
        <v>485000</v>
      </c>
      <c r="AP179" s="10">
        <v>0</v>
      </c>
      <c r="AQ179" s="56">
        <f t="shared" si="48"/>
        <v>2</v>
      </c>
      <c r="AS179" s="11">
        <f ca="1">IFERROR(OFFSET(ITEM_RES!$A$1,MATCH(AT179,ITEM_RES!$J:$J,0)-1,0),0)</f>
        <v>211010601</v>
      </c>
      <c r="AT179" s="10" t="s">
        <v>1077</v>
      </c>
      <c r="AU179" s="11">
        <v>2100000</v>
      </c>
      <c r="AX179" s="11">
        <f ca="1">IFERROR(OFFSET(ITEM_RES!$A$1,MATCH(AY179,ITEM_RES!$J:$J,0)-1,0),0)</f>
        <v>211020801</v>
      </c>
      <c r="AY179" s="10" t="s">
        <v>1081</v>
      </c>
      <c r="AZ179" s="11">
        <v>2100000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53"/>
        <v>0</v>
      </c>
    </row>
    <row r="180" spans="1:68" x14ac:dyDescent="0.3">
      <c r="A180" s="14">
        <f t="shared" si="50"/>
        <v>112030016</v>
      </c>
      <c r="B180" s="13">
        <v>11</v>
      </c>
      <c r="C180" s="12">
        <f t="shared" si="51"/>
        <v>2</v>
      </c>
      <c r="D180" s="13">
        <v>3</v>
      </c>
      <c r="E180" s="13">
        <v>0</v>
      </c>
      <c r="F180" s="12">
        <f t="shared" si="52"/>
        <v>16</v>
      </c>
      <c r="H180" s="9">
        <v>2</v>
      </c>
      <c r="I180" s="9">
        <v>16</v>
      </c>
      <c r="K180" s="9" t="s">
        <v>360</v>
      </c>
      <c r="M180" s="9">
        <v>0</v>
      </c>
      <c r="N180" s="9">
        <v>15</v>
      </c>
      <c r="O180" s="9" t="s">
        <v>752</v>
      </c>
      <c r="S180" s="9" t="s">
        <v>681</v>
      </c>
      <c r="U180" s="84" t="s">
        <v>535</v>
      </c>
      <c r="V180" s="9">
        <f ca="1">IFERROR(OFFSET(ITEM_RES!$A$5,MATCH(BUILDING!U180,ITEM_RES!$J$5:$J$229,0)-1,0),0)</f>
        <v>211010501</v>
      </c>
      <c r="W180" s="11">
        <v>1</v>
      </c>
      <c r="X180" s="84" t="s">
        <v>536</v>
      </c>
      <c r="Y180" s="9">
        <f ca="1">IFERROR(OFFSET(ITEM_RES!$A$5,MATCH(BUILDING!X180,ITEM_RES!$J$5:$J$229,0)-1,0),0)</f>
        <v>211010601</v>
      </c>
      <c r="AA180" s="9" t="s">
        <v>507</v>
      </c>
      <c r="AB180" s="9">
        <v>16</v>
      </c>
      <c r="AD180" s="11">
        <f ca="1">IFERROR(OFFSET(MANOR_LEVEL!$B$1,MATCH(AE180-1,MANOR_LEVEL!$A:$A,0)-1,0),0)</f>
        <v>3961500</v>
      </c>
      <c r="AE180" s="56">
        <v>12</v>
      </c>
      <c r="AG180" s="56">
        <f t="shared" ca="1" si="54"/>
        <v>48780700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48780700</v>
      </c>
      <c r="AI180" s="179">
        <f t="shared" ca="1" si="56"/>
        <v>72576250</v>
      </c>
      <c r="AK180" s="11">
        <f t="shared" si="47"/>
        <v>18000</v>
      </c>
      <c r="AL180" s="10">
        <v>18000</v>
      </c>
      <c r="AM180" s="11">
        <f t="shared" si="55"/>
        <v>700</v>
      </c>
      <c r="AN180" s="10">
        <v>700</v>
      </c>
      <c r="AO180" s="11">
        <v>1050000</v>
      </c>
      <c r="AP180" s="10">
        <v>0</v>
      </c>
      <c r="AQ180" s="56">
        <f t="shared" si="48"/>
        <v>2</v>
      </c>
      <c r="AS180" s="11">
        <f ca="1">IFERROR(OFFSET(ITEM_RES!$A$1,MATCH(AT180,ITEM_RES!$J:$J,0)-1,0),0)</f>
        <v>211010601</v>
      </c>
      <c r="AT180" s="10" t="s">
        <v>1077</v>
      </c>
      <c r="AU180" s="11">
        <v>4300000</v>
      </c>
      <c r="AX180" s="11">
        <f ca="1">IFERROR(OFFSET(ITEM_RES!$A$1,MATCH(AY180,ITEM_RES!$J:$J,0)-1,0),0)</f>
        <v>211020801</v>
      </c>
      <c r="AY180" s="10" t="s">
        <v>1081</v>
      </c>
      <c r="AZ180" s="11">
        <v>4300000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53"/>
        <v>0</v>
      </c>
    </row>
    <row r="181" spans="1:68" x14ac:dyDescent="0.3">
      <c r="A181" s="14">
        <f t="shared" si="50"/>
        <v>112030017</v>
      </c>
      <c r="B181" s="13">
        <v>11</v>
      </c>
      <c r="C181" s="12">
        <f t="shared" si="51"/>
        <v>2</v>
      </c>
      <c r="D181" s="13">
        <v>3</v>
      </c>
      <c r="E181" s="13">
        <v>0</v>
      </c>
      <c r="F181" s="12">
        <f t="shared" si="52"/>
        <v>17</v>
      </c>
      <c r="H181" s="9">
        <v>2</v>
      </c>
      <c r="I181" s="9">
        <v>17</v>
      </c>
      <c r="K181" s="9" t="s">
        <v>360</v>
      </c>
      <c r="M181" s="9">
        <v>0</v>
      </c>
      <c r="N181" s="9">
        <v>15</v>
      </c>
      <c r="O181" s="9" t="s">
        <v>752</v>
      </c>
      <c r="S181" s="9" t="s">
        <v>681</v>
      </c>
      <c r="U181" s="84" t="s">
        <v>535</v>
      </c>
      <c r="V181" s="9">
        <f ca="1">IFERROR(OFFSET(ITEM_RES!$A$5,MATCH(BUILDING!U181,ITEM_RES!$J$5:$J$229,0)-1,0),0)</f>
        <v>211010501</v>
      </c>
      <c r="W181" s="11">
        <v>1</v>
      </c>
      <c r="X181" s="84" t="s">
        <v>536</v>
      </c>
      <c r="Y181" s="9">
        <f ca="1">IFERROR(OFFSET(ITEM_RES!$A$5,MATCH(BUILDING!X181,ITEM_RES!$J$5:$J$229,0)-1,0),0)</f>
        <v>211010601</v>
      </c>
      <c r="AA181" s="9" t="s">
        <v>507</v>
      </c>
      <c r="AB181" s="9">
        <v>17</v>
      </c>
      <c r="AD181" s="11">
        <f ca="1">IFERROR(OFFSET(MANOR_LEVEL!$B$1,MATCH(AE181-1,MANOR_LEVEL!$A:$A,0)-1,0),0)</f>
        <v>3961500</v>
      </c>
      <c r="AE181" s="56">
        <v>12</v>
      </c>
      <c r="AG181" s="56">
        <f t="shared" ca="1" si="54"/>
        <v>106950850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106950850</v>
      </c>
      <c r="AI181" s="179">
        <f t="shared" ca="1" si="56"/>
        <v>155731550</v>
      </c>
      <c r="AK181" s="11">
        <f t="shared" si="47"/>
        <v>19800</v>
      </c>
      <c r="AL181" s="10">
        <v>19800</v>
      </c>
      <c r="AM181" s="11">
        <f t="shared" si="55"/>
        <v>850</v>
      </c>
      <c r="AN181" s="10">
        <v>850</v>
      </c>
      <c r="AO181" s="11">
        <v>2150000</v>
      </c>
      <c r="AP181" s="10">
        <v>0</v>
      </c>
      <c r="AQ181" s="56">
        <f t="shared" si="48"/>
        <v>2</v>
      </c>
      <c r="AS181" s="11">
        <f ca="1">IFERROR(OFFSET(ITEM_RES!$A$1,MATCH(AT181,ITEM_RES!$J:$J,0)-1,0),0)</f>
        <v>211010601</v>
      </c>
      <c r="AT181" s="10" t="s">
        <v>1077</v>
      </c>
      <c r="AU181" s="11">
        <v>8000000</v>
      </c>
      <c r="AX181" s="11">
        <f ca="1">IFERROR(OFFSET(ITEM_RES!$A$1,MATCH(AY181,ITEM_RES!$J:$J,0)-1,0),0)</f>
        <v>211020901</v>
      </c>
      <c r="AY181" s="10" t="s">
        <v>1082</v>
      </c>
      <c r="AZ181" s="11">
        <v>8000000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53"/>
        <v>0</v>
      </c>
    </row>
    <row r="182" spans="1:68" x14ac:dyDescent="0.3">
      <c r="A182" s="14">
        <f t="shared" si="50"/>
        <v>112030018</v>
      </c>
      <c r="B182" s="13">
        <v>11</v>
      </c>
      <c r="C182" s="12">
        <f t="shared" si="51"/>
        <v>2</v>
      </c>
      <c r="D182" s="13">
        <v>3</v>
      </c>
      <c r="E182" s="13">
        <v>0</v>
      </c>
      <c r="F182" s="12">
        <f t="shared" si="52"/>
        <v>18</v>
      </c>
      <c r="H182" s="9">
        <v>2</v>
      </c>
      <c r="I182" s="9">
        <v>18</v>
      </c>
      <c r="K182" s="9" t="s">
        <v>360</v>
      </c>
      <c r="M182" s="9">
        <v>0</v>
      </c>
      <c r="N182" s="9">
        <v>15</v>
      </c>
      <c r="O182" s="9" t="s">
        <v>752</v>
      </c>
      <c r="S182" s="9" t="s">
        <v>681</v>
      </c>
      <c r="U182" s="84" t="s">
        <v>535</v>
      </c>
      <c r="V182" s="9">
        <f ca="1">IFERROR(OFFSET(ITEM_RES!$A$5,MATCH(BUILDING!U182,ITEM_RES!$J$5:$J$229,0)-1,0),0)</f>
        <v>211010501</v>
      </c>
      <c r="W182" s="11">
        <v>1</v>
      </c>
      <c r="X182" s="84" t="s">
        <v>536</v>
      </c>
      <c r="Y182" s="9">
        <f ca="1">IFERROR(OFFSET(ITEM_RES!$A$5,MATCH(BUILDING!X182,ITEM_RES!$J$5:$J$229,0)-1,0),0)</f>
        <v>211010601</v>
      </c>
      <c r="AA182" s="9" t="s">
        <v>507</v>
      </c>
      <c r="AB182" s="9">
        <v>18</v>
      </c>
      <c r="AD182" s="11">
        <f ca="1">IFERROR(OFFSET(MANOR_LEVEL!$B$1,MATCH(AE182-1,MANOR_LEVEL!$A:$A,0)-1,0),0)</f>
        <v>3961500</v>
      </c>
      <c r="AE182" s="56">
        <v>12</v>
      </c>
      <c r="AG182" s="56">
        <f t="shared" ca="1" si="54"/>
        <v>174301050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174301050</v>
      </c>
      <c r="AI182" s="179">
        <f t="shared" ca="1" si="56"/>
        <v>281251900</v>
      </c>
      <c r="AK182" s="11">
        <f t="shared" si="47"/>
        <v>21600</v>
      </c>
      <c r="AL182" s="10">
        <v>21600</v>
      </c>
      <c r="AM182" s="11">
        <f t="shared" si="55"/>
        <v>1050</v>
      </c>
      <c r="AN182" s="10">
        <v>1050</v>
      </c>
      <c r="AO182" s="11">
        <v>4000000</v>
      </c>
      <c r="AP182" s="10">
        <v>0</v>
      </c>
      <c r="AQ182" s="56">
        <f t="shared" si="48"/>
        <v>2</v>
      </c>
      <c r="AS182" s="11">
        <f ca="1">IFERROR(OFFSET(ITEM_RES!$A$1,MATCH(AT182,ITEM_RES!$J:$J,0)-1,0),0)</f>
        <v>211010601</v>
      </c>
      <c r="AT182" s="10" t="s">
        <v>1077</v>
      </c>
      <c r="AU182" s="11">
        <v>13000000</v>
      </c>
      <c r="AX182" s="11">
        <f ca="1">IFERROR(OFFSET(ITEM_RES!$A$1,MATCH(AY182,ITEM_RES!$J:$J,0)-1,0),0)</f>
        <v>211020901</v>
      </c>
      <c r="AY182" s="10" t="s">
        <v>1082</v>
      </c>
      <c r="AZ182" s="11">
        <v>13000000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53"/>
        <v>0</v>
      </c>
    </row>
    <row r="183" spans="1:68" x14ac:dyDescent="0.3">
      <c r="A183" s="14">
        <f t="shared" si="50"/>
        <v>112030019</v>
      </c>
      <c r="B183" s="13">
        <v>11</v>
      </c>
      <c r="C183" s="12">
        <f t="shared" si="51"/>
        <v>2</v>
      </c>
      <c r="D183" s="13">
        <v>3</v>
      </c>
      <c r="E183" s="13">
        <v>0</v>
      </c>
      <c r="F183" s="12">
        <f t="shared" si="52"/>
        <v>19</v>
      </c>
      <c r="H183" s="9">
        <v>2</v>
      </c>
      <c r="I183" s="9">
        <v>19</v>
      </c>
      <c r="K183" s="9" t="s">
        <v>360</v>
      </c>
      <c r="M183" s="9">
        <v>0</v>
      </c>
      <c r="N183" s="9">
        <v>15</v>
      </c>
      <c r="O183" s="9" t="s">
        <v>752</v>
      </c>
      <c r="S183" s="9" t="s">
        <v>681</v>
      </c>
      <c r="U183" s="84" t="s">
        <v>535</v>
      </c>
      <c r="V183" s="9">
        <f ca="1">IFERROR(OFFSET(ITEM_RES!$A$5,MATCH(BUILDING!U183,ITEM_RES!$J$5:$J$229,0)-1,0),0)</f>
        <v>211010501</v>
      </c>
      <c r="W183" s="11">
        <v>1</v>
      </c>
      <c r="X183" s="84" t="s">
        <v>536</v>
      </c>
      <c r="Y183" s="9">
        <f ca="1">IFERROR(OFFSET(ITEM_RES!$A$5,MATCH(BUILDING!X183,ITEM_RES!$J$5:$J$229,0)-1,0),0)</f>
        <v>211010601</v>
      </c>
      <c r="AA183" s="9" t="s">
        <v>507</v>
      </c>
      <c r="AB183" s="9">
        <v>19</v>
      </c>
      <c r="AD183" s="11">
        <f ca="1">IFERROR(OFFSET(MANOR_LEVEL!$B$1,MATCH(AE183-1,MANOR_LEVEL!$A:$A,0)-1,0),0)</f>
        <v>3961500</v>
      </c>
      <c r="AE183" s="56">
        <v>12</v>
      </c>
      <c r="AG183" s="56">
        <f t="shared" ca="1" si="54"/>
        <v>268501250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268501250</v>
      </c>
      <c r="AI183" s="179">
        <f t="shared" ca="1" si="56"/>
        <v>442802300</v>
      </c>
      <c r="AK183" s="11">
        <f t="shared" si="47"/>
        <v>23400</v>
      </c>
      <c r="AL183" s="10">
        <v>23400</v>
      </c>
      <c r="AM183" s="11">
        <f t="shared" si="55"/>
        <v>1250</v>
      </c>
      <c r="AN183" s="10">
        <v>1250</v>
      </c>
      <c r="AO183" s="11">
        <v>6500000</v>
      </c>
      <c r="AP183" s="10">
        <v>0</v>
      </c>
      <c r="AQ183" s="56">
        <f t="shared" si="48"/>
        <v>2</v>
      </c>
      <c r="AS183" s="11">
        <f ca="1">IFERROR(OFFSET(ITEM_RES!$A$1,MATCH(AT183,ITEM_RES!$J:$J,0)-1,0),0)</f>
        <v>211010601</v>
      </c>
      <c r="AT183" s="10" t="s">
        <v>1077</v>
      </c>
      <c r="AU183" s="11">
        <v>20000000</v>
      </c>
      <c r="AX183" s="11">
        <f ca="1">IFERROR(OFFSET(ITEM_RES!$A$1,MATCH(AY183,ITEM_RES!$J:$J,0)-1,0),0)</f>
        <v>211020901</v>
      </c>
      <c r="AY183" s="10" t="s">
        <v>1082</v>
      </c>
      <c r="AZ183" s="11">
        <v>20000000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53"/>
        <v>0</v>
      </c>
    </row>
    <row r="184" spans="1:68" ht="17.25" thickBot="1" x14ac:dyDescent="0.35">
      <c r="A184" s="14">
        <f t="shared" si="50"/>
        <v>112030020</v>
      </c>
      <c r="B184" s="13">
        <v>11</v>
      </c>
      <c r="C184" s="12">
        <f t="shared" si="51"/>
        <v>2</v>
      </c>
      <c r="D184" s="13">
        <v>3</v>
      </c>
      <c r="E184" s="13">
        <v>0</v>
      </c>
      <c r="F184" s="12">
        <f t="shared" si="52"/>
        <v>20</v>
      </c>
      <c r="H184" s="9">
        <v>2</v>
      </c>
      <c r="I184" s="9">
        <v>20</v>
      </c>
      <c r="K184" s="9" t="s">
        <v>360</v>
      </c>
      <c r="M184" s="9">
        <v>0</v>
      </c>
      <c r="N184" s="9">
        <v>15</v>
      </c>
      <c r="O184" s="9" t="s">
        <v>752</v>
      </c>
      <c r="S184" s="9" t="s">
        <v>681</v>
      </c>
      <c r="U184" s="84" t="s">
        <v>535</v>
      </c>
      <c r="V184" s="9">
        <f ca="1">IFERROR(OFFSET(ITEM_RES!$A$5,MATCH(BUILDING!U184,ITEM_RES!$J$5:$J$229,0)-1,0),0)</f>
        <v>211010501</v>
      </c>
      <c r="W184" s="11">
        <v>1</v>
      </c>
      <c r="X184" s="84" t="s">
        <v>536</v>
      </c>
      <c r="Y184" s="9">
        <f ca="1">IFERROR(OFFSET(ITEM_RES!$A$5,MATCH(BUILDING!X184,ITEM_RES!$J$5:$J$229,0)-1,0),0)</f>
        <v>211010601</v>
      </c>
      <c r="AA184" s="9" t="s">
        <v>507</v>
      </c>
      <c r="AB184" s="9">
        <v>20</v>
      </c>
      <c r="AD184" s="11">
        <f ca="1">IFERROR(OFFSET(MANOR_LEVEL!$B$1,MATCH(AE184-1,MANOR_LEVEL!$A:$A,0)-1,0),0)</f>
        <v>3961500</v>
      </c>
      <c r="AE184" s="56">
        <v>12</v>
      </c>
      <c r="AG184" s="56">
        <f t="shared" ca="1" si="54"/>
        <v>429201500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429201500</v>
      </c>
      <c r="AI184" s="179">
        <f t="shared" ca="1" si="56"/>
        <v>697702750</v>
      </c>
      <c r="AK184" s="11">
        <f t="shared" si="47"/>
        <v>25200</v>
      </c>
      <c r="AL184" s="10">
        <v>25200</v>
      </c>
      <c r="AM184" s="11">
        <f t="shared" si="55"/>
        <v>1500</v>
      </c>
      <c r="AN184" s="10">
        <v>1500</v>
      </c>
      <c r="AO184" s="11">
        <v>10000000</v>
      </c>
      <c r="AP184" s="10">
        <v>0</v>
      </c>
      <c r="AQ184" s="56">
        <f t="shared" si="48"/>
        <v>2</v>
      </c>
      <c r="AS184" s="11">
        <f ca="1">IFERROR(OFFSET(ITEM_RES!$A$1,MATCH(AT184,ITEM_RES!$J:$J,0)-1,0),0)</f>
        <v>211010601</v>
      </c>
      <c r="AT184" s="10" t="s">
        <v>1077</v>
      </c>
      <c r="AU184" s="11">
        <v>32000000</v>
      </c>
      <c r="AX184" s="11">
        <f ca="1">IFERROR(OFFSET(ITEM_RES!$A$1,MATCH(AY184,ITEM_RES!$J:$J,0)-1,0),0)</f>
        <v>211020901</v>
      </c>
      <c r="AY184" s="10" t="s">
        <v>1082</v>
      </c>
      <c r="AZ184" s="11">
        <v>32000000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53"/>
        <v>0</v>
      </c>
    </row>
    <row r="185" spans="1:68" s="15" customFormat="1" x14ac:dyDescent="0.3">
      <c r="A185" s="21">
        <f t="shared" ref="A185:A204" si="57">B185*10000000+C185*1000000+D185*10000+E185*100+F185</f>
        <v>113010001</v>
      </c>
      <c r="B185" s="20">
        <v>11</v>
      </c>
      <c r="C185" s="19">
        <f t="shared" ref="C185:C204" si="58">H185</f>
        <v>3</v>
      </c>
      <c r="D185" s="20">
        <v>1</v>
      </c>
      <c r="E185" s="20">
        <v>0</v>
      </c>
      <c r="F185" s="19">
        <f t="shared" ref="F185:F204" si="59">I185</f>
        <v>1</v>
      </c>
      <c r="G185" s="78"/>
      <c r="H185" s="16">
        <v>3</v>
      </c>
      <c r="I185" s="16">
        <v>1</v>
      </c>
      <c r="J185" s="78"/>
      <c r="K185" s="63" t="s">
        <v>494</v>
      </c>
      <c r="L185" s="63">
        <v>6</v>
      </c>
      <c r="M185" s="16">
        <v>1</v>
      </c>
      <c r="N185" s="16">
        <v>15</v>
      </c>
      <c r="O185" s="16" t="s">
        <v>1122</v>
      </c>
      <c r="P185" s="17"/>
      <c r="Q185" s="17"/>
      <c r="R185" s="18"/>
      <c r="S185" s="16" t="s">
        <v>699</v>
      </c>
      <c r="T185" s="78"/>
      <c r="U185" s="86"/>
      <c r="V185" s="16">
        <f ca="1">IFERROR(OFFSET(ITEM_RES!$A$5,MATCH(BUILDING!U185,ITEM_RES!$J$5:$J$229,0)-1,0),0)</f>
        <v>0</v>
      </c>
      <c r="W185" s="18"/>
      <c r="X185" s="86"/>
      <c r="Y185" s="16">
        <f ca="1">IFERROR(OFFSET(ITEM_RES!$A$5,MATCH(BUILDING!X185,ITEM_RES!$J$5:$J$229,0)-1,0),0)</f>
        <v>0</v>
      </c>
      <c r="Z185" s="78"/>
      <c r="AA185" s="16" t="s">
        <v>508</v>
      </c>
      <c r="AB185" s="16">
        <v>1</v>
      </c>
      <c r="AC185" s="78"/>
      <c r="AD185" s="18">
        <f ca="1">IFERROR(OFFSET(MANOR_LEVEL!$B$1,MATCH(AE185-1,MANOR_LEVEL!$A:$A,0)-1,0),0)</f>
        <v>32560</v>
      </c>
      <c r="AE185" s="57">
        <v>6</v>
      </c>
      <c r="AF185" s="78"/>
      <c r="AG185" s="57">
        <f t="shared" ca="1" si="54"/>
        <v>1530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1530</v>
      </c>
      <c r="AI185" s="181">
        <f ca="1">AG185</f>
        <v>1530</v>
      </c>
      <c r="AJ185" s="78"/>
      <c r="AK185" s="18">
        <f t="shared" ref="AK185:AK204" si="60">ROUND(AL185,0)</f>
        <v>5</v>
      </c>
      <c r="AL185" s="17">
        <v>5</v>
      </c>
      <c r="AM185" s="18">
        <f t="shared" ref="AM185:AM204" si="61">ROUND(AN185,0)</f>
        <v>5</v>
      </c>
      <c r="AN185" s="17">
        <v>5</v>
      </c>
      <c r="AO185" s="18">
        <v>25</v>
      </c>
      <c r="AP185" s="17">
        <v>0</v>
      </c>
      <c r="AQ185" s="57">
        <f t="shared" ref="AQ185:AQ204" si="62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387</v>
      </c>
      <c r="AU185" s="18">
        <v>50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390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63">IF(BP185&lt;100,ROUND(BP185,1-LEN(ROUND(BP185,0))),ROUND(BP185,2-LEN(ROUND(BP185,0))))</f>
        <v>0</v>
      </c>
      <c r="BP185" s="17"/>
    </row>
    <row r="186" spans="1:68" x14ac:dyDescent="0.3">
      <c r="A186" s="14">
        <f t="shared" si="57"/>
        <v>113010002</v>
      </c>
      <c r="B186" s="13">
        <v>11</v>
      </c>
      <c r="C186" s="12">
        <f t="shared" si="58"/>
        <v>3</v>
      </c>
      <c r="D186" s="13">
        <v>1</v>
      </c>
      <c r="E186" s="13">
        <v>0</v>
      </c>
      <c r="F186" s="12">
        <f t="shared" si="59"/>
        <v>2</v>
      </c>
      <c r="H186" s="9">
        <v>3</v>
      </c>
      <c r="I186" s="9">
        <v>2</v>
      </c>
      <c r="K186" s="56" t="s">
        <v>494</v>
      </c>
      <c r="L186" s="56"/>
      <c r="M186" s="9">
        <v>1</v>
      </c>
      <c r="N186" s="9">
        <v>15</v>
      </c>
      <c r="O186" s="83" t="s">
        <v>1121</v>
      </c>
      <c r="S186" s="9" t="s">
        <v>682</v>
      </c>
      <c r="V186" s="9">
        <f ca="1">IFERROR(OFFSET(ITEM_RES!$A$5,MATCH(BUILDING!U186,ITEM_RES!$J$5:$J$229,0)-1,0),0)</f>
        <v>0</v>
      </c>
      <c r="Y186" s="9">
        <f ca="1">IFERROR(OFFSET(ITEM_RES!$A$5,MATCH(BUILDING!X186,ITEM_RES!$J$5:$J$229,0)-1,0),0)</f>
        <v>0</v>
      </c>
      <c r="AA186" s="9" t="s">
        <v>508</v>
      </c>
      <c r="AB186" s="9">
        <v>2</v>
      </c>
      <c r="AD186" s="11">
        <f ca="1">IFERROR(OFFSET(MANOR_LEVEL!$B$1,MATCH(AE186-1,MANOR_LEVEL!$A:$A,0)-1,0),0)</f>
        <v>32560</v>
      </c>
      <c r="AE186" s="56">
        <v>6</v>
      </c>
      <c r="AG186" s="56">
        <f t="shared" ca="1" si="54"/>
        <v>1060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1060</v>
      </c>
      <c r="AI186" s="179">
        <f ca="1">AG185+AG186</f>
        <v>2590</v>
      </c>
      <c r="AK186" s="11">
        <f t="shared" si="60"/>
        <v>10</v>
      </c>
      <c r="AL186" s="10">
        <v>10</v>
      </c>
      <c r="AM186" s="11">
        <f t="shared" si="61"/>
        <v>10</v>
      </c>
      <c r="AN186" s="10">
        <v>10</v>
      </c>
      <c r="AO186" s="11">
        <v>50</v>
      </c>
      <c r="AP186" s="10">
        <v>0</v>
      </c>
      <c r="AQ186" s="56">
        <f t="shared" si="62"/>
        <v>1</v>
      </c>
      <c r="AS186" s="11">
        <f ca="1">IFERROR(OFFSET(ITEM_RES!$A$1,MATCH(AT186,ITEM_RES!$J:$J,0)-1,0),0)</f>
        <v>211020801</v>
      </c>
      <c r="AT186" s="10" t="s">
        <v>387</v>
      </c>
      <c r="AU186" s="11">
        <v>100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63"/>
        <v>0</v>
      </c>
    </row>
    <row r="187" spans="1:68" x14ac:dyDescent="0.3">
      <c r="A187" s="14">
        <f t="shared" si="57"/>
        <v>113010003</v>
      </c>
      <c r="B187" s="13">
        <v>11</v>
      </c>
      <c r="C187" s="12">
        <f t="shared" si="58"/>
        <v>3</v>
      </c>
      <c r="D187" s="13">
        <v>1</v>
      </c>
      <c r="E187" s="13">
        <v>0</v>
      </c>
      <c r="F187" s="12">
        <f t="shared" si="59"/>
        <v>3</v>
      </c>
      <c r="H187" s="9">
        <v>3</v>
      </c>
      <c r="I187" s="9">
        <v>3</v>
      </c>
      <c r="K187" s="56" t="s">
        <v>494</v>
      </c>
      <c r="L187" s="56"/>
      <c r="M187" s="9">
        <v>1</v>
      </c>
      <c r="N187" s="9">
        <v>15</v>
      </c>
      <c r="O187" s="9" t="s">
        <v>1033</v>
      </c>
      <c r="S187" s="9" t="s">
        <v>682</v>
      </c>
      <c r="V187" s="9">
        <f ca="1">IFERROR(OFFSET(ITEM_RES!$A$5,MATCH(BUILDING!U187,ITEM_RES!$J$5:$J$229,0)-1,0),0)</f>
        <v>0</v>
      </c>
      <c r="Y187" s="9">
        <f ca="1">IFERROR(OFFSET(ITEM_RES!$A$5,MATCH(BUILDING!X187,ITEM_RES!$J$5:$J$229,0)-1,0),0)</f>
        <v>0</v>
      </c>
      <c r="AA187" s="9" t="s">
        <v>508</v>
      </c>
      <c r="AB187" s="9">
        <v>3</v>
      </c>
      <c r="AD187" s="11">
        <f ca="1">IFERROR(OFFSET(MANOR_LEVEL!$B$1,MATCH(AE187-1,MANOR_LEVEL!$A:$A,0)-1,0),0)</f>
        <v>240400</v>
      </c>
      <c r="AE187" s="56">
        <v>8</v>
      </c>
      <c r="AG187" s="56">
        <f t="shared" ca="1" si="54"/>
        <v>1590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1590</v>
      </c>
      <c r="AI187" s="179">
        <f t="shared" ref="AI187:AI204" ca="1" si="64">AG186+AG187</f>
        <v>2650</v>
      </c>
      <c r="AK187" s="11">
        <f t="shared" si="60"/>
        <v>30</v>
      </c>
      <c r="AL187" s="10">
        <v>30</v>
      </c>
      <c r="AM187" s="11">
        <f t="shared" si="61"/>
        <v>15</v>
      </c>
      <c r="AN187" s="10">
        <v>15</v>
      </c>
      <c r="AO187" s="11">
        <v>75</v>
      </c>
      <c r="AP187" s="10">
        <v>0</v>
      </c>
      <c r="AQ187" s="56">
        <f t="shared" si="62"/>
        <v>1</v>
      </c>
      <c r="AS187" s="11">
        <f ca="1">IFERROR(OFFSET(ITEM_RES!$A$1,MATCH(AT187,ITEM_RES!$J:$J,0)-1,0),0)</f>
        <v>211020801</v>
      </c>
      <c r="AT187" s="10" t="s">
        <v>387</v>
      </c>
      <c r="AU187" s="11">
        <v>150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63"/>
        <v>0</v>
      </c>
    </row>
    <row r="188" spans="1:68" x14ac:dyDescent="0.3">
      <c r="A188" s="14">
        <f t="shared" si="57"/>
        <v>113010004</v>
      </c>
      <c r="B188" s="13">
        <v>11</v>
      </c>
      <c r="C188" s="12">
        <f t="shared" si="58"/>
        <v>3</v>
      </c>
      <c r="D188" s="13">
        <v>1</v>
      </c>
      <c r="E188" s="13">
        <v>0</v>
      </c>
      <c r="F188" s="12">
        <f t="shared" si="59"/>
        <v>4</v>
      </c>
      <c r="H188" s="9">
        <v>3</v>
      </c>
      <c r="I188" s="9">
        <v>4</v>
      </c>
      <c r="K188" s="56" t="s">
        <v>494</v>
      </c>
      <c r="L188" s="56"/>
      <c r="M188" s="9">
        <v>1</v>
      </c>
      <c r="N188" s="9">
        <v>15</v>
      </c>
      <c r="O188" s="9" t="s">
        <v>1033</v>
      </c>
      <c r="S188" s="9" t="s">
        <v>682</v>
      </c>
      <c r="V188" s="9">
        <f ca="1">IFERROR(OFFSET(ITEM_RES!$A$5,MATCH(BUILDING!U188,ITEM_RES!$J$5:$J$229,0)-1,0),0)</f>
        <v>0</v>
      </c>
      <c r="Y188" s="9">
        <f ca="1">IFERROR(OFFSET(ITEM_RES!$A$5,MATCH(BUILDING!X188,ITEM_RES!$J$5:$J$229,0)-1,0),0)</f>
        <v>0</v>
      </c>
      <c r="AA188" s="9" t="s">
        <v>508</v>
      </c>
      <c r="AB188" s="9">
        <v>4</v>
      </c>
      <c r="AD188" s="11">
        <f ca="1">IFERROR(OFFSET(MANOR_LEVEL!$B$1,MATCH(AE188-1,MANOR_LEVEL!$A:$A,0)-1,0),0)</f>
        <v>240400</v>
      </c>
      <c r="AE188" s="56">
        <v>8</v>
      </c>
      <c r="AG188" s="56">
        <f t="shared" ca="1" si="54"/>
        <v>6325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6325</v>
      </c>
      <c r="AI188" s="179">
        <f t="shared" ca="1" si="64"/>
        <v>7915</v>
      </c>
      <c r="AK188" s="11">
        <f t="shared" si="60"/>
        <v>300</v>
      </c>
      <c r="AL188" s="10">
        <v>300</v>
      </c>
      <c r="AM188" s="11">
        <f t="shared" si="61"/>
        <v>25</v>
      </c>
      <c r="AN188" s="10">
        <v>25</v>
      </c>
      <c r="AO188" s="11">
        <v>300</v>
      </c>
      <c r="AP188" s="10">
        <v>0</v>
      </c>
      <c r="AQ188" s="56">
        <f t="shared" si="62"/>
        <v>1</v>
      </c>
      <c r="AS188" s="11">
        <f ca="1">IFERROR(OFFSET(ITEM_RES!$A$1,MATCH(AT188,ITEM_RES!$J:$J,0)-1,0),0)</f>
        <v>211020801</v>
      </c>
      <c r="AT188" s="10" t="s">
        <v>387</v>
      </c>
      <c r="AU188" s="11">
        <v>600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63"/>
        <v>0</v>
      </c>
    </row>
    <row r="189" spans="1:68" x14ac:dyDescent="0.3">
      <c r="A189" s="14">
        <f t="shared" si="57"/>
        <v>113010005</v>
      </c>
      <c r="B189" s="13">
        <v>11</v>
      </c>
      <c r="C189" s="12">
        <f t="shared" si="58"/>
        <v>3</v>
      </c>
      <c r="D189" s="13">
        <v>1</v>
      </c>
      <c r="E189" s="13">
        <v>0</v>
      </c>
      <c r="F189" s="12">
        <f t="shared" si="59"/>
        <v>5</v>
      </c>
      <c r="H189" s="9">
        <v>3</v>
      </c>
      <c r="I189" s="9">
        <v>5</v>
      </c>
      <c r="K189" s="56" t="s">
        <v>494</v>
      </c>
      <c r="L189" s="56"/>
      <c r="M189" s="9">
        <v>1</v>
      </c>
      <c r="N189" s="9">
        <v>15</v>
      </c>
      <c r="O189" s="9" t="s">
        <v>1033</v>
      </c>
      <c r="S189" s="9" t="s">
        <v>682</v>
      </c>
      <c r="V189" s="9">
        <f ca="1">IFERROR(OFFSET(ITEM_RES!$A$5,MATCH(BUILDING!U189,ITEM_RES!$J$5:$J$229,0)-1,0),0)</f>
        <v>0</v>
      </c>
      <c r="Y189" s="9">
        <f ca="1">IFERROR(OFFSET(ITEM_RES!$A$5,MATCH(BUILDING!X189,ITEM_RES!$J$5:$J$229,0)-1,0),0)</f>
        <v>0</v>
      </c>
      <c r="AA189" s="9" t="s">
        <v>508</v>
      </c>
      <c r="AB189" s="9">
        <v>5</v>
      </c>
      <c r="AD189" s="11">
        <f ca="1">IFERROR(OFFSET(MANOR_LEVEL!$B$1,MATCH(AE189-1,MANOR_LEVEL!$A:$A,0)-1,0),0)</f>
        <v>630500</v>
      </c>
      <c r="AE189" s="56">
        <v>9</v>
      </c>
      <c r="AG189" s="56">
        <f t="shared" ca="1" si="54"/>
        <v>28390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28390</v>
      </c>
      <c r="AI189" s="179">
        <f t="shared" ca="1" si="64"/>
        <v>34715</v>
      </c>
      <c r="AK189" s="11">
        <f t="shared" si="60"/>
        <v>600</v>
      </c>
      <c r="AL189" s="10">
        <v>600</v>
      </c>
      <c r="AM189" s="11">
        <f t="shared" si="61"/>
        <v>40</v>
      </c>
      <c r="AN189" s="10">
        <v>40</v>
      </c>
      <c r="AO189" s="11">
        <v>1350</v>
      </c>
      <c r="AP189" s="10">
        <v>0</v>
      </c>
      <c r="AQ189" s="56">
        <f t="shared" si="62"/>
        <v>1</v>
      </c>
      <c r="AS189" s="11">
        <f ca="1">IFERROR(OFFSET(ITEM_RES!$A$1,MATCH(AT189,ITEM_RES!$J:$J,0)-1,0),0)</f>
        <v>211020801</v>
      </c>
      <c r="AT189" s="10" t="s">
        <v>387</v>
      </c>
      <c r="AU189" s="11">
        <v>2700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63"/>
        <v>0</v>
      </c>
    </row>
    <row r="190" spans="1:68" x14ac:dyDescent="0.3">
      <c r="A190" s="14">
        <f t="shared" si="57"/>
        <v>113010006</v>
      </c>
      <c r="B190" s="13">
        <v>11</v>
      </c>
      <c r="C190" s="12">
        <f t="shared" si="58"/>
        <v>3</v>
      </c>
      <c r="D190" s="13">
        <v>1</v>
      </c>
      <c r="E190" s="13">
        <v>0</v>
      </c>
      <c r="F190" s="12">
        <f t="shared" si="59"/>
        <v>6</v>
      </c>
      <c r="H190" s="9">
        <v>3</v>
      </c>
      <c r="I190" s="9">
        <v>6</v>
      </c>
      <c r="K190" s="56" t="s">
        <v>494</v>
      </c>
      <c r="L190" s="56"/>
      <c r="M190" s="9">
        <v>1</v>
      </c>
      <c r="N190" s="9">
        <v>15</v>
      </c>
      <c r="O190" s="9" t="s">
        <v>1033</v>
      </c>
      <c r="S190" s="9" t="s">
        <v>682</v>
      </c>
      <c r="V190" s="9">
        <f ca="1">IFERROR(OFFSET(ITEM_RES!$A$5,MATCH(BUILDING!U190,ITEM_RES!$J$5:$J$229,0)-1,0),0)</f>
        <v>0</v>
      </c>
      <c r="Y190" s="9">
        <f ca="1">IFERROR(OFFSET(ITEM_RES!$A$5,MATCH(BUILDING!X190,ITEM_RES!$J$5:$J$229,0)-1,0),0)</f>
        <v>0</v>
      </c>
      <c r="AA190" s="9" t="s">
        <v>508</v>
      </c>
      <c r="AB190" s="9">
        <v>6</v>
      </c>
      <c r="AD190" s="11">
        <f ca="1">IFERROR(OFFSET(MANOR_LEVEL!$B$1,MATCH(AE190-1,MANOR_LEVEL!$A:$A,0)-1,0),0)</f>
        <v>630500</v>
      </c>
      <c r="AE190" s="56">
        <v>9</v>
      </c>
      <c r="AG190" s="56">
        <f t="shared" ca="1" si="54"/>
        <v>94550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94550</v>
      </c>
      <c r="AI190" s="179">
        <f t="shared" ca="1" si="64"/>
        <v>122940</v>
      </c>
      <c r="AK190" s="11">
        <f t="shared" si="60"/>
        <v>1200</v>
      </c>
      <c r="AL190" s="10">
        <v>1200</v>
      </c>
      <c r="AM190" s="11">
        <f t="shared" si="61"/>
        <v>50</v>
      </c>
      <c r="AN190" s="10">
        <v>50</v>
      </c>
      <c r="AO190" s="11">
        <v>4500</v>
      </c>
      <c r="AP190" s="10">
        <v>0</v>
      </c>
      <c r="AQ190" s="56">
        <f t="shared" si="62"/>
        <v>1</v>
      </c>
      <c r="AS190" s="11">
        <f ca="1">IFERROR(OFFSET(ITEM_RES!$A$1,MATCH(AT190,ITEM_RES!$J:$J,0)-1,0),0)</f>
        <v>211020801</v>
      </c>
      <c r="AT190" s="10" t="s">
        <v>387</v>
      </c>
      <c r="AU190" s="11">
        <v>9000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63"/>
        <v>0</v>
      </c>
    </row>
    <row r="191" spans="1:68" x14ac:dyDescent="0.3">
      <c r="A191" s="14">
        <f t="shared" si="57"/>
        <v>113010007</v>
      </c>
      <c r="B191" s="13">
        <v>11</v>
      </c>
      <c r="C191" s="12">
        <f t="shared" si="58"/>
        <v>3</v>
      </c>
      <c r="D191" s="13">
        <v>1</v>
      </c>
      <c r="E191" s="13">
        <v>0</v>
      </c>
      <c r="F191" s="12">
        <f t="shared" si="59"/>
        <v>7</v>
      </c>
      <c r="H191" s="9">
        <v>3</v>
      </c>
      <c r="I191" s="9">
        <v>7</v>
      </c>
      <c r="K191" s="56" t="s">
        <v>494</v>
      </c>
      <c r="L191" s="56"/>
      <c r="M191" s="9">
        <v>1</v>
      </c>
      <c r="N191" s="9">
        <v>15</v>
      </c>
      <c r="O191" s="9" t="s">
        <v>1033</v>
      </c>
      <c r="S191" s="9" t="s">
        <v>682</v>
      </c>
      <c r="V191" s="9">
        <f ca="1">IFERROR(OFFSET(ITEM_RES!$A$5,MATCH(BUILDING!U191,ITEM_RES!$J$5:$J$229,0)-1,0),0)</f>
        <v>0</v>
      </c>
      <c r="Y191" s="9">
        <f ca="1">IFERROR(OFFSET(ITEM_RES!$A$5,MATCH(BUILDING!X191,ITEM_RES!$J$5:$J$229,0)-1,0),0)</f>
        <v>0</v>
      </c>
      <c r="AA191" s="9" t="s">
        <v>508</v>
      </c>
      <c r="AB191" s="9">
        <v>7</v>
      </c>
      <c r="AD191" s="11">
        <f ca="1">IFERROR(OFFSET(MANOR_LEVEL!$B$1,MATCH(AE191-1,MANOR_LEVEL!$A:$A,0)-1,0),0)</f>
        <v>630500</v>
      </c>
      <c r="AE191" s="56">
        <v>9</v>
      </c>
      <c r="AG191" s="56">
        <f t="shared" ca="1" si="54"/>
        <v>210100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210100</v>
      </c>
      <c r="AI191" s="179">
        <f t="shared" ca="1" si="64"/>
        <v>304650</v>
      </c>
      <c r="AK191" s="11">
        <f t="shared" si="60"/>
        <v>1800</v>
      </c>
      <c r="AL191" s="10">
        <v>1800</v>
      </c>
      <c r="AM191" s="11">
        <f t="shared" si="61"/>
        <v>100</v>
      </c>
      <c r="AN191" s="10">
        <v>100</v>
      </c>
      <c r="AO191" s="11">
        <v>10000</v>
      </c>
      <c r="AP191" s="10">
        <v>0</v>
      </c>
      <c r="AQ191" s="56">
        <f t="shared" si="62"/>
        <v>1</v>
      </c>
      <c r="AS191" s="11">
        <f ca="1">IFERROR(OFFSET(ITEM_RES!$A$1,MATCH(AT191,ITEM_RES!$J:$J,0)-1,0),0)</f>
        <v>211020801</v>
      </c>
      <c r="AT191" s="10" t="s">
        <v>387</v>
      </c>
      <c r="AU191" s="11">
        <v>20000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63"/>
        <v>0</v>
      </c>
    </row>
    <row r="192" spans="1:68" x14ac:dyDescent="0.3">
      <c r="A192" s="14">
        <f t="shared" si="57"/>
        <v>113010008</v>
      </c>
      <c r="B192" s="13">
        <v>11</v>
      </c>
      <c r="C192" s="12">
        <f t="shared" si="58"/>
        <v>3</v>
      </c>
      <c r="D192" s="13">
        <v>1</v>
      </c>
      <c r="E192" s="13">
        <v>0</v>
      </c>
      <c r="F192" s="12">
        <f t="shared" si="59"/>
        <v>8</v>
      </c>
      <c r="H192" s="9">
        <v>3</v>
      </c>
      <c r="I192" s="9">
        <v>8</v>
      </c>
      <c r="K192" s="56" t="s">
        <v>494</v>
      </c>
      <c r="L192" s="56"/>
      <c r="M192" s="9">
        <v>1</v>
      </c>
      <c r="N192" s="9">
        <v>15</v>
      </c>
      <c r="O192" s="9" t="s">
        <v>1033</v>
      </c>
      <c r="S192" s="9" t="s">
        <v>682</v>
      </c>
      <c r="V192" s="9">
        <f ca="1">IFERROR(OFFSET(ITEM_RES!$A$5,MATCH(BUILDING!U192,ITEM_RES!$J$5:$J$229,0)-1,0),0)</f>
        <v>0</v>
      </c>
      <c r="Y192" s="9">
        <f ca="1">IFERROR(OFFSET(ITEM_RES!$A$5,MATCH(BUILDING!X192,ITEM_RES!$J$5:$J$229,0)-1,0),0)</f>
        <v>0</v>
      </c>
      <c r="AA192" s="9" t="s">
        <v>508</v>
      </c>
      <c r="AB192" s="9">
        <v>8</v>
      </c>
      <c r="AD192" s="11">
        <f ca="1">IFERROR(OFFSET(MANOR_LEVEL!$B$1,MATCH(AE192-1,MANOR_LEVEL!$A:$A,0)-1,0),0)</f>
        <v>1170750</v>
      </c>
      <c r="AE192" s="56">
        <v>10</v>
      </c>
      <c r="AG192" s="56">
        <f t="shared" ca="1" si="54"/>
        <v>441100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441100</v>
      </c>
      <c r="AI192" s="179">
        <f t="shared" ca="1" si="64"/>
        <v>651200</v>
      </c>
      <c r="AK192" s="11">
        <f t="shared" si="60"/>
        <v>3600</v>
      </c>
      <c r="AL192" s="10">
        <v>3600</v>
      </c>
      <c r="AM192" s="11">
        <f t="shared" si="61"/>
        <v>100</v>
      </c>
      <c r="AN192" s="10">
        <v>100</v>
      </c>
      <c r="AO192" s="11">
        <v>21000</v>
      </c>
      <c r="AP192" s="10">
        <v>0</v>
      </c>
      <c r="AQ192" s="56">
        <f t="shared" si="62"/>
        <v>1</v>
      </c>
      <c r="AS192" s="11">
        <f ca="1">IFERROR(OFFSET(ITEM_RES!$A$1,MATCH(AT192,ITEM_RES!$J:$J,0)-1,0),0)</f>
        <v>211020801</v>
      </c>
      <c r="AT192" s="10" t="s">
        <v>387</v>
      </c>
      <c r="AU192" s="11">
        <v>42000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63"/>
        <v>0</v>
      </c>
    </row>
    <row r="193" spans="1:68" x14ac:dyDescent="0.3">
      <c r="A193" s="14">
        <f t="shared" si="57"/>
        <v>113010009</v>
      </c>
      <c r="B193" s="13">
        <v>11</v>
      </c>
      <c r="C193" s="12">
        <f t="shared" si="58"/>
        <v>3</v>
      </c>
      <c r="D193" s="13">
        <v>1</v>
      </c>
      <c r="E193" s="13">
        <v>0</v>
      </c>
      <c r="F193" s="12">
        <f t="shared" si="59"/>
        <v>9</v>
      </c>
      <c r="H193" s="9">
        <v>3</v>
      </c>
      <c r="I193" s="9">
        <v>9</v>
      </c>
      <c r="K193" s="56" t="s">
        <v>494</v>
      </c>
      <c r="L193" s="56"/>
      <c r="M193" s="9">
        <v>1</v>
      </c>
      <c r="N193" s="9">
        <v>15</v>
      </c>
      <c r="O193" s="9" t="s">
        <v>1033</v>
      </c>
      <c r="S193" s="9" t="s">
        <v>682</v>
      </c>
      <c r="V193" s="9">
        <f ca="1">IFERROR(OFFSET(ITEM_RES!$A$5,MATCH(BUILDING!U193,ITEM_RES!$J$5:$J$229,0)-1,0),0)</f>
        <v>0</v>
      </c>
      <c r="Y193" s="9">
        <f ca="1">IFERROR(OFFSET(ITEM_RES!$A$5,MATCH(BUILDING!X193,ITEM_RES!$J$5:$J$229,0)-1,0),0)</f>
        <v>0</v>
      </c>
      <c r="AA193" s="9" t="s">
        <v>508</v>
      </c>
      <c r="AB193" s="9">
        <v>9</v>
      </c>
      <c r="AD193" s="11">
        <f ca="1">IFERROR(OFFSET(MANOR_LEVEL!$B$1,MATCH(AE193-1,MANOR_LEVEL!$A:$A,0)-1,0),0)</f>
        <v>3961500</v>
      </c>
      <c r="AE193" s="56">
        <v>12</v>
      </c>
      <c r="AG193" s="56">
        <f t="shared" ca="1" si="54"/>
        <v>819150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819150</v>
      </c>
      <c r="AI193" s="179">
        <f t="shared" ca="1" si="64"/>
        <v>1260250</v>
      </c>
      <c r="AK193" s="11">
        <f t="shared" si="60"/>
        <v>5400</v>
      </c>
      <c r="AL193" s="10">
        <v>5400</v>
      </c>
      <c r="AM193" s="11">
        <f t="shared" si="61"/>
        <v>150</v>
      </c>
      <c r="AN193" s="10">
        <v>150</v>
      </c>
      <c r="AO193" s="11">
        <v>39000</v>
      </c>
      <c r="AP193" s="10">
        <v>0</v>
      </c>
      <c r="AQ193" s="56">
        <f t="shared" si="62"/>
        <v>1</v>
      </c>
      <c r="AS193" s="11">
        <f ca="1">IFERROR(OFFSET(ITEM_RES!$A$1,MATCH(AT193,ITEM_RES!$J:$J,0)-1,0),0)</f>
        <v>211020801</v>
      </c>
      <c r="AT193" s="10" t="s">
        <v>387</v>
      </c>
      <c r="AU193" s="11">
        <v>78000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63"/>
        <v>0</v>
      </c>
    </row>
    <row r="194" spans="1:68" x14ac:dyDescent="0.3">
      <c r="A194" s="14">
        <f t="shared" si="57"/>
        <v>113010010</v>
      </c>
      <c r="B194" s="13">
        <v>11</v>
      </c>
      <c r="C194" s="12">
        <f t="shared" si="58"/>
        <v>3</v>
      </c>
      <c r="D194" s="13">
        <v>1</v>
      </c>
      <c r="E194" s="13">
        <v>0</v>
      </c>
      <c r="F194" s="12">
        <f t="shared" si="59"/>
        <v>10</v>
      </c>
      <c r="H194" s="9">
        <v>3</v>
      </c>
      <c r="I194" s="9">
        <v>10</v>
      </c>
      <c r="K194" s="56" t="s">
        <v>494</v>
      </c>
      <c r="L194" s="56"/>
      <c r="M194" s="9">
        <v>1</v>
      </c>
      <c r="N194" s="9">
        <v>15</v>
      </c>
      <c r="O194" s="9" t="s">
        <v>1033</v>
      </c>
      <c r="S194" s="9" t="s">
        <v>682</v>
      </c>
      <c r="V194" s="9">
        <f ca="1">IFERROR(OFFSET(ITEM_RES!$A$5,MATCH(BUILDING!U194,ITEM_RES!$J$5:$J$229,0)-1,0),0)</f>
        <v>0</v>
      </c>
      <c r="Y194" s="9">
        <f ca="1">IFERROR(OFFSET(ITEM_RES!$A$5,MATCH(BUILDING!X194,ITEM_RES!$J$5:$J$229,0)-1,0),0)</f>
        <v>0</v>
      </c>
      <c r="AA194" s="9" t="s">
        <v>508</v>
      </c>
      <c r="AB194" s="9">
        <v>10</v>
      </c>
      <c r="AD194" s="11">
        <f ca="1">IFERROR(OFFSET(MANOR_LEVEL!$B$1,MATCH(AE194-1,MANOR_LEVEL!$A:$A,0)-1,0),0)</f>
        <v>3961500</v>
      </c>
      <c r="AE194" s="56">
        <v>12</v>
      </c>
      <c r="AG194" s="56">
        <f t="shared" ca="1" si="54"/>
        <v>1366200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1366200</v>
      </c>
      <c r="AI194" s="179">
        <f t="shared" ca="1" si="64"/>
        <v>2185350</v>
      </c>
      <c r="AK194" s="11">
        <f t="shared" si="60"/>
        <v>7200</v>
      </c>
      <c r="AL194" s="10">
        <v>7200</v>
      </c>
      <c r="AM194" s="11">
        <f t="shared" si="61"/>
        <v>200</v>
      </c>
      <c r="AN194" s="10">
        <v>200</v>
      </c>
      <c r="AO194" s="11">
        <v>65000</v>
      </c>
      <c r="AP194" s="10">
        <v>0</v>
      </c>
      <c r="AQ194" s="56">
        <f t="shared" si="62"/>
        <v>2</v>
      </c>
      <c r="AS194" s="11">
        <f ca="1">IFERROR(OFFSET(ITEM_RES!$A$1,MATCH(AT194,ITEM_RES!$J:$J,0)-1,0),0)</f>
        <v>211020801</v>
      </c>
      <c r="AT194" s="10" t="s">
        <v>387</v>
      </c>
      <c r="AU194" s="11">
        <v>130000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456</v>
      </c>
      <c r="BJ194" s="11">
        <v>1</v>
      </c>
      <c r="BM194" s="11">
        <f ca="1">IFERROR(OFFSET(ITEM_RES!$A$1,MATCH(BN194,ITEM_RES!$J:$J,0)-1,0),0)</f>
        <v>0</v>
      </c>
      <c r="BO194" s="11">
        <f t="shared" si="63"/>
        <v>0</v>
      </c>
    </row>
    <row r="195" spans="1:68" x14ac:dyDescent="0.3">
      <c r="A195" s="14">
        <f t="shared" si="57"/>
        <v>113010011</v>
      </c>
      <c r="B195" s="13">
        <v>11</v>
      </c>
      <c r="C195" s="12">
        <f t="shared" si="58"/>
        <v>3</v>
      </c>
      <c r="D195" s="13">
        <v>1</v>
      </c>
      <c r="E195" s="13">
        <v>0</v>
      </c>
      <c r="F195" s="12">
        <f t="shared" si="59"/>
        <v>11</v>
      </c>
      <c r="H195" s="9">
        <v>3</v>
      </c>
      <c r="I195" s="9">
        <v>11</v>
      </c>
      <c r="K195" s="56" t="s">
        <v>494</v>
      </c>
      <c r="L195" s="56"/>
      <c r="M195" s="9">
        <v>1</v>
      </c>
      <c r="N195" s="9">
        <v>15</v>
      </c>
      <c r="O195" s="9" t="s">
        <v>1033</v>
      </c>
      <c r="S195" s="9" t="s">
        <v>682</v>
      </c>
      <c r="V195" s="9">
        <f ca="1">IFERROR(OFFSET(ITEM_RES!$A$5,MATCH(BUILDING!U195,ITEM_RES!$J$5:$J$229,0)-1,0),0)</f>
        <v>0</v>
      </c>
      <c r="Y195" s="9">
        <f ca="1">IFERROR(OFFSET(ITEM_RES!$A$5,MATCH(BUILDING!X195,ITEM_RES!$J$5:$J$229,0)-1,0),0)</f>
        <v>0</v>
      </c>
      <c r="AA195" s="9" t="s">
        <v>508</v>
      </c>
      <c r="AB195" s="9">
        <v>11</v>
      </c>
      <c r="AD195" s="11">
        <f ca="1">IFERROR(OFFSET(MANOR_LEVEL!$B$1,MATCH(AE195-1,MANOR_LEVEL!$A:$A,0)-1,0),0)</f>
        <v>3961500</v>
      </c>
      <c r="AE195" s="56">
        <v>12</v>
      </c>
      <c r="AG195" s="56">
        <f t="shared" ca="1" si="54"/>
        <v>2310250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2310250</v>
      </c>
      <c r="AI195" s="179">
        <f t="shared" ca="1" si="64"/>
        <v>3676450</v>
      </c>
      <c r="AK195" s="11">
        <f t="shared" si="60"/>
        <v>9000</v>
      </c>
      <c r="AL195" s="10">
        <v>9000</v>
      </c>
      <c r="AM195" s="11">
        <f t="shared" si="61"/>
        <v>250</v>
      </c>
      <c r="AN195" s="10">
        <v>250</v>
      </c>
      <c r="AO195" s="11">
        <v>110000</v>
      </c>
      <c r="AP195" s="10">
        <v>0</v>
      </c>
      <c r="AQ195" s="56">
        <f t="shared" si="62"/>
        <v>1</v>
      </c>
      <c r="AS195" s="11">
        <f ca="1">IFERROR(OFFSET(ITEM_RES!$A$1,MATCH(AT195,ITEM_RES!$J:$J,0)-1,0),0)</f>
        <v>211020801</v>
      </c>
      <c r="AT195" s="10" t="s">
        <v>387</v>
      </c>
      <c r="AU195" s="11">
        <v>220000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63"/>
        <v>0</v>
      </c>
    </row>
    <row r="196" spans="1:68" x14ac:dyDescent="0.3">
      <c r="A196" s="14">
        <f t="shared" si="57"/>
        <v>113010012</v>
      </c>
      <c r="B196" s="13">
        <v>11</v>
      </c>
      <c r="C196" s="12">
        <f t="shared" si="58"/>
        <v>3</v>
      </c>
      <c r="D196" s="13">
        <v>1</v>
      </c>
      <c r="E196" s="13">
        <v>0</v>
      </c>
      <c r="F196" s="12">
        <f t="shared" si="59"/>
        <v>12</v>
      </c>
      <c r="H196" s="9">
        <v>3</v>
      </c>
      <c r="I196" s="9">
        <v>12</v>
      </c>
      <c r="K196" s="56" t="s">
        <v>494</v>
      </c>
      <c r="L196" s="56"/>
      <c r="M196" s="9">
        <v>1</v>
      </c>
      <c r="N196" s="9">
        <v>15</v>
      </c>
      <c r="O196" s="9" t="s">
        <v>1033</v>
      </c>
      <c r="S196" s="9" t="s">
        <v>682</v>
      </c>
      <c r="V196" s="9">
        <f ca="1">IFERROR(OFFSET(ITEM_RES!$A$5,MATCH(BUILDING!U196,ITEM_RES!$J$5:$J$229,0)-1,0),0)</f>
        <v>0</v>
      </c>
      <c r="Y196" s="9">
        <f ca="1">IFERROR(OFFSET(ITEM_RES!$A$5,MATCH(BUILDING!X196,ITEM_RES!$J$5:$J$229,0)-1,0),0)</f>
        <v>0</v>
      </c>
      <c r="AA196" s="9" t="s">
        <v>508</v>
      </c>
      <c r="AB196" s="9">
        <v>12</v>
      </c>
      <c r="AD196" s="11">
        <f ca="1">IFERROR(OFFSET(MANOR_LEVEL!$B$1,MATCH(AE196-1,MANOR_LEVEL!$A:$A,0)-1,0),0)</f>
        <v>223207650</v>
      </c>
      <c r="AE196" s="56">
        <v>18</v>
      </c>
      <c r="AG196" s="56">
        <f t="shared" ca="1" si="54"/>
        <v>8325300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8325300</v>
      </c>
      <c r="AI196" s="179">
        <f t="shared" ca="1" si="64"/>
        <v>10635550</v>
      </c>
      <c r="AK196" s="11">
        <f t="shared" si="60"/>
        <v>10800</v>
      </c>
      <c r="AL196" s="10">
        <v>10800</v>
      </c>
      <c r="AM196" s="11">
        <f t="shared" si="61"/>
        <v>300</v>
      </c>
      <c r="AN196" s="10">
        <v>300</v>
      </c>
      <c r="AO196" s="11">
        <v>185000</v>
      </c>
      <c r="AP196" s="10">
        <v>0</v>
      </c>
      <c r="AQ196" s="56">
        <f t="shared" si="62"/>
        <v>2</v>
      </c>
      <c r="AS196" s="11">
        <f ca="1">IFERROR(OFFSET(ITEM_RES!$A$1,MATCH(AT196,ITEM_RES!$J:$J,0)-1,0),0)</f>
        <v>211020801</v>
      </c>
      <c r="AT196" s="10" t="s">
        <v>387</v>
      </c>
      <c r="AU196" s="11">
        <v>370000</v>
      </c>
      <c r="AX196" s="11">
        <f ca="1">IFERROR(OFFSET(ITEM_RES!$A$1,MATCH(AY196,ITEM_RES!$J:$J,0)-1,0),0)</f>
        <v>211020901</v>
      </c>
      <c r="AY196" s="10" t="s">
        <v>388</v>
      </c>
      <c r="AZ196" s="11">
        <v>370000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63"/>
        <v>0</v>
      </c>
    </row>
    <row r="197" spans="1:68" x14ac:dyDescent="0.3">
      <c r="A197" s="14">
        <f t="shared" si="57"/>
        <v>113010013</v>
      </c>
      <c r="B197" s="13">
        <v>11</v>
      </c>
      <c r="C197" s="12">
        <f t="shared" si="58"/>
        <v>3</v>
      </c>
      <c r="D197" s="13">
        <v>1</v>
      </c>
      <c r="E197" s="13">
        <v>0</v>
      </c>
      <c r="F197" s="12">
        <f t="shared" si="59"/>
        <v>13</v>
      </c>
      <c r="H197" s="9">
        <v>3</v>
      </c>
      <c r="I197" s="9">
        <v>13</v>
      </c>
      <c r="K197" s="56" t="s">
        <v>494</v>
      </c>
      <c r="L197" s="56"/>
      <c r="M197" s="9">
        <v>1</v>
      </c>
      <c r="N197" s="9">
        <v>15</v>
      </c>
      <c r="O197" s="9" t="s">
        <v>1033</v>
      </c>
      <c r="S197" s="9" t="s">
        <v>682</v>
      </c>
      <c r="V197" s="9">
        <f ca="1">IFERROR(OFFSET(ITEM_RES!$A$5,MATCH(BUILDING!U197,ITEM_RES!$J$5:$J$229,0)-1,0),0)</f>
        <v>0</v>
      </c>
      <c r="Y197" s="9">
        <f ca="1">IFERROR(OFFSET(ITEM_RES!$A$5,MATCH(BUILDING!X197,ITEM_RES!$J$5:$J$229,0)-1,0),0)</f>
        <v>0</v>
      </c>
      <c r="AA197" s="9" t="s">
        <v>508</v>
      </c>
      <c r="AB197" s="9">
        <v>13</v>
      </c>
      <c r="AD197" s="11">
        <f ca="1">IFERROR(OFFSET(MANOR_LEVEL!$B$1,MATCH(AE197-1,MANOR_LEVEL!$A:$A,0)-1,0),0)</f>
        <v>223207650</v>
      </c>
      <c r="AE197" s="56">
        <v>18</v>
      </c>
      <c r="AG197" s="56">
        <f t="shared" ca="1" si="54"/>
        <v>13950350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13950350</v>
      </c>
      <c r="AI197" s="179">
        <f t="shared" ca="1" si="64"/>
        <v>22275650</v>
      </c>
      <c r="AK197" s="11">
        <f t="shared" si="60"/>
        <v>12600</v>
      </c>
      <c r="AL197" s="10">
        <v>12600</v>
      </c>
      <c r="AM197" s="11">
        <f t="shared" si="61"/>
        <v>350</v>
      </c>
      <c r="AN197" s="10">
        <v>350</v>
      </c>
      <c r="AO197" s="11">
        <v>310000</v>
      </c>
      <c r="AP197" s="10">
        <v>0</v>
      </c>
      <c r="AQ197" s="56">
        <f t="shared" si="62"/>
        <v>2</v>
      </c>
      <c r="AS197" s="11">
        <f ca="1">IFERROR(OFFSET(ITEM_RES!$A$1,MATCH(AT197,ITEM_RES!$J:$J,0)-1,0),0)</f>
        <v>211020801</v>
      </c>
      <c r="AT197" s="10" t="s">
        <v>387</v>
      </c>
      <c r="AU197" s="11">
        <v>620000</v>
      </c>
      <c r="AX197" s="11">
        <f ca="1">IFERROR(OFFSET(ITEM_RES!$A$1,MATCH(AY197,ITEM_RES!$J:$J,0)-1,0),0)</f>
        <v>211020901</v>
      </c>
      <c r="AY197" s="10" t="s">
        <v>388</v>
      </c>
      <c r="AZ197" s="11">
        <v>620000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63"/>
        <v>0</v>
      </c>
    </row>
    <row r="198" spans="1:68" x14ac:dyDescent="0.3">
      <c r="A198" s="14">
        <f t="shared" si="57"/>
        <v>113010014</v>
      </c>
      <c r="B198" s="13">
        <v>11</v>
      </c>
      <c r="C198" s="12">
        <f t="shared" si="58"/>
        <v>3</v>
      </c>
      <c r="D198" s="13">
        <v>1</v>
      </c>
      <c r="E198" s="13">
        <v>0</v>
      </c>
      <c r="F198" s="12">
        <f t="shared" si="59"/>
        <v>14</v>
      </c>
      <c r="H198" s="9">
        <v>3</v>
      </c>
      <c r="I198" s="9">
        <v>14</v>
      </c>
      <c r="K198" s="56" t="s">
        <v>494</v>
      </c>
      <c r="L198" s="56"/>
      <c r="M198" s="9">
        <v>1</v>
      </c>
      <c r="N198" s="9">
        <v>15</v>
      </c>
      <c r="O198" s="9" t="s">
        <v>1033</v>
      </c>
      <c r="S198" s="9" t="s">
        <v>682</v>
      </c>
      <c r="V198" s="9">
        <f ca="1">IFERROR(OFFSET(ITEM_RES!$A$5,MATCH(BUILDING!U198,ITEM_RES!$J$5:$J$229,0)-1,0),0)</f>
        <v>0</v>
      </c>
      <c r="Y198" s="9">
        <f ca="1">IFERROR(OFFSET(ITEM_RES!$A$5,MATCH(BUILDING!X198,ITEM_RES!$J$5:$J$229,0)-1,0),0)</f>
        <v>0</v>
      </c>
      <c r="AA198" s="9" t="s">
        <v>508</v>
      </c>
      <c r="AB198" s="9">
        <v>14</v>
      </c>
      <c r="AD198" s="11">
        <f ca="1">IFERROR(OFFSET(MANOR_LEVEL!$B$1,MATCH(AE198-1,MANOR_LEVEL!$A:$A,0)-1,0),0)</f>
        <v>223207650</v>
      </c>
      <c r="AE198" s="56">
        <v>18</v>
      </c>
      <c r="AG198" s="56">
        <f t="shared" ca="1" si="54"/>
        <v>21825450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21825450</v>
      </c>
      <c r="AI198" s="179">
        <f t="shared" ca="1" si="64"/>
        <v>35775800</v>
      </c>
      <c r="AK198" s="11">
        <f t="shared" si="60"/>
        <v>14400</v>
      </c>
      <c r="AL198" s="10">
        <v>14400</v>
      </c>
      <c r="AM198" s="11">
        <f t="shared" si="61"/>
        <v>450</v>
      </c>
      <c r="AN198" s="10">
        <v>450</v>
      </c>
      <c r="AO198" s="11">
        <v>485000</v>
      </c>
      <c r="AP198" s="10">
        <v>0</v>
      </c>
      <c r="AQ198" s="56">
        <f t="shared" si="62"/>
        <v>2</v>
      </c>
      <c r="AS198" s="11">
        <f ca="1">IFERROR(OFFSET(ITEM_RES!$A$1,MATCH(AT198,ITEM_RES!$J:$J,0)-1,0),0)</f>
        <v>211020801</v>
      </c>
      <c r="AT198" s="10" t="s">
        <v>387</v>
      </c>
      <c r="AU198" s="11">
        <v>970000</v>
      </c>
      <c r="AX198" s="11">
        <f ca="1">IFERROR(OFFSET(ITEM_RES!$A$1,MATCH(AY198,ITEM_RES!$J:$J,0)-1,0),0)</f>
        <v>211020901</v>
      </c>
      <c r="AY198" s="10" t="s">
        <v>388</v>
      </c>
      <c r="AZ198" s="11">
        <v>970000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63"/>
        <v>0</v>
      </c>
    </row>
    <row r="199" spans="1:68" x14ac:dyDescent="0.3">
      <c r="A199" s="14">
        <f t="shared" si="57"/>
        <v>113010015</v>
      </c>
      <c r="B199" s="13">
        <v>11</v>
      </c>
      <c r="C199" s="12">
        <f t="shared" si="58"/>
        <v>3</v>
      </c>
      <c r="D199" s="13">
        <v>1</v>
      </c>
      <c r="E199" s="13">
        <v>0</v>
      </c>
      <c r="F199" s="12">
        <f t="shared" si="59"/>
        <v>15</v>
      </c>
      <c r="H199" s="9">
        <v>3</v>
      </c>
      <c r="I199" s="9">
        <v>15</v>
      </c>
      <c r="K199" s="56" t="s">
        <v>494</v>
      </c>
      <c r="L199" s="56"/>
      <c r="M199" s="9">
        <v>1</v>
      </c>
      <c r="N199" s="9">
        <v>15</v>
      </c>
      <c r="O199" s="9" t="s">
        <v>1033</v>
      </c>
      <c r="S199" s="9" t="s">
        <v>682</v>
      </c>
      <c r="V199" s="9">
        <f ca="1">IFERROR(OFFSET(ITEM_RES!$A$5,MATCH(BUILDING!U199,ITEM_RES!$J$5:$J$229,0)-1,0),0)</f>
        <v>0</v>
      </c>
      <c r="Y199" s="9">
        <f ca="1">IFERROR(OFFSET(ITEM_RES!$A$5,MATCH(BUILDING!X199,ITEM_RES!$J$5:$J$229,0)-1,0),0)</f>
        <v>0</v>
      </c>
      <c r="AA199" s="9" t="s">
        <v>508</v>
      </c>
      <c r="AB199" s="9">
        <v>15</v>
      </c>
      <c r="AD199" s="11">
        <f ca="1">IFERROR(OFFSET(MANOR_LEVEL!$B$1,MATCH(AE199-1,MANOR_LEVEL!$A:$A,0)-1,0),0)</f>
        <v>223207650</v>
      </c>
      <c r="AE199" s="56">
        <v>18</v>
      </c>
      <c r="AG199" s="56">
        <f t="shared" ca="1" si="54"/>
        <v>47250550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47250550</v>
      </c>
      <c r="AI199" s="179">
        <f t="shared" ca="1" si="64"/>
        <v>69076000</v>
      </c>
      <c r="AK199" s="11">
        <f t="shared" si="60"/>
        <v>16200</v>
      </c>
      <c r="AL199" s="10">
        <v>16200</v>
      </c>
      <c r="AM199" s="11">
        <f t="shared" si="61"/>
        <v>550</v>
      </c>
      <c r="AN199" s="10">
        <v>550</v>
      </c>
      <c r="AO199" s="11">
        <v>1050000</v>
      </c>
      <c r="AP199" s="10">
        <v>0</v>
      </c>
      <c r="AQ199" s="56">
        <f t="shared" si="62"/>
        <v>2</v>
      </c>
      <c r="AS199" s="11">
        <f ca="1">IFERROR(OFFSET(ITEM_RES!$A$1,MATCH(AT199,ITEM_RES!$J:$J,0)-1,0),0)</f>
        <v>211020801</v>
      </c>
      <c r="AT199" s="10" t="s">
        <v>387</v>
      </c>
      <c r="AU199" s="11">
        <v>2100000</v>
      </c>
      <c r="AX199" s="11">
        <f ca="1">IFERROR(OFFSET(ITEM_RES!$A$1,MATCH(AY199,ITEM_RES!$J:$J,0)-1,0),0)</f>
        <v>211020901</v>
      </c>
      <c r="AY199" s="10" t="s">
        <v>388</v>
      </c>
      <c r="AZ199" s="11">
        <v>2100000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63"/>
        <v>0</v>
      </c>
    </row>
    <row r="200" spans="1:68" x14ac:dyDescent="0.3">
      <c r="A200" s="14">
        <f t="shared" si="57"/>
        <v>113010016</v>
      </c>
      <c r="B200" s="13">
        <v>11</v>
      </c>
      <c r="C200" s="12">
        <f t="shared" si="58"/>
        <v>3</v>
      </c>
      <c r="D200" s="13">
        <v>1</v>
      </c>
      <c r="E200" s="13">
        <v>0</v>
      </c>
      <c r="F200" s="12">
        <f t="shared" si="59"/>
        <v>16</v>
      </c>
      <c r="H200" s="9">
        <v>3</v>
      </c>
      <c r="I200" s="9">
        <v>16</v>
      </c>
      <c r="K200" s="56" t="s">
        <v>494</v>
      </c>
      <c r="L200" s="56"/>
      <c r="M200" s="9">
        <v>0</v>
      </c>
      <c r="N200" s="9">
        <v>15</v>
      </c>
      <c r="O200" s="9" t="s">
        <v>1033</v>
      </c>
      <c r="S200" s="9" t="s">
        <v>682</v>
      </c>
      <c r="V200" s="9">
        <f ca="1">IFERROR(OFFSET(ITEM_RES!$A$5,MATCH(BUILDING!U200,ITEM_RES!$J$5:$J$229,0)-1,0),0)</f>
        <v>0</v>
      </c>
      <c r="Y200" s="9">
        <f ca="1">IFERROR(OFFSET(ITEM_RES!$A$5,MATCH(BUILDING!X200,ITEM_RES!$J$5:$J$229,0)-1,0),0)</f>
        <v>0</v>
      </c>
      <c r="AA200" s="9" t="s">
        <v>508</v>
      </c>
      <c r="AB200" s="9">
        <v>16</v>
      </c>
      <c r="AD200" s="11">
        <f ca="1">IFERROR(OFFSET(MANOR_LEVEL!$B$1,MATCH(AE200-1,MANOR_LEVEL!$A:$A,0)-1,0),0)</f>
        <v>223207650</v>
      </c>
      <c r="AE200" s="56">
        <v>18</v>
      </c>
      <c r="AG200" s="56">
        <f t="shared" ca="1" si="54"/>
        <v>96750700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96750700</v>
      </c>
      <c r="AI200" s="179">
        <f t="shared" ca="1" si="64"/>
        <v>144001250</v>
      </c>
      <c r="AK200" s="11">
        <f t="shared" si="60"/>
        <v>18000</v>
      </c>
      <c r="AL200" s="10">
        <v>18000</v>
      </c>
      <c r="AM200" s="11">
        <f t="shared" si="61"/>
        <v>700</v>
      </c>
      <c r="AN200" s="10">
        <v>700</v>
      </c>
      <c r="AO200" s="11">
        <v>2150000</v>
      </c>
      <c r="AP200" s="10">
        <v>0</v>
      </c>
      <c r="AQ200" s="56">
        <f t="shared" si="62"/>
        <v>2</v>
      </c>
      <c r="AS200" s="11">
        <f ca="1">IFERROR(OFFSET(ITEM_RES!$A$1,MATCH(AT200,ITEM_RES!$J:$J,0)-1,0),0)</f>
        <v>211020801</v>
      </c>
      <c r="AT200" s="10" t="s">
        <v>387</v>
      </c>
      <c r="AU200" s="11">
        <v>4300000</v>
      </c>
      <c r="AX200" s="11">
        <f ca="1">IFERROR(OFFSET(ITEM_RES!$A$1,MATCH(AY200,ITEM_RES!$J:$J,0)-1,0),0)</f>
        <v>211020901</v>
      </c>
      <c r="AY200" s="10" t="s">
        <v>388</v>
      </c>
      <c r="AZ200" s="11">
        <v>4300000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63"/>
        <v>0</v>
      </c>
    </row>
    <row r="201" spans="1:68" x14ac:dyDescent="0.3">
      <c r="A201" s="14">
        <f t="shared" si="57"/>
        <v>113010017</v>
      </c>
      <c r="B201" s="13">
        <v>11</v>
      </c>
      <c r="C201" s="12">
        <f t="shared" si="58"/>
        <v>3</v>
      </c>
      <c r="D201" s="13">
        <v>1</v>
      </c>
      <c r="E201" s="13">
        <v>0</v>
      </c>
      <c r="F201" s="12">
        <f t="shared" si="59"/>
        <v>17</v>
      </c>
      <c r="H201" s="9">
        <v>3</v>
      </c>
      <c r="I201" s="9">
        <v>17</v>
      </c>
      <c r="K201" s="56" t="s">
        <v>494</v>
      </c>
      <c r="L201" s="56"/>
      <c r="M201" s="9">
        <v>0</v>
      </c>
      <c r="N201" s="9">
        <v>15</v>
      </c>
      <c r="O201" s="9" t="s">
        <v>1033</v>
      </c>
      <c r="S201" s="9" t="s">
        <v>682</v>
      </c>
      <c r="V201" s="9">
        <f ca="1">IFERROR(OFFSET(ITEM_RES!$A$5,MATCH(BUILDING!U201,ITEM_RES!$J$5:$J$229,0)-1,0),0)</f>
        <v>0</v>
      </c>
      <c r="Y201" s="9">
        <f ca="1">IFERROR(OFFSET(ITEM_RES!$A$5,MATCH(BUILDING!X201,ITEM_RES!$J$5:$J$229,0)-1,0),0)</f>
        <v>0</v>
      </c>
      <c r="AA201" s="9" t="s">
        <v>508</v>
      </c>
      <c r="AB201" s="9">
        <v>17</v>
      </c>
      <c r="AD201" s="11">
        <f ca="1">IFERROR(OFFSET(MANOR_LEVEL!$B$1,MATCH(AE201-1,MANOR_LEVEL!$A:$A,0)-1,0),0)</f>
        <v>223207650</v>
      </c>
      <c r="AE201" s="56">
        <v>18</v>
      </c>
      <c r="AG201" s="56">
        <f t="shared" ca="1" si="54"/>
        <v>180000850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180000850</v>
      </c>
      <c r="AI201" s="179">
        <f t="shared" ca="1" si="64"/>
        <v>276751550</v>
      </c>
      <c r="AK201" s="11">
        <f t="shared" si="60"/>
        <v>19800</v>
      </c>
      <c r="AL201" s="10">
        <v>19800</v>
      </c>
      <c r="AM201" s="11">
        <f t="shared" si="61"/>
        <v>850</v>
      </c>
      <c r="AN201" s="10">
        <v>850</v>
      </c>
      <c r="AO201" s="11">
        <v>4000000</v>
      </c>
      <c r="AP201" s="10">
        <v>0</v>
      </c>
      <c r="AQ201" s="56">
        <f t="shared" si="62"/>
        <v>2</v>
      </c>
      <c r="AS201" s="11">
        <f ca="1">IFERROR(OFFSET(ITEM_RES!$A$1,MATCH(AT201,ITEM_RES!$J:$J,0)-1,0),0)</f>
        <v>211020801</v>
      </c>
      <c r="AT201" s="10" t="s">
        <v>387</v>
      </c>
      <c r="AU201" s="11">
        <v>8000000</v>
      </c>
      <c r="AX201" s="11">
        <f ca="1">IFERROR(OFFSET(ITEM_RES!$A$1,MATCH(AY201,ITEM_RES!$J:$J,0)-1,0),0)</f>
        <v>211020901</v>
      </c>
      <c r="AY201" s="10" t="s">
        <v>388</v>
      </c>
      <c r="AZ201" s="11">
        <v>8000000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63"/>
        <v>0</v>
      </c>
    </row>
    <row r="202" spans="1:68" x14ac:dyDescent="0.3">
      <c r="A202" s="14">
        <f t="shared" si="57"/>
        <v>113010018</v>
      </c>
      <c r="B202" s="13">
        <v>11</v>
      </c>
      <c r="C202" s="12">
        <f t="shared" si="58"/>
        <v>3</v>
      </c>
      <c r="D202" s="13">
        <v>1</v>
      </c>
      <c r="E202" s="13">
        <v>0</v>
      </c>
      <c r="F202" s="12">
        <f t="shared" si="59"/>
        <v>18</v>
      </c>
      <c r="H202" s="9">
        <v>3</v>
      </c>
      <c r="I202" s="9">
        <v>18</v>
      </c>
      <c r="K202" s="56" t="s">
        <v>494</v>
      </c>
      <c r="L202" s="56"/>
      <c r="M202" s="9">
        <v>0</v>
      </c>
      <c r="N202" s="9">
        <v>15</v>
      </c>
      <c r="O202" s="9" t="s">
        <v>1033</v>
      </c>
      <c r="S202" s="9" t="s">
        <v>682</v>
      </c>
      <c r="V202" s="9">
        <f ca="1">IFERROR(OFFSET(ITEM_RES!$A$5,MATCH(BUILDING!U202,ITEM_RES!$J$5:$J$229,0)-1,0),0)</f>
        <v>0</v>
      </c>
      <c r="Y202" s="9">
        <f ca="1">IFERROR(OFFSET(ITEM_RES!$A$5,MATCH(BUILDING!X202,ITEM_RES!$J$5:$J$229,0)-1,0),0)</f>
        <v>0</v>
      </c>
      <c r="AA202" s="9" t="s">
        <v>508</v>
      </c>
      <c r="AB202" s="9">
        <v>18</v>
      </c>
      <c r="AD202" s="11">
        <f ca="1">IFERROR(OFFSET(MANOR_LEVEL!$B$1,MATCH(AE202-1,MANOR_LEVEL!$A:$A,0)-1,0),0)</f>
        <v>223207650</v>
      </c>
      <c r="AE202" s="56">
        <v>18</v>
      </c>
      <c r="AG202" s="56">
        <f t="shared" ca="1" si="54"/>
        <v>292501050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292501050</v>
      </c>
      <c r="AI202" s="179">
        <f t="shared" ca="1" si="64"/>
        <v>472501900</v>
      </c>
      <c r="AK202" s="11">
        <f t="shared" si="60"/>
        <v>21600</v>
      </c>
      <c r="AL202" s="10">
        <v>21600</v>
      </c>
      <c r="AM202" s="11">
        <f t="shared" si="61"/>
        <v>1050</v>
      </c>
      <c r="AN202" s="10">
        <v>1050</v>
      </c>
      <c r="AO202" s="11">
        <v>6500000</v>
      </c>
      <c r="AP202" s="10">
        <v>0</v>
      </c>
      <c r="AQ202" s="56">
        <f t="shared" si="62"/>
        <v>2</v>
      </c>
      <c r="AS202" s="11">
        <f ca="1">IFERROR(OFFSET(ITEM_RES!$A$1,MATCH(AT202,ITEM_RES!$J:$J,0)-1,0),0)</f>
        <v>211020801</v>
      </c>
      <c r="AT202" s="10" t="s">
        <v>387</v>
      </c>
      <c r="AU202" s="11">
        <v>13000000</v>
      </c>
      <c r="AX202" s="11">
        <f ca="1">IFERROR(OFFSET(ITEM_RES!$A$1,MATCH(AY202,ITEM_RES!$J:$J,0)-1,0),0)</f>
        <v>211020901</v>
      </c>
      <c r="AY202" s="10" t="s">
        <v>388</v>
      </c>
      <c r="AZ202" s="11">
        <v>13000000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63"/>
        <v>0</v>
      </c>
    </row>
    <row r="203" spans="1:68" x14ac:dyDescent="0.3">
      <c r="A203" s="14">
        <f t="shared" si="57"/>
        <v>113010019</v>
      </c>
      <c r="B203" s="13">
        <v>11</v>
      </c>
      <c r="C203" s="12">
        <f t="shared" si="58"/>
        <v>3</v>
      </c>
      <c r="D203" s="13">
        <v>1</v>
      </c>
      <c r="E203" s="13">
        <v>0</v>
      </c>
      <c r="F203" s="12">
        <f t="shared" si="59"/>
        <v>19</v>
      </c>
      <c r="H203" s="9">
        <v>3</v>
      </c>
      <c r="I203" s="9">
        <v>19</v>
      </c>
      <c r="K203" s="56" t="s">
        <v>494</v>
      </c>
      <c r="L203" s="56"/>
      <c r="M203" s="9">
        <v>0</v>
      </c>
      <c r="N203" s="9">
        <v>15</v>
      </c>
      <c r="O203" s="9" t="s">
        <v>1033</v>
      </c>
      <c r="S203" s="9" t="s">
        <v>682</v>
      </c>
      <c r="V203" s="9">
        <f ca="1">IFERROR(OFFSET(ITEM_RES!$A$5,MATCH(BUILDING!U203,ITEM_RES!$J$5:$J$229,0)-1,0),0)</f>
        <v>0</v>
      </c>
      <c r="Y203" s="9">
        <f ca="1">IFERROR(OFFSET(ITEM_RES!$A$5,MATCH(BUILDING!X203,ITEM_RES!$J$5:$J$229,0)-1,0),0)</f>
        <v>0</v>
      </c>
      <c r="AA203" s="9" t="s">
        <v>508</v>
      </c>
      <c r="AB203" s="9">
        <v>19</v>
      </c>
      <c r="AD203" s="11">
        <f ca="1">IFERROR(OFFSET(MANOR_LEVEL!$B$1,MATCH(AE203-1,MANOR_LEVEL!$A:$A,0)-1,0),0)</f>
        <v>223207650</v>
      </c>
      <c r="AE203" s="56">
        <v>18</v>
      </c>
      <c r="AG203" s="56">
        <f t="shared" ca="1" si="54"/>
        <v>274001250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274001250</v>
      </c>
      <c r="AI203" s="179">
        <f t="shared" ca="1" si="64"/>
        <v>566502300</v>
      </c>
      <c r="AK203" s="11">
        <f t="shared" si="60"/>
        <v>23400</v>
      </c>
      <c r="AL203" s="10">
        <v>23400</v>
      </c>
      <c r="AM203" s="11">
        <f t="shared" si="61"/>
        <v>1250</v>
      </c>
      <c r="AN203" s="10">
        <v>1250</v>
      </c>
      <c r="AO203" s="11">
        <v>10000000</v>
      </c>
      <c r="AP203" s="10">
        <v>0</v>
      </c>
      <c r="AQ203" s="56">
        <f t="shared" si="62"/>
        <v>2</v>
      </c>
      <c r="AS203" s="11">
        <f ca="1">IFERROR(OFFSET(ITEM_RES!$A$1,MATCH(AT203,ITEM_RES!$J:$J,0)-1,0),0)</f>
        <v>211020901</v>
      </c>
      <c r="AT203" s="10" t="s">
        <v>388</v>
      </c>
      <c r="AU203" s="11">
        <v>20000000</v>
      </c>
      <c r="AX203" s="11">
        <f ca="1">IFERROR(OFFSET(ITEM_RES!$A$1,MATCH(AY203,ITEM_RES!$J:$J,0)-1,0),0)</f>
        <v>211020501</v>
      </c>
      <c r="AY203" s="10" t="s">
        <v>419</v>
      </c>
      <c r="AZ203" s="11">
        <v>20000000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63"/>
        <v>0</v>
      </c>
    </row>
    <row r="204" spans="1:68" ht="17.25" thickBot="1" x14ac:dyDescent="0.35">
      <c r="A204" s="14">
        <f t="shared" si="57"/>
        <v>113010020</v>
      </c>
      <c r="B204" s="13">
        <v>11</v>
      </c>
      <c r="C204" s="12">
        <f t="shared" si="58"/>
        <v>3</v>
      </c>
      <c r="D204" s="13">
        <v>1</v>
      </c>
      <c r="E204" s="13">
        <v>0</v>
      </c>
      <c r="F204" s="12">
        <f t="shared" si="59"/>
        <v>20</v>
      </c>
      <c r="H204" s="9">
        <v>3</v>
      </c>
      <c r="I204" s="9">
        <v>20</v>
      </c>
      <c r="K204" s="56" t="s">
        <v>494</v>
      </c>
      <c r="L204" s="56"/>
      <c r="M204" s="9">
        <v>0</v>
      </c>
      <c r="N204" s="9">
        <v>15</v>
      </c>
      <c r="O204" s="9" t="s">
        <v>1033</v>
      </c>
      <c r="S204" s="9" t="s">
        <v>682</v>
      </c>
      <c r="V204" s="9">
        <f ca="1">IFERROR(OFFSET(ITEM_RES!$A$5,MATCH(BUILDING!U204,ITEM_RES!$J$5:$J$229,0)-1,0),0)</f>
        <v>0</v>
      </c>
      <c r="Y204" s="9">
        <f ca="1">IFERROR(OFFSET(ITEM_RES!$A$5,MATCH(BUILDING!X204,ITEM_RES!$J$5:$J$229,0)-1,0),0)</f>
        <v>0</v>
      </c>
      <c r="AA204" s="9" t="s">
        <v>508</v>
      </c>
      <c r="AB204" s="9">
        <v>20</v>
      </c>
      <c r="AD204" s="11">
        <f ca="1">IFERROR(OFFSET(MANOR_LEVEL!$B$1,MATCH(AE204-1,MANOR_LEVEL!$A:$A,0)-1,0),0)</f>
        <v>223207650</v>
      </c>
      <c r="AE204" s="56">
        <v>18</v>
      </c>
      <c r="AG204" s="56">
        <f t="shared" ca="1" si="54"/>
        <v>438401500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438401500</v>
      </c>
      <c r="AI204" s="179">
        <f t="shared" ca="1" si="64"/>
        <v>712402750</v>
      </c>
      <c r="AK204" s="11">
        <f t="shared" si="60"/>
        <v>25200</v>
      </c>
      <c r="AL204" s="10">
        <v>25200</v>
      </c>
      <c r="AM204" s="11">
        <f t="shared" si="61"/>
        <v>1500</v>
      </c>
      <c r="AN204" s="10">
        <v>1500</v>
      </c>
      <c r="AO204" s="11">
        <v>16000000</v>
      </c>
      <c r="AP204" s="10">
        <v>0</v>
      </c>
      <c r="AQ204" s="56">
        <f t="shared" si="62"/>
        <v>2</v>
      </c>
      <c r="AS204" s="11">
        <f ca="1">IFERROR(OFFSET(ITEM_RES!$A$1,MATCH(AT204,ITEM_RES!$J:$J,0)-1,0),0)</f>
        <v>211020901</v>
      </c>
      <c r="AT204" s="10" t="s">
        <v>495</v>
      </c>
      <c r="AU204" s="11">
        <v>32000000</v>
      </c>
      <c r="AX204" s="11">
        <f ca="1">IFERROR(OFFSET(ITEM_RES!$A$1,MATCH(AY204,ITEM_RES!$J:$J,0)-1,0),0)</f>
        <v>211020501</v>
      </c>
      <c r="AY204" s="10" t="s">
        <v>419</v>
      </c>
      <c r="AZ204" s="11">
        <v>32000000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63"/>
        <v>0</v>
      </c>
    </row>
    <row r="205" spans="1:68" s="15" customFormat="1" x14ac:dyDescent="0.3">
      <c r="A205" s="21">
        <f t="shared" ref="A205:A224" si="65">B205*10000000+C205*1000000+D205*10000+E205*100+F205</f>
        <v>113020001</v>
      </c>
      <c r="B205" s="20">
        <v>11</v>
      </c>
      <c r="C205" s="19">
        <f t="shared" ref="C205:C224" si="66">H205</f>
        <v>3</v>
      </c>
      <c r="D205" s="20">
        <v>2</v>
      </c>
      <c r="E205" s="20">
        <v>0</v>
      </c>
      <c r="F205" s="19">
        <f t="shared" ref="F205:F224" si="67">I205</f>
        <v>1</v>
      </c>
      <c r="G205" s="78"/>
      <c r="H205" s="16">
        <v>3</v>
      </c>
      <c r="I205" s="16">
        <v>1</v>
      </c>
      <c r="J205" s="78"/>
      <c r="K205" s="63" t="s">
        <v>560</v>
      </c>
      <c r="L205" s="63">
        <v>6</v>
      </c>
      <c r="M205" s="16">
        <v>1</v>
      </c>
      <c r="N205" s="16">
        <v>15</v>
      </c>
      <c r="O205" s="16" t="s">
        <v>1123</v>
      </c>
      <c r="P205" s="17"/>
      <c r="Q205" s="17"/>
      <c r="R205" s="18"/>
      <c r="S205" s="16" t="s">
        <v>683</v>
      </c>
      <c r="T205" s="78"/>
      <c r="U205" s="86"/>
      <c r="V205" s="16">
        <f ca="1">IFERROR(OFFSET(ITEM_RES!$A$5,MATCH(BUILDING!U205,ITEM_RES!$J$5:$J$229,0)-1,0),0)</f>
        <v>0</v>
      </c>
      <c r="W205" s="18"/>
      <c r="X205" s="86"/>
      <c r="Y205" s="16">
        <f ca="1">IFERROR(OFFSET(ITEM_RES!$A$5,MATCH(BUILDING!X205,ITEM_RES!$J$5:$J$229,0)-1,0),0)</f>
        <v>0</v>
      </c>
      <c r="Z205" s="78"/>
      <c r="AA205" s="16" t="s">
        <v>561</v>
      </c>
      <c r="AB205" s="16">
        <v>1</v>
      </c>
      <c r="AC205" s="78"/>
      <c r="AD205" s="18">
        <f ca="1">IFERROR(OFFSET(MANOR_LEVEL!$B$1,MATCH(AE205-1,MANOR_LEVEL!$A:$A,0)-1,0),0)</f>
        <v>5475</v>
      </c>
      <c r="AE205" s="57">
        <v>5</v>
      </c>
      <c r="AF205" s="78"/>
      <c r="AG205" s="57">
        <f t="shared" ca="1" si="54"/>
        <v>1530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1530</v>
      </c>
      <c r="AI205" s="181">
        <f ca="1">AG205</f>
        <v>1530</v>
      </c>
      <c r="AJ205" s="78"/>
      <c r="AK205" s="18">
        <f t="shared" ref="AK205:AK224" si="68">ROUND(AL205,0)</f>
        <v>5</v>
      </c>
      <c r="AL205" s="17">
        <v>5</v>
      </c>
      <c r="AM205" s="18">
        <f t="shared" ref="AM205:AM224" si="69">ROUND(AN205,0)</f>
        <v>5</v>
      </c>
      <c r="AN205" s="17">
        <v>5</v>
      </c>
      <c r="AO205" s="18">
        <v>25</v>
      </c>
      <c r="AP205" s="17">
        <v>0</v>
      </c>
      <c r="AQ205" s="57">
        <f t="shared" ref="AQ205:AQ224" si="70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387</v>
      </c>
      <c r="AU205" s="18">
        <v>50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390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71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65"/>
        <v>113020002</v>
      </c>
      <c r="B206" s="13">
        <v>11</v>
      </c>
      <c r="C206" s="12">
        <f t="shared" si="66"/>
        <v>3</v>
      </c>
      <c r="D206" s="13">
        <v>2</v>
      </c>
      <c r="E206" s="13">
        <v>0</v>
      </c>
      <c r="F206" s="12">
        <f t="shared" si="67"/>
        <v>2</v>
      </c>
      <c r="G206" s="182"/>
      <c r="H206" s="9">
        <v>3</v>
      </c>
      <c r="I206" s="9">
        <v>2</v>
      </c>
      <c r="J206" s="182"/>
      <c r="K206" s="56" t="s">
        <v>560</v>
      </c>
      <c r="L206" s="56"/>
      <c r="M206" s="9">
        <v>1</v>
      </c>
      <c r="N206" s="9">
        <v>15</v>
      </c>
      <c r="O206" s="9" t="s">
        <v>1123</v>
      </c>
      <c r="P206" s="10"/>
      <c r="Q206" s="10"/>
      <c r="R206" s="11"/>
      <c r="S206" s="9" t="s">
        <v>683</v>
      </c>
      <c r="T206" s="182"/>
      <c r="U206" s="84"/>
      <c r="V206" s="9">
        <f ca="1">IFERROR(OFFSET(ITEM_RES!$A$5,MATCH(BUILDING!U206,ITEM_RES!$J$5:$J$229,0)-1,0),0)</f>
        <v>0</v>
      </c>
      <c r="W206" s="11"/>
      <c r="X206" s="84"/>
      <c r="Y206" s="9">
        <f ca="1">IFERROR(OFFSET(ITEM_RES!$A$5,MATCH(BUILDING!X206,ITEM_RES!$J$5:$J$229,0)-1,0),0)</f>
        <v>0</v>
      </c>
      <c r="Z206" s="182"/>
      <c r="AA206" s="9" t="s">
        <v>561</v>
      </c>
      <c r="AB206" s="9">
        <v>2</v>
      </c>
      <c r="AC206" s="182"/>
      <c r="AD206" s="11">
        <f ca="1">IFERROR(OFFSET(MANOR_LEVEL!$B$1,MATCH(AE206-1,MANOR_LEVEL!$A:$A,0)-1,0),0)</f>
        <v>5475</v>
      </c>
      <c r="AE206" s="56">
        <v>5</v>
      </c>
      <c r="AF206" s="182"/>
      <c r="AG206" s="56">
        <f t="shared" ca="1" si="54"/>
        <v>1060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1060</v>
      </c>
      <c r="AI206" s="179">
        <f ca="1">AG205+AG206</f>
        <v>2590</v>
      </c>
      <c r="AJ206" s="182"/>
      <c r="AK206" s="11">
        <f t="shared" si="68"/>
        <v>10</v>
      </c>
      <c r="AL206" s="10">
        <v>10</v>
      </c>
      <c r="AM206" s="11">
        <f t="shared" si="69"/>
        <v>10</v>
      </c>
      <c r="AN206" s="10">
        <v>10</v>
      </c>
      <c r="AO206" s="11">
        <v>50</v>
      </c>
      <c r="AP206" s="10">
        <v>0</v>
      </c>
      <c r="AQ206" s="56">
        <f t="shared" si="70"/>
        <v>1</v>
      </c>
      <c r="AR206" s="11"/>
      <c r="AS206" s="11">
        <f ca="1">IFERROR(OFFSET(ITEM_RES!$A$1,MATCH(AT206,ITEM_RES!$J:$J,0)-1,0),0)</f>
        <v>211020801</v>
      </c>
      <c r="AT206" s="10" t="s">
        <v>387</v>
      </c>
      <c r="AU206" s="11">
        <v>100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71"/>
        <v>0</v>
      </c>
      <c r="BP206" s="10"/>
    </row>
    <row r="207" spans="1:68" x14ac:dyDescent="0.3">
      <c r="A207" s="14">
        <f t="shared" si="65"/>
        <v>113020003</v>
      </c>
      <c r="B207" s="13">
        <v>11</v>
      </c>
      <c r="C207" s="12">
        <f t="shared" si="66"/>
        <v>3</v>
      </c>
      <c r="D207" s="13">
        <v>2</v>
      </c>
      <c r="E207" s="13">
        <v>0</v>
      </c>
      <c r="F207" s="12">
        <f t="shared" si="67"/>
        <v>3</v>
      </c>
      <c r="H207" s="9">
        <v>3</v>
      </c>
      <c r="I207" s="9">
        <v>3</v>
      </c>
      <c r="K207" s="56" t="s">
        <v>560</v>
      </c>
      <c r="L207" s="56"/>
      <c r="M207" s="9">
        <v>1</v>
      </c>
      <c r="N207" s="9">
        <v>15</v>
      </c>
      <c r="O207" s="9" t="s">
        <v>1123</v>
      </c>
      <c r="S207" s="9" t="s">
        <v>683</v>
      </c>
      <c r="V207" s="9">
        <f ca="1">IFERROR(OFFSET(ITEM_RES!$A$5,MATCH(BUILDING!U207,ITEM_RES!$J$5:$J$229,0)-1,0),0)</f>
        <v>0</v>
      </c>
      <c r="Y207" s="9">
        <f ca="1">IFERROR(OFFSET(ITEM_RES!$A$5,MATCH(BUILDING!X207,ITEM_RES!$J$5:$J$229,0)-1,0),0)</f>
        <v>0</v>
      </c>
      <c r="AA207" s="9" t="s">
        <v>561</v>
      </c>
      <c r="AB207" s="9">
        <v>3</v>
      </c>
      <c r="AD207" s="11">
        <f ca="1">IFERROR(OFFSET(MANOR_LEVEL!$B$1,MATCH(AE207-1,MANOR_LEVEL!$A:$A,0)-1,0),0)</f>
        <v>5475</v>
      </c>
      <c r="AE207" s="56">
        <v>5</v>
      </c>
      <c r="AG207" s="56">
        <f t="shared" ca="1" si="54"/>
        <v>1590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1590</v>
      </c>
      <c r="AI207" s="179">
        <f t="shared" ref="AI207:AI224" ca="1" si="72">AG206+AG207</f>
        <v>2650</v>
      </c>
      <c r="AK207" s="11">
        <f t="shared" si="68"/>
        <v>30</v>
      </c>
      <c r="AL207" s="10">
        <v>30</v>
      </c>
      <c r="AM207" s="11">
        <f t="shared" si="69"/>
        <v>15</v>
      </c>
      <c r="AN207" s="10">
        <v>15</v>
      </c>
      <c r="AO207" s="11">
        <v>75</v>
      </c>
      <c r="AP207" s="10">
        <v>0</v>
      </c>
      <c r="AQ207" s="56">
        <f t="shared" si="70"/>
        <v>1</v>
      </c>
      <c r="AS207" s="11">
        <f ca="1">IFERROR(OFFSET(ITEM_RES!$A$1,MATCH(AT207,ITEM_RES!$J:$J,0)-1,0),0)</f>
        <v>211020801</v>
      </c>
      <c r="AT207" s="10" t="s">
        <v>387</v>
      </c>
      <c r="AU207" s="11">
        <v>150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71"/>
        <v>0</v>
      </c>
    </row>
    <row r="208" spans="1:68" x14ac:dyDescent="0.3">
      <c r="A208" s="14">
        <f t="shared" si="65"/>
        <v>113020004</v>
      </c>
      <c r="B208" s="13">
        <v>11</v>
      </c>
      <c r="C208" s="12">
        <f t="shared" si="66"/>
        <v>3</v>
      </c>
      <c r="D208" s="13">
        <v>2</v>
      </c>
      <c r="E208" s="13">
        <v>0</v>
      </c>
      <c r="F208" s="12">
        <f t="shared" si="67"/>
        <v>4</v>
      </c>
      <c r="H208" s="9">
        <v>3</v>
      </c>
      <c r="I208" s="9">
        <v>4</v>
      </c>
      <c r="K208" s="56" t="s">
        <v>560</v>
      </c>
      <c r="L208" s="56"/>
      <c r="M208" s="9">
        <v>1</v>
      </c>
      <c r="N208" s="9">
        <v>15</v>
      </c>
      <c r="O208" s="9" t="s">
        <v>1123</v>
      </c>
      <c r="S208" s="9" t="s">
        <v>683</v>
      </c>
      <c r="V208" s="9">
        <f ca="1">IFERROR(OFFSET(ITEM_RES!$A$5,MATCH(BUILDING!U208,ITEM_RES!$J$5:$J$229,0)-1,0),0)</f>
        <v>0</v>
      </c>
      <c r="Y208" s="9">
        <f ca="1">IFERROR(OFFSET(ITEM_RES!$A$5,MATCH(BUILDING!X208,ITEM_RES!$J$5:$J$229,0)-1,0),0)</f>
        <v>0</v>
      </c>
      <c r="AA208" s="9" t="s">
        <v>561</v>
      </c>
      <c r="AB208" s="9">
        <v>4</v>
      </c>
      <c r="AD208" s="11">
        <f ca="1">IFERROR(OFFSET(MANOR_LEVEL!$B$1,MATCH(AE208-1,MANOR_LEVEL!$A:$A,0)-1,0),0)</f>
        <v>32560</v>
      </c>
      <c r="AE208" s="56">
        <v>6</v>
      </c>
      <c r="AG208" s="56">
        <f t="shared" ca="1" si="54"/>
        <v>6325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6325</v>
      </c>
      <c r="AI208" s="179">
        <f t="shared" ca="1" si="72"/>
        <v>7915</v>
      </c>
      <c r="AK208" s="11">
        <f t="shared" si="68"/>
        <v>300</v>
      </c>
      <c r="AL208" s="10">
        <v>300</v>
      </c>
      <c r="AM208" s="11">
        <f t="shared" si="69"/>
        <v>25</v>
      </c>
      <c r="AN208" s="10">
        <v>25</v>
      </c>
      <c r="AO208" s="11">
        <v>300</v>
      </c>
      <c r="AP208" s="10">
        <v>0</v>
      </c>
      <c r="AQ208" s="56">
        <f t="shared" si="70"/>
        <v>1</v>
      </c>
      <c r="AS208" s="11">
        <f ca="1">IFERROR(OFFSET(ITEM_RES!$A$1,MATCH(AT208,ITEM_RES!$J:$J,0)-1,0),0)</f>
        <v>211020801</v>
      </c>
      <c r="AT208" s="10" t="s">
        <v>387</v>
      </c>
      <c r="AU208" s="11">
        <v>600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71"/>
        <v>0</v>
      </c>
    </row>
    <row r="209" spans="1:67" x14ac:dyDescent="0.3">
      <c r="A209" s="14">
        <f t="shared" si="65"/>
        <v>113020005</v>
      </c>
      <c r="B209" s="13">
        <v>11</v>
      </c>
      <c r="C209" s="12">
        <f t="shared" si="66"/>
        <v>3</v>
      </c>
      <c r="D209" s="13">
        <v>2</v>
      </c>
      <c r="E209" s="13">
        <v>0</v>
      </c>
      <c r="F209" s="12">
        <f t="shared" si="67"/>
        <v>5</v>
      </c>
      <c r="H209" s="9">
        <v>3</v>
      </c>
      <c r="I209" s="9">
        <v>5</v>
      </c>
      <c r="K209" s="56" t="s">
        <v>560</v>
      </c>
      <c r="L209" s="56"/>
      <c r="M209" s="9">
        <v>1</v>
      </c>
      <c r="N209" s="9">
        <v>15</v>
      </c>
      <c r="O209" s="9" t="s">
        <v>1123</v>
      </c>
      <c r="S209" s="9" t="s">
        <v>683</v>
      </c>
      <c r="V209" s="9">
        <f ca="1">IFERROR(OFFSET(ITEM_RES!$A$5,MATCH(BUILDING!U209,ITEM_RES!$J$5:$J$229,0)-1,0),0)</f>
        <v>0</v>
      </c>
      <c r="Y209" s="9">
        <f ca="1">IFERROR(OFFSET(ITEM_RES!$A$5,MATCH(BUILDING!X209,ITEM_RES!$J$5:$J$229,0)-1,0),0)</f>
        <v>0</v>
      </c>
      <c r="AA209" s="9" t="s">
        <v>561</v>
      </c>
      <c r="AB209" s="9">
        <v>5</v>
      </c>
      <c r="AD209" s="11">
        <f ca="1">IFERROR(OFFSET(MANOR_LEVEL!$B$1,MATCH(AE209-1,MANOR_LEVEL!$A:$A,0)-1,0),0)</f>
        <v>32560</v>
      </c>
      <c r="AE209" s="56">
        <v>6</v>
      </c>
      <c r="AG209" s="56">
        <f t="shared" ca="1" si="54"/>
        <v>28390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28390</v>
      </c>
      <c r="AI209" s="179">
        <f t="shared" ca="1" si="72"/>
        <v>34715</v>
      </c>
      <c r="AK209" s="11">
        <f t="shared" si="68"/>
        <v>600</v>
      </c>
      <c r="AL209" s="10">
        <v>600</v>
      </c>
      <c r="AM209" s="11">
        <f t="shared" si="69"/>
        <v>40</v>
      </c>
      <c r="AN209" s="10">
        <v>40</v>
      </c>
      <c r="AO209" s="11">
        <v>1350</v>
      </c>
      <c r="AP209" s="10">
        <v>0</v>
      </c>
      <c r="AQ209" s="56">
        <f t="shared" si="70"/>
        <v>1</v>
      </c>
      <c r="AS209" s="11">
        <f ca="1">IFERROR(OFFSET(ITEM_RES!$A$1,MATCH(AT209,ITEM_RES!$J:$J,0)-1,0),0)</f>
        <v>211020801</v>
      </c>
      <c r="AT209" s="10" t="s">
        <v>387</v>
      </c>
      <c r="AU209" s="11">
        <v>2700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71"/>
        <v>0</v>
      </c>
    </row>
    <row r="210" spans="1:67" x14ac:dyDescent="0.3">
      <c r="A210" s="14">
        <f t="shared" si="65"/>
        <v>113020006</v>
      </c>
      <c r="B210" s="13">
        <v>11</v>
      </c>
      <c r="C210" s="12">
        <f t="shared" si="66"/>
        <v>3</v>
      </c>
      <c r="D210" s="13">
        <v>2</v>
      </c>
      <c r="E210" s="13">
        <v>0</v>
      </c>
      <c r="F210" s="12">
        <f t="shared" si="67"/>
        <v>6</v>
      </c>
      <c r="H210" s="9">
        <v>3</v>
      </c>
      <c r="I210" s="9">
        <v>6</v>
      </c>
      <c r="K210" s="56" t="s">
        <v>560</v>
      </c>
      <c r="L210" s="56"/>
      <c r="M210" s="9">
        <v>1</v>
      </c>
      <c r="N210" s="9">
        <v>15</v>
      </c>
      <c r="O210" s="9" t="s">
        <v>1123</v>
      </c>
      <c r="S210" s="9" t="s">
        <v>683</v>
      </c>
      <c r="V210" s="9">
        <f ca="1">IFERROR(OFFSET(ITEM_RES!$A$5,MATCH(BUILDING!U210,ITEM_RES!$J$5:$J$229,0)-1,0),0)</f>
        <v>0</v>
      </c>
      <c r="Y210" s="9">
        <f ca="1">IFERROR(OFFSET(ITEM_RES!$A$5,MATCH(BUILDING!X210,ITEM_RES!$J$5:$J$229,0)-1,0),0)</f>
        <v>0</v>
      </c>
      <c r="AA210" s="9" t="s">
        <v>561</v>
      </c>
      <c r="AB210" s="9">
        <v>6</v>
      </c>
      <c r="AD210" s="11">
        <f ca="1">IFERROR(OFFSET(MANOR_LEVEL!$B$1,MATCH(AE210-1,MANOR_LEVEL!$A:$A,0)-1,0),0)</f>
        <v>32560</v>
      </c>
      <c r="AE210" s="56">
        <v>6</v>
      </c>
      <c r="AG210" s="56">
        <f t="shared" ca="1" si="54"/>
        <v>94550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94550</v>
      </c>
      <c r="AI210" s="179">
        <f t="shared" ca="1" si="72"/>
        <v>122940</v>
      </c>
      <c r="AK210" s="11">
        <f t="shared" si="68"/>
        <v>1200</v>
      </c>
      <c r="AL210" s="10">
        <v>1200</v>
      </c>
      <c r="AM210" s="11">
        <f t="shared" si="69"/>
        <v>50</v>
      </c>
      <c r="AN210" s="10">
        <v>50</v>
      </c>
      <c r="AO210" s="11">
        <v>4500</v>
      </c>
      <c r="AP210" s="10">
        <v>0</v>
      </c>
      <c r="AQ210" s="56">
        <f t="shared" si="70"/>
        <v>1</v>
      </c>
      <c r="AS210" s="11">
        <f ca="1">IFERROR(OFFSET(ITEM_RES!$A$1,MATCH(AT210,ITEM_RES!$J:$J,0)-1,0),0)</f>
        <v>211020801</v>
      </c>
      <c r="AT210" s="10" t="s">
        <v>387</v>
      </c>
      <c r="AU210" s="11">
        <v>9000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71"/>
        <v>0</v>
      </c>
    </row>
    <row r="211" spans="1:67" x14ac:dyDescent="0.3">
      <c r="A211" s="14">
        <f t="shared" si="65"/>
        <v>113020007</v>
      </c>
      <c r="B211" s="13">
        <v>11</v>
      </c>
      <c r="C211" s="12">
        <f t="shared" si="66"/>
        <v>3</v>
      </c>
      <c r="D211" s="13">
        <v>2</v>
      </c>
      <c r="E211" s="13">
        <v>0</v>
      </c>
      <c r="F211" s="12">
        <f t="shared" si="67"/>
        <v>7</v>
      </c>
      <c r="H211" s="9">
        <v>3</v>
      </c>
      <c r="I211" s="9">
        <v>7</v>
      </c>
      <c r="K211" s="56" t="s">
        <v>560</v>
      </c>
      <c r="L211" s="56"/>
      <c r="M211" s="9">
        <v>1</v>
      </c>
      <c r="N211" s="9">
        <v>15</v>
      </c>
      <c r="O211" s="9" t="s">
        <v>1123</v>
      </c>
      <c r="S211" s="9" t="s">
        <v>683</v>
      </c>
      <c r="V211" s="9">
        <f ca="1">IFERROR(OFFSET(ITEM_RES!$A$5,MATCH(BUILDING!U211,ITEM_RES!$J$5:$J$229,0)-1,0),0)</f>
        <v>0</v>
      </c>
      <c r="Y211" s="9">
        <f ca="1">IFERROR(OFFSET(ITEM_RES!$A$5,MATCH(BUILDING!X211,ITEM_RES!$J$5:$J$229,0)-1,0),0)</f>
        <v>0</v>
      </c>
      <c r="AA211" s="9" t="s">
        <v>561</v>
      </c>
      <c r="AB211" s="9">
        <v>7</v>
      </c>
      <c r="AD211" s="11">
        <f ca="1">IFERROR(OFFSET(MANOR_LEVEL!$B$1,MATCH(AE211-1,MANOR_LEVEL!$A:$A,0)-1,0),0)</f>
        <v>32560</v>
      </c>
      <c r="AE211" s="56">
        <v>6</v>
      </c>
      <c r="AG211" s="56">
        <f t="shared" ca="1" si="54"/>
        <v>210100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210100</v>
      </c>
      <c r="AI211" s="179">
        <f t="shared" ca="1" si="72"/>
        <v>304650</v>
      </c>
      <c r="AK211" s="11">
        <f t="shared" si="68"/>
        <v>1800</v>
      </c>
      <c r="AL211" s="10">
        <v>1800</v>
      </c>
      <c r="AM211" s="11">
        <f t="shared" si="69"/>
        <v>100</v>
      </c>
      <c r="AN211" s="10">
        <v>100</v>
      </c>
      <c r="AO211" s="11">
        <v>10000</v>
      </c>
      <c r="AP211" s="10">
        <v>0</v>
      </c>
      <c r="AQ211" s="56">
        <f t="shared" si="70"/>
        <v>1</v>
      </c>
      <c r="AS211" s="11">
        <f ca="1">IFERROR(OFFSET(ITEM_RES!$A$1,MATCH(AT211,ITEM_RES!$J:$J,0)-1,0),0)</f>
        <v>211020801</v>
      </c>
      <c r="AT211" s="10" t="s">
        <v>387</v>
      </c>
      <c r="AU211" s="11">
        <v>20000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71"/>
        <v>0</v>
      </c>
    </row>
    <row r="212" spans="1:67" x14ac:dyDescent="0.3">
      <c r="A212" s="14">
        <f t="shared" si="65"/>
        <v>113020008</v>
      </c>
      <c r="B212" s="13">
        <v>11</v>
      </c>
      <c r="C212" s="12">
        <f t="shared" si="66"/>
        <v>3</v>
      </c>
      <c r="D212" s="13">
        <v>2</v>
      </c>
      <c r="E212" s="13">
        <v>0</v>
      </c>
      <c r="F212" s="12">
        <f t="shared" si="67"/>
        <v>8</v>
      </c>
      <c r="H212" s="9">
        <v>3</v>
      </c>
      <c r="I212" s="9">
        <v>8</v>
      </c>
      <c r="K212" s="56" t="s">
        <v>560</v>
      </c>
      <c r="L212" s="56"/>
      <c r="M212" s="9">
        <v>1</v>
      </c>
      <c r="N212" s="9">
        <v>15</v>
      </c>
      <c r="O212" s="9" t="s">
        <v>1124</v>
      </c>
      <c r="S212" s="9" t="s">
        <v>683</v>
      </c>
      <c r="V212" s="9">
        <f ca="1">IFERROR(OFFSET(ITEM_RES!$A$5,MATCH(BUILDING!U212,ITEM_RES!$J$5:$J$229,0)-1,0),0)</f>
        <v>0</v>
      </c>
      <c r="Y212" s="9">
        <f ca="1">IFERROR(OFFSET(ITEM_RES!$A$5,MATCH(BUILDING!X212,ITEM_RES!$J$5:$J$229,0)-1,0),0)</f>
        <v>0</v>
      </c>
      <c r="AA212" s="9" t="s">
        <v>561</v>
      </c>
      <c r="AB212" s="9">
        <v>8</v>
      </c>
      <c r="AD212" s="11">
        <f ca="1">IFERROR(OFFSET(MANOR_LEVEL!$B$1,MATCH(AE212-1,MANOR_LEVEL!$A:$A,0)-1,0),0)</f>
        <v>32560</v>
      </c>
      <c r="AE212" s="56">
        <v>6</v>
      </c>
      <c r="AG212" s="56">
        <f t="shared" ca="1" si="54"/>
        <v>441100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441100</v>
      </c>
      <c r="AI212" s="179">
        <f t="shared" ca="1" si="72"/>
        <v>651200</v>
      </c>
      <c r="AK212" s="11">
        <f t="shared" si="68"/>
        <v>3600</v>
      </c>
      <c r="AL212" s="10">
        <v>3600</v>
      </c>
      <c r="AM212" s="11">
        <f t="shared" si="69"/>
        <v>100</v>
      </c>
      <c r="AN212" s="10">
        <v>100</v>
      </c>
      <c r="AO212" s="11">
        <v>21000</v>
      </c>
      <c r="AP212" s="10">
        <v>0</v>
      </c>
      <c r="AQ212" s="56">
        <f t="shared" si="70"/>
        <v>1</v>
      </c>
      <c r="AS212" s="11">
        <f ca="1">IFERROR(OFFSET(ITEM_RES!$A$1,MATCH(AT212,ITEM_RES!$J:$J,0)-1,0),0)</f>
        <v>211020801</v>
      </c>
      <c r="AT212" s="10" t="s">
        <v>387</v>
      </c>
      <c r="AU212" s="11">
        <v>42000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71"/>
        <v>0</v>
      </c>
    </row>
    <row r="213" spans="1:67" x14ac:dyDescent="0.3">
      <c r="A213" s="14">
        <f t="shared" si="65"/>
        <v>113020009</v>
      </c>
      <c r="B213" s="13">
        <v>11</v>
      </c>
      <c r="C213" s="12">
        <f t="shared" si="66"/>
        <v>3</v>
      </c>
      <c r="D213" s="13">
        <v>2</v>
      </c>
      <c r="E213" s="13">
        <v>0</v>
      </c>
      <c r="F213" s="12">
        <f t="shared" si="67"/>
        <v>9</v>
      </c>
      <c r="H213" s="9">
        <v>3</v>
      </c>
      <c r="I213" s="9">
        <v>9</v>
      </c>
      <c r="K213" s="56" t="s">
        <v>560</v>
      </c>
      <c r="L213" s="56"/>
      <c r="M213" s="9">
        <v>1</v>
      </c>
      <c r="N213" s="9">
        <v>15</v>
      </c>
      <c r="O213" s="9" t="s">
        <v>1124</v>
      </c>
      <c r="S213" s="9" t="s">
        <v>683</v>
      </c>
      <c r="V213" s="9">
        <f ca="1">IFERROR(OFFSET(ITEM_RES!$A$5,MATCH(BUILDING!U213,ITEM_RES!$J$5:$J$229,0)-1,0),0)</f>
        <v>0</v>
      </c>
      <c r="Y213" s="9">
        <f ca="1">IFERROR(OFFSET(ITEM_RES!$A$5,MATCH(BUILDING!X213,ITEM_RES!$J$5:$J$229,0)-1,0),0)</f>
        <v>0</v>
      </c>
      <c r="AA213" s="9" t="s">
        <v>561</v>
      </c>
      <c r="AB213" s="9">
        <v>9</v>
      </c>
      <c r="AD213" s="11">
        <f ca="1">IFERROR(OFFSET(MANOR_LEVEL!$B$1,MATCH(AE213-1,MANOR_LEVEL!$A:$A,0)-1,0),0)</f>
        <v>32560</v>
      </c>
      <c r="AE213" s="56">
        <v>6</v>
      </c>
      <c r="AG213" s="56">
        <f t="shared" ca="1" si="54"/>
        <v>819150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819150</v>
      </c>
      <c r="AI213" s="179">
        <f t="shared" ca="1" si="72"/>
        <v>1260250</v>
      </c>
      <c r="AK213" s="11">
        <f t="shared" si="68"/>
        <v>5400</v>
      </c>
      <c r="AL213" s="10">
        <v>5400</v>
      </c>
      <c r="AM213" s="11">
        <f t="shared" si="69"/>
        <v>150</v>
      </c>
      <c r="AN213" s="10">
        <v>150</v>
      </c>
      <c r="AO213" s="11">
        <v>39000</v>
      </c>
      <c r="AP213" s="10">
        <v>0</v>
      </c>
      <c r="AQ213" s="56">
        <f t="shared" si="70"/>
        <v>1</v>
      </c>
      <c r="AS213" s="11">
        <f ca="1">IFERROR(OFFSET(ITEM_RES!$A$1,MATCH(AT213,ITEM_RES!$J:$J,0)-1,0),0)</f>
        <v>211020801</v>
      </c>
      <c r="AT213" s="10" t="s">
        <v>387</v>
      </c>
      <c r="AU213" s="11">
        <v>78000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71"/>
        <v>0</v>
      </c>
    </row>
    <row r="214" spans="1:67" x14ac:dyDescent="0.3">
      <c r="A214" s="14">
        <f t="shared" si="65"/>
        <v>113020010</v>
      </c>
      <c r="B214" s="13">
        <v>11</v>
      </c>
      <c r="C214" s="12">
        <f t="shared" si="66"/>
        <v>3</v>
      </c>
      <c r="D214" s="13">
        <v>2</v>
      </c>
      <c r="E214" s="13">
        <v>0</v>
      </c>
      <c r="F214" s="12">
        <f t="shared" si="67"/>
        <v>10</v>
      </c>
      <c r="H214" s="9">
        <v>3</v>
      </c>
      <c r="I214" s="9">
        <v>10</v>
      </c>
      <c r="K214" s="56" t="s">
        <v>560</v>
      </c>
      <c r="L214" s="56"/>
      <c r="M214" s="9">
        <v>1</v>
      </c>
      <c r="N214" s="9">
        <v>15</v>
      </c>
      <c r="O214" s="9" t="s">
        <v>1125</v>
      </c>
      <c r="S214" s="9" t="s">
        <v>683</v>
      </c>
      <c r="V214" s="9">
        <f ca="1">IFERROR(OFFSET(ITEM_RES!$A$5,MATCH(BUILDING!U214,ITEM_RES!$J$5:$J$229,0)-1,0),0)</f>
        <v>0</v>
      </c>
      <c r="Y214" s="9">
        <f ca="1">IFERROR(OFFSET(ITEM_RES!$A$5,MATCH(BUILDING!X214,ITEM_RES!$J$5:$J$229,0)-1,0),0)</f>
        <v>0</v>
      </c>
      <c r="AA214" s="9" t="s">
        <v>561</v>
      </c>
      <c r="AB214" s="9">
        <v>10</v>
      </c>
      <c r="AD214" s="11">
        <f ca="1">IFERROR(OFFSET(MANOR_LEVEL!$B$1,MATCH(AE214-1,MANOR_LEVEL!$A:$A,0)-1,0),0)</f>
        <v>32560</v>
      </c>
      <c r="AE214" s="56">
        <v>6</v>
      </c>
      <c r="AG214" s="56">
        <f t="shared" ca="1" si="54"/>
        <v>1366200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1366200</v>
      </c>
      <c r="AI214" s="179">
        <f t="shared" ca="1" si="72"/>
        <v>2185350</v>
      </c>
      <c r="AK214" s="11">
        <f t="shared" si="68"/>
        <v>7200</v>
      </c>
      <c r="AL214" s="10">
        <v>7200</v>
      </c>
      <c r="AM214" s="11">
        <f t="shared" si="69"/>
        <v>200</v>
      </c>
      <c r="AN214" s="10">
        <v>200</v>
      </c>
      <c r="AO214" s="11">
        <v>65000</v>
      </c>
      <c r="AP214" s="10">
        <v>0</v>
      </c>
      <c r="AQ214" s="56">
        <f t="shared" si="70"/>
        <v>2</v>
      </c>
      <c r="AS214" s="11">
        <f ca="1">IFERROR(OFFSET(ITEM_RES!$A$1,MATCH(AT214,ITEM_RES!$J:$J,0)-1,0),0)</f>
        <v>211020801</v>
      </c>
      <c r="AT214" s="10" t="s">
        <v>387</v>
      </c>
      <c r="AU214" s="11">
        <v>130000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455</v>
      </c>
      <c r="BJ214" s="11">
        <v>1</v>
      </c>
      <c r="BM214" s="11">
        <f ca="1">IFERROR(OFFSET(ITEM_RES!$A$1,MATCH(BN214,ITEM_RES!$J:$J,0)-1,0),0)</f>
        <v>0</v>
      </c>
      <c r="BO214" s="11">
        <f t="shared" si="71"/>
        <v>0</v>
      </c>
    </row>
    <row r="215" spans="1:67" x14ac:dyDescent="0.3">
      <c r="A215" s="14">
        <f t="shared" si="65"/>
        <v>113020011</v>
      </c>
      <c r="B215" s="13">
        <v>11</v>
      </c>
      <c r="C215" s="12">
        <f t="shared" si="66"/>
        <v>3</v>
      </c>
      <c r="D215" s="13">
        <v>2</v>
      </c>
      <c r="E215" s="13">
        <v>0</v>
      </c>
      <c r="F215" s="12">
        <f t="shared" si="67"/>
        <v>11</v>
      </c>
      <c r="H215" s="9">
        <v>3</v>
      </c>
      <c r="I215" s="9">
        <v>11</v>
      </c>
      <c r="K215" s="56" t="s">
        <v>560</v>
      </c>
      <c r="L215" s="56"/>
      <c r="M215" s="9">
        <v>1</v>
      </c>
      <c r="N215" s="9">
        <v>15</v>
      </c>
      <c r="O215" s="9" t="s">
        <v>1125</v>
      </c>
      <c r="S215" s="9" t="s">
        <v>683</v>
      </c>
      <c r="V215" s="9">
        <f ca="1">IFERROR(OFFSET(ITEM_RES!$A$5,MATCH(BUILDING!U215,ITEM_RES!$J$5:$J$229,0)-1,0),0)</f>
        <v>0</v>
      </c>
      <c r="Y215" s="9">
        <f ca="1">IFERROR(OFFSET(ITEM_RES!$A$5,MATCH(BUILDING!X215,ITEM_RES!$J$5:$J$229,0)-1,0),0)</f>
        <v>0</v>
      </c>
      <c r="AA215" s="9" t="s">
        <v>561</v>
      </c>
      <c r="AB215" s="9">
        <v>11</v>
      </c>
      <c r="AD215" s="11">
        <f ca="1">IFERROR(OFFSET(MANOR_LEVEL!$B$1,MATCH(AE215-1,MANOR_LEVEL!$A:$A,0)-1,0),0)</f>
        <v>240400</v>
      </c>
      <c r="AE215" s="56">
        <v>8</v>
      </c>
      <c r="AG215" s="56">
        <f t="shared" ca="1" si="54"/>
        <v>2310250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2310250</v>
      </c>
      <c r="AI215" s="179">
        <f t="shared" ca="1" si="72"/>
        <v>3676450</v>
      </c>
      <c r="AK215" s="11">
        <f t="shared" si="68"/>
        <v>9000</v>
      </c>
      <c r="AL215" s="10">
        <v>9000</v>
      </c>
      <c r="AM215" s="11">
        <f t="shared" si="69"/>
        <v>250</v>
      </c>
      <c r="AN215" s="10">
        <v>250</v>
      </c>
      <c r="AO215" s="11">
        <v>110000</v>
      </c>
      <c r="AP215" s="10">
        <v>0</v>
      </c>
      <c r="AQ215" s="56">
        <f t="shared" si="70"/>
        <v>1</v>
      </c>
      <c r="AS215" s="11">
        <f ca="1">IFERROR(OFFSET(ITEM_RES!$A$1,MATCH(AT215,ITEM_RES!$J:$J,0)-1,0),0)</f>
        <v>211020801</v>
      </c>
      <c r="AT215" s="10" t="s">
        <v>387</v>
      </c>
      <c r="AU215" s="11">
        <v>220000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71"/>
        <v>0</v>
      </c>
    </row>
    <row r="216" spans="1:67" x14ac:dyDescent="0.3">
      <c r="A216" s="14">
        <f t="shared" si="65"/>
        <v>113020012</v>
      </c>
      <c r="B216" s="13">
        <v>11</v>
      </c>
      <c r="C216" s="12">
        <f t="shared" si="66"/>
        <v>3</v>
      </c>
      <c r="D216" s="13">
        <v>2</v>
      </c>
      <c r="E216" s="13">
        <v>0</v>
      </c>
      <c r="F216" s="12">
        <f t="shared" si="67"/>
        <v>12</v>
      </c>
      <c r="H216" s="9">
        <v>3</v>
      </c>
      <c r="I216" s="9">
        <v>12</v>
      </c>
      <c r="K216" s="56" t="s">
        <v>560</v>
      </c>
      <c r="L216" s="56"/>
      <c r="M216" s="9">
        <v>1</v>
      </c>
      <c r="N216" s="9">
        <v>15</v>
      </c>
      <c r="O216" s="9" t="s">
        <v>1125</v>
      </c>
      <c r="S216" s="9" t="s">
        <v>683</v>
      </c>
      <c r="V216" s="9">
        <f ca="1">IFERROR(OFFSET(ITEM_RES!$A$5,MATCH(BUILDING!U216,ITEM_RES!$J$5:$J$229,0)-1,0),0)</f>
        <v>0</v>
      </c>
      <c r="Y216" s="9">
        <f ca="1">IFERROR(OFFSET(ITEM_RES!$A$5,MATCH(BUILDING!X216,ITEM_RES!$J$5:$J$229,0)-1,0),0)</f>
        <v>0</v>
      </c>
      <c r="AA216" s="9" t="s">
        <v>561</v>
      </c>
      <c r="AB216" s="9">
        <v>12</v>
      </c>
      <c r="AD216" s="11">
        <f ca="1">IFERROR(OFFSET(MANOR_LEVEL!$B$1,MATCH(AE216-1,MANOR_LEVEL!$A:$A,0)-1,0),0)</f>
        <v>630500</v>
      </c>
      <c r="AE216" s="56">
        <v>9</v>
      </c>
      <c r="AG216" s="56">
        <f t="shared" ca="1" si="54"/>
        <v>8325300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8325300</v>
      </c>
      <c r="AI216" s="179">
        <f t="shared" ca="1" si="72"/>
        <v>10635550</v>
      </c>
      <c r="AK216" s="11">
        <f t="shared" si="68"/>
        <v>10800</v>
      </c>
      <c r="AL216" s="10">
        <v>10800</v>
      </c>
      <c r="AM216" s="11">
        <f t="shared" si="69"/>
        <v>300</v>
      </c>
      <c r="AN216" s="10">
        <v>300</v>
      </c>
      <c r="AO216" s="11">
        <v>185000</v>
      </c>
      <c r="AP216" s="10">
        <v>0</v>
      </c>
      <c r="AQ216" s="56">
        <f t="shared" si="70"/>
        <v>2</v>
      </c>
      <c r="AS216" s="11">
        <f ca="1">IFERROR(OFFSET(ITEM_RES!$A$1,MATCH(AT216,ITEM_RES!$J:$J,0)-1,0),0)</f>
        <v>211020801</v>
      </c>
      <c r="AT216" s="10" t="s">
        <v>387</v>
      </c>
      <c r="AU216" s="11">
        <v>370000</v>
      </c>
      <c r="AX216" s="11">
        <f ca="1">IFERROR(OFFSET(ITEM_RES!$A$1,MATCH(AY216,ITEM_RES!$J:$J,0)-1,0),0)</f>
        <v>211020901</v>
      </c>
      <c r="AY216" s="10" t="s">
        <v>388</v>
      </c>
      <c r="AZ216" s="11">
        <v>370000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71"/>
        <v>0</v>
      </c>
    </row>
    <row r="217" spans="1:67" x14ac:dyDescent="0.3">
      <c r="A217" s="14">
        <f t="shared" si="65"/>
        <v>113020013</v>
      </c>
      <c r="B217" s="13">
        <v>11</v>
      </c>
      <c r="C217" s="12">
        <f t="shared" si="66"/>
        <v>3</v>
      </c>
      <c r="D217" s="13">
        <v>2</v>
      </c>
      <c r="E217" s="13">
        <v>0</v>
      </c>
      <c r="F217" s="12">
        <f t="shared" si="67"/>
        <v>13</v>
      </c>
      <c r="H217" s="9">
        <v>3</v>
      </c>
      <c r="I217" s="9">
        <v>13</v>
      </c>
      <c r="K217" s="56" t="s">
        <v>560</v>
      </c>
      <c r="L217" s="56"/>
      <c r="M217" s="9">
        <v>1</v>
      </c>
      <c r="N217" s="9">
        <v>15</v>
      </c>
      <c r="O217" s="9" t="s">
        <v>1125</v>
      </c>
      <c r="S217" s="9" t="s">
        <v>683</v>
      </c>
      <c r="V217" s="9">
        <f ca="1">IFERROR(OFFSET(ITEM_RES!$A$5,MATCH(BUILDING!U217,ITEM_RES!$J$5:$J$229,0)-1,0),0)</f>
        <v>0</v>
      </c>
      <c r="Y217" s="9">
        <f ca="1">IFERROR(OFFSET(ITEM_RES!$A$5,MATCH(BUILDING!X217,ITEM_RES!$J$5:$J$229,0)-1,0),0)</f>
        <v>0</v>
      </c>
      <c r="AA217" s="9" t="s">
        <v>561</v>
      </c>
      <c r="AB217" s="9">
        <v>13</v>
      </c>
      <c r="AD217" s="11">
        <f ca="1">IFERROR(OFFSET(MANOR_LEVEL!$B$1,MATCH(AE217-1,MANOR_LEVEL!$A:$A,0)-1,0),0)</f>
        <v>1170750</v>
      </c>
      <c r="AE217" s="56">
        <v>10</v>
      </c>
      <c r="AG217" s="56">
        <f t="shared" ca="1" si="54"/>
        <v>13950350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13950350</v>
      </c>
      <c r="AI217" s="179">
        <f t="shared" ca="1" si="72"/>
        <v>22275650</v>
      </c>
      <c r="AK217" s="11">
        <f t="shared" si="68"/>
        <v>12600</v>
      </c>
      <c r="AL217" s="10">
        <v>12600</v>
      </c>
      <c r="AM217" s="11">
        <f t="shared" si="69"/>
        <v>350</v>
      </c>
      <c r="AN217" s="10">
        <v>350</v>
      </c>
      <c r="AO217" s="11">
        <v>310000</v>
      </c>
      <c r="AP217" s="10">
        <v>0</v>
      </c>
      <c r="AQ217" s="56">
        <f t="shared" si="70"/>
        <v>2</v>
      </c>
      <c r="AS217" s="11">
        <f ca="1">IFERROR(OFFSET(ITEM_RES!$A$1,MATCH(AT217,ITEM_RES!$J:$J,0)-1,0),0)</f>
        <v>211020801</v>
      </c>
      <c r="AT217" s="10" t="s">
        <v>387</v>
      </c>
      <c r="AU217" s="11">
        <v>620000</v>
      </c>
      <c r="AX217" s="11">
        <f ca="1">IFERROR(OFFSET(ITEM_RES!$A$1,MATCH(AY217,ITEM_RES!$J:$J,0)-1,0),0)</f>
        <v>211020901</v>
      </c>
      <c r="AY217" s="10" t="s">
        <v>388</v>
      </c>
      <c r="AZ217" s="11">
        <v>620000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71"/>
        <v>0</v>
      </c>
    </row>
    <row r="218" spans="1:67" x14ac:dyDescent="0.3">
      <c r="A218" s="14">
        <f t="shared" si="65"/>
        <v>113020014</v>
      </c>
      <c r="B218" s="13">
        <v>11</v>
      </c>
      <c r="C218" s="12">
        <f t="shared" si="66"/>
        <v>3</v>
      </c>
      <c r="D218" s="13">
        <v>2</v>
      </c>
      <c r="E218" s="13">
        <v>0</v>
      </c>
      <c r="F218" s="12">
        <f t="shared" si="67"/>
        <v>14</v>
      </c>
      <c r="H218" s="9">
        <v>3</v>
      </c>
      <c r="I218" s="9">
        <v>14</v>
      </c>
      <c r="K218" s="56" t="s">
        <v>560</v>
      </c>
      <c r="L218" s="56"/>
      <c r="M218" s="9">
        <v>1</v>
      </c>
      <c r="N218" s="9">
        <v>15</v>
      </c>
      <c r="O218" s="9" t="s">
        <v>1125</v>
      </c>
      <c r="S218" s="9" t="s">
        <v>683</v>
      </c>
      <c r="V218" s="9">
        <f ca="1">IFERROR(OFFSET(ITEM_RES!$A$5,MATCH(BUILDING!U218,ITEM_RES!$J$5:$J$229,0)-1,0),0)</f>
        <v>0</v>
      </c>
      <c r="Y218" s="9">
        <f ca="1">IFERROR(OFFSET(ITEM_RES!$A$5,MATCH(BUILDING!X218,ITEM_RES!$J$5:$J$229,0)-1,0),0)</f>
        <v>0</v>
      </c>
      <c r="AA218" s="9" t="s">
        <v>561</v>
      </c>
      <c r="AB218" s="9">
        <v>14</v>
      </c>
      <c r="AD218" s="11">
        <f ca="1">IFERROR(OFFSET(MANOR_LEVEL!$B$1,MATCH(AE218-1,MANOR_LEVEL!$A:$A,0)-1,0),0)</f>
        <v>1956000</v>
      </c>
      <c r="AE218" s="56">
        <v>11</v>
      </c>
      <c r="AG218" s="56">
        <f t="shared" ref="AG218:AG281" ca="1" si="73">ROUND(AH218,0)</f>
        <v>21825450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21825450</v>
      </c>
      <c r="AI218" s="179">
        <f t="shared" ca="1" si="72"/>
        <v>35775800</v>
      </c>
      <c r="AK218" s="11">
        <f t="shared" si="68"/>
        <v>14400</v>
      </c>
      <c r="AL218" s="10">
        <v>14400</v>
      </c>
      <c r="AM218" s="11">
        <f t="shared" si="69"/>
        <v>450</v>
      </c>
      <c r="AN218" s="10">
        <v>450</v>
      </c>
      <c r="AO218" s="11">
        <v>485000</v>
      </c>
      <c r="AP218" s="10">
        <v>0</v>
      </c>
      <c r="AQ218" s="56">
        <f t="shared" si="70"/>
        <v>2</v>
      </c>
      <c r="AS218" s="11">
        <f ca="1">IFERROR(OFFSET(ITEM_RES!$A$1,MATCH(AT218,ITEM_RES!$J:$J,0)-1,0),0)</f>
        <v>211020801</v>
      </c>
      <c r="AT218" s="10" t="s">
        <v>387</v>
      </c>
      <c r="AU218" s="11">
        <v>970000</v>
      </c>
      <c r="AX218" s="11">
        <f ca="1">IFERROR(OFFSET(ITEM_RES!$A$1,MATCH(AY218,ITEM_RES!$J:$J,0)-1,0),0)</f>
        <v>211020901</v>
      </c>
      <c r="AY218" s="10" t="s">
        <v>388</v>
      </c>
      <c r="AZ218" s="11">
        <v>970000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71"/>
        <v>0</v>
      </c>
    </row>
    <row r="219" spans="1:67" x14ac:dyDescent="0.3">
      <c r="A219" s="14">
        <f t="shared" si="65"/>
        <v>113020015</v>
      </c>
      <c r="B219" s="13">
        <v>11</v>
      </c>
      <c r="C219" s="12">
        <f t="shared" si="66"/>
        <v>3</v>
      </c>
      <c r="D219" s="13">
        <v>2</v>
      </c>
      <c r="E219" s="13">
        <v>0</v>
      </c>
      <c r="F219" s="12">
        <f t="shared" si="67"/>
        <v>15</v>
      </c>
      <c r="H219" s="9">
        <v>3</v>
      </c>
      <c r="I219" s="9">
        <v>15</v>
      </c>
      <c r="K219" s="56" t="s">
        <v>560</v>
      </c>
      <c r="L219" s="56"/>
      <c r="M219" s="9">
        <v>1</v>
      </c>
      <c r="N219" s="9">
        <v>15</v>
      </c>
      <c r="O219" s="9" t="s">
        <v>1125</v>
      </c>
      <c r="S219" s="9" t="s">
        <v>683</v>
      </c>
      <c r="V219" s="9">
        <f ca="1">IFERROR(OFFSET(ITEM_RES!$A$5,MATCH(BUILDING!U219,ITEM_RES!$J$5:$J$229,0)-1,0),0)</f>
        <v>0</v>
      </c>
      <c r="Y219" s="9">
        <f ca="1">IFERROR(OFFSET(ITEM_RES!$A$5,MATCH(BUILDING!X219,ITEM_RES!$J$5:$J$229,0)-1,0),0)</f>
        <v>0</v>
      </c>
      <c r="AA219" s="9" t="s">
        <v>561</v>
      </c>
      <c r="AB219" s="9">
        <v>15</v>
      </c>
      <c r="AD219" s="11">
        <f ca="1">IFERROR(OFFSET(MANOR_LEVEL!$B$1,MATCH(AE219-1,MANOR_LEVEL!$A:$A,0)-1,0),0)</f>
        <v>3961500</v>
      </c>
      <c r="AE219" s="56">
        <v>12</v>
      </c>
      <c r="AG219" s="56">
        <f t="shared" ca="1" si="73"/>
        <v>47250550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47250550</v>
      </c>
      <c r="AI219" s="179">
        <f t="shared" ca="1" si="72"/>
        <v>69076000</v>
      </c>
      <c r="AK219" s="11">
        <f t="shared" si="68"/>
        <v>16200</v>
      </c>
      <c r="AL219" s="10">
        <v>16200</v>
      </c>
      <c r="AM219" s="11">
        <f t="shared" si="69"/>
        <v>550</v>
      </c>
      <c r="AN219" s="10">
        <v>550</v>
      </c>
      <c r="AO219" s="11">
        <v>1050000</v>
      </c>
      <c r="AP219" s="10">
        <v>0</v>
      </c>
      <c r="AQ219" s="56">
        <f t="shared" si="70"/>
        <v>2</v>
      </c>
      <c r="AS219" s="11">
        <f ca="1">IFERROR(OFFSET(ITEM_RES!$A$1,MATCH(AT219,ITEM_RES!$J:$J,0)-1,0),0)</f>
        <v>211020801</v>
      </c>
      <c r="AT219" s="10" t="s">
        <v>387</v>
      </c>
      <c r="AU219" s="11">
        <v>2100000</v>
      </c>
      <c r="AX219" s="11">
        <f ca="1">IFERROR(OFFSET(ITEM_RES!$A$1,MATCH(AY219,ITEM_RES!$J:$J,0)-1,0),0)</f>
        <v>211020901</v>
      </c>
      <c r="AY219" s="10" t="s">
        <v>388</v>
      </c>
      <c r="AZ219" s="11">
        <v>2100000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71"/>
        <v>0</v>
      </c>
    </row>
    <row r="220" spans="1:67" x14ac:dyDescent="0.3">
      <c r="A220" s="14">
        <f t="shared" si="65"/>
        <v>113020016</v>
      </c>
      <c r="B220" s="13">
        <v>11</v>
      </c>
      <c r="C220" s="12">
        <f t="shared" si="66"/>
        <v>3</v>
      </c>
      <c r="D220" s="13">
        <v>2</v>
      </c>
      <c r="E220" s="13">
        <v>0</v>
      </c>
      <c r="F220" s="12">
        <f t="shared" si="67"/>
        <v>16</v>
      </c>
      <c r="H220" s="9">
        <v>3</v>
      </c>
      <c r="I220" s="9">
        <v>16</v>
      </c>
      <c r="K220" s="56" t="s">
        <v>560</v>
      </c>
      <c r="L220" s="56"/>
      <c r="M220" s="9">
        <v>0</v>
      </c>
      <c r="N220" s="9">
        <v>15</v>
      </c>
      <c r="O220" s="9" t="s">
        <v>1125</v>
      </c>
      <c r="S220" s="9" t="s">
        <v>683</v>
      </c>
      <c r="V220" s="9">
        <f ca="1">IFERROR(OFFSET(ITEM_RES!$A$5,MATCH(BUILDING!U220,ITEM_RES!$J$5:$J$229,0)-1,0),0)</f>
        <v>0</v>
      </c>
      <c r="Y220" s="9">
        <f ca="1">IFERROR(OFFSET(ITEM_RES!$A$5,MATCH(BUILDING!X220,ITEM_RES!$J$5:$J$229,0)-1,0),0)</f>
        <v>0</v>
      </c>
      <c r="AA220" s="9" t="s">
        <v>561</v>
      </c>
      <c r="AB220" s="9">
        <v>16</v>
      </c>
      <c r="AD220" s="11">
        <f ca="1">IFERROR(OFFSET(MANOR_LEVEL!$B$1,MATCH(AE220-1,MANOR_LEVEL!$A:$A,0)-1,0),0)</f>
        <v>7772100</v>
      </c>
      <c r="AE220" s="56">
        <v>13</v>
      </c>
      <c r="AG220" s="56">
        <f t="shared" ca="1" si="73"/>
        <v>96750700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96750700</v>
      </c>
      <c r="AI220" s="179">
        <f t="shared" ca="1" si="72"/>
        <v>144001250</v>
      </c>
      <c r="AK220" s="11">
        <f t="shared" si="68"/>
        <v>18000</v>
      </c>
      <c r="AL220" s="10">
        <v>18000</v>
      </c>
      <c r="AM220" s="11">
        <f t="shared" si="69"/>
        <v>700</v>
      </c>
      <c r="AN220" s="10">
        <v>700</v>
      </c>
      <c r="AO220" s="11">
        <v>2150000</v>
      </c>
      <c r="AP220" s="10">
        <v>0</v>
      </c>
      <c r="AQ220" s="56">
        <f t="shared" si="70"/>
        <v>2</v>
      </c>
      <c r="AS220" s="11">
        <f ca="1">IFERROR(OFFSET(ITEM_RES!$A$1,MATCH(AT220,ITEM_RES!$J:$J,0)-1,0),0)</f>
        <v>211020801</v>
      </c>
      <c r="AT220" s="10" t="s">
        <v>387</v>
      </c>
      <c r="AU220" s="11">
        <v>4300000</v>
      </c>
      <c r="AX220" s="11">
        <f ca="1">IFERROR(OFFSET(ITEM_RES!$A$1,MATCH(AY220,ITEM_RES!$J:$J,0)-1,0),0)</f>
        <v>211020901</v>
      </c>
      <c r="AY220" s="10" t="s">
        <v>388</v>
      </c>
      <c r="AZ220" s="11">
        <v>4300000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71"/>
        <v>0</v>
      </c>
    </row>
    <row r="221" spans="1:67" x14ac:dyDescent="0.3">
      <c r="A221" s="14">
        <f t="shared" si="65"/>
        <v>113020017</v>
      </c>
      <c r="B221" s="13">
        <v>11</v>
      </c>
      <c r="C221" s="12">
        <f t="shared" si="66"/>
        <v>3</v>
      </c>
      <c r="D221" s="13">
        <v>2</v>
      </c>
      <c r="E221" s="13">
        <v>0</v>
      </c>
      <c r="F221" s="12">
        <f t="shared" si="67"/>
        <v>17</v>
      </c>
      <c r="H221" s="9">
        <v>3</v>
      </c>
      <c r="I221" s="9">
        <v>17</v>
      </c>
      <c r="K221" s="56" t="s">
        <v>560</v>
      </c>
      <c r="L221" s="56"/>
      <c r="M221" s="9">
        <v>0</v>
      </c>
      <c r="N221" s="9">
        <v>15</v>
      </c>
      <c r="O221" s="9" t="s">
        <v>1125</v>
      </c>
      <c r="S221" s="9" t="s">
        <v>683</v>
      </c>
      <c r="V221" s="9">
        <f ca="1">IFERROR(OFFSET(ITEM_RES!$A$5,MATCH(BUILDING!U221,ITEM_RES!$J$5:$J$229,0)-1,0),0)</f>
        <v>0</v>
      </c>
      <c r="Y221" s="9">
        <f ca="1">IFERROR(OFFSET(ITEM_RES!$A$5,MATCH(BUILDING!X221,ITEM_RES!$J$5:$J$229,0)-1,0),0)</f>
        <v>0</v>
      </c>
      <c r="AA221" s="9" t="s">
        <v>561</v>
      </c>
      <c r="AB221" s="9">
        <v>17</v>
      </c>
      <c r="AD221" s="11">
        <f ca="1">IFERROR(OFFSET(MANOR_LEVEL!$B$1,MATCH(AE221-1,MANOR_LEVEL!$A:$A,0)-1,0),0)</f>
        <v>13022450</v>
      </c>
      <c r="AE221" s="56">
        <v>14</v>
      </c>
      <c r="AG221" s="56">
        <f t="shared" ca="1" si="73"/>
        <v>180000850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180000850</v>
      </c>
      <c r="AI221" s="179">
        <f t="shared" ca="1" si="72"/>
        <v>276751550</v>
      </c>
      <c r="AK221" s="11">
        <f t="shared" si="68"/>
        <v>19800</v>
      </c>
      <c r="AL221" s="10">
        <v>19800</v>
      </c>
      <c r="AM221" s="11">
        <f t="shared" si="69"/>
        <v>850</v>
      </c>
      <c r="AN221" s="10">
        <v>850</v>
      </c>
      <c r="AO221" s="11">
        <v>4000000</v>
      </c>
      <c r="AP221" s="10">
        <v>0</v>
      </c>
      <c r="AQ221" s="56">
        <f t="shared" si="70"/>
        <v>2</v>
      </c>
      <c r="AS221" s="11">
        <f ca="1">IFERROR(OFFSET(ITEM_RES!$A$1,MATCH(AT221,ITEM_RES!$J:$J,0)-1,0),0)</f>
        <v>211020801</v>
      </c>
      <c r="AT221" s="10" t="s">
        <v>387</v>
      </c>
      <c r="AU221" s="11">
        <v>8000000</v>
      </c>
      <c r="AX221" s="11">
        <f ca="1">IFERROR(OFFSET(ITEM_RES!$A$1,MATCH(AY221,ITEM_RES!$J:$J,0)-1,0),0)</f>
        <v>211020901</v>
      </c>
      <c r="AY221" s="10" t="s">
        <v>388</v>
      </c>
      <c r="AZ221" s="11">
        <v>8000000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71"/>
        <v>0</v>
      </c>
    </row>
    <row r="222" spans="1:67" x14ac:dyDescent="0.3">
      <c r="A222" s="14">
        <f t="shared" si="65"/>
        <v>113020018</v>
      </c>
      <c r="B222" s="13">
        <v>11</v>
      </c>
      <c r="C222" s="12">
        <f t="shared" si="66"/>
        <v>3</v>
      </c>
      <c r="D222" s="13">
        <v>2</v>
      </c>
      <c r="E222" s="13">
        <v>0</v>
      </c>
      <c r="F222" s="12">
        <f t="shared" si="67"/>
        <v>18</v>
      </c>
      <c r="H222" s="9">
        <v>3</v>
      </c>
      <c r="I222" s="9">
        <v>18</v>
      </c>
      <c r="K222" s="56" t="s">
        <v>560</v>
      </c>
      <c r="L222" s="56"/>
      <c r="M222" s="9">
        <v>0</v>
      </c>
      <c r="N222" s="9">
        <v>15</v>
      </c>
      <c r="O222" s="9" t="s">
        <v>1125</v>
      </c>
      <c r="S222" s="9" t="s">
        <v>683</v>
      </c>
      <c r="V222" s="9">
        <f ca="1">IFERROR(OFFSET(ITEM_RES!$A$5,MATCH(BUILDING!U222,ITEM_RES!$J$5:$J$229,0)-1,0),0)</f>
        <v>0</v>
      </c>
      <c r="Y222" s="9">
        <f ca="1">IFERROR(OFFSET(ITEM_RES!$A$5,MATCH(BUILDING!X222,ITEM_RES!$J$5:$J$229,0)-1,0),0)</f>
        <v>0</v>
      </c>
      <c r="AA222" s="9" t="s">
        <v>561</v>
      </c>
      <c r="AB222" s="9">
        <v>18</v>
      </c>
      <c r="AD222" s="11">
        <f ca="1">IFERROR(OFFSET(MANOR_LEVEL!$B$1,MATCH(AE222-1,MANOR_LEVEL!$A:$A,0)-1,0),0)</f>
        <v>23283600</v>
      </c>
      <c r="AE222" s="56">
        <v>15</v>
      </c>
      <c r="AG222" s="56">
        <f t="shared" ca="1" si="73"/>
        <v>292501050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292501050</v>
      </c>
      <c r="AI222" s="179">
        <f t="shared" ca="1" si="72"/>
        <v>472501900</v>
      </c>
      <c r="AK222" s="11">
        <f t="shared" si="68"/>
        <v>21600</v>
      </c>
      <c r="AL222" s="10">
        <v>21600</v>
      </c>
      <c r="AM222" s="11">
        <f t="shared" si="69"/>
        <v>1050</v>
      </c>
      <c r="AN222" s="10">
        <v>1050</v>
      </c>
      <c r="AO222" s="11">
        <v>6500000</v>
      </c>
      <c r="AP222" s="10">
        <v>0</v>
      </c>
      <c r="AQ222" s="56">
        <f t="shared" si="70"/>
        <v>2</v>
      </c>
      <c r="AS222" s="11">
        <f ca="1">IFERROR(OFFSET(ITEM_RES!$A$1,MATCH(AT222,ITEM_RES!$J:$J,0)-1,0),0)</f>
        <v>211020801</v>
      </c>
      <c r="AT222" s="10" t="s">
        <v>387</v>
      </c>
      <c r="AU222" s="11">
        <v>13000000</v>
      </c>
      <c r="AX222" s="11">
        <f ca="1">IFERROR(OFFSET(ITEM_RES!$A$1,MATCH(AY222,ITEM_RES!$J:$J,0)-1,0),0)</f>
        <v>211020901</v>
      </c>
      <c r="AY222" s="10" t="s">
        <v>388</v>
      </c>
      <c r="AZ222" s="11">
        <v>13000000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71"/>
        <v>0</v>
      </c>
    </row>
    <row r="223" spans="1:67" x14ac:dyDescent="0.3">
      <c r="A223" s="14">
        <f t="shared" si="65"/>
        <v>113020019</v>
      </c>
      <c r="B223" s="13">
        <v>11</v>
      </c>
      <c r="C223" s="12">
        <f t="shared" si="66"/>
        <v>3</v>
      </c>
      <c r="D223" s="13">
        <v>2</v>
      </c>
      <c r="E223" s="13">
        <v>0</v>
      </c>
      <c r="F223" s="12">
        <f t="shared" si="67"/>
        <v>19</v>
      </c>
      <c r="H223" s="9">
        <v>3</v>
      </c>
      <c r="I223" s="9">
        <v>19</v>
      </c>
      <c r="K223" s="56" t="s">
        <v>560</v>
      </c>
      <c r="L223" s="56"/>
      <c r="M223" s="9">
        <v>0</v>
      </c>
      <c r="N223" s="9">
        <v>15</v>
      </c>
      <c r="O223" s="9" t="s">
        <v>1125</v>
      </c>
      <c r="S223" s="9" t="s">
        <v>683</v>
      </c>
      <c r="V223" s="9">
        <f ca="1">IFERROR(OFFSET(ITEM_RES!$A$5,MATCH(BUILDING!U223,ITEM_RES!$J$5:$J$229,0)-1,0),0)</f>
        <v>0</v>
      </c>
      <c r="Y223" s="9">
        <f ca="1">IFERROR(OFFSET(ITEM_RES!$A$5,MATCH(BUILDING!X223,ITEM_RES!$J$5:$J$229,0)-1,0),0)</f>
        <v>0</v>
      </c>
      <c r="AA223" s="9" t="s">
        <v>561</v>
      </c>
      <c r="AB223" s="9">
        <v>19</v>
      </c>
      <c r="AD223" s="11">
        <f ca="1">IFERROR(OFFSET(MANOR_LEVEL!$B$1,MATCH(AE223-1,MANOR_LEVEL!$A:$A,0)-1,0),0)</f>
        <v>50404400</v>
      </c>
      <c r="AE223" s="56">
        <v>16</v>
      </c>
      <c r="AG223" s="56">
        <f t="shared" ca="1" si="73"/>
        <v>274001250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274001250</v>
      </c>
      <c r="AI223" s="179">
        <f t="shared" ca="1" si="72"/>
        <v>566502300</v>
      </c>
      <c r="AK223" s="11">
        <f t="shared" si="68"/>
        <v>23400</v>
      </c>
      <c r="AL223" s="10">
        <v>23400</v>
      </c>
      <c r="AM223" s="11">
        <f t="shared" si="69"/>
        <v>1250</v>
      </c>
      <c r="AN223" s="10">
        <v>1250</v>
      </c>
      <c r="AO223" s="11">
        <v>10000000</v>
      </c>
      <c r="AP223" s="10">
        <v>0</v>
      </c>
      <c r="AQ223" s="56">
        <f t="shared" si="70"/>
        <v>2</v>
      </c>
      <c r="AS223" s="11">
        <f ca="1">IFERROR(OFFSET(ITEM_RES!$A$1,MATCH(AT223,ITEM_RES!$J:$J,0)-1,0),0)</f>
        <v>211020901</v>
      </c>
      <c r="AT223" s="10" t="s">
        <v>388</v>
      </c>
      <c r="AU223" s="11">
        <v>20000000</v>
      </c>
      <c r="AX223" s="11">
        <f ca="1">IFERROR(OFFSET(ITEM_RES!$A$1,MATCH(AY223,ITEM_RES!$J:$J,0)-1,0),0)</f>
        <v>211020501</v>
      </c>
      <c r="AY223" s="10" t="s">
        <v>419</v>
      </c>
      <c r="AZ223" s="11">
        <v>20000000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71"/>
        <v>0</v>
      </c>
    </row>
    <row r="224" spans="1:67" ht="17.25" thickBot="1" x14ac:dyDescent="0.35">
      <c r="A224" s="14">
        <f t="shared" si="65"/>
        <v>113020020</v>
      </c>
      <c r="B224" s="13">
        <v>11</v>
      </c>
      <c r="C224" s="12">
        <f t="shared" si="66"/>
        <v>3</v>
      </c>
      <c r="D224" s="13">
        <v>2</v>
      </c>
      <c r="E224" s="13">
        <v>0</v>
      </c>
      <c r="F224" s="12">
        <f t="shared" si="67"/>
        <v>20</v>
      </c>
      <c r="H224" s="9">
        <v>3</v>
      </c>
      <c r="I224" s="9">
        <v>20</v>
      </c>
      <c r="K224" s="56" t="s">
        <v>560</v>
      </c>
      <c r="L224" s="56"/>
      <c r="M224" s="9">
        <v>0</v>
      </c>
      <c r="N224" s="9">
        <v>15</v>
      </c>
      <c r="O224" s="9" t="s">
        <v>1125</v>
      </c>
      <c r="S224" s="9" t="s">
        <v>683</v>
      </c>
      <c r="V224" s="9">
        <f ca="1">IFERROR(OFFSET(ITEM_RES!$A$5,MATCH(BUILDING!U224,ITEM_RES!$J$5:$J$229,0)-1,0),0)</f>
        <v>0</v>
      </c>
      <c r="Y224" s="9">
        <f ca="1">IFERROR(OFFSET(ITEM_RES!$A$5,MATCH(BUILDING!X224,ITEM_RES!$J$5:$J$229,0)-1,0),0)</f>
        <v>0</v>
      </c>
      <c r="AA224" s="9" t="s">
        <v>561</v>
      </c>
      <c r="AB224" s="9">
        <v>20</v>
      </c>
      <c r="AD224" s="11">
        <f ca="1">IFERROR(OFFSET(MANOR_LEVEL!$B$1,MATCH(AE224-1,MANOR_LEVEL!$A:$A,0)-1,0),0)</f>
        <v>119976300</v>
      </c>
      <c r="AE224" s="56">
        <v>17</v>
      </c>
      <c r="AG224" s="56">
        <f t="shared" ca="1" si="73"/>
        <v>438401500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438401500</v>
      </c>
      <c r="AI224" s="179">
        <f t="shared" ca="1" si="72"/>
        <v>712402750</v>
      </c>
      <c r="AK224" s="11">
        <f t="shared" si="68"/>
        <v>25200</v>
      </c>
      <c r="AL224" s="10">
        <v>25200</v>
      </c>
      <c r="AM224" s="11">
        <f t="shared" si="69"/>
        <v>1500</v>
      </c>
      <c r="AN224" s="10">
        <v>1500</v>
      </c>
      <c r="AO224" s="11">
        <v>16000000</v>
      </c>
      <c r="AP224" s="10">
        <v>0</v>
      </c>
      <c r="AQ224" s="56">
        <f t="shared" si="70"/>
        <v>2</v>
      </c>
      <c r="AS224" s="11">
        <f ca="1">IFERROR(OFFSET(ITEM_RES!$A$1,MATCH(AT224,ITEM_RES!$J:$J,0)-1,0),0)</f>
        <v>211020901</v>
      </c>
      <c r="AT224" s="10" t="s">
        <v>388</v>
      </c>
      <c r="AU224" s="11">
        <v>32000000</v>
      </c>
      <c r="AX224" s="11">
        <f ca="1">IFERROR(OFFSET(ITEM_RES!$A$1,MATCH(AY224,ITEM_RES!$J:$J,0)-1,0),0)</f>
        <v>211020501</v>
      </c>
      <c r="AY224" s="10" t="s">
        <v>419</v>
      </c>
      <c r="AZ224" s="11">
        <v>32000000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71"/>
        <v>0</v>
      </c>
    </row>
    <row r="225" spans="1:68" s="15" customFormat="1" x14ac:dyDescent="0.3">
      <c r="A225" s="21">
        <f t="shared" si="50"/>
        <v>113030001</v>
      </c>
      <c r="B225" s="20">
        <v>11</v>
      </c>
      <c r="C225" s="19">
        <f t="shared" si="51"/>
        <v>3</v>
      </c>
      <c r="D225" s="20">
        <v>3</v>
      </c>
      <c r="E225" s="20">
        <v>0</v>
      </c>
      <c r="F225" s="19">
        <f t="shared" si="52"/>
        <v>1</v>
      </c>
      <c r="G225" s="78"/>
      <c r="H225" s="16">
        <v>3</v>
      </c>
      <c r="I225" s="16">
        <v>1</v>
      </c>
      <c r="J225" s="78"/>
      <c r="K225" s="63" t="s">
        <v>370</v>
      </c>
      <c r="L225" s="63">
        <v>1</v>
      </c>
      <c r="M225" s="16">
        <v>1</v>
      </c>
      <c r="N225" s="16">
        <v>15</v>
      </c>
      <c r="O225" s="16" t="s">
        <v>1292</v>
      </c>
      <c r="P225" s="17"/>
      <c r="Q225" s="17"/>
      <c r="R225" s="18"/>
      <c r="S225" s="16" t="s">
        <v>684</v>
      </c>
      <c r="T225" s="78"/>
      <c r="U225" s="86"/>
      <c r="V225" s="16">
        <f ca="1">IFERROR(OFFSET(ITEM_RES!$A$5,MATCH(BUILDING!U225,ITEM_RES!$J$5:$J$229,0)-1,0),0)</f>
        <v>0</v>
      </c>
      <c r="W225" s="18"/>
      <c r="X225" s="86"/>
      <c r="Y225" s="16">
        <f ca="1">IFERROR(OFFSET(ITEM_RES!$A$5,MATCH(BUILDING!X225,ITEM_RES!$J$5:$J$229,0)-1,0),0)</f>
        <v>0</v>
      </c>
      <c r="Z225" s="78"/>
      <c r="AA225" s="16" t="s">
        <v>509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73"/>
        <v>1280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1280</v>
      </c>
      <c r="AI225" s="181">
        <f ca="1">AG225</f>
        <v>1280</v>
      </c>
      <c r="AJ225" s="78"/>
      <c r="AK225" s="18">
        <f t="shared" si="47"/>
        <v>5</v>
      </c>
      <c r="AL225" s="17">
        <v>5</v>
      </c>
      <c r="AM225" s="18">
        <f t="shared" si="55"/>
        <v>5</v>
      </c>
      <c r="AN225" s="17">
        <v>5</v>
      </c>
      <c r="AO225" s="18">
        <f t="shared" si="55"/>
        <v>0</v>
      </c>
      <c r="AP225" s="17">
        <v>0</v>
      </c>
      <c r="AQ225" s="57">
        <f t="shared" si="48"/>
        <v>3</v>
      </c>
      <c r="AR225" s="18"/>
      <c r="AS225" s="18">
        <f ca="1">IFERROR(OFFSET(ITEM_RES!$A$1,MATCH(AT225,ITEM_RES!$J:$J,0)-1,0),0)</f>
        <v>211020801</v>
      </c>
      <c r="AT225" s="17" t="s">
        <v>429</v>
      </c>
      <c r="AU225" s="18">
        <v>25</v>
      </c>
      <c r="AV225" s="17"/>
      <c r="AW225" s="18"/>
      <c r="AX225" s="18">
        <f ca="1">IFERROR(OFFSET(ITEM_RES!$A$1,MATCH(AY225,ITEM_RES!$J:$J,0)-1,0),0)</f>
        <v>211020401</v>
      </c>
      <c r="AY225" s="17" t="s">
        <v>418</v>
      </c>
      <c r="AZ225" s="18">
        <v>25</v>
      </c>
      <c r="BA225" s="17"/>
      <c r="BB225" s="18"/>
      <c r="BC225" s="18">
        <f ca="1">IFERROR(OFFSET(ITEM_RES!$A$1,MATCH(BD225,ITEM_RES!$J:$J,0)-1,0),0)</f>
        <v>213010101</v>
      </c>
      <c r="BD225" s="17" t="s">
        <v>445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53"/>
        <v>0</v>
      </c>
      <c r="BP225" s="17"/>
    </row>
    <row r="226" spans="1:68" x14ac:dyDescent="0.3">
      <c r="A226" s="14">
        <f t="shared" si="50"/>
        <v>113030002</v>
      </c>
      <c r="B226" s="13">
        <v>11</v>
      </c>
      <c r="C226" s="12">
        <f t="shared" si="51"/>
        <v>3</v>
      </c>
      <c r="D226" s="13">
        <v>3</v>
      </c>
      <c r="E226" s="13">
        <v>0</v>
      </c>
      <c r="F226" s="12">
        <f t="shared" si="52"/>
        <v>2</v>
      </c>
      <c r="H226" s="9">
        <v>3</v>
      </c>
      <c r="I226" s="9">
        <v>2</v>
      </c>
      <c r="K226" s="56" t="s">
        <v>370</v>
      </c>
      <c r="L226" s="56"/>
      <c r="M226" s="9">
        <v>1</v>
      </c>
      <c r="N226" s="9">
        <v>15</v>
      </c>
      <c r="O226" s="9" t="s">
        <v>1292</v>
      </c>
      <c r="S226" s="9" t="s">
        <v>684</v>
      </c>
      <c r="V226" s="9">
        <f ca="1">IFERROR(OFFSET(ITEM_RES!$A$5,MATCH(BUILDING!U226,ITEM_RES!$J$5:$J$229,0)-1,0),0)</f>
        <v>0</v>
      </c>
      <c r="Y226" s="9">
        <f ca="1">IFERROR(OFFSET(ITEM_RES!$A$5,MATCH(BUILDING!X226,ITEM_RES!$J$5:$J$229,0)-1,0),0)</f>
        <v>0</v>
      </c>
      <c r="AA226" s="9" t="s">
        <v>509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73"/>
        <v>560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560</v>
      </c>
      <c r="AI226" s="179">
        <f ca="1">AG225+AG226</f>
        <v>1840</v>
      </c>
      <c r="AK226" s="11">
        <f t="shared" si="47"/>
        <v>10</v>
      </c>
      <c r="AL226" s="10">
        <v>10</v>
      </c>
      <c r="AM226" s="11">
        <f t="shared" si="55"/>
        <v>10</v>
      </c>
      <c r="AN226" s="10">
        <v>10</v>
      </c>
      <c r="AO226" s="11">
        <f t="shared" si="55"/>
        <v>0</v>
      </c>
      <c r="AP226" s="10">
        <v>0</v>
      </c>
      <c r="AQ226" s="56">
        <f t="shared" si="48"/>
        <v>2</v>
      </c>
      <c r="AS226" s="11">
        <f ca="1">IFERROR(OFFSET(ITEM_RES!$A$1,MATCH(AT226,ITEM_RES!$J:$J,0)-1,0),0)</f>
        <v>211020801</v>
      </c>
      <c r="AT226" s="10" t="s">
        <v>429</v>
      </c>
      <c r="AU226" s="11">
        <v>50</v>
      </c>
      <c r="AX226" s="11">
        <f ca="1">IFERROR(OFFSET(ITEM_RES!$A$1,MATCH(AY226,ITEM_RES!$J:$J,0)-1,0),0)</f>
        <v>211020401</v>
      </c>
      <c r="AY226" s="10" t="s">
        <v>418</v>
      </c>
      <c r="AZ226" s="11">
        <v>50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53"/>
        <v>0</v>
      </c>
    </row>
    <row r="227" spans="1:68" x14ac:dyDescent="0.3">
      <c r="A227" s="14">
        <f t="shared" si="50"/>
        <v>113030003</v>
      </c>
      <c r="B227" s="13">
        <v>11</v>
      </c>
      <c r="C227" s="12">
        <f t="shared" si="51"/>
        <v>3</v>
      </c>
      <c r="D227" s="13">
        <v>3</v>
      </c>
      <c r="E227" s="13">
        <v>0</v>
      </c>
      <c r="F227" s="12">
        <f t="shared" si="52"/>
        <v>3</v>
      </c>
      <c r="H227" s="9">
        <v>3</v>
      </c>
      <c r="I227" s="9">
        <v>3</v>
      </c>
      <c r="K227" s="56" t="s">
        <v>370</v>
      </c>
      <c r="L227" s="56"/>
      <c r="M227" s="9">
        <v>1</v>
      </c>
      <c r="N227" s="9">
        <v>15</v>
      </c>
      <c r="O227" s="9" t="s">
        <v>1293</v>
      </c>
      <c r="S227" s="9" t="s">
        <v>684</v>
      </c>
      <c r="V227" s="9">
        <f ca="1">IFERROR(OFFSET(ITEM_RES!$A$5,MATCH(BUILDING!U227,ITEM_RES!$J$5:$J$229,0)-1,0),0)</f>
        <v>0</v>
      </c>
      <c r="Y227" s="9">
        <f ca="1">IFERROR(OFFSET(ITEM_RES!$A$5,MATCH(BUILDING!X227,ITEM_RES!$J$5:$J$229,0)-1,0),0)</f>
        <v>0</v>
      </c>
      <c r="AA227" s="9" t="s">
        <v>509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73"/>
        <v>840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840</v>
      </c>
      <c r="AI227" s="179">
        <f t="shared" ref="AI227:AI244" ca="1" si="74">AG226+AG227</f>
        <v>1400</v>
      </c>
      <c r="AK227" s="11">
        <f t="shared" si="47"/>
        <v>30</v>
      </c>
      <c r="AL227" s="10">
        <v>30</v>
      </c>
      <c r="AM227" s="11">
        <f t="shared" si="55"/>
        <v>15</v>
      </c>
      <c r="AN227" s="10">
        <v>15</v>
      </c>
      <c r="AO227" s="11">
        <f t="shared" si="55"/>
        <v>0</v>
      </c>
      <c r="AP227" s="10">
        <v>0</v>
      </c>
      <c r="AQ227" s="56">
        <f t="shared" si="48"/>
        <v>2</v>
      </c>
      <c r="AS227" s="11">
        <f ca="1">IFERROR(OFFSET(ITEM_RES!$A$1,MATCH(AT227,ITEM_RES!$J:$J,0)-1,0),0)</f>
        <v>211020801</v>
      </c>
      <c r="AT227" s="10" t="s">
        <v>429</v>
      </c>
      <c r="AU227" s="11">
        <v>75</v>
      </c>
      <c r="AX227" s="11">
        <f ca="1">IFERROR(OFFSET(ITEM_RES!$A$1,MATCH(AY227,ITEM_RES!$J:$J,0)-1,0),0)</f>
        <v>211020401</v>
      </c>
      <c r="AY227" s="10" t="s">
        <v>418</v>
      </c>
      <c r="AZ227" s="11">
        <v>75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53"/>
        <v>0</v>
      </c>
    </row>
    <row r="228" spans="1:68" x14ac:dyDescent="0.3">
      <c r="A228" s="14">
        <f t="shared" si="50"/>
        <v>113030004</v>
      </c>
      <c r="B228" s="13">
        <v>11</v>
      </c>
      <c r="C228" s="12">
        <f t="shared" si="51"/>
        <v>3</v>
      </c>
      <c r="D228" s="13">
        <v>3</v>
      </c>
      <c r="E228" s="13">
        <v>0</v>
      </c>
      <c r="F228" s="12">
        <f t="shared" si="52"/>
        <v>4</v>
      </c>
      <c r="H228" s="9">
        <v>3</v>
      </c>
      <c r="I228" s="9">
        <v>4</v>
      </c>
      <c r="K228" s="56" t="s">
        <v>370</v>
      </c>
      <c r="L228" s="56"/>
      <c r="M228" s="9">
        <v>1</v>
      </c>
      <c r="N228" s="9">
        <v>15</v>
      </c>
      <c r="O228" s="9" t="s">
        <v>1293</v>
      </c>
      <c r="S228" s="9" t="s">
        <v>684</v>
      </c>
      <c r="V228" s="9">
        <f ca="1">IFERROR(OFFSET(ITEM_RES!$A$5,MATCH(BUILDING!U228,ITEM_RES!$J$5:$J$229,0)-1,0),0)</f>
        <v>0</v>
      </c>
      <c r="Y228" s="9">
        <f ca="1">IFERROR(OFFSET(ITEM_RES!$A$5,MATCH(BUILDING!X228,ITEM_RES!$J$5:$J$229,0)-1,0),0)</f>
        <v>0</v>
      </c>
      <c r="AA228" s="9" t="s">
        <v>509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73"/>
        <v>3325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3325</v>
      </c>
      <c r="AI228" s="179">
        <f t="shared" ca="1" si="74"/>
        <v>4165</v>
      </c>
      <c r="AK228" s="11">
        <f t="shared" si="47"/>
        <v>300</v>
      </c>
      <c r="AL228" s="10">
        <v>300</v>
      </c>
      <c r="AM228" s="11">
        <f t="shared" si="55"/>
        <v>25</v>
      </c>
      <c r="AN228" s="10">
        <v>25</v>
      </c>
      <c r="AO228" s="11">
        <f t="shared" si="55"/>
        <v>0</v>
      </c>
      <c r="AP228" s="10">
        <v>0</v>
      </c>
      <c r="AQ228" s="56">
        <f t="shared" si="48"/>
        <v>2</v>
      </c>
      <c r="AS228" s="11">
        <f ca="1">IFERROR(OFFSET(ITEM_RES!$A$1,MATCH(AT228,ITEM_RES!$J:$J,0)-1,0),0)</f>
        <v>211020801</v>
      </c>
      <c r="AT228" s="10" t="s">
        <v>429</v>
      </c>
      <c r="AU228" s="11">
        <v>300</v>
      </c>
      <c r="AX228" s="11">
        <f ca="1">IFERROR(OFFSET(ITEM_RES!$A$1,MATCH(AY228,ITEM_RES!$J:$J,0)-1,0),0)</f>
        <v>211020401</v>
      </c>
      <c r="AY228" s="10" t="s">
        <v>418</v>
      </c>
      <c r="AZ228" s="11">
        <v>300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53"/>
        <v>0</v>
      </c>
    </row>
    <row r="229" spans="1:68" x14ac:dyDescent="0.3">
      <c r="A229" s="14">
        <f t="shared" si="50"/>
        <v>113030005</v>
      </c>
      <c r="B229" s="13">
        <v>11</v>
      </c>
      <c r="C229" s="12">
        <f t="shared" si="51"/>
        <v>3</v>
      </c>
      <c r="D229" s="13">
        <v>3</v>
      </c>
      <c r="E229" s="13">
        <v>0</v>
      </c>
      <c r="F229" s="12">
        <f t="shared" si="52"/>
        <v>5</v>
      </c>
      <c r="H229" s="9">
        <v>3</v>
      </c>
      <c r="I229" s="9">
        <v>5</v>
      </c>
      <c r="K229" s="56" t="s">
        <v>370</v>
      </c>
      <c r="L229" s="56"/>
      <c r="M229" s="9">
        <v>1</v>
      </c>
      <c r="N229" s="9">
        <v>15</v>
      </c>
      <c r="O229" s="9" t="s">
        <v>1294</v>
      </c>
      <c r="S229" s="9" t="s">
        <v>684</v>
      </c>
      <c r="V229" s="9">
        <f ca="1">IFERROR(OFFSET(ITEM_RES!$A$5,MATCH(BUILDING!U229,ITEM_RES!$J$5:$J$229,0)-1,0),0)</f>
        <v>0</v>
      </c>
      <c r="Y229" s="9">
        <f ca="1">IFERROR(OFFSET(ITEM_RES!$A$5,MATCH(BUILDING!X229,ITEM_RES!$J$5:$J$229,0)-1,0),0)</f>
        <v>0</v>
      </c>
      <c r="AA229" s="9" t="s">
        <v>509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73"/>
        <v>14890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14890</v>
      </c>
      <c r="AI229" s="179">
        <f t="shared" ca="1" si="74"/>
        <v>18215</v>
      </c>
      <c r="AK229" s="11">
        <f t="shared" si="47"/>
        <v>600</v>
      </c>
      <c r="AL229" s="10">
        <v>600</v>
      </c>
      <c r="AM229" s="11">
        <f t="shared" si="55"/>
        <v>40</v>
      </c>
      <c r="AN229" s="10">
        <v>40</v>
      </c>
      <c r="AO229" s="11">
        <f t="shared" si="55"/>
        <v>0</v>
      </c>
      <c r="AP229" s="10">
        <v>0</v>
      </c>
      <c r="AQ229" s="56">
        <f t="shared" si="48"/>
        <v>2</v>
      </c>
      <c r="AS229" s="11">
        <f ca="1">IFERROR(OFFSET(ITEM_RES!$A$1,MATCH(AT229,ITEM_RES!$J:$J,0)-1,0),0)</f>
        <v>211020801</v>
      </c>
      <c r="AT229" s="10" t="s">
        <v>429</v>
      </c>
      <c r="AU229" s="11">
        <v>1350</v>
      </c>
      <c r="AX229" s="11">
        <f ca="1">IFERROR(OFFSET(ITEM_RES!$A$1,MATCH(AY229,ITEM_RES!$J:$J,0)-1,0),0)</f>
        <v>211020401</v>
      </c>
      <c r="AY229" s="10" t="s">
        <v>418</v>
      </c>
      <c r="AZ229" s="11">
        <v>1350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53"/>
        <v>0</v>
      </c>
    </row>
    <row r="230" spans="1:68" x14ac:dyDescent="0.3">
      <c r="A230" s="14">
        <f t="shared" si="50"/>
        <v>113030006</v>
      </c>
      <c r="B230" s="13">
        <v>11</v>
      </c>
      <c r="C230" s="12">
        <f t="shared" si="51"/>
        <v>3</v>
      </c>
      <c r="D230" s="13">
        <v>3</v>
      </c>
      <c r="E230" s="13">
        <v>0</v>
      </c>
      <c r="F230" s="12">
        <f t="shared" si="52"/>
        <v>6</v>
      </c>
      <c r="H230" s="9">
        <v>3</v>
      </c>
      <c r="I230" s="9">
        <v>6</v>
      </c>
      <c r="K230" s="56" t="s">
        <v>370</v>
      </c>
      <c r="L230" s="56"/>
      <c r="M230" s="9">
        <v>1</v>
      </c>
      <c r="N230" s="9">
        <v>15</v>
      </c>
      <c r="O230" s="9" t="s">
        <v>1294</v>
      </c>
      <c r="S230" s="9" t="s">
        <v>684</v>
      </c>
      <c r="V230" s="9">
        <f ca="1">IFERROR(OFFSET(ITEM_RES!$A$5,MATCH(BUILDING!U230,ITEM_RES!$J$5:$J$229,0)-1,0),0)</f>
        <v>0</v>
      </c>
      <c r="Y230" s="9">
        <f ca="1">IFERROR(OFFSET(ITEM_RES!$A$5,MATCH(BUILDING!X230,ITEM_RES!$J$5:$J$229,0)-1,0),0)</f>
        <v>0</v>
      </c>
      <c r="AA230" s="9" t="s">
        <v>509</v>
      </c>
      <c r="AB230" s="9">
        <v>6</v>
      </c>
      <c r="AD230" s="11">
        <f ca="1">IFERROR(OFFSET(MANOR_LEVEL!$B$1,MATCH(AE230-1,MANOR_LEVEL!$A:$A,0)-1,0),0)</f>
        <v>310</v>
      </c>
      <c r="AE230" s="56">
        <v>3</v>
      </c>
      <c r="AG230" s="56">
        <f t="shared" ca="1" si="73"/>
        <v>49550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49550</v>
      </c>
      <c r="AI230" s="179">
        <f t="shared" ca="1" si="74"/>
        <v>64440</v>
      </c>
      <c r="AK230" s="11">
        <f t="shared" si="47"/>
        <v>1200</v>
      </c>
      <c r="AL230" s="10">
        <v>1200</v>
      </c>
      <c r="AM230" s="11">
        <f t="shared" si="55"/>
        <v>50</v>
      </c>
      <c r="AN230" s="10">
        <v>50</v>
      </c>
      <c r="AO230" s="11">
        <f t="shared" si="55"/>
        <v>0</v>
      </c>
      <c r="AP230" s="10">
        <v>0</v>
      </c>
      <c r="AQ230" s="56">
        <f t="shared" si="48"/>
        <v>2</v>
      </c>
      <c r="AS230" s="11">
        <f ca="1">IFERROR(OFFSET(ITEM_RES!$A$1,MATCH(AT230,ITEM_RES!$J:$J,0)-1,0),0)</f>
        <v>211020801</v>
      </c>
      <c r="AT230" s="10" t="s">
        <v>429</v>
      </c>
      <c r="AU230" s="11">
        <v>4500</v>
      </c>
      <c r="AX230" s="11">
        <f ca="1">IFERROR(OFFSET(ITEM_RES!$A$1,MATCH(AY230,ITEM_RES!$J:$J,0)-1,0),0)</f>
        <v>211020401</v>
      </c>
      <c r="AY230" s="10" t="s">
        <v>418</v>
      </c>
      <c r="AZ230" s="11">
        <v>4500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53"/>
        <v>0</v>
      </c>
    </row>
    <row r="231" spans="1:68" x14ac:dyDescent="0.3">
      <c r="A231" s="14">
        <f t="shared" si="50"/>
        <v>113030007</v>
      </c>
      <c r="B231" s="13">
        <v>11</v>
      </c>
      <c r="C231" s="12">
        <f t="shared" si="51"/>
        <v>3</v>
      </c>
      <c r="D231" s="13">
        <v>3</v>
      </c>
      <c r="E231" s="13">
        <v>0</v>
      </c>
      <c r="F231" s="12">
        <f t="shared" si="52"/>
        <v>7</v>
      </c>
      <c r="H231" s="9">
        <v>3</v>
      </c>
      <c r="I231" s="9">
        <v>7</v>
      </c>
      <c r="K231" s="56" t="s">
        <v>370</v>
      </c>
      <c r="L231" s="56"/>
      <c r="M231" s="9">
        <v>1</v>
      </c>
      <c r="N231" s="9">
        <v>15</v>
      </c>
      <c r="O231" s="9" t="s">
        <v>1295</v>
      </c>
      <c r="S231" s="9" t="s">
        <v>684</v>
      </c>
      <c r="V231" s="9">
        <f ca="1">IFERROR(OFFSET(ITEM_RES!$A$5,MATCH(BUILDING!U231,ITEM_RES!$J$5:$J$229,0)-1,0),0)</f>
        <v>0</v>
      </c>
      <c r="Y231" s="9">
        <f ca="1">IFERROR(OFFSET(ITEM_RES!$A$5,MATCH(BUILDING!X231,ITEM_RES!$J$5:$J$229,0)-1,0),0)</f>
        <v>0</v>
      </c>
      <c r="AA231" s="9" t="s">
        <v>509</v>
      </c>
      <c r="AB231" s="9">
        <v>7</v>
      </c>
      <c r="AD231" s="11">
        <f ca="1">IFERROR(OFFSET(MANOR_LEVEL!$B$1,MATCH(AE231-1,MANOR_LEVEL!$A:$A,0)-1,0),0)</f>
        <v>930</v>
      </c>
      <c r="AE231" s="56">
        <v>4</v>
      </c>
      <c r="AG231" s="56">
        <f t="shared" ca="1" si="73"/>
        <v>110100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110100</v>
      </c>
      <c r="AI231" s="179">
        <f t="shared" ca="1" si="74"/>
        <v>159650</v>
      </c>
      <c r="AK231" s="11">
        <f t="shared" si="47"/>
        <v>1800</v>
      </c>
      <c r="AL231" s="10">
        <v>1800</v>
      </c>
      <c r="AM231" s="11">
        <f t="shared" si="55"/>
        <v>100</v>
      </c>
      <c r="AN231" s="10">
        <v>100</v>
      </c>
      <c r="AO231" s="11">
        <f t="shared" si="55"/>
        <v>0</v>
      </c>
      <c r="AP231" s="10">
        <v>0</v>
      </c>
      <c r="AQ231" s="56">
        <f t="shared" si="48"/>
        <v>2</v>
      </c>
      <c r="AS231" s="11">
        <f ca="1">IFERROR(OFFSET(ITEM_RES!$A$1,MATCH(AT231,ITEM_RES!$J:$J,0)-1,0),0)</f>
        <v>211020801</v>
      </c>
      <c r="AT231" s="10" t="s">
        <v>429</v>
      </c>
      <c r="AU231" s="11">
        <v>10000</v>
      </c>
      <c r="AX231" s="11">
        <f ca="1">IFERROR(OFFSET(ITEM_RES!$A$1,MATCH(AY231,ITEM_RES!$J:$J,0)-1,0),0)</f>
        <v>211020401</v>
      </c>
      <c r="AY231" s="10" t="s">
        <v>418</v>
      </c>
      <c r="AZ231" s="11">
        <v>10000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53"/>
        <v>0</v>
      </c>
    </row>
    <row r="232" spans="1:68" x14ac:dyDescent="0.3">
      <c r="A232" s="14">
        <f t="shared" si="50"/>
        <v>113030008</v>
      </c>
      <c r="B232" s="13">
        <v>11</v>
      </c>
      <c r="C232" s="12">
        <f t="shared" si="51"/>
        <v>3</v>
      </c>
      <c r="D232" s="13">
        <v>3</v>
      </c>
      <c r="E232" s="13">
        <v>0</v>
      </c>
      <c r="F232" s="12">
        <f t="shared" si="52"/>
        <v>8</v>
      </c>
      <c r="H232" s="9">
        <v>3</v>
      </c>
      <c r="I232" s="9">
        <v>8</v>
      </c>
      <c r="K232" s="56" t="s">
        <v>370</v>
      </c>
      <c r="L232" s="56"/>
      <c r="M232" s="9">
        <v>1</v>
      </c>
      <c r="N232" s="9">
        <v>15</v>
      </c>
      <c r="O232" s="9" t="s">
        <v>1295</v>
      </c>
      <c r="S232" s="9" t="s">
        <v>684</v>
      </c>
      <c r="V232" s="9">
        <f ca="1">IFERROR(OFFSET(ITEM_RES!$A$5,MATCH(BUILDING!U232,ITEM_RES!$J$5:$J$229,0)-1,0),0)</f>
        <v>0</v>
      </c>
      <c r="Y232" s="9">
        <f ca="1">IFERROR(OFFSET(ITEM_RES!$A$5,MATCH(BUILDING!X232,ITEM_RES!$J$5:$J$229,0)-1,0),0)</f>
        <v>0</v>
      </c>
      <c r="AA232" s="9" t="s">
        <v>509</v>
      </c>
      <c r="AB232" s="9">
        <v>8</v>
      </c>
      <c r="AD232" s="11">
        <f ca="1">IFERROR(OFFSET(MANOR_LEVEL!$B$1,MATCH(AE232-1,MANOR_LEVEL!$A:$A,0)-1,0),0)</f>
        <v>5475</v>
      </c>
      <c r="AE232" s="56">
        <v>5</v>
      </c>
      <c r="AG232" s="56">
        <f t="shared" ca="1" si="73"/>
        <v>231100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231100</v>
      </c>
      <c r="AI232" s="179">
        <f t="shared" ca="1" si="74"/>
        <v>341200</v>
      </c>
      <c r="AK232" s="11">
        <f t="shared" si="47"/>
        <v>3600</v>
      </c>
      <c r="AL232" s="10">
        <v>3600</v>
      </c>
      <c r="AM232" s="11">
        <f t="shared" si="55"/>
        <v>100</v>
      </c>
      <c r="AN232" s="10">
        <v>100</v>
      </c>
      <c r="AO232" s="11">
        <f t="shared" si="55"/>
        <v>0</v>
      </c>
      <c r="AP232" s="10">
        <v>0</v>
      </c>
      <c r="AQ232" s="56">
        <f t="shared" si="48"/>
        <v>2</v>
      </c>
      <c r="AS232" s="11">
        <f ca="1">IFERROR(OFFSET(ITEM_RES!$A$1,MATCH(AT232,ITEM_RES!$J:$J,0)-1,0),0)</f>
        <v>211020801</v>
      </c>
      <c r="AT232" s="10" t="s">
        <v>429</v>
      </c>
      <c r="AU232" s="11">
        <v>21000</v>
      </c>
      <c r="AX232" s="11">
        <f ca="1">IFERROR(OFFSET(ITEM_RES!$A$1,MATCH(AY232,ITEM_RES!$J:$J,0)-1,0),0)</f>
        <v>211020401</v>
      </c>
      <c r="AY232" s="10" t="s">
        <v>418</v>
      </c>
      <c r="AZ232" s="11">
        <v>21000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53"/>
        <v>0</v>
      </c>
    </row>
    <row r="233" spans="1:68" x14ac:dyDescent="0.3">
      <c r="A233" s="14">
        <f t="shared" si="50"/>
        <v>113030009</v>
      </c>
      <c r="B233" s="13">
        <v>11</v>
      </c>
      <c r="C233" s="12">
        <f t="shared" si="51"/>
        <v>3</v>
      </c>
      <c r="D233" s="13">
        <v>3</v>
      </c>
      <c r="E233" s="13">
        <v>0</v>
      </c>
      <c r="F233" s="12">
        <f t="shared" si="52"/>
        <v>9</v>
      </c>
      <c r="H233" s="9">
        <v>3</v>
      </c>
      <c r="I233" s="9">
        <v>9</v>
      </c>
      <c r="K233" s="56" t="s">
        <v>370</v>
      </c>
      <c r="L233" s="56"/>
      <c r="M233" s="9">
        <v>1</v>
      </c>
      <c r="N233" s="9">
        <v>15</v>
      </c>
      <c r="O233" s="9" t="s">
        <v>1297</v>
      </c>
      <c r="S233" s="9" t="s">
        <v>684</v>
      </c>
      <c r="V233" s="9">
        <f ca="1">IFERROR(OFFSET(ITEM_RES!$A$5,MATCH(BUILDING!U233,ITEM_RES!$J$5:$J$229,0)-1,0),0)</f>
        <v>0</v>
      </c>
      <c r="Y233" s="9">
        <f ca="1">IFERROR(OFFSET(ITEM_RES!$A$5,MATCH(BUILDING!X233,ITEM_RES!$J$5:$J$229,0)-1,0),0)</f>
        <v>0</v>
      </c>
      <c r="AA233" s="9" t="s">
        <v>509</v>
      </c>
      <c r="AB233" s="9">
        <v>9</v>
      </c>
      <c r="AD233" s="11">
        <f ca="1">IFERROR(OFFSET(MANOR_LEVEL!$B$1,MATCH(AE233-1,MANOR_LEVEL!$A:$A,0)-1,0),0)</f>
        <v>32560</v>
      </c>
      <c r="AE233" s="56">
        <v>6</v>
      </c>
      <c r="AG233" s="56">
        <f t="shared" ca="1" si="73"/>
        <v>429150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429150</v>
      </c>
      <c r="AI233" s="179">
        <f t="shared" ca="1" si="74"/>
        <v>660250</v>
      </c>
      <c r="AK233" s="11">
        <f t="shared" si="47"/>
        <v>5400</v>
      </c>
      <c r="AL233" s="10">
        <v>5400</v>
      </c>
      <c r="AM233" s="11">
        <f t="shared" si="55"/>
        <v>150</v>
      </c>
      <c r="AN233" s="10">
        <v>150</v>
      </c>
      <c r="AO233" s="11">
        <f t="shared" si="55"/>
        <v>0</v>
      </c>
      <c r="AP233" s="10">
        <v>0</v>
      </c>
      <c r="AQ233" s="56">
        <f t="shared" si="48"/>
        <v>2</v>
      </c>
      <c r="AS233" s="11">
        <f ca="1">IFERROR(OFFSET(ITEM_RES!$A$1,MATCH(AT233,ITEM_RES!$J:$J,0)-1,0),0)</f>
        <v>211020801</v>
      </c>
      <c r="AT233" s="10" t="s">
        <v>429</v>
      </c>
      <c r="AU233" s="11">
        <v>39000</v>
      </c>
      <c r="AX233" s="11">
        <f ca="1">IFERROR(OFFSET(ITEM_RES!$A$1,MATCH(AY233,ITEM_RES!$J:$J,0)-1,0),0)</f>
        <v>211020401</v>
      </c>
      <c r="AY233" s="10" t="s">
        <v>418</v>
      </c>
      <c r="AZ233" s="11">
        <v>39000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53"/>
        <v>0</v>
      </c>
    </row>
    <row r="234" spans="1:68" x14ac:dyDescent="0.3">
      <c r="A234" s="14">
        <f t="shared" si="50"/>
        <v>113030010</v>
      </c>
      <c r="B234" s="13">
        <v>11</v>
      </c>
      <c r="C234" s="12">
        <f t="shared" si="51"/>
        <v>3</v>
      </c>
      <c r="D234" s="13">
        <v>3</v>
      </c>
      <c r="E234" s="13">
        <v>0</v>
      </c>
      <c r="F234" s="12">
        <f t="shared" si="52"/>
        <v>10</v>
      </c>
      <c r="H234" s="9">
        <v>3</v>
      </c>
      <c r="I234" s="9">
        <v>10</v>
      </c>
      <c r="K234" s="56" t="s">
        <v>370</v>
      </c>
      <c r="L234" s="56"/>
      <c r="M234" s="9">
        <v>1</v>
      </c>
      <c r="N234" s="9">
        <v>15</v>
      </c>
      <c r="O234" s="9" t="s">
        <v>1298</v>
      </c>
      <c r="S234" s="9" t="s">
        <v>684</v>
      </c>
      <c r="V234" s="9">
        <f ca="1">IFERROR(OFFSET(ITEM_RES!$A$5,MATCH(BUILDING!U234,ITEM_RES!$J$5:$J$229,0)-1,0),0)</f>
        <v>0</v>
      </c>
      <c r="Y234" s="9">
        <f ca="1">IFERROR(OFFSET(ITEM_RES!$A$5,MATCH(BUILDING!X234,ITEM_RES!$J$5:$J$229,0)-1,0),0)</f>
        <v>0</v>
      </c>
      <c r="AA234" s="9" t="s">
        <v>509</v>
      </c>
      <c r="AB234" s="9">
        <v>10</v>
      </c>
      <c r="AD234" s="11">
        <f ca="1">IFERROR(OFFSET(MANOR_LEVEL!$B$1,MATCH(AE234-1,MANOR_LEVEL!$A:$A,0)-1,0),0)</f>
        <v>108200</v>
      </c>
      <c r="AE234" s="56">
        <v>7</v>
      </c>
      <c r="AG234" s="56">
        <f t="shared" ca="1" si="73"/>
        <v>716200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716200</v>
      </c>
      <c r="AI234" s="179">
        <f t="shared" ca="1" si="74"/>
        <v>1145350</v>
      </c>
      <c r="AK234" s="11">
        <f t="shared" si="47"/>
        <v>7200</v>
      </c>
      <c r="AL234" s="10">
        <v>7200</v>
      </c>
      <c r="AM234" s="11">
        <f t="shared" si="55"/>
        <v>200</v>
      </c>
      <c r="AN234" s="10">
        <v>200</v>
      </c>
      <c r="AO234" s="11">
        <f t="shared" si="55"/>
        <v>0</v>
      </c>
      <c r="AP234" s="10">
        <v>0</v>
      </c>
      <c r="AQ234" s="56">
        <f t="shared" si="48"/>
        <v>3</v>
      </c>
      <c r="AS234" s="11">
        <f ca="1">IFERROR(OFFSET(ITEM_RES!$A$1,MATCH(AT234,ITEM_RES!$J:$J,0)-1,0),0)</f>
        <v>211020801</v>
      </c>
      <c r="AT234" s="10" t="s">
        <v>429</v>
      </c>
      <c r="AU234" s="11">
        <v>65000</v>
      </c>
      <c r="AX234" s="11">
        <f ca="1">IFERROR(OFFSET(ITEM_RES!$A$1,MATCH(AY234,ITEM_RES!$J:$J,0)-1,0),0)</f>
        <v>211020401</v>
      </c>
      <c r="AY234" s="10" t="s">
        <v>418</v>
      </c>
      <c r="AZ234" s="11">
        <v>65000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496</v>
      </c>
      <c r="BJ234" s="11">
        <v>1</v>
      </c>
      <c r="BM234" s="11">
        <f ca="1">IFERROR(OFFSET(ITEM_RES!$A$1,MATCH(BN234,ITEM_RES!$J:$J,0)-1,0),0)</f>
        <v>0</v>
      </c>
      <c r="BO234" s="11">
        <f t="shared" si="53"/>
        <v>0</v>
      </c>
    </row>
    <row r="235" spans="1:68" x14ac:dyDescent="0.3">
      <c r="A235" s="14">
        <f t="shared" si="50"/>
        <v>113030011</v>
      </c>
      <c r="B235" s="13">
        <v>11</v>
      </c>
      <c r="C235" s="12">
        <f t="shared" si="51"/>
        <v>3</v>
      </c>
      <c r="D235" s="13">
        <v>3</v>
      </c>
      <c r="E235" s="13">
        <v>0</v>
      </c>
      <c r="F235" s="12">
        <f t="shared" si="52"/>
        <v>11</v>
      </c>
      <c r="H235" s="9">
        <v>3</v>
      </c>
      <c r="I235" s="9">
        <v>11</v>
      </c>
      <c r="K235" s="56" t="s">
        <v>370</v>
      </c>
      <c r="L235" s="56"/>
      <c r="M235" s="9">
        <v>1</v>
      </c>
      <c r="N235" s="9">
        <v>15</v>
      </c>
      <c r="O235" s="9" t="s">
        <v>1296</v>
      </c>
      <c r="S235" s="9" t="s">
        <v>684</v>
      </c>
      <c r="V235" s="9">
        <f ca="1">IFERROR(OFFSET(ITEM_RES!$A$5,MATCH(BUILDING!U235,ITEM_RES!$J$5:$J$229,0)-1,0),0)</f>
        <v>0</v>
      </c>
      <c r="Y235" s="9">
        <f ca="1">IFERROR(OFFSET(ITEM_RES!$A$5,MATCH(BUILDING!X235,ITEM_RES!$J$5:$J$229,0)-1,0),0)</f>
        <v>0</v>
      </c>
      <c r="AA235" s="9" t="s">
        <v>509</v>
      </c>
      <c r="AB235" s="9">
        <v>11</v>
      </c>
      <c r="AD235" s="11">
        <f ca="1">IFERROR(OFFSET(MANOR_LEVEL!$B$1,MATCH(AE235-1,MANOR_LEVEL!$A:$A,0)-1,0),0)</f>
        <v>240400</v>
      </c>
      <c r="AE235" s="56">
        <v>8</v>
      </c>
      <c r="AG235" s="56">
        <f t="shared" ca="1" si="73"/>
        <v>1430250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1430250</v>
      </c>
      <c r="AI235" s="179">
        <f t="shared" ca="1" si="74"/>
        <v>2146450</v>
      </c>
      <c r="AK235" s="11">
        <f t="shared" si="47"/>
        <v>9000</v>
      </c>
      <c r="AL235" s="10">
        <v>9000</v>
      </c>
      <c r="AM235" s="11">
        <f t="shared" si="55"/>
        <v>250</v>
      </c>
      <c r="AN235" s="10">
        <v>250</v>
      </c>
      <c r="AO235" s="11">
        <f t="shared" si="55"/>
        <v>0</v>
      </c>
      <c r="AP235" s="10">
        <v>0</v>
      </c>
      <c r="AQ235" s="56">
        <f t="shared" si="48"/>
        <v>2</v>
      </c>
      <c r="AS235" s="11">
        <f ca="1">IFERROR(OFFSET(ITEM_RES!$A$1,MATCH(AT235,ITEM_RES!$J:$J,0)-1,0),0)</f>
        <v>211020901</v>
      </c>
      <c r="AT235" s="10" t="s">
        <v>438</v>
      </c>
      <c r="AU235" s="11">
        <v>110000</v>
      </c>
      <c r="AX235" s="11">
        <f ca="1">IFERROR(OFFSET(ITEM_RES!$A$1,MATCH(AY235,ITEM_RES!$J:$J,0)-1,0),0)</f>
        <v>211020401</v>
      </c>
      <c r="AY235" s="10" t="s">
        <v>418</v>
      </c>
      <c r="AZ235" s="11">
        <v>110000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53"/>
        <v>0</v>
      </c>
    </row>
    <row r="236" spans="1:68" x14ac:dyDescent="0.3">
      <c r="A236" s="14">
        <f t="shared" si="50"/>
        <v>113030012</v>
      </c>
      <c r="B236" s="13">
        <v>11</v>
      </c>
      <c r="C236" s="12">
        <f t="shared" si="51"/>
        <v>3</v>
      </c>
      <c r="D236" s="13">
        <v>3</v>
      </c>
      <c r="E236" s="13">
        <v>0</v>
      </c>
      <c r="F236" s="12">
        <f t="shared" si="52"/>
        <v>12</v>
      </c>
      <c r="H236" s="9">
        <v>3</v>
      </c>
      <c r="I236" s="9">
        <v>12</v>
      </c>
      <c r="K236" s="56" t="s">
        <v>370</v>
      </c>
      <c r="L236" s="56"/>
      <c r="M236" s="9">
        <v>1</v>
      </c>
      <c r="N236" s="9">
        <v>15</v>
      </c>
      <c r="O236" s="9" t="s">
        <v>1296</v>
      </c>
      <c r="S236" s="9" t="s">
        <v>685</v>
      </c>
      <c r="V236" s="9">
        <f ca="1">IFERROR(OFFSET(ITEM_RES!$A$5,MATCH(BUILDING!U236,ITEM_RES!$J$5:$J$229,0)-1,0),0)</f>
        <v>0</v>
      </c>
      <c r="Y236" s="9">
        <f ca="1">IFERROR(OFFSET(ITEM_RES!$A$5,MATCH(BUILDING!X236,ITEM_RES!$J$5:$J$229,0)-1,0),0)</f>
        <v>0</v>
      </c>
      <c r="AA236" s="9" t="s">
        <v>509</v>
      </c>
      <c r="AB236" s="9">
        <v>12</v>
      </c>
      <c r="AD236" s="11">
        <f ca="1">IFERROR(OFFSET(MANOR_LEVEL!$B$1,MATCH(AE236-1,MANOR_LEVEL!$A:$A,0)-1,0),0)</f>
        <v>630500</v>
      </c>
      <c r="AE236" s="56">
        <v>9</v>
      </c>
      <c r="AG236" s="56">
        <f t="shared" ca="1" si="73"/>
        <v>2405300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2405300</v>
      </c>
      <c r="AI236" s="179">
        <f t="shared" ca="1" si="74"/>
        <v>3835550</v>
      </c>
      <c r="AK236" s="11">
        <f t="shared" si="47"/>
        <v>10800</v>
      </c>
      <c r="AL236" s="10">
        <v>10800</v>
      </c>
      <c r="AM236" s="11">
        <f t="shared" si="55"/>
        <v>300</v>
      </c>
      <c r="AN236" s="10">
        <v>300</v>
      </c>
      <c r="AO236" s="11">
        <f t="shared" si="55"/>
        <v>0</v>
      </c>
      <c r="AP236" s="10">
        <v>0</v>
      </c>
      <c r="AQ236" s="56">
        <f t="shared" si="48"/>
        <v>2</v>
      </c>
      <c r="AS236" s="11">
        <f ca="1">IFERROR(OFFSET(ITEM_RES!$A$1,MATCH(AT236,ITEM_RES!$J:$J,0)-1,0),0)</f>
        <v>211020901</v>
      </c>
      <c r="AT236" s="10" t="s">
        <v>438</v>
      </c>
      <c r="AU236" s="11">
        <v>185000</v>
      </c>
      <c r="AX236" s="11">
        <f ca="1">IFERROR(OFFSET(ITEM_RES!$A$1,MATCH(AY236,ITEM_RES!$J:$J,0)-1,0),0)</f>
        <v>211020401</v>
      </c>
      <c r="AY236" s="10" t="s">
        <v>418</v>
      </c>
      <c r="AZ236" s="11">
        <v>185000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53"/>
        <v>0</v>
      </c>
    </row>
    <row r="237" spans="1:68" x14ac:dyDescent="0.3">
      <c r="A237" s="14">
        <f t="shared" si="50"/>
        <v>113030013</v>
      </c>
      <c r="B237" s="13">
        <v>11</v>
      </c>
      <c r="C237" s="12">
        <f t="shared" si="51"/>
        <v>3</v>
      </c>
      <c r="D237" s="13">
        <v>3</v>
      </c>
      <c r="E237" s="13">
        <v>0</v>
      </c>
      <c r="F237" s="12">
        <f t="shared" si="52"/>
        <v>13</v>
      </c>
      <c r="H237" s="9">
        <v>3</v>
      </c>
      <c r="I237" s="9">
        <v>13</v>
      </c>
      <c r="K237" s="56" t="s">
        <v>370</v>
      </c>
      <c r="L237" s="56"/>
      <c r="M237" s="9">
        <v>1</v>
      </c>
      <c r="N237" s="9">
        <v>15</v>
      </c>
      <c r="O237" s="9" t="s">
        <v>1296</v>
      </c>
      <c r="S237" s="9" t="s">
        <v>685</v>
      </c>
      <c r="V237" s="9">
        <f ca="1">IFERROR(OFFSET(ITEM_RES!$A$5,MATCH(BUILDING!U237,ITEM_RES!$J$5:$J$229,0)-1,0),0)</f>
        <v>0</v>
      </c>
      <c r="Y237" s="9">
        <f ca="1">IFERROR(OFFSET(ITEM_RES!$A$5,MATCH(BUILDING!X237,ITEM_RES!$J$5:$J$229,0)-1,0),0)</f>
        <v>0</v>
      </c>
      <c r="AA237" s="9" t="s">
        <v>509</v>
      </c>
      <c r="AB237" s="9">
        <v>13</v>
      </c>
      <c r="AD237" s="11">
        <f ca="1">IFERROR(OFFSET(MANOR_LEVEL!$B$1,MATCH(AE237-1,MANOR_LEVEL!$A:$A,0)-1,0),0)</f>
        <v>1170750</v>
      </c>
      <c r="AE237" s="56">
        <v>10</v>
      </c>
      <c r="AG237" s="56">
        <f t="shared" ca="1" si="73"/>
        <v>4030350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4030350</v>
      </c>
      <c r="AI237" s="179">
        <f t="shared" ca="1" si="74"/>
        <v>6435650</v>
      </c>
      <c r="AK237" s="11">
        <f t="shared" ref="AK237:AK320" si="75">ROUND(AL237,0)</f>
        <v>12600</v>
      </c>
      <c r="AL237" s="10">
        <v>12600</v>
      </c>
      <c r="AM237" s="11">
        <f t="shared" si="55"/>
        <v>350</v>
      </c>
      <c r="AN237" s="10">
        <v>350</v>
      </c>
      <c r="AO237" s="11">
        <f t="shared" si="55"/>
        <v>0</v>
      </c>
      <c r="AP237" s="10">
        <v>0</v>
      </c>
      <c r="AQ237" s="56">
        <f t="shared" si="48"/>
        <v>2</v>
      </c>
      <c r="AS237" s="11">
        <f ca="1">IFERROR(OFFSET(ITEM_RES!$A$1,MATCH(AT237,ITEM_RES!$J:$J,0)-1,0),0)</f>
        <v>211020901</v>
      </c>
      <c r="AT237" s="10" t="s">
        <v>438</v>
      </c>
      <c r="AU237" s="11">
        <v>310000</v>
      </c>
      <c r="AX237" s="11">
        <f ca="1">IFERROR(OFFSET(ITEM_RES!$A$1,MATCH(AY237,ITEM_RES!$J:$J,0)-1,0),0)</f>
        <v>211020401</v>
      </c>
      <c r="AY237" s="10" t="s">
        <v>418</v>
      </c>
      <c r="AZ237" s="11">
        <v>310000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53"/>
        <v>0</v>
      </c>
    </row>
    <row r="238" spans="1:68" x14ac:dyDescent="0.3">
      <c r="A238" s="14">
        <f t="shared" si="50"/>
        <v>113030014</v>
      </c>
      <c r="B238" s="13">
        <v>11</v>
      </c>
      <c r="C238" s="12">
        <f t="shared" si="51"/>
        <v>3</v>
      </c>
      <c r="D238" s="13">
        <v>3</v>
      </c>
      <c r="E238" s="13">
        <v>0</v>
      </c>
      <c r="F238" s="12">
        <f t="shared" si="52"/>
        <v>14</v>
      </c>
      <c r="H238" s="9">
        <v>3</v>
      </c>
      <c r="I238" s="9">
        <v>14</v>
      </c>
      <c r="K238" s="56" t="s">
        <v>370</v>
      </c>
      <c r="L238" s="56"/>
      <c r="M238" s="9">
        <v>1</v>
      </c>
      <c r="N238" s="9">
        <v>15</v>
      </c>
      <c r="O238" s="9" t="s">
        <v>1296</v>
      </c>
      <c r="S238" s="9" t="s">
        <v>685</v>
      </c>
      <c r="V238" s="9">
        <f ca="1">IFERROR(OFFSET(ITEM_RES!$A$5,MATCH(BUILDING!U238,ITEM_RES!$J$5:$J$229,0)-1,0),0)</f>
        <v>0</v>
      </c>
      <c r="Y238" s="9">
        <f ca="1">IFERROR(OFFSET(ITEM_RES!$A$5,MATCH(BUILDING!X238,ITEM_RES!$J$5:$J$229,0)-1,0),0)</f>
        <v>0</v>
      </c>
      <c r="AA238" s="9" t="s">
        <v>509</v>
      </c>
      <c r="AB238" s="9">
        <v>14</v>
      </c>
      <c r="AD238" s="11">
        <f ca="1">IFERROR(OFFSET(MANOR_LEVEL!$B$1,MATCH(AE238-1,MANOR_LEVEL!$A:$A,0)-1,0),0)</f>
        <v>1956000</v>
      </c>
      <c r="AE238" s="56">
        <v>11</v>
      </c>
      <c r="AG238" s="56">
        <f t="shared" ca="1" si="73"/>
        <v>6305450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6305450</v>
      </c>
      <c r="AI238" s="179">
        <f t="shared" ca="1" si="74"/>
        <v>10335800</v>
      </c>
      <c r="AK238" s="11">
        <f t="shared" si="75"/>
        <v>14400</v>
      </c>
      <c r="AL238" s="10">
        <v>14400</v>
      </c>
      <c r="AM238" s="11">
        <f t="shared" si="55"/>
        <v>450</v>
      </c>
      <c r="AN238" s="10">
        <v>450</v>
      </c>
      <c r="AO238" s="11">
        <f t="shared" si="55"/>
        <v>0</v>
      </c>
      <c r="AP238" s="10">
        <v>0</v>
      </c>
      <c r="AQ238" s="56">
        <f t="shared" ref="AQ238:AQ321" si="76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438</v>
      </c>
      <c r="AU238" s="11">
        <v>485000</v>
      </c>
      <c r="AX238" s="11">
        <f ca="1">IFERROR(OFFSET(ITEM_RES!$A$1,MATCH(AY238,ITEM_RES!$J:$J,0)-1,0),0)</f>
        <v>211020401</v>
      </c>
      <c r="AY238" s="10" t="s">
        <v>418</v>
      </c>
      <c r="AZ238" s="11">
        <v>485000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53"/>
        <v>0</v>
      </c>
    </row>
    <row r="239" spans="1:68" x14ac:dyDescent="0.3">
      <c r="A239" s="14">
        <f t="shared" si="50"/>
        <v>113030015</v>
      </c>
      <c r="B239" s="13">
        <v>11</v>
      </c>
      <c r="C239" s="12">
        <f t="shared" si="51"/>
        <v>3</v>
      </c>
      <c r="D239" s="13">
        <v>3</v>
      </c>
      <c r="E239" s="13">
        <v>0</v>
      </c>
      <c r="F239" s="12">
        <f t="shared" si="52"/>
        <v>15</v>
      </c>
      <c r="H239" s="9">
        <v>3</v>
      </c>
      <c r="I239" s="9">
        <v>15</v>
      </c>
      <c r="K239" s="56" t="s">
        <v>370</v>
      </c>
      <c r="L239" s="56"/>
      <c r="M239" s="9">
        <v>1</v>
      </c>
      <c r="N239" s="9">
        <v>15</v>
      </c>
      <c r="O239" s="9" t="s">
        <v>1296</v>
      </c>
      <c r="S239" s="9" t="s">
        <v>685</v>
      </c>
      <c r="V239" s="9">
        <f ca="1">IFERROR(OFFSET(ITEM_RES!$A$5,MATCH(BUILDING!U239,ITEM_RES!$J$5:$J$229,0)-1,0),0)</f>
        <v>0</v>
      </c>
      <c r="Y239" s="9">
        <f ca="1">IFERROR(OFFSET(ITEM_RES!$A$5,MATCH(BUILDING!X239,ITEM_RES!$J$5:$J$229,0)-1,0),0)</f>
        <v>0</v>
      </c>
      <c r="AA239" s="9" t="s">
        <v>509</v>
      </c>
      <c r="AB239" s="9">
        <v>15</v>
      </c>
      <c r="AD239" s="11">
        <f ca="1">IFERROR(OFFSET(MANOR_LEVEL!$B$1,MATCH(AE239-1,MANOR_LEVEL!$A:$A,0)-1,0),0)</f>
        <v>3961500</v>
      </c>
      <c r="AE239" s="56">
        <v>12</v>
      </c>
      <c r="AG239" s="56">
        <f t="shared" ca="1" si="73"/>
        <v>13650550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13650550</v>
      </c>
      <c r="AI239" s="179">
        <f t="shared" ca="1" si="74"/>
        <v>19956000</v>
      </c>
      <c r="AK239" s="11">
        <f t="shared" si="75"/>
        <v>16200</v>
      </c>
      <c r="AL239" s="10">
        <v>16200</v>
      </c>
      <c r="AM239" s="11">
        <f t="shared" si="55"/>
        <v>550</v>
      </c>
      <c r="AN239" s="10">
        <v>550</v>
      </c>
      <c r="AO239" s="11">
        <f t="shared" si="55"/>
        <v>0</v>
      </c>
      <c r="AP239" s="10">
        <v>0</v>
      </c>
      <c r="AQ239" s="56">
        <f t="shared" si="76"/>
        <v>2</v>
      </c>
      <c r="AS239" s="11">
        <f ca="1">IFERROR(OFFSET(ITEM_RES!$A$1,MATCH(AT239,ITEM_RES!$J:$J,0)-1,0),0)</f>
        <v>211020901</v>
      </c>
      <c r="AT239" s="10" t="s">
        <v>438</v>
      </c>
      <c r="AU239" s="11">
        <v>1050000</v>
      </c>
      <c r="AX239" s="11">
        <f ca="1">IFERROR(OFFSET(ITEM_RES!$A$1,MATCH(AY239,ITEM_RES!$J:$J,0)-1,0),0)</f>
        <v>211020401</v>
      </c>
      <c r="AY239" s="10" t="s">
        <v>430</v>
      </c>
      <c r="AZ239" s="11">
        <v>1050000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53"/>
        <v>0</v>
      </c>
    </row>
    <row r="240" spans="1:68" x14ac:dyDescent="0.3">
      <c r="A240" s="14">
        <f t="shared" si="50"/>
        <v>113030016</v>
      </c>
      <c r="B240" s="13">
        <v>11</v>
      </c>
      <c r="C240" s="12">
        <f t="shared" si="51"/>
        <v>3</v>
      </c>
      <c r="D240" s="13">
        <v>3</v>
      </c>
      <c r="E240" s="13">
        <v>0</v>
      </c>
      <c r="F240" s="12">
        <f t="shared" si="52"/>
        <v>16</v>
      </c>
      <c r="H240" s="9">
        <v>3</v>
      </c>
      <c r="I240" s="9">
        <v>16</v>
      </c>
      <c r="K240" s="56" t="s">
        <v>370</v>
      </c>
      <c r="L240" s="56"/>
      <c r="M240" s="9">
        <v>0</v>
      </c>
      <c r="N240" s="9">
        <v>15</v>
      </c>
      <c r="O240" s="9" t="s">
        <v>1296</v>
      </c>
      <c r="S240" s="9" t="s">
        <v>685</v>
      </c>
      <c r="V240" s="9">
        <f ca="1">IFERROR(OFFSET(ITEM_RES!$A$5,MATCH(BUILDING!U240,ITEM_RES!$J$5:$J$229,0)-1,0),0)</f>
        <v>0</v>
      </c>
      <c r="Y240" s="9">
        <f ca="1">IFERROR(OFFSET(ITEM_RES!$A$5,MATCH(BUILDING!X240,ITEM_RES!$J$5:$J$229,0)-1,0),0)</f>
        <v>0</v>
      </c>
      <c r="AA240" s="9" t="s">
        <v>509</v>
      </c>
      <c r="AB240" s="9">
        <v>16</v>
      </c>
      <c r="AD240" s="11">
        <f ca="1">IFERROR(OFFSET(MANOR_LEVEL!$B$1,MATCH(AE240-1,MANOR_LEVEL!$A:$A,0)-1,0),0)</f>
        <v>7772100</v>
      </c>
      <c r="AE240" s="56">
        <v>13</v>
      </c>
      <c r="AG240" s="56">
        <f t="shared" ca="1" si="73"/>
        <v>28380700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28380700</v>
      </c>
      <c r="AI240" s="179">
        <f t="shared" ca="1" si="74"/>
        <v>42031250</v>
      </c>
      <c r="AK240" s="11">
        <f t="shared" si="75"/>
        <v>18000</v>
      </c>
      <c r="AL240" s="10">
        <v>18000</v>
      </c>
      <c r="AM240" s="11">
        <f t="shared" si="55"/>
        <v>700</v>
      </c>
      <c r="AN240" s="10">
        <v>700</v>
      </c>
      <c r="AO240" s="11">
        <f t="shared" si="55"/>
        <v>0</v>
      </c>
      <c r="AP240" s="10">
        <v>0</v>
      </c>
      <c r="AQ240" s="56">
        <f t="shared" si="76"/>
        <v>2</v>
      </c>
      <c r="AS240" s="11">
        <f ca="1">IFERROR(OFFSET(ITEM_RES!$A$1,MATCH(AT240,ITEM_RES!$J:$J,0)-1,0),0)</f>
        <v>211020901</v>
      </c>
      <c r="AT240" s="10" t="s">
        <v>438</v>
      </c>
      <c r="AU240" s="11">
        <v>2150000</v>
      </c>
      <c r="AX240" s="11">
        <f ca="1">IFERROR(OFFSET(ITEM_RES!$A$1,MATCH(AY240,ITEM_RES!$J:$J,0)-1,0),0)</f>
        <v>211020501</v>
      </c>
      <c r="AY240" s="10" t="s">
        <v>428</v>
      </c>
      <c r="AZ240" s="11">
        <v>2150000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53"/>
        <v>0</v>
      </c>
    </row>
    <row r="241" spans="1:68" x14ac:dyDescent="0.3">
      <c r="A241" s="14">
        <f t="shared" si="50"/>
        <v>113030017</v>
      </c>
      <c r="B241" s="13">
        <v>11</v>
      </c>
      <c r="C241" s="12">
        <f t="shared" si="51"/>
        <v>3</v>
      </c>
      <c r="D241" s="13">
        <v>3</v>
      </c>
      <c r="E241" s="13">
        <v>0</v>
      </c>
      <c r="F241" s="12">
        <f t="shared" si="52"/>
        <v>17</v>
      </c>
      <c r="H241" s="9">
        <v>3</v>
      </c>
      <c r="I241" s="9">
        <v>17</v>
      </c>
      <c r="K241" s="56" t="s">
        <v>370</v>
      </c>
      <c r="L241" s="56"/>
      <c r="M241" s="9">
        <v>0</v>
      </c>
      <c r="N241" s="9">
        <v>15</v>
      </c>
      <c r="O241" s="9" t="s">
        <v>1296</v>
      </c>
      <c r="S241" s="9" t="s">
        <v>685</v>
      </c>
      <c r="V241" s="9">
        <f ca="1">IFERROR(OFFSET(ITEM_RES!$A$5,MATCH(BUILDING!U241,ITEM_RES!$J$5:$J$229,0)-1,0),0)</f>
        <v>0</v>
      </c>
      <c r="Y241" s="9">
        <f ca="1">IFERROR(OFFSET(ITEM_RES!$A$5,MATCH(BUILDING!X241,ITEM_RES!$J$5:$J$229,0)-1,0),0)</f>
        <v>0</v>
      </c>
      <c r="AA241" s="9" t="s">
        <v>509</v>
      </c>
      <c r="AB241" s="9">
        <v>17</v>
      </c>
      <c r="AD241" s="11">
        <f ca="1">IFERROR(OFFSET(MANOR_LEVEL!$B$1,MATCH(AE241-1,MANOR_LEVEL!$A:$A,0)-1,0),0)</f>
        <v>13022450</v>
      </c>
      <c r="AE241" s="56">
        <v>14</v>
      </c>
      <c r="AG241" s="56">
        <f t="shared" ca="1" si="73"/>
        <v>52800850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52800850</v>
      </c>
      <c r="AI241" s="179">
        <f t="shared" ca="1" si="74"/>
        <v>81181550</v>
      </c>
      <c r="AK241" s="11">
        <f t="shared" si="75"/>
        <v>19800</v>
      </c>
      <c r="AL241" s="10">
        <v>19800</v>
      </c>
      <c r="AM241" s="11">
        <f t="shared" si="55"/>
        <v>850</v>
      </c>
      <c r="AN241" s="10">
        <v>850</v>
      </c>
      <c r="AO241" s="11">
        <f t="shared" si="55"/>
        <v>0</v>
      </c>
      <c r="AP241" s="10">
        <v>0</v>
      </c>
      <c r="AQ241" s="56">
        <f t="shared" si="76"/>
        <v>2</v>
      </c>
      <c r="AS241" s="11">
        <f ca="1">IFERROR(OFFSET(ITEM_RES!$A$1,MATCH(AT241,ITEM_RES!$J:$J,0)-1,0),0)</f>
        <v>211020901</v>
      </c>
      <c r="AT241" s="10" t="s">
        <v>438</v>
      </c>
      <c r="AU241" s="11">
        <v>4000000</v>
      </c>
      <c r="AX241" s="11">
        <f ca="1">IFERROR(OFFSET(ITEM_RES!$A$1,MATCH(AY241,ITEM_RES!$J:$J,0)-1,0),0)</f>
        <v>211020501</v>
      </c>
      <c r="AY241" s="10" t="s">
        <v>419</v>
      </c>
      <c r="AZ241" s="11">
        <v>4000000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53"/>
        <v>0</v>
      </c>
    </row>
    <row r="242" spans="1:68" x14ac:dyDescent="0.3">
      <c r="A242" s="14">
        <f t="shared" si="50"/>
        <v>113030018</v>
      </c>
      <c r="B242" s="13">
        <v>11</v>
      </c>
      <c r="C242" s="12">
        <f t="shared" si="51"/>
        <v>3</v>
      </c>
      <c r="D242" s="13">
        <v>3</v>
      </c>
      <c r="E242" s="13">
        <v>0</v>
      </c>
      <c r="F242" s="12">
        <f t="shared" si="52"/>
        <v>18</v>
      </c>
      <c r="H242" s="9">
        <v>3</v>
      </c>
      <c r="I242" s="9">
        <v>18</v>
      </c>
      <c r="K242" s="56" t="s">
        <v>370</v>
      </c>
      <c r="L242" s="56"/>
      <c r="M242" s="9">
        <v>0</v>
      </c>
      <c r="N242" s="9">
        <v>15</v>
      </c>
      <c r="O242" s="9" t="s">
        <v>1296</v>
      </c>
      <c r="S242" s="9" t="s">
        <v>685</v>
      </c>
      <c r="V242" s="9">
        <f ca="1">IFERROR(OFFSET(ITEM_RES!$A$5,MATCH(BUILDING!U242,ITEM_RES!$J$5:$J$229,0)-1,0),0)</f>
        <v>0</v>
      </c>
      <c r="Y242" s="9">
        <f ca="1">IFERROR(OFFSET(ITEM_RES!$A$5,MATCH(BUILDING!X242,ITEM_RES!$J$5:$J$229,0)-1,0),0)</f>
        <v>0</v>
      </c>
      <c r="AA242" s="9" t="s">
        <v>509</v>
      </c>
      <c r="AB242" s="9">
        <v>18</v>
      </c>
      <c r="AD242" s="11">
        <f ca="1">IFERROR(OFFSET(MANOR_LEVEL!$B$1,MATCH(AE242-1,MANOR_LEVEL!$A:$A,0)-1,0),0)</f>
        <v>23283600</v>
      </c>
      <c r="AE242" s="56">
        <v>15</v>
      </c>
      <c r="AG242" s="56">
        <f t="shared" ca="1" si="73"/>
        <v>85801050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85801050</v>
      </c>
      <c r="AI242" s="179">
        <f t="shared" ca="1" si="74"/>
        <v>138601900</v>
      </c>
      <c r="AK242" s="11">
        <f t="shared" si="75"/>
        <v>21600</v>
      </c>
      <c r="AL242" s="10">
        <v>21600</v>
      </c>
      <c r="AM242" s="11">
        <f t="shared" si="55"/>
        <v>1050</v>
      </c>
      <c r="AN242" s="10">
        <v>1050</v>
      </c>
      <c r="AO242" s="11">
        <f t="shared" si="55"/>
        <v>0</v>
      </c>
      <c r="AP242" s="10">
        <v>0</v>
      </c>
      <c r="AQ242" s="56">
        <f t="shared" si="76"/>
        <v>2</v>
      </c>
      <c r="AS242" s="11">
        <f ca="1">IFERROR(OFFSET(ITEM_RES!$A$1,MATCH(AT242,ITEM_RES!$J:$J,0)-1,0),0)</f>
        <v>211020901</v>
      </c>
      <c r="AT242" s="10" t="s">
        <v>438</v>
      </c>
      <c r="AU242" s="11">
        <v>6500000</v>
      </c>
      <c r="AX242" s="11">
        <f ca="1">IFERROR(OFFSET(ITEM_RES!$A$1,MATCH(AY242,ITEM_RES!$J:$J,0)-1,0),0)</f>
        <v>211020501</v>
      </c>
      <c r="AY242" s="10" t="s">
        <v>419</v>
      </c>
      <c r="AZ242" s="11">
        <v>6500000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53"/>
        <v>0</v>
      </c>
    </row>
    <row r="243" spans="1:68" x14ac:dyDescent="0.3">
      <c r="A243" s="14">
        <f t="shared" si="50"/>
        <v>113030019</v>
      </c>
      <c r="B243" s="13">
        <v>11</v>
      </c>
      <c r="C243" s="12">
        <f t="shared" si="51"/>
        <v>3</v>
      </c>
      <c r="D243" s="13">
        <v>3</v>
      </c>
      <c r="E243" s="13">
        <v>0</v>
      </c>
      <c r="F243" s="12">
        <f t="shared" si="52"/>
        <v>19</v>
      </c>
      <c r="H243" s="9">
        <v>3</v>
      </c>
      <c r="I243" s="9">
        <v>19</v>
      </c>
      <c r="K243" s="56" t="s">
        <v>370</v>
      </c>
      <c r="L243" s="56"/>
      <c r="M243" s="9">
        <v>0</v>
      </c>
      <c r="N243" s="9">
        <v>15</v>
      </c>
      <c r="O243" s="9" t="s">
        <v>1296</v>
      </c>
      <c r="S243" s="9" t="s">
        <v>685</v>
      </c>
      <c r="V243" s="9">
        <f ca="1">IFERROR(OFFSET(ITEM_RES!$A$5,MATCH(BUILDING!U243,ITEM_RES!$J$5:$J$229,0)-1,0),0)</f>
        <v>0</v>
      </c>
      <c r="Y243" s="9">
        <f ca="1">IFERROR(OFFSET(ITEM_RES!$A$5,MATCH(BUILDING!X243,ITEM_RES!$J$5:$J$229,0)-1,0),0)</f>
        <v>0</v>
      </c>
      <c r="AA243" s="9" t="s">
        <v>509</v>
      </c>
      <c r="AB243" s="9">
        <v>19</v>
      </c>
      <c r="AD243" s="11">
        <f ca="1">IFERROR(OFFSET(MANOR_LEVEL!$B$1,MATCH(AE243-1,MANOR_LEVEL!$A:$A,0)-1,0),0)</f>
        <v>50404400</v>
      </c>
      <c r="AE243" s="56">
        <v>16</v>
      </c>
      <c r="AG243" s="56">
        <f t="shared" ca="1" si="73"/>
        <v>132001250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132001250</v>
      </c>
      <c r="AI243" s="179">
        <f t="shared" ca="1" si="74"/>
        <v>217802300</v>
      </c>
      <c r="AK243" s="11">
        <f t="shared" si="75"/>
        <v>23400</v>
      </c>
      <c r="AL243" s="10">
        <v>23400</v>
      </c>
      <c r="AM243" s="11">
        <f t="shared" si="55"/>
        <v>1250</v>
      </c>
      <c r="AN243" s="10">
        <v>1250</v>
      </c>
      <c r="AO243" s="11">
        <f t="shared" si="55"/>
        <v>0</v>
      </c>
      <c r="AP243" s="10">
        <v>0</v>
      </c>
      <c r="AQ243" s="56">
        <f t="shared" si="76"/>
        <v>2</v>
      </c>
      <c r="AS243" s="11">
        <f ca="1">IFERROR(OFFSET(ITEM_RES!$A$1,MATCH(AT243,ITEM_RES!$J:$J,0)-1,0),0)</f>
        <v>211020901</v>
      </c>
      <c r="AT243" s="10" t="s">
        <v>438</v>
      </c>
      <c r="AU243" s="11">
        <v>10000000</v>
      </c>
      <c r="AX243" s="11">
        <f ca="1">IFERROR(OFFSET(ITEM_RES!$A$1,MATCH(AY243,ITEM_RES!$J:$J,0)-1,0),0)</f>
        <v>211020501</v>
      </c>
      <c r="AY243" s="10" t="s">
        <v>419</v>
      </c>
      <c r="AZ243" s="11">
        <v>10000000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53"/>
        <v>0</v>
      </c>
    </row>
    <row r="244" spans="1:68" ht="17.25" thickBot="1" x14ac:dyDescent="0.35">
      <c r="A244" s="14">
        <f t="shared" si="50"/>
        <v>113030020</v>
      </c>
      <c r="B244" s="13">
        <v>11</v>
      </c>
      <c r="C244" s="12">
        <f t="shared" si="51"/>
        <v>3</v>
      </c>
      <c r="D244" s="13">
        <v>3</v>
      </c>
      <c r="E244" s="13">
        <v>0</v>
      </c>
      <c r="F244" s="12">
        <f t="shared" si="52"/>
        <v>20</v>
      </c>
      <c r="H244" s="9">
        <v>3</v>
      </c>
      <c r="I244" s="9">
        <v>20</v>
      </c>
      <c r="K244" s="56" t="s">
        <v>370</v>
      </c>
      <c r="L244" s="56"/>
      <c r="M244" s="9">
        <v>0</v>
      </c>
      <c r="N244" s="9">
        <v>15</v>
      </c>
      <c r="O244" s="9" t="s">
        <v>1296</v>
      </c>
      <c r="S244" s="9" t="s">
        <v>685</v>
      </c>
      <c r="V244" s="9">
        <f ca="1">IFERROR(OFFSET(ITEM_RES!$A$5,MATCH(BUILDING!U244,ITEM_RES!$J$5:$J$229,0)-1,0),0)</f>
        <v>0</v>
      </c>
      <c r="Y244" s="9">
        <f ca="1">IFERROR(OFFSET(ITEM_RES!$A$5,MATCH(BUILDING!X244,ITEM_RES!$J$5:$J$229,0)-1,0),0)</f>
        <v>0</v>
      </c>
      <c r="AA244" s="9" t="s">
        <v>509</v>
      </c>
      <c r="AB244" s="9">
        <v>20</v>
      </c>
      <c r="AD244" s="11">
        <f ca="1">IFERROR(OFFSET(MANOR_LEVEL!$B$1,MATCH(AE244-1,MANOR_LEVEL!$A:$A,0)-1,0),0)</f>
        <v>119976300</v>
      </c>
      <c r="AE244" s="56">
        <v>17</v>
      </c>
      <c r="AG244" s="56">
        <f t="shared" ca="1" si="73"/>
        <v>211201500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211201500</v>
      </c>
      <c r="AI244" s="179">
        <f t="shared" ca="1" si="74"/>
        <v>343202750</v>
      </c>
      <c r="AK244" s="11">
        <f t="shared" si="75"/>
        <v>25200</v>
      </c>
      <c r="AL244" s="10">
        <v>25200</v>
      </c>
      <c r="AM244" s="11">
        <f t="shared" si="55"/>
        <v>1500</v>
      </c>
      <c r="AN244" s="10">
        <v>1500</v>
      </c>
      <c r="AO244" s="11">
        <f t="shared" si="55"/>
        <v>0</v>
      </c>
      <c r="AP244" s="10">
        <v>0</v>
      </c>
      <c r="AQ244" s="56">
        <f t="shared" si="76"/>
        <v>2</v>
      </c>
      <c r="AS244" s="11">
        <f ca="1">IFERROR(OFFSET(ITEM_RES!$A$1,MATCH(AT244,ITEM_RES!$J:$J,0)-1,0),0)</f>
        <v>211020901</v>
      </c>
      <c r="AT244" s="10" t="s">
        <v>438</v>
      </c>
      <c r="AU244" s="11">
        <v>16000000</v>
      </c>
      <c r="AX244" s="11">
        <f ca="1">IFERROR(OFFSET(ITEM_RES!$A$1,MATCH(AY244,ITEM_RES!$J:$J,0)-1,0),0)</f>
        <v>211020501</v>
      </c>
      <c r="AY244" s="10" t="s">
        <v>419</v>
      </c>
      <c r="AZ244" s="11">
        <v>16000000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53"/>
        <v>0</v>
      </c>
    </row>
    <row r="245" spans="1:68" s="15" customFormat="1" x14ac:dyDescent="0.3">
      <c r="A245" s="21">
        <f t="shared" si="50"/>
        <v>113040001</v>
      </c>
      <c r="B245" s="20">
        <v>11</v>
      </c>
      <c r="C245" s="19">
        <f t="shared" si="51"/>
        <v>3</v>
      </c>
      <c r="D245" s="20">
        <v>4</v>
      </c>
      <c r="E245" s="20">
        <v>0</v>
      </c>
      <c r="F245" s="19">
        <f t="shared" si="52"/>
        <v>1</v>
      </c>
      <c r="G245" s="78"/>
      <c r="H245" s="16">
        <v>3</v>
      </c>
      <c r="I245" s="16">
        <v>1</v>
      </c>
      <c r="J245" s="78"/>
      <c r="K245" s="63" t="s">
        <v>374</v>
      </c>
      <c r="L245" s="63">
        <v>5</v>
      </c>
      <c r="M245" s="16">
        <v>1</v>
      </c>
      <c r="N245" s="16">
        <v>15</v>
      </c>
      <c r="O245" s="16" t="s">
        <v>1126</v>
      </c>
      <c r="P245" s="17"/>
      <c r="Q245" s="17"/>
      <c r="R245" s="18"/>
      <c r="S245" s="16" t="s">
        <v>686</v>
      </c>
      <c r="T245" s="78"/>
      <c r="U245" s="86"/>
      <c r="V245" s="16">
        <f ca="1">IFERROR(OFFSET(ITEM_RES!$A$5,MATCH(BUILDING!U245,ITEM_RES!$J$5:$J$229,0)-1,0),0)</f>
        <v>0</v>
      </c>
      <c r="W245" s="18"/>
      <c r="X245" s="86"/>
      <c r="Y245" s="16">
        <f ca="1">IFERROR(OFFSET(ITEM_RES!$A$5,MATCH(BUILDING!X245,ITEM_RES!$J$5:$J$229,0)-1,0),0)</f>
        <v>0</v>
      </c>
      <c r="Z245" s="78"/>
      <c r="AA245" s="16" t="s">
        <v>510</v>
      </c>
      <c r="AB245" s="16">
        <v>1</v>
      </c>
      <c r="AC245" s="78"/>
      <c r="AD245" s="18">
        <f ca="1">IFERROR(OFFSET(MANOR_LEVEL!$B$1,MATCH(AE245-1,MANOR_LEVEL!$A:$A,0)-1,0),0)</f>
        <v>108200</v>
      </c>
      <c r="AE245" s="57">
        <v>7</v>
      </c>
      <c r="AF245" s="78"/>
      <c r="AG245" s="57">
        <f t="shared" ca="1" si="73"/>
        <v>1505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1505</v>
      </c>
      <c r="AI245" s="181">
        <f ca="1">AG245</f>
        <v>1505</v>
      </c>
      <c r="AJ245" s="78"/>
      <c r="AK245" s="18">
        <f t="shared" si="75"/>
        <v>5</v>
      </c>
      <c r="AL245" s="17">
        <v>5</v>
      </c>
      <c r="AM245" s="18">
        <f t="shared" si="55"/>
        <v>5</v>
      </c>
      <c r="AN245" s="17">
        <v>5</v>
      </c>
      <c r="AO245" s="18">
        <f t="shared" si="55"/>
        <v>0</v>
      </c>
      <c r="AP245" s="17">
        <v>0</v>
      </c>
      <c r="AQ245" s="57">
        <f t="shared" si="76"/>
        <v>2</v>
      </c>
      <c r="AR245" s="18"/>
      <c r="AS245" s="18">
        <f ca="1">IFERROR(OFFSET(ITEM_RES!$A$1,MATCH(AT245,ITEM_RES!$J:$J,0)-1,0),0)</f>
        <v>211020801</v>
      </c>
      <c r="AT245" s="17" t="s">
        <v>429</v>
      </c>
      <c r="AU245" s="18">
        <v>50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445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53"/>
        <v>0</v>
      </c>
      <c r="BP245" s="17"/>
    </row>
    <row r="246" spans="1:68" x14ac:dyDescent="0.3">
      <c r="A246" s="14">
        <f t="shared" si="50"/>
        <v>113040002</v>
      </c>
      <c r="B246" s="13">
        <v>11</v>
      </c>
      <c r="C246" s="12">
        <f t="shared" si="51"/>
        <v>3</v>
      </c>
      <c r="D246" s="13">
        <v>4</v>
      </c>
      <c r="E246" s="13">
        <v>0</v>
      </c>
      <c r="F246" s="12">
        <f t="shared" si="52"/>
        <v>2</v>
      </c>
      <c r="H246" s="9">
        <v>3</v>
      </c>
      <c r="I246" s="9">
        <v>2</v>
      </c>
      <c r="K246" s="56" t="s">
        <v>374</v>
      </c>
      <c r="L246" s="56"/>
      <c r="M246" s="9">
        <v>1</v>
      </c>
      <c r="N246" s="9">
        <v>15</v>
      </c>
      <c r="O246" s="139" t="s">
        <v>1127</v>
      </c>
      <c r="S246" s="9" t="s">
        <v>686</v>
      </c>
      <c r="V246" s="9">
        <f ca="1">IFERROR(OFFSET(ITEM_RES!$A$5,MATCH(BUILDING!U246,ITEM_RES!$J$5:$J$229,0)-1,0),0)</f>
        <v>0</v>
      </c>
      <c r="Y246" s="9">
        <f ca="1">IFERROR(OFFSET(ITEM_RES!$A$5,MATCH(BUILDING!X246,ITEM_RES!$J$5:$J$229,0)-1,0),0)</f>
        <v>0</v>
      </c>
      <c r="AA246" s="9" t="s">
        <v>510</v>
      </c>
      <c r="AB246" s="9">
        <v>2</v>
      </c>
      <c r="AD246" s="11">
        <f ca="1">IFERROR(OFFSET(MANOR_LEVEL!$B$1,MATCH(AE246-1,MANOR_LEVEL!$A:$A,0)-1,0),0)</f>
        <v>240400</v>
      </c>
      <c r="AE246" s="56">
        <v>8</v>
      </c>
      <c r="AG246" s="56">
        <f t="shared" ca="1" si="73"/>
        <v>1010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1010</v>
      </c>
      <c r="AI246" s="179">
        <f ca="1">AG245+AG246</f>
        <v>2515</v>
      </c>
      <c r="AK246" s="11">
        <f t="shared" si="75"/>
        <v>10</v>
      </c>
      <c r="AL246" s="10">
        <v>10</v>
      </c>
      <c r="AM246" s="11">
        <f t="shared" si="55"/>
        <v>10</v>
      </c>
      <c r="AN246" s="10">
        <v>10</v>
      </c>
      <c r="AO246" s="11">
        <f t="shared" si="55"/>
        <v>0</v>
      </c>
      <c r="AP246" s="10">
        <v>0</v>
      </c>
      <c r="AQ246" s="56">
        <f t="shared" si="76"/>
        <v>1</v>
      </c>
      <c r="AS246" s="11">
        <f ca="1">IFERROR(OFFSET(ITEM_RES!$A$1,MATCH(AT246,ITEM_RES!$J:$J,0)-1,0),0)</f>
        <v>211020801</v>
      </c>
      <c r="AT246" s="10" t="s">
        <v>429</v>
      </c>
      <c r="AU246" s="11">
        <v>100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53"/>
        <v>0</v>
      </c>
    </row>
    <row r="247" spans="1:68" x14ac:dyDescent="0.3">
      <c r="A247" s="14">
        <f t="shared" si="50"/>
        <v>113040003</v>
      </c>
      <c r="B247" s="13">
        <v>11</v>
      </c>
      <c r="C247" s="12">
        <f t="shared" si="51"/>
        <v>3</v>
      </c>
      <c r="D247" s="13">
        <v>4</v>
      </c>
      <c r="E247" s="13">
        <v>0</v>
      </c>
      <c r="F247" s="12">
        <f t="shared" si="52"/>
        <v>3</v>
      </c>
      <c r="H247" s="9">
        <v>3</v>
      </c>
      <c r="I247" s="9">
        <v>3</v>
      </c>
      <c r="K247" s="56" t="s">
        <v>374</v>
      </c>
      <c r="L247" s="56"/>
      <c r="M247" s="9">
        <v>1</v>
      </c>
      <c r="N247" s="9">
        <v>15</v>
      </c>
      <c r="O247" s="9" t="s">
        <v>1128</v>
      </c>
      <c r="S247" s="9" t="s">
        <v>686</v>
      </c>
      <c r="V247" s="9">
        <f ca="1">IFERROR(OFFSET(ITEM_RES!$A$5,MATCH(BUILDING!U247,ITEM_RES!$J$5:$J$229,0)-1,0),0)</f>
        <v>0</v>
      </c>
      <c r="Y247" s="9">
        <f ca="1">IFERROR(OFFSET(ITEM_RES!$A$5,MATCH(BUILDING!X247,ITEM_RES!$J$5:$J$229,0)-1,0),0)</f>
        <v>0</v>
      </c>
      <c r="AA247" s="9" t="s">
        <v>510</v>
      </c>
      <c r="AB247" s="9">
        <v>3</v>
      </c>
      <c r="AD247" s="11">
        <f ca="1">IFERROR(OFFSET(MANOR_LEVEL!$B$1,MATCH(AE247-1,MANOR_LEVEL!$A:$A,0)-1,0),0)</f>
        <v>630500</v>
      </c>
      <c r="AE247" s="56">
        <v>9</v>
      </c>
      <c r="AG247" s="56">
        <f t="shared" ca="1" si="73"/>
        <v>1515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1515</v>
      </c>
      <c r="AI247" s="179">
        <f t="shared" ref="AI247:AI264" ca="1" si="77">AG246+AG247</f>
        <v>2525</v>
      </c>
      <c r="AK247" s="11">
        <f t="shared" si="75"/>
        <v>30</v>
      </c>
      <c r="AL247" s="10">
        <v>30</v>
      </c>
      <c r="AM247" s="11">
        <f t="shared" si="55"/>
        <v>15</v>
      </c>
      <c r="AN247" s="10">
        <v>15</v>
      </c>
      <c r="AO247" s="11">
        <f t="shared" si="55"/>
        <v>0</v>
      </c>
      <c r="AP247" s="10">
        <v>0</v>
      </c>
      <c r="AQ247" s="56">
        <f t="shared" si="76"/>
        <v>1</v>
      </c>
      <c r="AS247" s="11">
        <f ca="1">IFERROR(OFFSET(ITEM_RES!$A$1,MATCH(AT247,ITEM_RES!$J:$J,0)-1,0),0)</f>
        <v>211020801</v>
      </c>
      <c r="AT247" s="10" t="s">
        <v>429</v>
      </c>
      <c r="AU247" s="11">
        <v>150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53"/>
        <v>0</v>
      </c>
    </row>
    <row r="248" spans="1:68" x14ac:dyDescent="0.3">
      <c r="A248" s="14">
        <f t="shared" si="50"/>
        <v>113040004</v>
      </c>
      <c r="B248" s="13">
        <v>11</v>
      </c>
      <c r="C248" s="12">
        <f t="shared" si="51"/>
        <v>3</v>
      </c>
      <c r="D248" s="13">
        <v>4</v>
      </c>
      <c r="E248" s="13">
        <v>0</v>
      </c>
      <c r="F248" s="12">
        <f t="shared" si="52"/>
        <v>4</v>
      </c>
      <c r="H248" s="9">
        <v>3</v>
      </c>
      <c r="I248" s="9">
        <v>4</v>
      </c>
      <c r="K248" s="56" t="s">
        <v>374</v>
      </c>
      <c r="L248" s="56"/>
      <c r="M248" s="9">
        <v>1</v>
      </c>
      <c r="N248" s="9">
        <v>15</v>
      </c>
      <c r="O248" s="9" t="s">
        <v>1128</v>
      </c>
      <c r="S248" s="9" t="s">
        <v>686</v>
      </c>
      <c r="V248" s="9">
        <f ca="1">IFERROR(OFFSET(ITEM_RES!$A$5,MATCH(BUILDING!U248,ITEM_RES!$J$5:$J$229,0)-1,0),0)</f>
        <v>0</v>
      </c>
      <c r="Y248" s="9">
        <f ca="1">IFERROR(OFFSET(ITEM_RES!$A$5,MATCH(BUILDING!X248,ITEM_RES!$J$5:$J$229,0)-1,0),0)</f>
        <v>0</v>
      </c>
      <c r="AA248" s="9" t="s">
        <v>510</v>
      </c>
      <c r="AB248" s="9">
        <v>4</v>
      </c>
      <c r="AD248" s="11">
        <f ca="1">IFERROR(OFFSET(MANOR_LEVEL!$B$1,MATCH(AE248-1,MANOR_LEVEL!$A:$A,0)-1,0),0)</f>
        <v>630500</v>
      </c>
      <c r="AE248" s="56">
        <v>9</v>
      </c>
      <c r="AG248" s="56">
        <f t="shared" ca="1" si="73"/>
        <v>6025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6025</v>
      </c>
      <c r="AI248" s="179">
        <f t="shared" ca="1" si="77"/>
        <v>7540</v>
      </c>
      <c r="AK248" s="11">
        <f t="shared" si="75"/>
        <v>300</v>
      </c>
      <c r="AL248" s="10">
        <v>300</v>
      </c>
      <c r="AM248" s="11">
        <f t="shared" si="55"/>
        <v>25</v>
      </c>
      <c r="AN248" s="10">
        <v>25</v>
      </c>
      <c r="AO248" s="11">
        <f t="shared" si="55"/>
        <v>0</v>
      </c>
      <c r="AP248" s="10">
        <v>0</v>
      </c>
      <c r="AQ248" s="56">
        <f t="shared" si="76"/>
        <v>1</v>
      </c>
      <c r="AS248" s="11">
        <f ca="1">IFERROR(OFFSET(ITEM_RES!$A$1,MATCH(AT248,ITEM_RES!$J:$J,0)-1,0),0)</f>
        <v>211020801</v>
      </c>
      <c r="AT248" s="10" t="s">
        <v>429</v>
      </c>
      <c r="AU248" s="11">
        <v>600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53"/>
        <v>0</v>
      </c>
    </row>
    <row r="249" spans="1:68" x14ac:dyDescent="0.3">
      <c r="A249" s="14">
        <f t="shared" si="50"/>
        <v>113040005</v>
      </c>
      <c r="B249" s="13">
        <v>11</v>
      </c>
      <c r="C249" s="12">
        <f t="shared" si="51"/>
        <v>3</v>
      </c>
      <c r="D249" s="13">
        <v>4</v>
      </c>
      <c r="E249" s="13">
        <v>0</v>
      </c>
      <c r="F249" s="12">
        <f t="shared" si="52"/>
        <v>5</v>
      </c>
      <c r="H249" s="9">
        <v>3</v>
      </c>
      <c r="I249" s="9">
        <v>5</v>
      </c>
      <c r="K249" s="56" t="s">
        <v>374</v>
      </c>
      <c r="L249" s="56"/>
      <c r="M249" s="9">
        <v>1</v>
      </c>
      <c r="N249" s="9">
        <v>15</v>
      </c>
      <c r="O249" s="9" t="s">
        <v>1129</v>
      </c>
      <c r="S249" s="9" t="s">
        <v>686</v>
      </c>
      <c r="V249" s="9">
        <f ca="1">IFERROR(OFFSET(ITEM_RES!$A$5,MATCH(BUILDING!U249,ITEM_RES!$J$5:$J$229,0)-1,0),0)</f>
        <v>0</v>
      </c>
      <c r="Y249" s="9">
        <f ca="1">IFERROR(OFFSET(ITEM_RES!$A$5,MATCH(BUILDING!X249,ITEM_RES!$J$5:$J$229,0)-1,0),0)</f>
        <v>0</v>
      </c>
      <c r="AA249" s="9" t="s">
        <v>510</v>
      </c>
      <c r="AB249" s="9">
        <v>5</v>
      </c>
      <c r="AD249" s="11">
        <f ca="1">IFERROR(OFFSET(MANOR_LEVEL!$B$1,MATCH(AE249-1,MANOR_LEVEL!$A:$A,0)-1,0),0)</f>
        <v>1170750</v>
      </c>
      <c r="AE249" s="56">
        <v>10</v>
      </c>
      <c r="AG249" s="56">
        <f t="shared" ca="1" si="73"/>
        <v>27040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27040</v>
      </c>
      <c r="AI249" s="179">
        <f t="shared" ca="1" si="77"/>
        <v>33065</v>
      </c>
      <c r="AK249" s="11">
        <f t="shared" si="75"/>
        <v>600</v>
      </c>
      <c r="AL249" s="10">
        <v>600</v>
      </c>
      <c r="AM249" s="11">
        <f t="shared" si="55"/>
        <v>40</v>
      </c>
      <c r="AN249" s="10">
        <v>40</v>
      </c>
      <c r="AO249" s="11">
        <f t="shared" si="55"/>
        <v>0</v>
      </c>
      <c r="AP249" s="10">
        <v>0</v>
      </c>
      <c r="AQ249" s="56">
        <f t="shared" si="76"/>
        <v>1</v>
      </c>
      <c r="AS249" s="11">
        <f ca="1">IFERROR(OFFSET(ITEM_RES!$A$1,MATCH(AT249,ITEM_RES!$J:$J,0)-1,0),0)</f>
        <v>211020801</v>
      </c>
      <c r="AT249" s="10" t="s">
        <v>429</v>
      </c>
      <c r="AU249" s="11">
        <v>2700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53"/>
        <v>0</v>
      </c>
    </row>
    <row r="250" spans="1:68" x14ac:dyDescent="0.3">
      <c r="A250" s="14">
        <f t="shared" si="50"/>
        <v>113040006</v>
      </c>
      <c r="B250" s="13">
        <v>11</v>
      </c>
      <c r="C250" s="12">
        <f t="shared" si="51"/>
        <v>3</v>
      </c>
      <c r="D250" s="13">
        <v>4</v>
      </c>
      <c r="E250" s="13">
        <v>0</v>
      </c>
      <c r="F250" s="12">
        <f t="shared" si="52"/>
        <v>6</v>
      </c>
      <c r="H250" s="9">
        <v>3</v>
      </c>
      <c r="I250" s="9">
        <v>6</v>
      </c>
      <c r="K250" s="56" t="s">
        <v>374</v>
      </c>
      <c r="L250" s="56"/>
      <c r="M250" s="9">
        <v>1</v>
      </c>
      <c r="N250" s="9">
        <v>15</v>
      </c>
      <c r="O250" s="9" t="s">
        <v>1130</v>
      </c>
      <c r="S250" s="9" t="s">
        <v>686</v>
      </c>
      <c r="V250" s="9">
        <f ca="1">IFERROR(OFFSET(ITEM_RES!$A$5,MATCH(BUILDING!U250,ITEM_RES!$J$5:$J$229,0)-1,0),0)</f>
        <v>0</v>
      </c>
      <c r="Y250" s="9">
        <f ca="1">IFERROR(OFFSET(ITEM_RES!$A$5,MATCH(BUILDING!X250,ITEM_RES!$J$5:$J$229,0)-1,0),0)</f>
        <v>0</v>
      </c>
      <c r="AA250" s="9" t="s">
        <v>510</v>
      </c>
      <c r="AB250" s="9">
        <v>6</v>
      </c>
      <c r="AD250" s="11">
        <f ca="1">IFERROR(OFFSET(MANOR_LEVEL!$B$1,MATCH(AE250-1,MANOR_LEVEL!$A:$A,0)-1,0),0)</f>
        <v>1170750</v>
      </c>
      <c r="AE250" s="56">
        <v>10</v>
      </c>
      <c r="AG250" s="56">
        <f t="shared" ca="1" si="73"/>
        <v>90050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90050</v>
      </c>
      <c r="AI250" s="179">
        <f t="shared" ca="1" si="77"/>
        <v>117090</v>
      </c>
      <c r="AK250" s="11">
        <f t="shared" si="75"/>
        <v>1200</v>
      </c>
      <c r="AL250" s="10">
        <v>1200</v>
      </c>
      <c r="AM250" s="11">
        <f t="shared" si="55"/>
        <v>50</v>
      </c>
      <c r="AN250" s="10">
        <v>50</v>
      </c>
      <c r="AO250" s="11">
        <f t="shared" si="55"/>
        <v>0</v>
      </c>
      <c r="AP250" s="10">
        <v>0</v>
      </c>
      <c r="AQ250" s="56">
        <f t="shared" si="76"/>
        <v>1</v>
      </c>
      <c r="AS250" s="11">
        <f ca="1">IFERROR(OFFSET(ITEM_RES!$A$1,MATCH(AT250,ITEM_RES!$J:$J,0)-1,0),0)</f>
        <v>211020801</v>
      </c>
      <c r="AT250" s="10" t="s">
        <v>429</v>
      </c>
      <c r="AU250" s="11">
        <v>9000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53"/>
        <v>0</v>
      </c>
    </row>
    <row r="251" spans="1:68" x14ac:dyDescent="0.3">
      <c r="A251" s="14">
        <f t="shared" si="50"/>
        <v>113040007</v>
      </c>
      <c r="B251" s="13">
        <v>11</v>
      </c>
      <c r="C251" s="12">
        <f t="shared" si="51"/>
        <v>3</v>
      </c>
      <c r="D251" s="13">
        <v>4</v>
      </c>
      <c r="E251" s="13">
        <v>0</v>
      </c>
      <c r="F251" s="12">
        <f t="shared" si="52"/>
        <v>7</v>
      </c>
      <c r="H251" s="9">
        <v>3</v>
      </c>
      <c r="I251" s="9">
        <v>7</v>
      </c>
      <c r="K251" s="56" t="s">
        <v>374</v>
      </c>
      <c r="L251" s="56"/>
      <c r="M251" s="9">
        <v>1</v>
      </c>
      <c r="N251" s="9">
        <v>15</v>
      </c>
      <c r="O251" s="9" t="s">
        <v>1131</v>
      </c>
      <c r="S251" s="9" t="s">
        <v>686</v>
      </c>
      <c r="V251" s="9">
        <f ca="1">IFERROR(OFFSET(ITEM_RES!$A$5,MATCH(BUILDING!U251,ITEM_RES!$J$5:$J$229,0)-1,0),0)</f>
        <v>0</v>
      </c>
      <c r="Y251" s="9">
        <f ca="1">IFERROR(OFFSET(ITEM_RES!$A$5,MATCH(BUILDING!X251,ITEM_RES!$J$5:$J$229,0)-1,0),0)</f>
        <v>0</v>
      </c>
      <c r="AA251" s="9" t="s">
        <v>510</v>
      </c>
      <c r="AB251" s="9">
        <v>7</v>
      </c>
      <c r="AD251" s="11">
        <f ca="1">IFERROR(OFFSET(MANOR_LEVEL!$B$1,MATCH(AE251-1,MANOR_LEVEL!$A:$A,0)-1,0),0)</f>
        <v>1956000</v>
      </c>
      <c r="AE251" s="56">
        <v>11</v>
      </c>
      <c r="AG251" s="56">
        <f t="shared" ca="1" si="73"/>
        <v>200100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200100</v>
      </c>
      <c r="AI251" s="179">
        <f t="shared" ca="1" si="77"/>
        <v>290150</v>
      </c>
      <c r="AK251" s="11">
        <f t="shared" si="75"/>
        <v>1800</v>
      </c>
      <c r="AL251" s="10">
        <v>1800</v>
      </c>
      <c r="AM251" s="11">
        <f t="shared" si="55"/>
        <v>100</v>
      </c>
      <c r="AN251" s="10">
        <v>100</v>
      </c>
      <c r="AO251" s="11">
        <f t="shared" si="55"/>
        <v>0</v>
      </c>
      <c r="AP251" s="10">
        <v>0</v>
      </c>
      <c r="AQ251" s="56">
        <f t="shared" si="76"/>
        <v>1</v>
      </c>
      <c r="AS251" s="11">
        <f ca="1">IFERROR(OFFSET(ITEM_RES!$A$1,MATCH(AT251,ITEM_RES!$J:$J,0)-1,0),0)</f>
        <v>211020801</v>
      </c>
      <c r="AT251" s="10" t="s">
        <v>429</v>
      </c>
      <c r="AU251" s="11">
        <v>20000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53"/>
        <v>0</v>
      </c>
    </row>
    <row r="252" spans="1:68" x14ac:dyDescent="0.3">
      <c r="A252" s="14">
        <f t="shared" si="50"/>
        <v>113040008</v>
      </c>
      <c r="B252" s="13">
        <v>11</v>
      </c>
      <c r="C252" s="12">
        <f t="shared" si="51"/>
        <v>3</v>
      </c>
      <c r="D252" s="13">
        <v>4</v>
      </c>
      <c r="E252" s="13">
        <v>0</v>
      </c>
      <c r="F252" s="12">
        <f t="shared" si="52"/>
        <v>8</v>
      </c>
      <c r="H252" s="9">
        <v>3</v>
      </c>
      <c r="I252" s="9">
        <v>8</v>
      </c>
      <c r="K252" s="56" t="s">
        <v>374</v>
      </c>
      <c r="L252" s="56"/>
      <c r="M252" s="9">
        <v>1</v>
      </c>
      <c r="N252" s="9">
        <v>15</v>
      </c>
      <c r="O252" s="9" t="s">
        <v>1131</v>
      </c>
      <c r="S252" s="9" t="s">
        <v>686</v>
      </c>
      <c r="V252" s="9">
        <f ca="1">IFERROR(OFFSET(ITEM_RES!$A$5,MATCH(BUILDING!U252,ITEM_RES!$J$5:$J$229,0)-1,0),0)</f>
        <v>0</v>
      </c>
      <c r="Y252" s="9">
        <f ca="1">IFERROR(OFFSET(ITEM_RES!$A$5,MATCH(BUILDING!X252,ITEM_RES!$J$5:$J$229,0)-1,0),0)</f>
        <v>0</v>
      </c>
      <c r="AA252" s="9" t="s">
        <v>510</v>
      </c>
      <c r="AB252" s="9">
        <v>8</v>
      </c>
      <c r="AD252" s="11">
        <f ca="1">IFERROR(OFFSET(MANOR_LEVEL!$B$1,MATCH(AE252-1,MANOR_LEVEL!$A:$A,0)-1,0),0)</f>
        <v>3961500</v>
      </c>
      <c r="AE252" s="56">
        <v>12</v>
      </c>
      <c r="AG252" s="56">
        <f t="shared" ca="1" si="73"/>
        <v>420100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420100</v>
      </c>
      <c r="AI252" s="179">
        <f t="shared" ca="1" si="77"/>
        <v>620200</v>
      </c>
      <c r="AK252" s="11">
        <f t="shared" si="75"/>
        <v>3600</v>
      </c>
      <c r="AL252" s="10">
        <v>3600</v>
      </c>
      <c r="AM252" s="11">
        <f t="shared" si="55"/>
        <v>100</v>
      </c>
      <c r="AN252" s="10">
        <v>100</v>
      </c>
      <c r="AO252" s="11">
        <v>0</v>
      </c>
      <c r="AP252" s="10">
        <v>0</v>
      </c>
      <c r="AQ252" s="56">
        <f t="shared" si="76"/>
        <v>1</v>
      </c>
      <c r="AS252" s="11">
        <f ca="1">IFERROR(OFFSET(ITEM_RES!$A$1,MATCH(AT252,ITEM_RES!$J:$J,0)-1,0),0)</f>
        <v>211020801</v>
      </c>
      <c r="AT252" s="10" t="s">
        <v>429</v>
      </c>
      <c r="AU252" s="11">
        <v>42000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53"/>
        <v>0</v>
      </c>
    </row>
    <row r="253" spans="1:68" x14ac:dyDescent="0.3">
      <c r="A253" s="14">
        <f t="shared" si="50"/>
        <v>113040009</v>
      </c>
      <c r="B253" s="13">
        <v>11</v>
      </c>
      <c r="C253" s="12">
        <f t="shared" si="51"/>
        <v>3</v>
      </c>
      <c r="D253" s="13">
        <v>4</v>
      </c>
      <c r="E253" s="13">
        <v>0</v>
      </c>
      <c r="F253" s="12">
        <f t="shared" si="52"/>
        <v>9</v>
      </c>
      <c r="H253" s="9">
        <v>3</v>
      </c>
      <c r="I253" s="9">
        <v>9</v>
      </c>
      <c r="K253" s="56" t="s">
        <v>374</v>
      </c>
      <c r="L253" s="56"/>
      <c r="M253" s="9">
        <v>1</v>
      </c>
      <c r="N253" s="9">
        <v>15</v>
      </c>
      <c r="O253" s="9" t="s">
        <v>1131</v>
      </c>
      <c r="S253" s="9" t="s">
        <v>686</v>
      </c>
      <c r="V253" s="9">
        <f ca="1">IFERROR(OFFSET(ITEM_RES!$A$5,MATCH(BUILDING!U253,ITEM_RES!$J$5:$J$229,0)-1,0),0)</f>
        <v>0</v>
      </c>
      <c r="Y253" s="9">
        <f ca="1">IFERROR(OFFSET(ITEM_RES!$A$5,MATCH(BUILDING!X253,ITEM_RES!$J$5:$J$229,0)-1,0),0)</f>
        <v>0</v>
      </c>
      <c r="AA253" s="9" t="s">
        <v>510</v>
      </c>
      <c r="AB253" s="9">
        <v>9</v>
      </c>
      <c r="AD253" s="11">
        <f ca="1">IFERROR(OFFSET(MANOR_LEVEL!$B$1,MATCH(AE253-1,MANOR_LEVEL!$A:$A,0)-1,0),0)</f>
        <v>7772100</v>
      </c>
      <c r="AE253" s="56">
        <v>13</v>
      </c>
      <c r="AG253" s="56">
        <f t="shared" ca="1" si="73"/>
        <v>780150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780150</v>
      </c>
      <c r="AI253" s="179">
        <f t="shared" ca="1" si="77"/>
        <v>1200250</v>
      </c>
      <c r="AK253" s="11">
        <f t="shared" si="75"/>
        <v>5400</v>
      </c>
      <c r="AL253" s="10">
        <v>5400</v>
      </c>
      <c r="AM253" s="11">
        <f t="shared" si="55"/>
        <v>150</v>
      </c>
      <c r="AN253" s="10">
        <v>150</v>
      </c>
      <c r="AO253" s="11">
        <v>0</v>
      </c>
      <c r="AP253" s="10">
        <v>0</v>
      </c>
      <c r="AQ253" s="56">
        <f t="shared" si="76"/>
        <v>1</v>
      </c>
      <c r="AS253" s="11">
        <f ca="1">IFERROR(OFFSET(ITEM_RES!$A$1,MATCH(AT253,ITEM_RES!$J:$J,0)-1,0),0)</f>
        <v>211020801</v>
      </c>
      <c r="AT253" s="10" t="s">
        <v>429</v>
      </c>
      <c r="AU253" s="11">
        <v>78000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53"/>
        <v>0</v>
      </c>
    </row>
    <row r="254" spans="1:68" x14ac:dyDescent="0.3">
      <c r="A254" s="14">
        <f t="shared" si="50"/>
        <v>113040010</v>
      </c>
      <c r="B254" s="13">
        <v>11</v>
      </c>
      <c r="C254" s="12">
        <f t="shared" si="51"/>
        <v>3</v>
      </c>
      <c r="D254" s="13">
        <v>4</v>
      </c>
      <c r="E254" s="13">
        <v>0</v>
      </c>
      <c r="F254" s="12">
        <f t="shared" si="52"/>
        <v>10</v>
      </c>
      <c r="H254" s="9">
        <v>3</v>
      </c>
      <c r="I254" s="9">
        <v>10</v>
      </c>
      <c r="K254" s="56" t="s">
        <v>374</v>
      </c>
      <c r="L254" s="56"/>
      <c r="M254" s="9">
        <v>1</v>
      </c>
      <c r="N254" s="9">
        <v>15</v>
      </c>
      <c r="O254" s="9" t="s">
        <v>1131</v>
      </c>
      <c r="S254" s="9" t="s">
        <v>686</v>
      </c>
      <c r="V254" s="9">
        <f ca="1">IFERROR(OFFSET(ITEM_RES!$A$5,MATCH(BUILDING!U254,ITEM_RES!$J$5:$J$229,0)-1,0),0)</f>
        <v>0</v>
      </c>
      <c r="Y254" s="9">
        <f ca="1">IFERROR(OFFSET(ITEM_RES!$A$5,MATCH(BUILDING!X254,ITEM_RES!$J$5:$J$229,0)-1,0),0)</f>
        <v>0</v>
      </c>
      <c r="AA254" s="9" t="s">
        <v>510</v>
      </c>
      <c r="AB254" s="9">
        <v>10</v>
      </c>
      <c r="AD254" s="11">
        <f ca="1">IFERROR(OFFSET(MANOR_LEVEL!$B$1,MATCH(AE254-1,MANOR_LEVEL!$A:$A,0)-1,0),0)</f>
        <v>7772100</v>
      </c>
      <c r="AE254" s="56">
        <v>13</v>
      </c>
      <c r="AG254" s="56">
        <f t="shared" ca="1" si="73"/>
        <v>1301200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1301200</v>
      </c>
      <c r="AI254" s="179">
        <f t="shared" ca="1" si="77"/>
        <v>2081350</v>
      </c>
      <c r="AK254" s="11">
        <f t="shared" si="75"/>
        <v>7200</v>
      </c>
      <c r="AL254" s="10">
        <v>7200</v>
      </c>
      <c r="AM254" s="11">
        <f t="shared" si="55"/>
        <v>200</v>
      </c>
      <c r="AN254" s="10">
        <v>200</v>
      </c>
      <c r="AO254" s="11">
        <v>0</v>
      </c>
      <c r="AP254" s="10">
        <v>0</v>
      </c>
      <c r="AQ254" s="56">
        <f t="shared" si="76"/>
        <v>2</v>
      </c>
      <c r="AS254" s="11">
        <f ca="1">IFERROR(OFFSET(ITEM_RES!$A$1,MATCH(AT254,ITEM_RES!$J:$J,0)-1,0),0)</f>
        <v>211020801</v>
      </c>
      <c r="AT254" s="10" t="s">
        <v>429</v>
      </c>
      <c r="AU254" s="11">
        <v>130000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457</v>
      </c>
      <c r="BJ254" s="11">
        <v>1</v>
      </c>
      <c r="BM254" s="11">
        <f ca="1">IFERROR(OFFSET(ITEM_RES!$A$1,MATCH(BN254,ITEM_RES!$J:$J,0)-1,0),0)</f>
        <v>0</v>
      </c>
      <c r="BO254" s="11">
        <f t="shared" si="53"/>
        <v>0</v>
      </c>
    </row>
    <row r="255" spans="1:68" x14ac:dyDescent="0.3">
      <c r="A255" s="14">
        <f t="shared" si="50"/>
        <v>113040011</v>
      </c>
      <c r="B255" s="13">
        <v>11</v>
      </c>
      <c r="C255" s="12">
        <f t="shared" si="51"/>
        <v>3</v>
      </c>
      <c r="D255" s="13">
        <v>4</v>
      </c>
      <c r="E255" s="13">
        <v>0</v>
      </c>
      <c r="F255" s="12">
        <f t="shared" si="52"/>
        <v>11</v>
      </c>
      <c r="H255" s="9">
        <v>3</v>
      </c>
      <c r="I255" s="9">
        <v>11</v>
      </c>
      <c r="K255" s="56" t="s">
        <v>374</v>
      </c>
      <c r="L255" s="56"/>
      <c r="M255" s="9">
        <v>1</v>
      </c>
      <c r="N255" s="9">
        <v>15</v>
      </c>
      <c r="O255" s="9" t="s">
        <v>1131</v>
      </c>
      <c r="S255" s="9" t="s">
        <v>686</v>
      </c>
      <c r="V255" s="9">
        <f ca="1">IFERROR(OFFSET(ITEM_RES!$A$5,MATCH(BUILDING!U255,ITEM_RES!$J$5:$J$229,0)-1,0),0)</f>
        <v>0</v>
      </c>
      <c r="Y255" s="9">
        <f ca="1">IFERROR(OFFSET(ITEM_RES!$A$5,MATCH(BUILDING!X255,ITEM_RES!$J$5:$J$229,0)-1,0),0)</f>
        <v>0</v>
      </c>
      <c r="AA255" s="9" t="s">
        <v>510</v>
      </c>
      <c r="AB255" s="9">
        <v>11</v>
      </c>
      <c r="AD255" s="11">
        <f ca="1">IFERROR(OFFSET(MANOR_LEVEL!$B$1,MATCH(AE255-1,MANOR_LEVEL!$A:$A,0)-1,0),0)</f>
        <v>13022450</v>
      </c>
      <c r="AE255" s="56">
        <v>14</v>
      </c>
      <c r="AG255" s="56">
        <f t="shared" ca="1" si="73"/>
        <v>2200750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2200750</v>
      </c>
      <c r="AI255" s="179">
        <f t="shared" ca="1" si="77"/>
        <v>3501950</v>
      </c>
      <c r="AK255" s="11">
        <f t="shared" si="75"/>
        <v>9000</v>
      </c>
      <c r="AL255" s="10">
        <v>9000</v>
      </c>
      <c r="AM255" s="11">
        <f t="shared" si="55"/>
        <v>250</v>
      </c>
      <c r="AN255" s="10">
        <v>250</v>
      </c>
      <c r="AO255" s="11">
        <v>500</v>
      </c>
      <c r="AP255" s="10">
        <v>0</v>
      </c>
      <c r="AQ255" s="56">
        <f t="shared" si="76"/>
        <v>1</v>
      </c>
      <c r="AS255" s="11">
        <f ca="1">IFERROR(OFFSET(ITEM_RES!$A$1,MATCH(AT255,ITEM_RES!$J:$J,0)-1,0),0)</f>
        <v>211020801</v>
      </c>
      <c r="AT255" s="10" t="s">
        <v>429</v>
      </c>
      <c r="AU255" s="11">
        <v>220000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53"/>
        <v>0</v>
      </c>
    </row>
    <row r="256" spans="1:68" x14ac:dyDescent="0.3">
      <c r="A256" s="14">
        <f t="shared" si="50"/>
        <v>113040012</v>
      </c>
      <c r="B256" s="13">
        <v>11</v>
      </c>
      <c r="C256" s="12">
        <f t="shared" si="51"/>
        <v>3</v>
      </c>
      <c r="D256" s="13">
        <v>4</v>
      </c>
      <c r="E256" s="13">
        <v>0</v>
      </c>
      <c r="F256" s="12">
        <f t="shared" si="52"/>
        <v>12</v>
      </c>
      <c r="H256" s="9">
        <v>3</v>
      </c>
      <c r="I256" s="9">
        <v>12</v>
      </c>
      <c r="K256" s="56" t="s">
        <v>374</v>
      </c>
      <c r="L256" s="56"/>
      <c r="M256" s="9">
        <v>1</v>
      </c>
      <c r="N256" s="9">
        <v>15</v>
      </c>
      <c r="O256" s="9" t="s">
        <v>1131</v>
      </c>
      <c r="S256" s="9" t="s">
        <v>686</v>
      </c>
      <c r="V256" s="9">
        <f ca="1">IFERROR(OFFSET(ITEM_RES!$A$5,MATCH(BUILDING!U256,ITEM_RES!$J$5:$J$229,0)-1,0),0)</f>
        <v>0</v>
      </c>
      <c r="Y256" s="9">
        <f ca="1">IFERROR(OFFSET(ITEM_RES!$A$5,MATCH(BUILDING!X256,ITEM_RES!$J$5:$J$229,0)-1,0),0)</f>
        <v>0</v>
      </c>
      <c r="AA256" s="9" t="s">
        <v>510</v>
      </c>
      <c r="AB256" s="9">
        <v>12</v>
      </c>
      <c r="AD256" s="11">
        <f ca="1">IFERROR(OFFSET(MANOR_LEVEL!$B$1,MATCH(AE256-1,MANOR_LEVEL!$A:$A,0)-1,0),0)</f>
        <v>23283600</v>
      </c>
      <c r="AE256" s="56">
        <v>15</v>
      </c>
      <c r="AG256" s="56">
        <f t="shared" ca="1" si="73"/>
        <v>3706300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3706300</v>
      </c>
      <c r="AI256" s="179">
        <f t="shared" ca="1" si="77"/>
        <v>5907050</v>
      </c>
      <c r="AK256" s="11">
        <f t="shared" si="75"/>
        <v>10800</v>
      </c>
      <c r="AL256" s="10">
        <v>10800</v>
      </c>
      <c r="AM256" s="11">
        <f t="shared" si="55"/>
        <v>300</v>
      </c>
      <c r="AN256" s="10">
        <v>300</v>
      </c>
      <c r="AO256" s="11">
        <v>6000</v>
      </c>
      <c r="AP256" s="10">
        <v>0</v>
      </c>
      <c r="AQ256" s="56">
        <f t="shared" si="76"/>
        <v>1</v>
      </c>
      <c r="AS256" s="11">
        <f ca="1">IFERROR(OFFSET(ITEM_RES!$A$1,MATCH(AT256,ITEM_RES!$J:$J,0)-1,0),0)</f>
        <v>211020801</v>
      </c>
      <c r="AT256" s="10" t="s">
        <v>429</v>
      </c>
      <c r="AU256" s="11">
        <v>370000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53"/>
        <v>0</v>
      </c>
    </row>
    <row r="257" spans="1:68" x14ac:dyDescent="0.3">
      <c r="A257" s="14">
        <f t="shared" ref="A257:A340" si="78">B257*10000000+C257*1000000+D257*10000+E257*100+F257</f>
        <v>113040013</v>
      </c>
      <c r="B257" s="13">
        <v>11</v>
      </c>
      <c r="C257" s="12">
        <f t="shared" ref="C257:C340" si="79">H257</f>
        <v>3</v>
      </c>
      <c r="D257" s="13">
        <v>4</v>
      </c>
      <c r="E257" s="13">
        <v>0</v>
      </c>
      <c r="F257" s="12">
        <f t="shared" ref="F257:F340" si="80">I257</f>
        <v>13</v>
      </c>
      <c r="H257" s="9">
        <v>3</v>
      </c>
      <c r="I257" s="9">
        <v>13</v>
      </c>
      <c r="K257" s="56" t="s">
        <v>374</v>
      </c>
      <c r="L257" s="56"/>
      <c r="M257" s="9">
        <v>1</v>
      </c>
      <c r="N257" s="9">
        <v>15</v>
      </c>
      <c r="O257" s="9" t="s">
        <v>1131</v>
      </c>
      <c r="S257" s="9" t="s">
        <v>686</v>
      </c>
      <c r="V257" s="9">
        <f ca="1">IFERROR(OFFSET(ITEM_RES!$A$5,MATCH(BUILDING!U257,ITEM_RES!$J$5:$J$229,0)-1,0),0)</f>
        <v>0</v>
      </c>
      <c r="Y257" s="9">
        <f ca="1">IFERROR(OFFSET(ITEM_RES!$A$5,MATCH(BUILDING!X257,ITEM_RES!$J$5:$J$229,0)-1,0),0)</f>
        <v>0</v>
      </c>
      <c r="AA257" s="9" t="s">
        <v>510</v>
      </c>
      <c r="AB257" s="9">
        <v>13</v>
      </c>
      <c r="AD257" s="11">
        <f ca="1">IFERROR(OFFSET(MANOR_LEVEL!$B$1,MATCH(AE257-1,MANOR_LEVEL!$A:$A,0)-1,0),0)</f>
        <v>50404400</v>
      </c>
      <c r="AE257" s="56">
        <v>16</v>
      </c>
      <c r="AG257" s="56">
        <f t="shared" ca="1" si="73"/>
        <v>7479350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7479350</v>
      </c>
      <c r="AI257" s="179">
        <f t="shared" ca="1" si="77"/>
        <v>11185650</v>
      </c>
      <c r="AK257" s="11">
        <f t="shared" si="75"/>
        <v>12600</v>
      </c>
      <c r="AL257" s="10">
        <v>12600</v>
      </c>
      <c r="AM257" s="11">
        <f t="shared" si="55"/>
        <v>350</v>
      </c>
      <c r="AN257" s="10">
        <v>350</v>
      </c>
      <c r="AO257" s="11">
        <v>39000</v>
      </c>
      <c r="AP257" s="10">
        <v>0</v>
      </c>
      <c r="AQ257" s="56">
        <f t="shared" si="76"/>
        <v>1</v>
      </c>
      <c r="AS257" s="11">
        <f ca="1">IFERROR(OFFSET(ITEM_RES!$A$1,MATCH(AT257,ITEM_RES!$J:$J,0)-1,0),0)</f>
        <v>211020901</v>
      </c>
      <c r="AT257" s="10" t="s">
        <v>438</v>
      </c>
      <c r="AU257" s="11">
        <v>620000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81">IF(BP257&lt;100,ROUND(BP257,1-LEN(ROUND(BP257,0))),ROUND(BP257,2-LEN(ROUND(BP257,0))))</f>
        <v>0</v>
      </c>
    </row>
    <row r="258" spans="1:68" x14ac:dyDescent="0.3">
      <c r="A258" s="14">
        <f t="shared" si="78"/>
        <v>113040014</v>
      </c>
      <c r="B258" s="13">
        <v>11</v>
      </c>
      <c r="C258" s="12">
        <f t="shared" si="79"/>
        <v>3</v>
      </c>
      <c r="D258" s="13">
        <v>4</v>
      </c>
      <c r="E258" s="13">
        <v>0</v>
      </c>
      <c r="F258" s="12">
        <f t="shared" si="80"/>
        <v>14</v>
      </c>
      <c r="H258" s="9">
        <v>3</v>
      </c>
      <c r="I258" s="9">
        <v>14</v>
      </c>
      <c r="K258" s="56" t="s">
        <v>374</v>
      </c>
      <c r="L258" s="56"/>
      <c r="M258" s="9">
        <v>1</v>
      </c>
      <c r="N258" s="9">
        <v>15</v>
      </c>
      <c r="O258" s="9" t="s">
        <v>1131</v>
      </c>
      <c r="S258" s="9" t="s">
        <v>686</v>
      </c>
      <c r="V258" s="9">
        <f ca="1">IFERROR(OFFSET(ITEM_RES!$A$5,MATCH(BUILDING!U258,ITEM_RES!$J$5:$J$229,0)-1,0),0)</f>
        <v>0</v>
      </c>
      <c r="Y258" s="9">
        <f ca="1">IFERROR(OFFSET(ITEM_RES!$A$5,MATCH(BUILDING!X258,ITEM_RES!$J$5:$J$229,0)-1,0),0)</f>
        <v>0</v>
      </c>
      <c r="AA258" s="9" t="s">
        <v>510</v>
      </c>
      <c r="AB258" s="9">
        <v>14</v>
      </c>
      <c r="AD258" s="11">
        <f ca="1">IFERROR(OFFSET(MANOR_LEVEL!$B$1,MATCH(AE258-1,MANOR_LEVEL!$A:$A,0)-1,0),0)</f>
        <v>119976300</v>
      </c>
      <c r="AE258" s="56">
        <v>17</v>
      </c>
      <c r="AG258" s="56">
        <f t="shared" ca="1" si="73"/>
        <v>11950450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11950450</v>
      </c>
      <c r="AI258" s="179">
        <f t="shared" ca="1" si="77"/>
        <v>19429800</v>
      </c>
      <c r="AK258" s="11">
        <f t="shared" si="75"/>
        <v>14400</v>
      </c>
      <c r="AL258" s="10">
        <v>14400</v>
      </c>
      <c r="AM258" s="11">
        <f t="shared" ref="AM258:AO341" si="82">ROUND(AN258,0)</f>
        <v>450</v>
      </c>
      <c r="AN258" s="10">
        <v>450</v>
      </c>
      <c r="AO258" s="11">
        <v>310000</v>
      </c>
      <c r="AP258" s="10">
        <v>0</v>
      </c>
      <c r="AQ258" s="56">
        <f t="shared" si="76"/>
        <v>1</v>
      </c>
      <c r="AS258" s="11">
        <f ca="1">IFERROR(OFFSET(ITEM_RES!$A$1,MATCH(AT258,ITEM_RES!$J:$J,0)-1,0),0)</f>
        <v>211020901</v>
      </c>
      <c r="AT258" s="10" t="s">
        <v>438</v>
      </c>
      <c r="AU258" s="11">
        <v>970000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81"/>
        <v>0</v>
      </c>
    </row>
    <row r="259" spans="1:68" x14ac:dyDescent="0.3">
      <c r="A259" s="14">
        <f t="shared" si="78"/>
        <v>113040015</v>
      </c>
      <c r="B259" s="13">
        <v>11</v>
      </c>
      <c r="C259" s="12">
        <f t="shared" si="79"/>
        <v>3</v>
      </c>
      <c r="D259" s="13">
        <v>4</v>
      </c>
      <c r="E259" s="13">
        <v>0</v>
      </c>
      <c r="F259" s="12">
        <f t="shared" si="80"/>
        <v>15</v>
      </c>
      <c r="H259" s="9">
        <v>3</v>
      </c>
      <c r="I259" s="9">
        <v>15</v>
      </c>
      <c r="K259" s="56" t="s">
        <v>374</v>
      </c>
      <c r="L259" s="56"/>
      <c r="M259" s="9">
        <v>1</v>
      </c>
      <c r="N259" s="9">
        <v>15</v>
      </c>
      <c r="O259" s="9" t="s">
        <v>1131</v>
      </c>
      <c r="S259" s="9" t="s">
        <v>686</v>
      </c>
      <c r="V259" s="9">
        <f ca="1">IFERROR(OFFSET(ITEM_RES!$A$5,MATCH(BUILDING!U259,ITEM_RES!$J$5:$J$229,0)-1,0),0)</f>
        <v>0</v>
      </c>
      <c r="Y259" s="9">
        <f ca="1">IFERROR(OFFSET(ITEM_RES!$A$5,MATCH(BUILDING!X259,ITEM_RES!$J$5:$J$229,0)-1,0),0)</f>
        <v>0</v>
      </c>
      <c r="AA259" s="9" t="s">
        <v>510</v>
      </c>
      <c r="AB259" s="9">
        <v>15</v>
      </c>
      <c r="AD259" s="11">
        <f ca="1">IFERROR(OFFSET(MANOR_LEVEL!$B$1,MATCH(AE259-1,MANOR_LEVEL!$A:$A,0)-1,0),0)</f>
        <v>223207650</v>
      </c>
      <c r="AE259" s="56">
        <v>18</v>
      </c>
      <c r="AG259" s="56">
        <f t="shared" ca="1" si="73"/>
        <v>25685550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25685550</v>
      </c>
      <c r="AI259" s="179">
        <f t="shared" ca="1" si="77"/>
        <v>37636000</v>
      </c>
      <c r="AK259" s="11">
        <f t="shared" si="75"/>
        <v>16200</v>
      </c>
      <c r="AL259" s="10">
        <v>16200</v>
      </c>
      <c r="AM259" s="11">
        <f t="shared" si="82"/>
        <v>550</v>
      </c>
      <c r="AN259" s="10">
        <v>550</v>
      </c>
      <c r="AO259" s="11">
        <v>485000</v>
      </c>
      <c r="AP259" s="10">
        <v>0</v>
      </c>
      <c r="AQ259" s="56">
        <f t="shared" si="76"/>
        <v>1</v>
      </c>
      <c r="AS259" s="11">
        <f ca="1">IFERROR(OFFSET(ITEM_RES!$A$1,MATCH(AT259,ITEM_RES!$J:$J,0)-1,0),0)</f>
        <v>211020901</v>
      </c>
      <c r="AT259" s="10" t="s">
        <v>438</v>
      </c>
      <c r="AU259" s="11">
        <v>2100000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81"/>
        <v>0</v>
      </c>
    </row>
    <row r="260" spans="1:68" x14ac:dyDescent="0.3">
      <c r="A260" s="14">
        <f t="shared" si="78"/>
        <v>113040016</v>
      </c>
      <c r="B260" s="13">
        <v>11</v>
      </c>
      <c r="C260" s="12">
        <f t="shared" si="79"/>
        <v>3</v>
      </c>
      <c r="D260" s="13">
        <v>4</v>
      </c>
      <c r="E260" s="13">
        <v>0</v>
      </c>
      <c r="F260" s="12">
        <f t="shared" si="80"/>
        <v>16</v>
      </c>
      <c r="H260" s="9">
        <v>3</v>
      </c>
      <c r="I260" s="9">
        <v>16</v>
      </c>
      <c r="K260" s="56" t="s">
        <v>374</v>
      </c>
      <c r="L260" s="56"/>
      <c r="M260" s="9">
        <v>0</v>
      </c>
      <c r="N260" s="9">
        <v>15</v>
      </c>
      <c r="O260" s="9" t="s">
        <v>1131</v>
      </c>
      <c r="S260" s="9" t="s">
        <v>686</v>
      </c>
      <c r="V260" s="9">
        <f ca="1">IFERROR(OFFSET(ITEM_RES!$A$5,MATCH(BUILDING!U260,ITEM_RES!$J$5:$J$229,0)-1,0),0)</f>
        <v>0</v>
      </c>
      <c r="Y260" s="9">
        <f ca="1">IFERROR(OFFSET(ITEM_RES!$A$5,MATCH(BUILDING!X260,ITEM_RES!$J$5:$J$229,0)-1,0),0)</f>
        <v>0</v>
      </c>
      <c r="AA260" s="9" t="s">
        <v>510</v>
      </c>
      <c r="AB260" s="9">
        <v>16</v>
      </c>
      <c r="AD260" s="11">
        <f ca="1">IFERROR(OFFSET(MANOR_LEVEL!$B$1,MATCH(AE260-1,MANOR_LEVEL!$A:$A,0)-1,0),0)</f>
        <v>223207650</v>
      </c>
      <c r="AE260" s="56">
        <v>18</v>
      </c>
      <c r="AG260" s="56">
        <f t="shared" ca="1" si="73"/>
        <v>52650700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52650700</v>
      </c>
      <c r="AI260" s="179">
        <f t="shared" ca="1" si="77"/>
        <v>78336250</v>
      </c>
      <c r="AK260" s="11">
        <f t="shared" si="75"/>
        <v>18000</v>
      </c>
      <c r="AL260" s="10">
        <v>18000</v>
      </c>
      <c r="AM260" s="11">
        <f t="shared" si="82"/>
        <v>700</v>
      </c>
      <c r="AN260" s="10">
        <v>700</v>
      </c>
      <c r="AO260" s="11">
        <v>1050000</v>
      </c>
      <c r="AP260" s="10">
        <v>0</v>
      </c>
      <c r="AQ260" s="56">
        <f t="shared" si="76"/>
        <v>1</v>
      </c>
      <c r="AS260" s="11">
        <f ca="1">IFERROR(OFFSET(ITEM_RES!$A$1,MATCH(AT260,ITEM_RES!$J:$J,0)-1,0),0)</f>
        <v>211020901</v>
      </c>
      <c r="AT260" s="10" t="s">
        <v>438</v>
      </c>
      <c r="AU260" s="11">
        <v>4300000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81"/>
        <v>0</v>
      </c>
    </row>
    <row r="261" spans="1:68" x14ac:dyDescent="0.3">
      <c r="A261" s="14">
        <f t="shared" si="78"/>
        <v>113040017</v>
      </c>
      <c r="B261" s="13">
        <v>11</v>
      </c>
      <c r="C261" s="12">
        <f t="shared" si="79"/>
        <v>3</v>
      </c>
      <c r="D261" s="13">
        <v>4</v>
      </c>
      <c r="E261" s="13">
        <v>0</v>
      </c>
      <c r="F261" s="12">
        <f t="shared" si="80"/>
        <v>17</v>
      </c>
      <c r="H261" s="9">
        <v>3</v>
      </c>
      <c r="I261" s="9">
        <v>17</v>
      </c>
      <c r="K261" s="56" t="s">
        <v>374</v>
      </c>
      <c r="L261" s="56"/>
      <c r="M261" s="9">
        <v>0</v>
      </c>
      <c r="N261" s="9">
        <v>15</v>
      </c>
      <c r="O261" s="9" t="s">
        <v>1131</v>
      </c>
      <c r="S261" s="9" t="s">
        <v>686</v>
      </c>
      <c r="V261" s="9">
        <f ca="1">IFERROR(OFFSET(ITEM_RES!$A$5,MATCH(BUILDING!U261,ITEM_RES!$J$5:$J$229,0)-1,0),0)</f>
        <v>0</v>
      </c>
      <c r="Y261" s="9">
        <f ca="1">IFERROR(OFFSET(ITEM_RES!$A$5,MATCH(BUILDING!X261,ITEM_RES!$J$5:$J$229,0)-1,0),0)</f>
        <v>0</v>
      </c>
      <c r="AA261" s="9" t="s">
        <v>510</v>
      </c>
      <c r="AB261" s="9">
        <v>17</v>
      </c>
      <c r="AD261" s="11">
        <f ca="1">IFERROR(OFFSET(MANOR_LEVEL!$B$1,MATCH(AE261-1,MANOR_LEVEL!$A:$A,0)-1,0),0)</f>
        <v>223207650</v>
      </c>
      <c r="AE261" s="56">
        <v>18</v>
      </c>
      <c r="AG261" s="56">
        <f t="shared" ca="1" si="73"/>
        <v>98150850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98150850</v>
      </c>
      <c r="AI261" s="179">
        <f t="shared" ca="1" si="77"/>
        <v>150801550</v>
      </c>
      <c r="AK261" s="11">
        <f t="shared" si="75"/>
        <v>19800</v>
      </c>
      <c r="AL261" s="10">
        <v>19800</v>
      </c>
      <c r="AM261" s="11">
        <f t="shared" si="82"/>
        <v>850</v>
      </c>
      <c r="AN261" s="10">
        <v>850</v>
      </c>
      <c r="AO261" s="11">
        <v>2150000</v>
      </c>
      <c r="AP261" s="10">
        <v>0</v>
      </c>
      <c r="AQ261" s="56">
        <f t="shared" si="76"/>
        <v>1</v>
      </c>
      <c r="AS261" s="11">
        <f ca="1">IFERROR(OFFSET(ITEM_RES!$A$1,MATCH(AT261,ITEM_RES!$J:$J,0)-1,0),0)</f>
        <v>211020901</v>
      </c>
      <c r="AT261" s="10" t="s">
        <v>438</v>
      </c>
      <c r="AU261" s="11">
        <v>8000000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81"/>
        <v>0</v>
      </c>
    </row>
    <row r="262" spans="1:68" x14ac:dyDescent="0.3">
      <c r="A262" s="14">
        <f t="shared" si="78"/>
        <v>113040018</v>
      </c>
      <c r="B262" s="13">
        <v>11</v>
      </c>
      <c r="C262" s="12">
        <f t="shared" si="79"/>
        <v>3</v>
      </c>
      <c r="D262" s="13">
        <v>4</v>
      </c>
      <c r="E262" s="13">
        <v>0</v>
      </c>
      <c r="F262" s="12">
        <f t="shared" si="80"/>
        <v>18</v>
      </c>
      <c r="H262" s="9">
        <v>3</v>
      </c>
      <c r="I262" s="9">
        <v>18</v>
      </c>
      <c r="K262" s="56" t="s">
        <v>374</v>
      </c>
      <c r="L262" s="56"/>
      <c r="M262" s="9">
        <v>0</v>
      </c>
      <c r="N262" s="9">
        <v>15</v>
      </c>
      <c r="O262" s="9" t="s">
        <v>1131</v>
      </c>
      <c r="S262" s="9" t="s">
        <v>686</v>
      </c>
      <c r="V262" s="9">
        <f ca="1">IFERROR(OFFSET(ITEM_RES!$A$5,MATCH(BUILDING!U262,ITEM_RES!$J$5:$J$229,0)-1,0),0)</f>
        <v>0</v>
      </c>
      <c r="Y262" s="9">
        <f ca="1">IFERROR(OFFSET(ITEM_RES!$A$5,MATCH(BUILDING!X262,ITEM_RES!$J$5:$J$229,0)-1,0),0)</f>
        <v>0</v>
      </c>
      <c r="AA262" s="9" t="s">
        <v>510</v>
      </c>
      <c r="AB262" s="9">
        <v>18</v>
      </c>
      <c r="AD262" s="11">
        <f ca="1">IFERROR(OFFSET(MANOR_LEVEL!$B$1,MATCH(AE262-1,MANOR_LEVEL!$A:$A,0)-1,0),0)</f>
        <v>223207650</v>
      </c>
      <c r="AE262" s="56">
        <v>18</v>
      </c>
      <c r="AG262" s="56">
        <f t="shared" ca="1" si="73"/>
        <v>160001050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160001050</v>
      </c>
      <c r="AI262" s="179">
        <f t="shared" ca="1" si="77"/>
        <v>258151900</v>
      </c>
      <c r="AK262" s="11">
        <f t="shared" si="75"/>
        <v>21600</v>
      </c>
      <c r="AL262" s="10">
        <v>21600</v>
      </c>
      <c r="AM262" s="11">
        <f t="shared" si="82"/>
        <v>1050</v>
      </c>
      <c r="AN262" s="10">
        <v>1050</v>
      </c>
      <c r="AO262" s="11">
        <v>4000000</v>
      </c>
      <c r="AP262" s="10">
        <v>0</v>
      </c>
      <c r="AQ262" s="56">
        <f t="shared" si="76"/>
        <v>1</v>
      </c>
      <c r="AS262" s="11">
        <f ca="1">IFERROR(OFFSET(ITEM_RES!$A$1,MATCH(AT262,ITEM_RES!$J:$J,0)-1,0),0)</f>
        <v>211020901</v>
      </c>
      <c r="AT262" s="10" t="s">
        <v>438</v>
      </c>
      <c r="AU262" s="11">
        <v>13000000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81"/>
        <v>0</v>
      </c>
    </row>
    <row r="263" spans="1:68" x14ac:dyDescent="0.3">
      <c r="A263" s="14">
        <f t="shared" si="78"/>
        <v>113040019</v>
      </c>
      <c r="B263" s="13">
        <v>11</v>
      </c>
      <c r="C263" s="12">
        <f t="shared" si="79"/>
        <v>3</v>
      </c>
      <c r="D263" s="13">
        <v>4</v>
      </c>
      <c r="E263" s="13">
        <v>0</v>
      </c>
      <c r="F263" s="12">
        <f t="shared" si="80"/>
        <v>19</v>
      </c>
      <c r="H263" s="9">
        <v>3</v>
      </c>
      <c r="I263" s="9">
        <v>19</v>
      </c>
      <c r="K263" s="56" t="s">
        <v>374</v>
      </c>
      <c r="L263" s="56"/>
      <c r="M263" s="9">
        <v>0</v>
      </c>
      <c r="N263" s="9">
        <v>15</v>
      </c>
      <c r="O263" s="9" t="s">
        <v>1131</v>
      </c>
      <c r="S263" s="9" t="s">
        <v>686</v>
      </c>
      <c r="V263" s="9">
        <f ca="1">IFERROR(OFFSET(ITEM_RES!$A$5,MATCH(BUILDING!U263,ITEM_RES!$J$5:$J$229,0)-1,0),0)</f>
        <v>0</v>
      </c>
      <c r="Y263" s="9">
        <f ca="1">IFERROR(OFFSET(ITEM_RES!$A$5,MATCH(BUILDING!X263,ITEM_RES!$J$5:$J$229,0)-1,0),0)</f>
        <v>0</v>
      </c>
      <c r="AA263" s="9" t="s">
        <v>510</v>
      </c>
      <c r="AB263" s="9">
        <v>19</v>
      </c>
      <c r="AD263" s="11">
        <f ca="1">IFERROR(OFFSET(MANOR_LEVEL!$B$1,MATCH(AE263-1,MANOR_LEVEL!$A:$A,0)-1,0),0)</f>
        <v>223207650</v>
      </c>
      <c r="AE263" s="56">
        <v>18</v>
      </c>
      <c r="AG263" s="56">
        <f t="shared" ca="1" si="73"/>
        <v>246501250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246501250</v>
      </c>
      <c r="AI263" s="179">
        <f t="shared" ca="1" si="77"/>
        <v>406502300</v>
      </c>
      <c r="AK263" s="11">
        <f t="shared" si="75"/>
        <v>23400</v>
      </c>
      <c r="AL263" s="10">
        <v>23400</v>
      </c>
      <c r="AM263" s="11">
        <f t="shared" si="82"/>
        <v>1250</v>
      </c>
      <c r="AN263" s="10">
        <v>1250</v>
      </c>
      <c r="AO263" s="11">
        <v>6500000</v>
      </c>
      <c r="AP263" s="10">
        <v>0</v>
      </c>
      <c r="AQ263" s="56">
        <f t="shared" si="76"/>
        <v>1</v>
      </c>
      <c r="AS263" s="11">
        <f ca="1">IFERROR(OFFSET(ITEM_RES!$A$1,MATCH(AT263,ITEM_RES!$J:$J,0)-1,0),0)</f>
        <v>211020901</v>
      </c>
      <c r="AT263" s="10" t="s">
        <v>438</v>
      </c>
      <c r="AU263" s="11">
        <v>20000000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81"/>
        <v>0</v>
      </c>
    </row>
    <row r="264" spans="1:68" ht="17.25" thickBot="1" x14ac:dyDescent="0.35">
      <c r="A264" s="14">
        <f t="shared" si="78"/>
        <v>113040020</v>
      </c>
      <c r="B264" s="13">
        <v>11</v>
      </c>
      <c r="C264" s="12">
        <f t="shared" si="79"/>
        <v>3</v>
      </c>
      <c r="D264" s="13">
        <v>4</v>
      </c>
      <c r="E264" s="13">
        <v>0</v>
      </c>
      <c r="F264" s="12">
        <f t="shared" si="80"/>
        <v>20</v>
      </c>
      <c r="H264" s="9">
        <v>3</v>
      </c>
      <c r="I264" s="9">
        <v>20</v>
      </c>
      <c r="K264" s="56" t="s">
        <v>374</v>
      </c>
      <c r="L264" s="56"/>
      <c r="M264" s="9">
        <v>0</v>
      </c>
      <c r="N264" s="9">
        <v>15</v>
      </c>
      <c r="O264" s="9" t="s">
        <v>1131</v>
      </c>
      <c r="S264" s="9" t="s">
        <v>686</v>
      </c>
      <c r="V264" s="9">
        <f ca="1">IFERROR(OFFSET(ITEM_RES!$A$5,MATCH(BUILDING!U264,ITEM_RES!$J$5:$J$229,0)-1,0),0)</f>
        <v>0</v>
      </c>
      <c r="Y264" s="9">
        <f ca="1">IFERROR(OFFSET(ITEM_RES!$A$5,MATCH(BUILDING!X264,ITEM_RES!$J$5:$J$229,0)-1,0),0)</f>
        <v>0</v>
      </c>
      <c r="AA264" s="9" t="s">
        <v>510</v>
      </c>
      <c r="AB264" s="9">
        <v>20</v>
      </c>
      <c r="AD264" s="11">
        <f ca="1">IFERROR(OFFSET(MANOR_LEVEL!$B$1,MATCH(AE264-1,MANOR_LEVEL!$A:$A,0)-1,0),0)</f>
        <v>223207650</v>
      </c>
      <c r="AE264" s="56">
        <v>18</v>
      </c>
      <c r="AG264" s="56">
        <f t="shared" ca="1" si="73"/>
        <v>394001500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394001500</v>
      </c>
      <c r="AI264" s="179">
        <f t="shared" ca="1" si="77"/>
        <v>640502750</v>
      </c>
      <c r="AK264" s="11">
        <f t="shared" si="75"/>
        <v>25200</v>
      </c>
      <c r="AL264" s="10">
        <v>25200</v>
      </c>
      <c r="AM264" s="11">
        <f t="shared" si="82"/>
        <v>1500</v>
      </c>
      <c r="AN264" s="10">
        <v>1500</v>
      </c>
      <c r="AO264" s="11">
        <v>10000000</v>
      </c>
      <c r="AP264" s="10">
        <v>0</v>
      </c>
      <c r="AQ264" s="56">
        <f t="shared" si="76"/>
        <v>1</v>
      </c>
      <c r="AS264" s="11">
        <f ca="1">IFERROR(OFFSET(ITEM_RES!$A$1,MATCH(AT264,ITEM_RES!$J:$J,0)-1,0),0)</f>
        <v>211020901</v>
      </c>
      <c r="AT264" s="10" t="s">
        <v>438</v>
      </c>
      <c r="AU264" s="11">
        <v>32000000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81"/>
        <v>0</v>
      </c>
    </row>
    <row r="265" spans="1:68" s="15" customFormat="1" x14ac:dyDescent="0.3">
      <c r="A265" s="21">
        <f t="shared" si="78"/>
        <v>113050001</v>
      </c>
      <c r="B265" s="20">
        <v>11</v>
      </c>
      <c r="C265" s="19">
        <f t="shared" si="79"/>
        <v>3</v>
      </c>
      <c r="D265" s="20">
        <v>5</v>
      </c>
      <c r="E265" s="20">
        <v>0</v>
      </c>
      <c r="F265" s="19">
        <f t="shared" si="80"/>
        <v>1</v>
      </c>
      <c r="G265" s="78"/>
      <c r="H265" s="16">
        <v>3</v>
      </c>
      <c r="I265" s="16">
        <v>1</v>
      </c>
      <c r="J265" s="78"/>
      <c r="K265" s="16" t="s">
        <v>361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687</v>
      </c>
      <c r="T265" s="78"/>
      <c r="U265" s="86"/>
      <c r="V265" s="16">
        <f ca="1">IFERROR(OFFSET(ITEM_RES!$A$5,MATCH(BUILDING!U265,ITEM_RES!$J$5:$J$229,0)-1,0),0)</f>
        <v>0</v>
      </c>
      <c r="W265" s="18"/>
      <c r="X265" s="86"/>
      <c r="Y265" s="16">
        <f ca="1">IFERROR(OFFSET(ITEM_RES!$A$5,MATCH(BUILDING!X265,ITEM_RES!$J$5:$J$229,0)-1,0),0)</f>
        <v>0</v>
      </c>
      <c r="Z265" s="78"/>
      <c r="AA265" s="16" t="s">
        <v>511</v>
      </c>
      <c r="AB265" s="16">
        <v>1</v>
      </c>
      <c r="AC265" s="78"/>
      <c r="AD265" s="18">
        <f ca="1">IFERROR(OFFSET(MANOR_LEVEL!$B$1,MATCH(AE265-1,MANOR_LEVEL!$A:$A,0)-1,0),0)</f>
        <v>23283600</v>
      </c>
      <c r="AE265" s="57">
        <v>15</v>
      </c>
      <c r="AF265" s="78"/>
      <c r="AG265" s="57">
        <f t="shared" ca="1" si="73"/>
        <v>1580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1580</v>
      </c>
      <c r="AI265" s="181">
        <f ca="1">AG265</f>
        <v>1580</v>
      </c>
      <c r="AJ265" s="78"/>
      <c r="AK265" s="18">
        <f t="shared" si="75"/>
        <v>5</v>
      </c>
      <c r="AL265" s="17">
        <v>5</v>
      </c>
      <c r="AM265" s="18">
        <f t="shared" si="82"/>
        <v>5</v>
      </c>
      <c r="AN265" s="17">
        <v>5</v>
      </c>
      <c r="AO265" s="18">
        <v>25</v>
      </c>
      <c r="AP265" s="17">
        <v>0</v>
      </c>
      <c r="AQ265" s="57">
        <f t="shared" si="76"/>
        <v>3</v>
      </c>
      <c r="AR265" s="18"/>
      <c r="AS265" s="18">
        <f ca="1">IFERROR(OFFSET(ITEM_RES!$A$1,MATCH(AT265,ITEM_RES!$J:$J,0)-1,0),0)</f>
        <v>211020801</v>
      </c>
      <c r="AT265" s="17" t="s">
        <v>429</v>
      </c>
      <c r="AU265" s="18">
        <v>50</v>
      </c>
      <c r="AV265" s="17"/>
      <c r="AW265" s="18"/>
      <c r="AX265" s="18">
        <f ca="1">IFERROR(OFFSET(ITEM_RES!$A$1,MATCH(AY265,ITEM_RES!$J:$J,0)-1,0),0)</f>
        <v>211020401</v>
      </c>
      <c r="AY265" s="17" t="s">
        <v>418</v>
      </c>
      <c r="AZ265" s="18">
        <v>50</v>
      </c>
      <c r="BA265" s="17"/>
      <c r="BB265" s="18"/>
      <c r="BC265" s="18">
        <f ca="1">IFERROR(OFFSET(ITEM_RES!$A$1,MATCH(BD265,ITEM_RES!$J:$J,0)-1,0),0)</f>
        <v>213010101</v>
      </c>
      <c r="BD265" s="17" t="s">
        <v>445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81"/>
        <v>0</v>
      </c>
      <c r="BP265" s="17"/>
    </row>
    <row r="266" spans="1:68" x14ac:dyDescent="0.3">
      <c r="A266" s="14">
        <f t="shared" si="78"/>
        <v>113050002</v>
      </c>
      <c r="B266" s="13">
        <v>11</v>
      </c>
      <c r="C266" s="12">
        <f t="shared" si="79"/>
        <v>3</v>
      </c>
      <c r="D266" s="13">
        <v>5</v>
      </c>
      <c r="E266" s="13">
        <v>0</v>
      </c>
      <c r="F266" s="12">
        <f t="shared" si="80"/>
        <v>2</v>
      </c>
      <c r="H266" s="9">
        <v>3</v>
      </c>
      <c r="I266" s="9">
        <v>2</v>
      </c>
      <c r="K266" s="9" t="s">
        <v>361</v>
      </c>
      <c r="M266" s="9">
        <v>1</v>
      </c>
      <c r="N266" s="9">
        <v>15</v>
      </c>
      <c r="O266" s="141"/>
      <c r="S266" s="9" t="s">
        <v>687</v>
      </c>
      <c r="V266" s="9">
        <f ca="1">IFERROR(OFFSET(ITEM_RES!$A$5,MATCH(BUILDING!U266,ITEM_RES!$J$5:$J$229,0)-1,0),0)</f>
        <v>0</v>
      </c>
      <c r="Y266" s="9">
        <f ca="1">IFERROR(OFFSET(ITEM_RES!$A$5,MATCH(BUILDING!X266,ITEM_RES!$J$5:$J$229,0)-1,0),0)</f>
        <v>0</v>
      </c>
      <c r="AA266" s="9" t="s">
        <v>511</v>
      </c>
      <c r="AB266" s="9">
        <v>2</v>
      </c>
      <c r="AD266" s="11">
        <f ca="1">IFERROR(OFFSET(MANOR_LEVEL!$B$1,MATCH(AE266-1,MANOR_LEVEL!$A:$A,0)-1,0),0)</f>
        <v>50404400</v>
      </c>
      <c r="AE266" s="56">
        <v>16</v>
      </c>
      <c r="AG266" s="56">
        <f t="shared" ca="1" si="73"/>
        <v>1160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1160</v>
      </c>
      <c r="AI266" s="179">
        <f ca="1">AG265+AG266</f>
        <v>2740</v>
      </c>
      <c r="AK266" s="11">
        <f t="shared" si="75"/>
        <v>10</v>
      </c>
      <c r="AL266" s="10">
        <v>10</v>
      </c>
      <c r="AM266" s="11">
        <f t="shared" si="82"/>
        <v>10</v>
      </c>
      <c r="AN266" s="10">
        <v>10</v>
      </c>
      <c r="AO266" s="11">
        <v>50</v>
      </c>
      <c r="AP266" s="10">
        <v>0</v>
      </c>
      <c r="AQ266" s="56">
        <f t="shared" si="76"/>
        <v>2</v>
      </c>
      <c r="AS266" s="11">
        <f ca="1">IFERROR(OFFSET(ITEM_RES!$A$1,MATCH(AT266,ITEM_RES!$J:$J,0)-1,0),0)</f>
        <v>211020801</v>
      </c>
      <c r="AT266" s="10" t="s">
        <v>429</v>
      </c>
      <c r="AU266" s="11">
        <v>100</v>
      </c>
      <c r="AX266" s="11">
        <f ca="1">IFERROR(OFFSET(ITEM_RES!$A$1,MATCH(AY266,ITEM_RES!$J:$J,0)-1,0),0)</f>
        <v>211020401</v>
      </c>
      <c r="AY266" s="10" t="s">
        <v>418</v>
      </c>
      <c r="AZ266" s="11">
        <v>100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81"/>
        <v>0</v>
      </c>
    </row>
    <row r="267" spans="1:68" x14ac:dyDescent="0.3">
      <c r="A267" s="14">
        <f t="shared" si="78"/>
        <v>113050003</v>
      </c>
      <c r="B267" s="13">
        <v>11</v>
      </c>
      <c r="C267" s="12">
        <f t="shared" si="79"/>
        <v>3</v>
      </c>
      <c r="D267" s="13">
        <v>5</v>
      </c>
      <c r="E267" s="13">
        <v>0</v>
      </c>
      <c r="F267" s="12">
        <f t="shared" si="80"/>
        <v>3</v>
      </c>
      <c r="H267" s="9">
        <v>3</v>
      </c>
      <c r="I267" s="9">
        <v>3</v>
      </c>
      <c r="K267" s="9" t="s">
        <v>361</v>
      </c>
      <c r="M267" s="9">
        <v>1</v>
      </c>
      <c r="N267" s="9">
        <v>15</v>
      </c>
      <c r="O267" s="141"/>
      <c r="S267" s="9" t="s">
        <v>687</v>
      </c>
      <c r="V267" s="9">
        <f ca="1">IFERROR(OFFSET(ITEM_RES!$A$5,MATCH(BUILDING!U267,ITEM_RES!$J$5:$J$229,0)-1,0),0)</f>
        <v>0</v>
      </c>
      <c r="Y267" s="9">
        <f ca="1">IFERROR(OFFSET(ITEM_RES!$A$5,MATCH(BUILDING!X267,ITEM_RES!$J$5:$J$229,0)-1,0),0)</f>
        <v>0</v>
      </c>
      <c r="AA267" s="9" t="s">
        <v>511</v>
      </c>
      <c r="AB267" s="9">
        <v>3</v>
      </c>
      <c r="AD267" s="11">
        <f ca="1">IFERROR(OFFSET(MANOR_LEVEL!$B$1,MATCH(AE267-1,MANOR_LEVEL!$A:$A,0)-1,0),0)</f>
        <v>50404400</v>
      </c>
      <c r="AE267" s="56">
        <v>16</v>
      </c>
      <c r="AG267" s="56">
        <f t="shared" ca="1" si="73"/>
        <v>1740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1740</v>
      </c>
      <c r="AI267" s="179">
        <f t="shared" ref="AI267:AI284" ca="1" si="83">AG266+AG267</f>
        <v>2900</v>
      </c>
      <c r="AK267" s="11">
        <f t="shared" si="75"/>
        <v>30</v>
      </c>
      <c r="AL267" s="10">
        <v>30</v>
      </c>
      <c r="AM267" s="11">
        <f t="shared" si="82"/>
        <v>15</v>
      </c>
      <c r="AN267" s="10">
        <v>15</v>
      </c>
      <c r="AO267" s="11">
        <v>75</v>
      </c>
      <c r="AP267" s="10">
        <v>0</v>
      </c>
      <c r="AQ267" s="56">
        <f t="shared" si="76"/>
        <v>2</v>
      </c>
      <c r="AS267" s="11">
        <f ca="1">IFERROR(OFFSET(ITEM_RES!$A$1,MATCH(AT267,ITEM_RES!$J:$J,0)-1,0),0)</f>
        <v>211020801</v>
      </c>
      <c r="AT267" s="10" t="s">
        <v>429</v>
      </c>
      <c r="AU267" s="11">
        <v>150</v>
      </c>
      <c r="AX267" s="11">
        <f ca="1">IFERROR(OFFSET(ITEM_RES!$A$1,MATCH(AY267,ITEM_RES!$J:$J,0)-1,0),0)</f>
        <v>211020401</v>
      </c>
      <c r="AY267" s="10" t="s">
        <v>418</v>
      </c>
      <c r="AZ267" s="11">
        <v>150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81"/>
        <v>0</v>
      </c>
    </row>
    <row r="268" spans="1:68" x14ac:dyDescent="0.3">
      <c r="A268" s="14">
        <f t="shared" si="78"/>
        <v>113050004</v>
      </c>
      <c r="B268" s="13">
        <v>11</v>
      </c>
      <c r="C268" s="12">
        <f t="shared" si="79"/>
        <v>3</v>
      </c>
      <c r="D268" s="13">
        <v>5</v>
      </c>
      <c r="E268" s="13">
        <v>0</v>
      </c>
      <c r="F268" s="12">
        <f t="shared" si="80"/>
        <v>4</v>
      </c>
      <c r="H268" s="9">
        <v>3</v>
      </c>
      <c r="I268" s="9">
        <v>4</v>
      </c>
      <c r="K268" s="9" t="s">
        <v>361</v>
      </c>
      <c r="M268" s="9">
        <v>1</v>
      </c>
      <c r="N268" s="9">
        <v>15</v>
      </c>
      <c r="O268" s="141"/>
      <c r="S268" s="9" t="s">
        <v>687</v>
      </c>
      <c r="V268" s="9">
        <f ca="1">IFERROR(OFFSET(ITEM_RES!$A$5,MATCH(BUILDING!U268,ITEM_RES!$J$5:$J$229,0)-1,0),0)</f>
        <v>0</v>
      </c>
      <c r="Y268" s="9">
        <f ca="1">IFERROR(OFFSET(ITEM_RES!$A$5,MATCH(BUILDING!X268,ITEM_RES!$J$5:$J$229,0)-1,0),0)</f>
        <v>0</v>
      </c>
      <c r="AA268" s="9" t="s">
        <v>511</v>
      </c>
      <c r="AB268" s="9">
        <v>4</v>
      </c>
      <c r="AD268" s="11">
        <f ca="1">IFERROR(OFFSET(MANOR_LEVEL!$B$1,MATCH(AE268-1,MANOR_LEVEL!$A:$A,0)-1,0),0)</f>
        <v>50404400</v>
      </c>
      <c r="AE268" s="56">
        <v>16</v>
      </c>
      <c r="AG268" s="56">
        <f t="shared" ca="1" si="73"/>
        <v>6925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6925</v>
      </c>
      <c r="AI268" s="179">
        <f t="shared" ca="1" si="83"/>
        <v>8665</v>
      </c>
      <c r="AK268" s="11">
        <f t="shared" si="75"/>
        <v>300</v>
      </c>
      <c r="AL268" s="10">
        <v>300</v>
      </c>
      <c r="AM268" s="11">
        <f t="shared" si="82"/>
        <v>25</v>
      </c>
      <c r="AN268" s="10">
        <v>25</v>
      </c>
      <c r="AO268" s="11">
        <v>300</v>
      </c>
      <c r="AP268" s="10">
        <v>0</v>
      </c>
      <c r="AQ268" s="56">
        <f t="shared" si="76"/>
        <v>2</v>
      </c>
      <c r="AS268" s="11">
        <f ca="1">IFERROR(OFFSET(ITEM_RES!$A$1,MATCH(AT268,ITEM_RES!$J:$J,0)-1,0),0)</f>
        <v>211020801</v>
      </c>
      <c r="AT268" s="10" t="s">
        <v>429</v>
      </c>
      <c r="AU268" s="11">
        <v>600</v>
      </c>
      <c r="AX268" s="11">
        <f ca="1">IFERROR(OFFSET(ITEM_RES!$A$1,MATCH(AY268,ITEM_RES!$J:$J,0)-1,0),0)</f>
        <v>211020401</v>
      </c>
      <c r="AY268" s="10" t="s">
        <v>418</v>
      </c>
      <c r="AZ268" s="11">
        <v>600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81"/>
        <v>0</v>
      </c>
    </row>
    <row r="269" spans="1:68" x14ac:dyDescent="0.3">
      <c r="A269" s="14">
        <f t="shared" si="78"/>
        <v>113050005</v>
      </c>
      <c r="B269" s="13">
        <v>11</v>
      </c>
      <c r="C269" s="12">
        <f t="shared" si="79"/>
        <v>3</v>
      </c>
      <c r="D269" s="13">
        <v>5</v>
      </c>
      <c r="E269" s="13">
        <v>0</v>
      </c>
      <c r="F269" s="12">
        <f t="shared" si="80"/>
        <v>5</v>
      </c>
      <c r="H269" s="9">
        <v>3</v>
      </c>
      <c r="I269" s="9">
        <v>5</v>
      </c>
      <c r="K269" s="9" t="s">
        <v>361</v>
      </c>
      <c r="M269" s="9">
        <v>1</v>
      </c>
      <c r="N269" s="9">
        <v>15</v>
      </c>
      <c r="O269" s="141"/>
      <c r="S269" s="9" t="s">
        <v>687</v>
      </c>
      <c r="V269" s="9">
        <f ca="1">IFERROR(OFFSET(ITEM_RES!$A$5,MATCH(BUILDING!U269,ITEM_RES!$J$5:$J$229,0)-1,0),0)</f>
        <v>0</v>
      </c>
      <c r="Y269" s="9">
        <f ca="1">IFERROR(OFFSET(ITEM_RES!$A$5,MATCH(BUILDING!X269,ITEM_RES!$J$5:$J$229,0)-1,0),0)</f>
        <v>0</v>
      </c>
      <c r="AA269" s="9" t="s">
        <v>511</v>
      </c>
      <c r="AB269" s="9">
        <v>5</v>
      </c>
      <c r="AD269" s="11">
        <f ca="1">IFERROR(OFFSET(MANOR_LEVEL!$B$1,MATCH(AE269-1,MANOR_LEVEL!$A:$A,0)-1,0),0)</f>
        <v>50404400</v>
      </c>
      <c r="AE269" s="56">
        <v>16</v>
      </c>
      <c r="AG269" s="56">
        <f t="shared" ca="1" si="73"/>
        <v>31090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31090</v>
      </c>
      <c r="AI269" s="179">
        <f t="shared" ca="1" si="83"/>
        <v>38015</v>
      </c>
      <c r="AK269" s="11">
        <f t="shared" si="75"/>
        <v>600</v>
      </c>
      <c r="AL269" s="10">
        <v>600</v>
      </c>
      <c r="AM269" s="11">
        <f t="shared" si="82"/>
        <v>40</v>
      </c>
      <c r="AN269" s="10">
        <v>40</v>
      </c>
      <c r="AO269" s="11">
        <v>1350</v>
      </c>
      <c r="AP269" s="10">
        <v>0</v>
      </c>
      <c r="AQ269" s="56">
        <f t="shared" si="76"/>
        <v>2</v>
      </c>
      <c r="AS269" s="11">
        <f ca="1">IFERROR(OFFSET(ITEM_RES!$A$1,MATCH(AT269,ITEM_RES!$J:$J,0)-1,0),0)</f>
        <v>211020801</v>
      </c>
      <c r="AT269" s="10" t="s">
        <v>429</v>
      </c>
      <c r="AU269" s="11">
        <v>2700</v>
      </c>
      <c r="AX269" s="11">
        <f ca="1">IFERROR(OFFSET(ITEM_RES!$A$1,MATCH(AY269,ITEM_RES!$J:$J,0)-1,0),0)</f>
        <v>211020401</v>
      </c>
      <c r="AY269" s="10" t="s">
        <v>418</v>
      </c>
      <c r="AZ269" s="11">
        <v>2700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81"/>
        <v>0</v>
      </c>
    </row>
    <row r="270" spans="1:68" x14ac:dyDescent="0.3">
      <c r="A270" s="14">
        <f t="shared" si="78"/>
        <v>113050006</v>
      </c>
      <c r="B270" s="13">
        <v>11</v>
      </c>
      <c r="C270" s="12">
        <f t="shared" si="79"/>
        <v>3</v>
      </c>
      <c r="D270" s="13">
        <v>5</v>
      </c>
      <c r="E270" s="13">
        <v>0</v>
      </c>
      <c r="F270" s="12">
        <f t="shared" si="80"/>
        <v>6</v>
      </c>
      <c r="H270" s="9">
        <v>3</v>
      </c>
      <c r="I270" s="9">
        <v>6</v>
      </c>
      <c r="K270" s="9" t="s">
        <v>361</v>
      </c>
      <c r="M270" s="9">
        <v>1</v>
      </c>
      <c r="N270" s="9">
        <v>15</v>
      </c>
      <c r="O270" s="141"/>
      <c r="S270" s="9" t="s">
        <v>687</v>
      </c>
      <c r="V270" s="9">
        <f ca="1">IFERROR(OFFSET(ITEM_RES!$A$5,MATCH(BUILDING!U270,ITEM_RES!$J$5:$J$229,0)-1,0),0)</f>
        <v>0</v>
      </c>
      <c r="Y270" s="9">
        <f ca="1">IFERROR(OFFSET(ITEM_RES!$A$5,MATCH(BUILDING!X270,ITEM_RES!$J$5:$J$229,0)-1,0),0)</f>
        <v>0</v>
      </c>
      <c r="AA270" s="9" t="s">
        <v>511</v>
      </c>
      <c r="AB270" s="9">
        <v>6</v>
      </c>
      <c r="AD270" s="11">
        <f ca="1">IFERROR(OFFSET(MANOR_LEVEL!$B$1,MATCH(AE270-1,MANOR_LEVEL!$A:$A,0)-1,0),0)</f>
        <v>50404400</v>
      </c>
      <c r="AE270" s="56">
        <v>16</v>
      </c>
      <c r="AG270" s="56">
        <f t="shared" ca="1" si="73"/>
        <v>103550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103550</v>
      </c>
      <c r="AI270" s="179">
        <f t="shared" ca="1" si="83"/>
        <v>134640</v>
      </c>
      <c r="AK270" s="11">
        <f t="shared" si="75"/>
        <v>1200</v>
      </c>
      <c r="AL270" s="10">
        <v>1200</v>
      </c>
      <c r="AM270" s="11">
        <f t="shared" si="82"/>
        <v>50</v>
      </c>
      <c r="AN270" s="10">
        <v>50</v>
      </c>
      <c r="AO270" s="11">
        <v>4500</v>
      </c>
      <c r="AP270" s="10">
        <v>0</v>
      </c>
      <c r="AQ270" s="56">
        <f t="shared" si="76"/>
        <v>2</v>
      </c>
      <c r="AS270" s="11">
        <f ca="1">IFERROR(OFFSET(ITEM_RES!$A$1,MATCH(AT270,ITEM_RES!$J:$J,0)-1,0),0)</f>
        <v>211020801</v>
      </c>
      <c r="AT270" s="10" t="s">
        <v>429</v>
      </c>
      <c r="AU270" s="11">
        <v>9000</v>
      </c>
      <c r="AX270" s="11">
        <f ca="1">IFERROR(OFFSET(ITEM_RES!$A$1,MATCH(AY270,ITEM_RES!$J:$J,0)-1,0),0)</f>
        <v>211020401</v>
      </c>
      <c r="AY270" s="10" t="s">
        <v>418</v>
      </c>
      <c r="AZ270" s="11">
        <v>9000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81"/>
        <v>0</v>
      </c>
    </row>
    <row r="271" spans="1:68" x14ac:dyDescent="0.3">
      <c r="A271" s="14">
        <f t="shared" si="78"/>
        <v>113050007</v>
      </c>
      <c r="B271" s="13">
        <v>11</v>
      </c>
      <c r="C271" s="12">
        <f t="shared" si="79"/>
        <v>3</v>
      </c>
      <c r="D271" s="13">
        <v>5</v>
      </c>
      <c r="E271" s="13">
        <v>0</v>
      </c>
      <c r="F271" s="12">
        <f t="shared" si="80"/>
        <v>7</v>
      </c>
      <c r="H271" s="9">
        <v>3</v>
      </c>
      <c r="I271" s="9">
        <v>7</v>
      </c>
      <c r="K271" s="9" t="s">
        <v>361</v>
      </c>
      <c r="M271" s="9">
        <v>1</v>
      </c>
      <c r="N271" s="9">
        <v>15</v>
      </c>
      <c r="O271" s="141"/>
      <c r="S271" s="9" t="s">
        <v>687</v>
      </c>
      <c r="V271" s="9">
        <f ca="1">IFERROR(OFFSET(ITEM_RES!$A$5,MATCH(BUILDING!U271,ITEM_RES!$J$5:$J$229,0)-1,0),0)</f>
        <v>0</v>
      </c>
      <c r="Y271" s="9">
        <f ca="1">IFERROR(OFFSET(ITEM_RES!$A$5,MATCH(BUILDING!X271,ITEM_RES!$J$5:$J$229,0)-1,0),0)</f>
        <v>0</v>
      </c>
      <c r="AA271" s="9" t="s">
        <v>511</v>
      </c>
      <c r="AB271" s="9">
        <v>7</v>
      </c>
      <c r="AD271" s="11">
        <f ca="1">IFERROR(OFFSET(MANOR_LEVEL!$B$1,MATCH(AE271-1,MANOR_LEVEL!$A:$A,0)-1,0),0)</f>
        <v>50404400</v>
      </c>
      <c r="AE271" s="56">
        <v>16</v>
      </c>
      <c r="AG271" s="56">
        <f t="shared" ca="1" si="73"/>
        <v>230100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230100</v>
      </c>
      <c r="AI271" s="179">
        <f t="shared" ca="1" si="83"/>
        <v>333650</v>
      </c>
      <c r="AK271" s="11">
        <f t="shared" si="75"/>
        <v>1800</v>
      </c>
      <c r="AL271" s="10">
        <v>1800</v>
      </c>
      <c r="AM271" s="11">
        <f t="shared" si="82"/>
        <v>100</v>
      </c>
      <c r="AN271" s="10">
        <v>100</v>
      </c>
      <c r="AO271" s="11">
        <v>10000</v>
      </c>
      <c r="AP271" s="10">
        <v>0</v>
      </c>
      <c r="AQ271" s="56">
        <f t="shared" si="76"/>
        <v>2</v>
      </c>
      <c r="AS271" s="11">
        <f ca="1">IFERROR(OFFSET(ITEM_RES!$A$1,MATCH(AT271,ITEM_RES!$J:$J,0)-1,0),0)</f>
        <v>211020801</v>
      </c>
      <c r="AT271" s="10" t="s">
        <v>429</v>
      </c>
      <c r="AU271" s="11">
        <v>20000</v>
      </c>
      <c r="AX271" s="11">
        <f ca="1">IFERROR(OFFSET(ITEM_RES!$A$1,MATCH(AY271,ITEM_RES!$J:$J,0)-1,0),0)</f>
        <v>211020401</v>
      </c>
      <c r="AY271" s="10" t="s">
        <v>418</v>
      </c>
      <c r="AZ271" s="11">
        <v>20000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81"/>
        <v>0</v>
      </c>
    </row>
    <row r="272" spans="1:68" x14ac:dyDescent="0.3">
      <c r="A272" s="14">
        <f t="shared" si="78"/>
        <v>113050008</v>
      </c>
      <c r="B272" s="13">
        <v>11</v>
      </c>
      <c r="C272" s="12">
        <f t="shared" si="79"/>
        <v>3</v>
      </c>
      <c r="D272" s="13">
        <v>5</v>
      </c>
      <c r="E272" s="13">
        <v>0</v>
      </c>
      <c r="F272" s="12">
        <f t="shared" si="80"/>
        <v>8</v>
      </c>
      <c r="H272" s="9">
        <v>3</v>
      </c>
      <c r="I272" s="9">
        <v>8</v>
      </c>
      <c r="K272" s="9" t="s">
        <v>361</v>
      </c>
      <c r="M272" s="9">
        <v>1</v>
      </c>
      <c r="N272" s="9">
        <v>15</v>
      </c>
      <c r="O272" s="141"/>
      <c r="S272" s="9" t="s">
        <v>687</v>
      </c>
      <c r="V272" s="9">
        <f ca="1">IFERROR(OFFSET(ITEM_RES!$A$5,MATCH(BUILDING!U272,ITEM_RES!$J$5:$J$229,0)-1,0),0)</f>
        <v>0</v>
      </c>
      <c r="Y272" s="9">
        <f ca="1">IFERROR(OFFSET(ITEM_RES!$A$5,MATCH(BUILDING!X272,ITEM_RES!$J$5:$J$229,0)-1,0),0)</f>
        <v>0</v>
      </c>
      <c r="AA272" s="9" t="s">
        <v>511</v>
      </c>
      <c r="AB272" s="9">
        <v>8</v>
      </c>
      <c r="AD272" s="11">
        <f ca="1">IFERROR(OFFSET(MANOR_LEVEL!$B$1,MATCH(AE272-1,MANOR_LEVEL!$A:$A,0)-1,0),0)</f>
        <v>50404400</v>
      </c>
      <c r="AE272" s="56">
        <v>16</v>
      </c>
      <c r="AG272" s="56">
        <f t="shared" ca="1" si="73"/>
        <v>484100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484100</v>
      </c>
      <c r="AI272" s="179">
        <f t="shared" ca="1" si="83"/>
        <v>714200</v>
      </c>
      <c r="AK272" s="11">
        <f t="shared" si="75"/>
        <v>3600</v>
      </c>
      <c r="AL272" s="10">
        <v>3600</v>
      </c>
      <c r="AM272" s="11">
        <f t="shared" si="82"/>
        <v>100</v>
      </c>
      <c r="AN272" s="10">
        <v>100</v>
      </c>
      <c r="AO272" s="11">
        <v>21000</v>
      </c>
      <c r="AP272" s="10">
        <v>0</v>
      </c>
      <c r="AQ272" s="56">
        <f t="shared" si="76"/>
        <v>3</v>
      </c>
      <c r="AS272" s="11">
        <f ca="1">IFERROR(OFFSET(ITEM_RES!$A$1,MATCH(AT272,ITEM_RES!$J:$J,0)-1,0),0)</f>
        <v>211020801</v>
      </c>
      <c r="AT272" s="10" t="s">
        <v>429</v>
      </c>
      <c r="AU272" s="11">
        <v>42000</v>
      </c>
      <c r="AX272" s="11">
        <f ca="1">IFERROR(OFFSET(ITEM_RES!$A$1,MATCH(AY272,ITEM_RES!$J:$J,0)-1,0),0)</f>
        <v>211020401</v>
      </c>
      <c r="AY272" s="10" t="s">
        <v>418</v>
      </c>
      <c r="AZ272" s="11">
        <v>42000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457</v>
      </c>
      <c r="BJ272" s="11">
        <v>1</v>
      </c>
      <c r="BM272" s="11">
        <f ca="1">IFERROR(OFFSET(ITEM_RES!$A$1,MATCH(BN272,ITEM_RES!$J:$J,0)-1,0),0)</f>
        <v>0</v>
      </c>
      <c r="BO272" s="11">
        <f t="shared" si="81"/>
        <v>0</v>
      </c>
    </row>
    <row r="273" spans="1:68" x14ac:dyDescent="0.3">
      <c r="A273" s="14">
        <f t="shared" si="78"/>
        <v>113050009</v>
      </c>
      <c r="B273" s="13">
        <v>11</v>
      </c>
      <c r="C273" s="12">
        <f t="shared" si="79"/>
        <v>3</v>
      </c>
      <c r="D273" s="13">
        <v>5</v>
      </c>
      <c r="E273" s="13">
        <v>0</v>
      </c>
      <c r="F273" s="12">
        <f t="shared" si="80"/>
        <v>9</v>
      </c>
      <c r="H273" s="9">
        <v>3</v>
      </c>
      <c r="I273" s="9">
        <v>9</v>
      </c>
      <c r="K273" s="9" t="s">
        <v>361</v>
      </c>
      <c r="M273" s="9">
        <v>1</v>
      </c>
      <c r="N273" s="9">
        <v>15</v>
      </c>
      <c r="O273" s="141"/>
      <c r="S273" s="9" t="s">
        <v>687</v>
      </c>
      <c r="V273" s="9">
        <f ca="1">IFERROR(OFFSET(ITEM_RES!$A$5,MATCH(BUILDING!U273,ITEM_RES!$J$5:$J$229,0)-1,0),0)</f>
        <v>0</v>
      </c>
      <c r="Y273" s="9">
        <f ca="1">IFERROR(OFFSET(ITEM_RES!$A$5,MATCH(BUILDING!X273,ITEM_RES!$J$5:$J$229,0)-1,0),0)</f>
        <v>0</v>
      </c>
      <c r="AA273" s="9" t="s">
        <v>511</v>
      </c>
      <c r="AB273" s="9">
        <v>9</v>
      </c>
      <c r="AD273" s="11">
        <f ca="1">IFERROR(OFFSET(MANOR_LEVEL!$B$1,MATCH(AE273-1,MANOR_LEVEL!$A:$A,0)-1,0),0)</f>
        <v>50404400</v>
      </c>
      <c r="AE273" s="56">
        <v>16</v>
      </c>
      <c r="AG273" s="56">
        <f t="shared" ca="1" si="73"/>
        <v>897150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897150</v>
      </c>
      <c r="AI273" s="179">
        <f t="shared" ca="1" si="83"/>
        <v>1381250</v>
      </c>
      <c r="AK273" s="11">
        <f t="shared" si="75"/>
        <v>5400</v>
      </c>
      <c r="AL273" s="10">
        <v>5400</v>
      </c>
      <c r="AM273" s="11">
        <f t="shared" si="82"/>
        <v>150</v>
      </c>
      <c r="AN273" s="10">
        <v>150</v>
      </c>
      <c r="AO273" s="11">
        <v>39000</v>
      </c>
      <c r="AP273" s="10">
        <v>0</v>
      </c>
      <c r="AQ273" s="56">
        <f t="shared" si="76"/>
        <v>2</v>
      </c>
      <c r="AS273" s="11">
        <f ca="1">IFERROR(OFFSET(ITEM_RES!$A$1,MATCH(AT273,ITEM_RES!$J:$J,0)-1,0),0)</f>
        <v>211020801</v>
      </c>
      <c r="AT273" s="10" t="s">
        <v>429</v>
      </c>
      <c r="AU273" s="11">
        <v>78000</v>
      </c>
      <c r="AX273" s="11">
        <f ca="1">IFERROR(OFFSET(ITEM_RES!$A$1,MATCH(AY273,ITEM_RES!$J:$J,0)-1,0),0)</f>
        <v>211020401</v>
      </c>
      <c r="AY273" s="10" t="s">
        <v>418</v>
      </c>
      <c r="AZ273" s="11">
        <v>78000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81"/>
        <v>0</v>
      </c>
    </row>
    <row r="274" spans="1:68" x14ac:dyDescent="0.3">
      <c r="A274" s="14">
        <f t="shared" si="78"/>
        <v>113050010</v>
      </c>
      <c r="B274" s="13">
        <v>11</v>
      </c>
      <c r="C274" s="12">
        <f t="shared" si="79"/>
        <v>3</v>
      </c>
      <c r="D274" s="13">
        <v>5</v>
      </c>
      <c r="E274" s="13">
        <v>0</v>
      </c>
      <c r="F274" s="12">
        <f t="shared" si="80"/>
        <v>10</v>
      </c>
      <c r="H274" s="9">
        <v>3</v>
      </c>
      <c r="I274" s="9">
        <v>10</v>
      </c>
      <c r="K274" s="9" t="s">
        <v>361</v>
      </c>
      <c r="M274" s="9">
        <v>1</v>
      </c>
      <c r="N274" s="9">
        <v>15</v>
      </c>
      <c r="O274" s="141"/>
      <c r="S274" s="9" t="s">
        <v>687</v>
      </c>
      <c r="V274" s="9">
        <f ca="1">IFERROR(OFFSET(ITEM_RES!$A$5,MATCH(BUILDING!U274,ITEM_RES!$J$5:$J$229,0)-1,0),0)</f>
        <v>0</v>
      </c>
      <c r="Y274" s="9">
        <f ca="1">IFERROR(OFFSET(ITEM_RES!$A$5,MATCH(BUILDING!X274,ITEM_RES!$J$5:$J$229,0)-1,0),0)</f>
        <v>0</v>
      </c>
      <c r="AA274" s="9" t="s">
        <v>511</v>
      </c>
      <c r="AB274" s="9">
        <v>10</v>
      </c>
      <c r="AD274" s="11">
        <f ca="1">IFERROR(OFFSET(MANOR_LEVEL!$B$1,MATCH(AE274-1,MANOR_LEVEL!$A:$A,0)-1,0),0)</f>
        <v>50404400</v>
      </c>
      <c r="AE274" s="56">
        <v>16</v>
      </c>
      <c r="AG274" s="56">
        <f t="shared" ca="1" si="73"/>
        <v>1495200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1495200</v>
      </c>
      <c r="AI274" s="179">
        <f t="shared" ca="1" si="83"/>
        <v>2392350</v>
      </c>
      <c r="AK274" s="11">
        <f t="shared" si="75"/>
        <v>7200</v>
      </c>
      <c r="AL274" s="10">
        <v>7200</v>
      </c>
      <c r="AM274" s="11">
        <f t="shared" si="82"/>
        <v>200</v>
      </c>
      <c r="AN274" s="10">
        <v>200</v>
      </c>
      <c r="AO274" s="11">
        <v>65000</v>
      </c>
      <c r="AP274" s="10">
        <v>0</v>
      </c>
      <c r="AQ274" s="56">
        <f t="shared" si="76"/>
        <v>2</v>
      </c>
      <c r="AS274" s="11">
        <f ca="1">IFERROR(OFFSET(ITEM_RES!$A$1,MATCH(AT274,ITEM_RES!$J:$J,0)-1,0),0)</f>
        <v>211020801</v>
      </c>
      <c r="AT274" s="10" t="s">
        <v>429</v>
      </c>
      <c r="AU274" s="11">
        <v>130000</v>
      </c>
      <c r="AX274" s="11">
        <f ca="1">IFERROR(OFFSET(ITEM_RES!$A$1,MATCH(AY274,ITEM_RES!$J:$J,0)-1,0),0)</f>
        <v>211020401</v>
      </c>
      <c r="AY274" s="10" t="s">
        <v>418</v>
      </c>
      <c r="AZ274" s="11">
        <v>130000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81"/>
        <v>0</v>
      </c>
    </row>
    <row r="275" spans="1:68" x14ac:dyDescent="0.3">
      <c r="A275" s="14">
        <f t="shared" si="78"/>
        <v>113050011</v>
      </c>
      <c r="B275" s="13">
        <v>11</v>
      </c>
      <c r="C275" s="12">
        <f t="shared" si="79"/>
        <v>3</v>
      </c>
      <c r="D275" s="13">
        <v>5</v>
      </c>
      <c r="E275" s="13">
        <v>0</v>
      </c>
      <c r="F275" s="12">
        <f t="shared" si="80"/>
        <v>11</v>
      </c>
      <c r="H275" s="9">
        <v>3</v>
      </c>
      <c r="I275" s="9">
        <v>11</v>
      </c>
      <c r="K275" s="9" t="s">
        <v>361</v>
      </c>
      <c r="M275" s="9">
        <v>1</v>
      </c>
      <c r="N275" s="9">
        <v>15</v>
      </c>
      <c r="O275" s="141"/>
      <c r="S275" s="9" t="s">
        <v>687</v>
      </c>
      <c r="V275" s="9">
        <f ca="1">IFERROR(OFFSET(ITEM_RES!$A$5,MATCH(BUILDING!U275,ITEM_RES!$J$5:$J$229,0)-1,0),0)</f>
        <v>0</v>
      </c>
      <c r="Y275" s="9">
        <f ca="1">IFERROR(OFFSET(ITEM_RES!$A$5,MATCH(BUILDING!X275,ITEM_RES!$J$5:$J$229,0)-1,0),0)</f>
        <v>0</v>
      </c>
      <c r="AA275" s="9" t="s">
        <v>511</v>
      </c>
      <c r="AB275" s="9">
        <v>11</v>
      </c>
      <c r="AD275" s="11">
        <f ca="1">IFERROR(OFFSET(MANOR_LEVEL!$B$1,MATCH(AE275-1,MANOR_LEVEL!$A:$A,0)-1,0),0)</f>
        <v>50404400</v>
      </c>
      <c r="AE275" s="56">
        <v>16</v>
      </c>
      <c r="AG275" s="56">
        <f t="shared" ca="1" si="73"/>
        <v>2530250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2530250</v>
      </c>
      <c r="AI275" s="179">
        <f t="shared" ca="1" si="83"/>
        <v>4025450</v>
      </c>
      <c r="AK275" s="11">
        <f t="shared" si="75"/>
        <v>9000</v>
      </c>
      <c r="AL275" s="10">
        <v>9000</v>
      </c>
      <c r="AM275" s="11">
        <f t="shared" si="82"/>
        <v>250</v>
      </c>
      <c r="AN275" s="10">
        <v>250</v>
      </c>
      <c r="AO275" s="11">
        <v>110000</v>
      </c>
      <c r="AP275" s="10">
        <v>0</v>
      </c>
      <c r="AQ275" s="56">
        <f t="shared" si="76"/>
        <v>2</v>
      </c>
      <c r="AS275" s="11">
        <f ca="1">IFERROR(OFFSET(ITEM_RES!$A$1,MATCH(AT275,ITEM_RES!$J:$J,0)-1,0),0)</f>
        <v>211020801</v>
      </c>
      <c r="AT275" s="10" t="s">
        <v>429</v>
      </c>
      <c r="AU275" s="11">
        <v>220000</v>
      </c>
      <c r="AX275" s="11">
        <f ca="1">IFERROR(OFFSET(ITEM_RES!$A$1,MATCH(AY275,ITEM_RES!$J:$J,0)-1,0),0)</f>
        <v>211020401</v>
      </c>
      <c r="AY275" s="10" t="s">
        <v>418</v>
      </c>
      <c r="AZ275" s="11">
        <v>220000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81"/>
        <v>0</v>
      </c>
    </row>
    <row r="276" spans="1:68" x14ac:dyDescent="0.3">
      <c r="A276" s="14">
        <f t="shared" si="78"/>
        <v>113050012</v>
      </c>
      <c r="B276" s="13">
        <v>11</v>
      </c>
      <c r="C276" s="12">
        <f t="shared" si="79"/>
        <v>3</v>
      </c>
      <c r="D276" s="13">
        <v>5</v>
      </c>
      <c r="E276" s="13">
        <v>0</v>
      </c>
      <c r="F276" s="12">
        <f t="shared" si="80"/>
        <v>12</v>
      </c>
      <c r="H276" s="9">
        <v>3</v>
      </c>
      <c r="I276" s="9">
        <v>12</v>
      </c>
      <c r="K276" s="9" t="s">
        <v>361</v>
      </c>
      <c r="M276" s="9">
        <v>1</v>
      </c>
      <c r="N276" s="9">
        <v>15</v>
      </c>
      <c r="O276" s="141"/>
      <c r="S276" s="9" t="s">
        <v>687</v>
      </c>
      <c r="V276" s="9">
        <f ca="1">IFERROR(OFFSET(ITEM_RES!$A$5,MATCH(BUILDING!U276,ITEM_RES!$J$5:$J$229,0)-1,0),0)</f>
        <v>0</v>
      </c>
      <c r="Y276" s="9">
        <f ca="1">IFERROR(OFFSET(ITEM_RES!$A$5,MATCH(BUILDING!X276,ITEM_RES!$J$5:$J$229,0)-1,0),0)</f>
        <v>0</v>
      </c>
      <c r="AA276" s="9" t="s">
        <v>511</v>
      </c>
      <c r="AB276" s="9">
        <v>12</v>
      </c>
      <c r="AD276" s="11">
        <f ca="1">IFERROR(OFFSET(MANOR_LEVEL!$B$1,MATCH(AE276-1,MANOR_LEVEL!$A:$A,0)-1,0),0)</f>
        <v>50404400</v>
      </c>
      <c r="AE276" s="56">
        <v>16</v>
      </c>
      <c r="AG276" s="56">
        <f t="shared" ca="1" si="73"/>
        <v>4255300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4255300</v>
      </c>
      <c r="AI276" s="179">
        <f t="shared" ca="1" si="83"/>
        <v>6785550</v>
      </c>
      <c r="AK276" s="11">
        <f t="shared" si="75"/>
        <v>10800</v>
      </c>
      <c r="AL276" s="10">
        <v>10800</v>
      </c>
      <c r="AM276" s="11">
        <f t="shared" si="82"/>
        <v>300</v>
      </c>
      <c r="AN276" s="10">
        <v>300</v>
      </c>
      <c r="AO276" s="11">
        <v>185000</v>
      </c>
      <c r="AP276" s="10">
        <v>0</v>
      </c>
      <c r="AQ276" s="56">
        <f t="shared" si="76"/>
        <v>2</v>
      </c>
      <c r="AS276" s="11">
        <f ca="1">IFERROR(OFFSET(ITEM_RES!$A$1,MATCH(AT276,ITEM_RES!$J:$J,0)-1,0),0)</f>
        <v>211020801</v>
      </c>
      <c r="AT276" s="10" t="s">
        <v>429</v>
      </c>
      <c r="AU276" s="11">
        <v>370000</v>
      </c>
      <c r="AX276" s="11">
        <f ca="1">IFERROR(OFFSET(ITEM_RES!$A$1,MATCH(AY276,ITEM_RES!$J:$J,0)-1,0),0)</f>
        <v>211020401</v>
      </c>
      <c r="AY276" s="10" t="s">
        <v>418</v>
      </c>
      <c r="AZ276" s="11">
        <v>370000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81"/>
        <v>0</v>
      </c>
    </row>
    <row r="277" spans="1:68" x14ac:dyDescent="0.3">
      <c r="A277" s="14">
        <f t="shared" si="78"/>
        <v>113050013</v>
      </c>
      <c r="B277" s="13">
        <v>11</v>
      </c>
      <c r="C277" s="12">
        <f t="shared" si="79"/>
        <v>3</v>
      </c>
      <c r="D277" s="13">
        <v>5</v>
      </c>
      <c r="E277" s="13">
        <v>0</v>
      </c>
      <c r="F277" s="12">
        <f t="shared" si="80"/>
        <v>13</v>
      </c>
      <c r="H277" s="9">
        <v>3</v>
      </c>
      <c r="I277" s="9">
        <v>13</v>
      </c>
      <c r="K277" s="9" t="s">
        <v>361</v>
      </c>
      <c r="M277" s="9">
        <v>1</v>
      </c>
      <c r="N277" s="9">
        <v>15</v>
      </c>
      <c r="O277" s="141"/>
      <c r="S277" s="9" t="s">
        <v>687</v>
      </c>
      <c r="V277" s="9">
        <f ca="1">IFERROR(OFFSET(ITEM_RES!$A$5,MATCH(BUILDING!U277,ITEM_RES!$J$5:$J$229,0)-1,0),0)</f>
        <v>0</v>
      </c>
      <c r="Y277" s="9">
        <f ca="1">IFERROR(OFFSET(ITEM_RES!$A$5,MATCH(BUILDING!X277,ITEM_RES!$J$5:$J$229,0)-1,0),0)</f>
        <v>0</v>
      </c>
      <c r="AA277" s="9" t="s">
        <v>511</v>
      </c>
      <c r="AB277" s="9">
        <v>13</v>
      </c>
      <c r="AD277" s="11">
        <f ca="1">IFERROR(OFFSET(MANOR_LEVEL!$B$1,MATCH(AE277-1,MANOR_LEVEL!$A:$A,0)-1,0),0)</f>
        <v>50404400</v>
      </c>
      <c r="AE277" s="56">
        <v>16</v>
      </c>
      <c r="AG277" s="56">
        <f t="shared" ca="1" si="73"/>
        <v>7130350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7130350</v>
      </c>
      <c r="AI277" s="179">
        <f t="shared" ca="1" si="83"/>
        <v>11385650</v>
      </c>
      <c r="AK277" s="11">
        <f t="shared" si="75"/>
        <v>12600</v>
      </c>
      <c r="AL277" s="10">
        <v>12600</v>
      </c>
      <c r="AM277" s="11">
        <f t="shared" si="82"/>
        <v>350</v>
      </c>
      <c r="AN277" s="10">
        <v>350</v>
      </c>
      <c r="AO277" s="11">
        <v>310000</v>
      </c>
      <c r="AP277" s="10">
        <v>0</v>
      </c>
      <c r="AQ277" s="56">
        <f t="shared" si="76"/>
        <v>2</v>
      </c>
      <c r="AS277" s="11">
        <f ca="1">IFERROR(OFFSET(ITEM_RES!$A$1,MATCH(AT277,ITEM_RES!$J:$J,0)-1,0),0)</f>
        <v>211020801</v>
      </c>
      <c r="AT277" s="10" t="s">
        <v>429</v>
      </c>
      <c r="AU277" s="11">
        <v>620000</v>
      </c>
      <c r="AX277" s="11">
        <f ca="1">IFERROR(OFFSET(ITEM_RES!$A$1,MATCH(AY277,ITEM_RES!$J:$J,0)-1,0),0)</f>
        <v>211020401</v>
      </c>
      <c r="AY277" s="10" t="s">
        <v>418</v>
      </c>
      <c r="AZ277" s="11">
        <v>620000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81"/>
        <v>0</v>
      </c>
    </row>
    <row r="278" spans="1:68" x14ac:dyDescent="0.3">
      <c r="A278" s="14">
        <f t="shared" si="78"/>
        <v>113050014</v>
      </c>
      <c r="B278" s="13">
        <v>11</v>
      </c>
      <c r="C278" s="12">
        <f t="shared" si="79"/>
        <v>3</v>
      </c>
      <c r="D278" s="13">
        <v>5</v>
      </c>
      <c r="E278" s="13">
        <v>0</v>
      </c>
      <c r="F278" s="12">
        <f t="shared" si="80"/>
        <v>14</v>
      </c>
      <c r="H278" s="9">
        <v>3</v>
      </c>
      <c r="I278" s="9">
        <v>14</v>
      </c>
      <c r="K278" s="9" t="s">
        <v>361</v>
      </c>
      <c r="M278" s="9">
        <v>1</v>
      </c>
      <c r="N278" s="9">
        <v>15</v>
      </c>
      <c r="O278" s="141"/>
      <c r="S278" s="9" t="s">
        <v>687</v>
      </c>
      <c r="V278" s="9">
        <f ca="1">IFERROR(OFFSET(ITEM_RES!$A$5,MATCH(BUILDING!U278,ITEM_RES!$J$5:$J$229,0)-1,0),0)</f>
        <v>0</v>
      </c>
      <c r="Y278" s="9">
        <f ca="1">IFERROR(OFFSET(ITEM_RES!$A$5,MATCH(BUILDING!X278,ITEM_RES!$J$5:$J$229,0)-1,0),0)</f>
        <v>0</v>
      </c>
      <c r="AA278" s="9" t="s">
        <v>511</v>
      </c>
      <c r="AB278" s="9">
        <v>14</v>
      </c>
      <c r="AD278" s="11">
        <f ca="1">IFERROR(OFFSET(MANOR_LEVEL!$B$1,MATCH(AE278-1,MANOR_LEVEL!$A:$A,0)-1,0),0)</f>
        <v>50404400</v>
      </c>
      <c r="AE278" s="56">
        <v>16</v>
      </c>
      <c r="AG278" s="56">
        <f t="shared" ca="1" si="73"/>
        <v>11155450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11155450</v>
      </c>
      <c r="AI278" s="179">
        <f t="shared" ca="1" si="83"/>
        <v>18285800</v>
      </c>
      <c r="AK278" s="11">
        <f t="shared" si="75"/>
        <v>14400</v>
      </c>
      <c r="AL278" s="10">
        <v>14400</v>
      </c>
      <c r="AM278" s="11">
        <f t="shared" si="82"/>
        <v>450</v>
      </c>
      <c r="AN278" s="10">
        <v>450</v>
      </c>
      <c r="AO278" s="11">
        <v>485000</v>
      </c>
      <c r="AP278" s="10">
        <v>0</v>
      </c>
      <c r="AQ278" s="56">
        <f t="shared" si="76"/>
        <v>2</v>
      </c>
      <c r="AS278" s="11">
        <f ca="1">IFERROR(OFFSET(ITEM_RES!$A$1,MATCH(AT278,ITEM_RES!$J:$J,0)-1,0),0)</f>
        <v>211020801</v>
      </c>
      <c r="AT278" s="10" t="s">
        <v>429</v>
      </c>
      <c r="AU278" s="11">
        <v>970000</v>
      </c>
      <c r="AX278" s="11">
        <f ca="1">IFERROR(OFFSET(ITEM_RES!$A$1,MATCH(AY278,ITEM_RES!$J:$J,0)-1,0),0)</f>
        <v>211020401</v>
      </c>
      <c r="AY278" s="10" t="s">
        <v>418</v>
      </c>
      <c r="AZ278" s="11">
        <v>970000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81"/>
        <v>0</v>
      </c>
    </row>
    <row r="279" spans="1:68" x14ac:dyDescent="0.3">
      <c r="A279" s="14">
        <f t="shared" si="78"/>
        <v>113050015</v>
      </c>
      <c r="B279" s="13">
        <v>11</v>
      </c>
      <c r="C279" s="12">
        <f t="shared" si="79"/>
        <v>3</v>
      </c>
      <c r="D279" s="13">
        <v>5</v>
      </c>
      <c r="E279" s="13">
        <v>0</v>
      </c>
      <c r="F279" s="12">
        <f t="shared" si="80"/>
        <v>15</v>
      </c>
      <c r="H279" s="9">
        <v>3</v>
      </c>
      <c r="I279" s="9">
        <v>15</v>
      </c>
      <c r="K279" s="9" t="s">
        <v>361</v>
      </c>
      <c r="M279" s="9">
        <v>1</v>
      </c>
      <c r="N279" s="9">
        <v>15</v>
      </c>
      <c r="O279" s="141"/>
      <c r="S279" s="9" t="s">
        <v>687</v>
      </c>
      <c r="V279" s="9">
        <f ca="1">IFERROR(OFFSET(ITEM_RES!$A$5,MATCH(BUILDING!U279,ITEM_RES!$J$5:$J$229,0)-1,0),0)</f>
        <v>0</v>
      </c>
      <c r="Y279" s="9">
        <f ca="1">IFERROR(OFFSET(ITEM_RES!$A$5,MATCH(BUILDING!X279,ITEM_RES!$J$5:$J$229,0)-1,0),0)</f>
        <v>0</v>
      </c>
      <c r="AA279" s="9" t="s">
        <v>511</v>
      </c>
      <c r="AB279" s="9">
        <v>15</v>
      </c>
      <c r="AD279" s="11">
        <f ca="1">IFERROR(OFFSET(MANOR_LEVEL!$B$1,MATCH(AE279-1,MANOR_LEVEL!$A:$A,0)-1,0),0)</f>
        <v>50404400</v>
      </c>
      <c r="AE279" s="56">
        <v>16</v>
      </c>
      <c r="AG279" s="56">
        <f t="shared" ca="1" si="73"/>
        <v>24150550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24150550</v>
      </c>
      <c r="AI279" s="179">
        <f t="shared" ca="1" si="83"/>
        <v>35306000</v>
      </c>
      <c r="AK279" s="11">
        <f t="shared" si="75"/>
        <v>16200</v>
      </c>
      <c r="AL279" s="10">
        <v>16200</v>
      </c>
      <c r="AM279" s="11">
        <f t="shared" si="82"/>
        <v>550</v>
      </c>
      <c r="AN279" s="10">
        <v>550</v>
      </c>
      <c r="AO279" s="11">
        <v>1050000</v>
      </c>
      <c r="AP279" s="10">
        <v>0</v>
      </c>
      <c r="AQ279" s="56">
        <f t="shared" si="76"/>
        <v>2</v>
      </c>
      <c r="AS279" s="11">
        <f ca="1">IFERROR(OFFSET(ITEM_RES!$A$1,MATCH(AT279,ITEM_RES!$J:$J,0)-1,0),0)</f>
        <v>211020801</v>
      </c>
      <c r="AT279" s="10" t="s">
        <v>429</v>
      </c>
      <c r="AU279" s="11">
        <v>2100000</v>
      </c>
      <c r="AX279" s="11">
        <f ca="1">IFERROR(OFFSET(ITEM_RES!$A$1,MATCH(AY279,ITEM_RES!$J:$J,0)-1,0),0)</f>
        <v>211020401</v>
      </c>
      <c r="AY279" s="10" t="s">
        <v>430</v>
      </c>
      <c r="AZ279" s="11">
        <v>2100000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81"/>
        <v>0</v>
      </c>
    </row>
    <row r="280" spans="1:68" x14ac:dyDescent="0.3">
      <c r="A280" s="14">
        <f t="shared" si="78"/>
        <v>113050016</v>
      </c>
      <c r="B280" s="13">
        <v>11</v>
      </c>
      <c r="C280" s="12">
        <f t="shared" si="79"/>
        <v>3</v>
      </c>
      <c r="D280" s="13">
        <v>5</v>
      </c>
      <c r="E280" s="13">
        <v>0</v>
      </c>
      <c r="F280" s="12">
        <f t="shared" si="80"/>
        <v>16</v>
      </c>
      <c r="H280" s="9">
        <v>3</v>
      </c>
      <c r="I280" s="9">
        <v>16</v>
      </c>
      <c r="K280" s="9" t="s">
        <v>361</v>
      </c>
      <c r="M280" s="9">
        <v>0</v>
      </c>
      <c r="N280" s="9">
        <v>15</v>
      </c>
      <c r="O280" s="141"/>
      <c r="S280" s="9" t="s">
        <v>687</v>
      </c>
      <c r="V280" s="9">
        <f ca="1">IFERROR(OFFSET(ITEM_RES!$A$5,MATCH(BUILDING!U280,ITEM_RES!$J$5:$J$229,0)-1,0),0)</f>
        <v>0</v>
      </c>
      <c r="Y280" s="9">
        <f ca="1">IFERROR(OFFSET(ITEM_RES!$A$5,MATCH(BUILDING!X280,ITEM_RES!$J$5:$J$229,0)-1,0),0)</f>
        <v>0</v>
      </c>
      <c r="AA280" s="9" t="s">
        <v>511</v>
      </c>
      <c r="AB280" s="9">
        <v>16</v>
      </c>
      <c r="AD280" s="11">
        <f ca="1">IFERROR(OFFSET(MANOR_LEVEL!$B$1,MATCH(AE280-1,MANOR_LEVEL!$A:$A,0)-1,0),0)</f>
        <v>50404400</v>
      </c>
      <c r="AE280" s="56">
        <v>16</v>
      </c>
      <c r="AG280" s="56">
        <f t="shared" ca="1" si="73"/>
        <v>49450700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49450700</v>
      </c>
      <c r="AI280" s="179">
        <f t="shared" ca="1" si="83"/>
        <v>73601250</v>
      </c>
      <c r="AK280" s="11">
        <f t="shared" si="75"/>
        <v>18000</v>
      </c>
      <c r="AL280" s="10">
        <v>18000</v>
      </c>
      <c r="AM280" s="11">
        <f t="shared" si="82"/>
        <v>700</v>
      </c>
      <c r="AN280" s="10">
        <v>700</v>
      </c>
      <c r="AO280" s="11">
        <v>2150000</v>
      </c>
      <c r="AP280" s="10">
        <v>0</v>
      </c>
      <c r="AQ280" s="56">
        <f t="shared" si="76"/>
        <v>2</v>
      </c>
      <c r="AS280" s="11">
        <f ca="1">IFERROR(OFFSET(ITEM_RES!$A$1,MATCH(AT280,ITEM_RES!$J:$J,0)-1,0),0)</f>
        <v>211020801</v>
      </c>
      <c r="AT280" s="10" t="s">
        <v>429</v>
      </c>
      <c r="AU280" s="11">
        <v>4300000</v>
      </c>
      <c r="AX280" s="11">
        <f ca="1">IFERROR(OFFSET(ITEM_RES!$A$1,MATCH(AY280,ITEM_RES!$J:$J,0)-1,0),0)</f>
        <v>211020401</v>
      </c>
      <c r="AY280" s="10" t="s">
        <v>430</v>
      </c>
      <c r="AZ280" s="11">
        <v>4300000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81"/>
        <v>0</v>
      </c>
    </row>
    <row r="281" spans="1:68" x14ac:dyDescent="0.3">
      <c r="A281" s="14">
        <f t="shared" si="78"/>
        <v>113050017</v>
      </c>
      <c r="B281" s="13">
        <v>11</v>
      </c>
      <c r="C281" s="12">
        <f t="shared" si="79"/>
        <v>3</v>
      </c>
      <c r="D281" s="13">
        <v>5</v>
      </c>
      <c r="E281" s="13">
        <v>0</v>
      </c>
      <c r="F281" s="12">
        <f t="shared" si="80"/>
        <v>17</v>
      </c>
      <c r="H281" s="9">
        <v>3</v>
      </c>
      <c r="I281" s="9">
        <v>17</v>
      </c>
      <c r="K281" s="9" t="s">
        <v>361</v>
      </c>
      <c r="M281" s="9">
        <v>0</v>
      </c>
      <c r="N281" s="9">
        <v>15</v>
      </c>
      <c r="O281" s="141"/>
      <c r="S281" s="9" t="s">
        <v>687</v>
      </c>
      <c r="V281" s="9">
        <f ca="1">IFERROR(OFFSET(ITEM_RES!$A$5,MATCH(BUILDING!U281,ITEM_RES!$J$5:$J$229,0)-1,0),0)</f>
        <v>0</v>
      </c>
      <c r="Y281" s="9">
        <f ca="1">IFERROR(OFFSET(ITEM_RES!$A$5,MATCH(BUILDING!X281,ITEM_RES!$J$5:$J$229,0)-1,0),0)</f>
        <v>0</v>
      </c>
      <c r="AA281" s="9" t="s">
        <v>511</v>
      </c>
      <c r="AB281" s="9">
        <v>17</v>
      </c>
      <c r="AD281" s="11">
        <f ca="1">IFERROR(OFFSET(MANOR_LEVEL!$B$1,MATCH(AE281-1,MANOR_LEVEL!$A:$A,0)-1,0),0)</f>
        <v>50404400</v>
      </c>
      <c r="AE281" s="56">
        <v>16</v>
      </c>
      <c r="AG281" s="56">
        <f t="shared" ca="1" si="73"/>
        <v>108000850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108000850</v>
      </c>
      <c r="AI281" s="179">
        <f t="shared" ca="1" si="83"/>
        <v>157451550</v>
      </c>
      <c r="AK281" s="11">
        <f t="shared" si="75"/>
        <v>19800</v>
      </c>
      <c r="AL281" s="10">
        <v>19800</v>
      </c>
      <c r="AM281" s="11">
        <f t="shared" si="82"/>
        <v>850</v>
      </c>
      <c r="AN281" s="10">
        <v>850</v>
      </c>
      <c r="AO281" s="11">
        <v>4000000</v>
      </c>
      <c r="AP281" s="10">
        <v>0</v>
      </c>
      <c r="AQ281" s="56">
        <f t="shared" si="76"/>
        <v>2</v>
      </c>
      <c r="AS281" s="11">
        <f ca="1">IFERROR(OFFSET(ITEM_RES!$A$1,MATCH(AT281,ITEM_RES!$J:$J,0)-1,0),0)</f>
        <v>211020901</v>
      </c>
      <c r="AT281" s="10" t="s">
        <v>437</v>
      </c>
      <c r="AU281" s="11">
        <v>8000000</v>
      </c>
      <c r="AX281" s="11">
        <f ca="1">IFERROR(OFFSET(ITEM_RES!$A$1,MATCH(AY281,ITEM_RES!$J:$J,0)-1,0),0)</f>
        <v>211020401</v>
      </c>
      <c r="AY281" s="10" t="s">
        <v>430</v>
      </c>
      <c r="AZ281" s="11">
        <v>8000000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81"/>
        <v>0</v>
      </c>
    </row>
    <row r="282" spans="1:68" x14ac:dyDescent="0.3">
      <c r="A282" s="14">
        <f t="shared" si="78"/>
        <v>113050018</v>
      </c>
      <c r="B282" s="13">
        <v>11</v>
      </c>
      <c r="C282" s="12">
        <f t="shared" si="79"/>
        <v>3</v>
      </c>
      <c r="D282" s="13">
        <v>5</v>
      </c>
      <c r="E282" s="13">
        <v>0</v>
      </c>
      <c r="F282" s="12">
        <f t="shared" si="80"/>
        <v>18</v>
      </c>
      <c r="H282" s="9">
        <v>3</v>
      </c>
      <c r="I282" s="9">
        <v>18</v>
      </c>
      <c r="K282" s="9" t="s">
        <v>361</v>
      </c>
      <c r="M282" s="9">
        <v>0</v>
      </c>
      <c r="N282" s="9">
        <v>15</v>
      </c>
      <c r="O282" s="141"/>
      <c r="S282" s="9" t="s">
        <v>687</v>
      </c>
      <c r="V282" s="9">
        <f ca="1">IFERROR(OFFSET(ITEM_RES!$A$5,MATCH(BUILDING!U282,ITEM_RES!$J$5:$J$229,0)-1,0),0)</f>
        <v>0</v>
      </c>
      <c r="Y282" s="9">
        <f ca="1">IFERROR(OFFSET(ITEM_RES!$A$5,MATCH(BUILDING!X282,ITEM_RES!$J$5:$J$229,0)-1,0),0)</f>
        <v>0</v>
      </c>
      <c r="AA282" s="9" t="s">
        <v>511</v>
      </c>
      <c r="AB282" s="9">
        <v>18</v>
      </c>
      <c r="AD282" s="11">
        <f ca="1">IFERROR(OFFSET(MANOR_LEVEL!$B$1,MATCH(AE282-1,MANOR_LEVEL!$A:$A,0)-1,0),0)</f>
        <v>50404400</v>
      </c>
      <c r="AE282" s="56">
        <v>16</v>
      </c>
      <c r="AG282" s="56">
        <f t="shared" ref="AG282:AG365" ca="1" si="84">ROUND(AH282,0)</f>
        <v>178101050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178101050</v>
      </c>
      <c r="AI282" s="179">
        <f t="shared" ca="1" si="83"/>
        <v>286101900</v>
      </c>
      <c r="AK282" s="11">
        <f t="shared" si="75"/>
        <v>21600</v>
      </c>
      <c r="AL282" s="10">
        <v>21600</v>
      </c>
      <c r="AM282" s="11">
        <f t="shared" si="82"/>
        <v>1050</v>
      </c>
      <c r="AN282" s="10">
        <v>1050</v>
      </c>
      <c r="AO282" s="11">
        <v>6500000</v>
      </c>
      <c r="AP282" s="10">
        <v>0</v>
      </c>
      <c r="AQ282" s="56">
        <f t="shared" si="76"/>
        <v>2</v>
      </c>
      <c r="AS282" s="11">
        <f ca="1">IFERROR(OFFSET(ITEM_RES!$A$1,MATCH(AT282,ITEM_RES!$J:$J,0)-1,0),0)</f>
        <v>211020901</v>
      </c>
      <c r="AT282" s="10" t="s">
        <v>437</v>
      </c>
      <c r="AU282" s="11">
        <v>13000000</v>
      </c>
      <c r="AX282" s="11">
        <f ca="1">IFERROR(OFFSET(ITEM_RES!$A$1,MATCH(AY282,ITEM_RES!$J:$J,0)-1,0),0)</f>
        <v>211020501</v>
      </c>
      <c r="AY282" s="10" t="s">
        <v>419</v>
      </c>
      <c r="AZ282" s="11">
        <v>13000000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81"/>
        <v>0</v>
      </c>
    </row>
    <row r="283" spans="1:68" x14ac:dyDescent="0.3">
      <c r="A283" s="14">
        <f t="shared" si="78"/>
        <v>113050019</v>
      </c>
      <c r="B283" s="13">
        <v>11</v>
      </c>
      <c r="C283" s="12">
        <f t="shared" si="79"/>
        <v>3</v>
      </c>
      <c r="D283" s="13">
        <v>5</v>
      </c>
      <c r="E283" s="13">
        <v>0</v>
      </c>
      <c r="F283" s="12">
        <f t="shared" si="80"/>
        <v>19</v>
      </c>
      <c r="H283" s="9">
        <v>3</v>
      </c>
      <c r="I283" s="9">
        <v>19</v>
      </c>
      <c r="K283" s="9" t="s">
        <v>361</v>
      </c>
      <c r="M283" s="9">
        <v>0</v>
      </c>
      <c r="N283" s="9">
        <v>15</v>
      </c>
      <c r="O283" s="141"/>
      <c r="S283" s="9" t="s">
        <v>687</v>
      </c>
      <c r="V283" s="9">
        <f ca="1">IFERROR(OFFSET(ITEM_RES!$A$5,MATCH(BUILDING!U283,ITEM_RES!$J$5:$J$229,0)-1,0),0)</f>
        <v>0</v>
      </c>
      <c r="Y283" s="9">
        <f ca="1">IFERROR(OFFSET(ITEM_RES!$A$5,MATCH(BUILDING!X283,ITEM_RES!$J$5:$J$229,0)-1,0),0)</f>
        <v>0</v>
      </c>
      <c r="AA283" s="9" t="s">
        <v>511</v>
      </c>
      <c r="AB283" s="9">
        <v>19</v>
      </c>
      <c r="AD283" s="11">
        <f ca="1">IFERROR(OFFSET(MANOR_LEVEL!$B$1,MATCH(AE283-1,MANOR_LEVEL!$A:$A,0)-1,0),0)</f>
        <v>50404400</v>
      </c>
      <c r="AE283" s="56">
        <v>16</v>
      </c>
      <c r="AG283" s="56">
        <f t="shared" ca="1" si="84"/>
        <v>274001250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274001250</v>
      </c>
      <c r="AI283" s="179">
        <f t="shared" ca="1" si="83"/>
        <v>452102300</v>
      </c>
      <c r="AK283" s="11">
        <f t="shared" si="75"/>
        <v>23400</v>
      </c>
      <c r="AL283" s="10">
        <v>23400</v>
      </c>
      <c r="AM283" s="11">
        <f t="shared" si="82"/>
        <v>1250</v>
      </c>
      <c r="AN283" s="10">
        <v>1250</v>
      </c>
      <c r="AO283" s="11">
        <v>10000000</v>
      </c>
      <c r="AP283" s="10">
        <v>0</v>
      </c>
      <c r="AQ283" s="56">
        <f t="shared" si="76"/>
        <v>2</v>
      </c>
      <c r="AS283" s="11">
        <f ca="1">IFERROR(OFFSET(ITEM_RES!$A$1,MATCH(AT283,ITEM_RES!$J:$J,0)-1,0),0)</f>
        <v>211020901</v>
      </c>
      <c r="AT283" s="10" t="s">
        <v>437</v>
      </c>
      <c r="AU283" s="11">
        <v>20000000</v>
      </c>
      <c r="AX283" s="11">
        <f ca="1">IFERROR(OFFSET(ITEM_RES!$A$1,MATCH(AY283,ITEM_RES!$J:$J,0)-1,0),0)</f>
        <v>211020501</v>
      </c>
      <c r="AY283" s="10" t="s">
        <v>419</v>
      </c>
      <c r="AZ283" s="11">
        <v>20000000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81"/>
        <v>0</v>
      </c>
    </row>
    <row r="284" spans="1:68" ht="17.25" thickBot="1" x14ac:dyDescent="0.35">
      <c r="A284" s="14">
        <f t="shared" si="78"/>
        <v>113050020</v>
      </c>
      <c r="B284" s="13">
        <v>11</v>
      </c>
      <c r="C284" s="12">
        <f t="shared" si="79"/>
        <v>3</v>
      </c>
      <c r="D284" s="13">
        <v>5</v>
      </c>
      <c r="E284" s="13">
        <v>0</v>
      </c>
      <c r="F284" s="12">
        <f t="shared" si="80"/>
        <v>20</v>
      </c>
      <c r="H284" s="9">
        <v>3</v>
      </c>
      <c r="I284" s="9">
        <v>20</v>
      </c>
      <c r="K284" s="9" t="s">
        <v>361</v>
      </c>
      <c r="M284" s="9">
        <v>0</v>
      </c>
      <c r="N284" s="9">
        <v>15</v>
      </c>
      <c r="O284" s="141"/>
      <c r="S284" s="9" t="s">
        <v>687</v>
      </c>
      <c r="V284" s="9">
        <f ca="1">IFERROR(OFFSET(ITEM_RES!$A$5,MATCH(BUILDING!U284,ITEM_RES!$J$5:$J$229,0)-1,0),0)</f>
        <v>0</v>
      </c>
      <c r="Y284" s="9">
        <f ca="1">IFERROR(OFFSET(ITEM_RES!$A$5,MATCH(BUILDING!X284,ITEM_RES!$J$5:$J$229,0)-1,0),0)</f>
        <v>0</v>
      </c>
      <c r="AA284" s="9" t="s">
        <v>511</v>
      </c>
      <c r="AB284" s="9">
        <v>20</v>
      </c>
      <c r="AD284" s="11">
        <f ca="1">IFERROR(OFFSET(MANOR_LEVEL!$B$1,MATCH(AE284-1,MANOR_LEVEL!$A:$A,0)-1,0),0)</f>
        <v>50404400</v>
      </c>
      <c r="AE284" s="56">
        <v>16</v>
      </c>
      <c r="AG284" s="56">
        <f t="shared" ca="1" si="84"/>
        <v>438401500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438401500</v>
      </c>
      <c r="AI284" s="179">
        <f t="shared" ca="1" si="83"/>
        <v>712402750</v>
      </c>
      <c r="AK284" s="11">
        <f t="shared" si="75"/>
        <v>25200</v>
      </c>
      <c r="AL284" s="10">
        <v>25200</v>
      </c>
      <c r="AM284" s="11">
        <f t="shared" si="82"/>
        <v>1500</v>
      </c>
      <c r="AN284" s="10">
        <v>1500</v>
      </c>
      <c r="AO284" s="11">
        <v>16000000</v>
      </c>
      <c r="AP284" s="10">
        <v>0</v>
      </c>
      <c r="AQ284" s="56">
        <f t="shared" si="76"/>
        <v>2</v>
      </c>
      <c r="AS284" s="11">
        <f ca="1">IFERROR(OFFSET(ITEM_RES!$A$1,MATCH(AT284,ITEM_RES!$J:$J,0)-1,0),0)</f>
        <v>211020901</v>
      </c>
      <c r="AT284" s="10" t="s">
        <v>437</v>
      </c>
      <c r="AU284" s="11">
        <v>32000000</v>
      </c>
      <c r="AX284" s="11">
        <f ca="1">IFERROR(OFFSET(ITEM_RES!$A$1,MATCH(AY284,ITEM_RES!$J:$J,0)-1,0),0)</f>
        <v>211020501</v>
      </c>
      <c r="AY284" s="10" t="s">
        <v>419</v>
      </c>
      <c r="AZ284" s="11">
        <v>32000000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81"/>
        <v>0</v>
      </c>
    </row>
    <row r="285" spans="1:68" s="15" customFormat="1" x14ac:dyDescent="0.3">
      <c r="A285" s="21">
        <f t="shared" ref="A285:A304" si="85">B285*10000000+C285*1000000+D285*10000+E285*100+F285</f>
        <v>113060001</v>
      </c>
      <c r="B285" s="20">
        <v>11</v>
      </c>
      <c r="C285" s="19">
        <f t="shared" ref="C285:C304" si="86">H285</f>
        <v>3</v>
      </c>
      <c r="D285" s="20">
        <v>6</v>
      </c>
      <c r="E285" s="20">
        <v>0</v>
      </c>
      <c r="F285" s="19">
        <f t="shared" ref="F285:F304" si="87">I285</f>
        <v>1</v>
      </c>
      <c r="G285" s="78"/>
      <c r="H285" s="16">
        <v>3</v>
      </c>
      <c r="I285" s="16">
        <v>1</v>
      </c>
      <c r="J285" s="78"/>
      <c r="K285" s="16" t="s">
        <v>1036</v>
      </c>
      <c r="L285" s="16">
        <v>10</v>
      </c>
      <c r="M285" s="16">
        <v>1</v>
      </c>
      <c r="N285" s="16">
        <v>15</v>
      </c>
      <c r="O285" s="140" t="s">
        <v>1042</v>
      </c>
      <c r="P285" s="17"/>
      <c r="Q285" s="17"/>
      <c r="R285" s="18"/>
      <c r="S285" s="16" t="s">
        <v>1037</v>
      </c>
      <c r="T285" s="78"/>
      <c r="U285" s="86"/>
      <c r="V285" s="16">
        <f ca="1">IFERROR(OFFSET(ITEM_RES!$A$5,MATCH(BUILDING!U285,ITEM_RES!$J$5:$J$229,0)-1,0),0)</f>
        <v>0</v>
      </c>
      <c r="W285" s="18"/>
      <c r="X285" s="86"/>
      <c r="Y285" s="16">
        <f ca="1">IFERROR(OFFSET(ITEM_RES!$A$5,MATCH(BUILDING!X285,ITEM_RES!$J$5:$J$229,0)-1,0),0)</f>
        <v>0</v>
      </c>
      <c r="Z285" s="78"/>
      <c r="AA285" s="16" t="s">
        <v>1041</v>
      </c>
      <c r="AB285" s="16">
        <v>1</v>
      </c>
      <c r="AC285" s="78"/>
      <c r="AD285" s="18">
        <f ca="1">IFERROR(OFFSET(MANOR_LEVEL!$B$1,MATCH(AE285-1,MANOR_LEVEL!$A:$A,0)-1,0),0)</f>
        <v>1170750</v>
      </c>
      <c r="AE285" s="57">
        <v>10</v>
      </c>
      <c r="AF285" s="78"/>
      <c r="AG285" s="57">
        <f t="shared" ca="1" si="84"/>
        <v>1530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1530</v>
      </c>
      <c r="AI285" s="181">
        <f ca="1">AG285</f>
        <v>1530</v>
      </c>
      <c r="AJ285" s="78"/>
      <c r="AK285" s="18">
        <f t="shared" ref="AK285:AK304" si="88">ROUND(AL285,0)</f>
        <v>5</v>
      </c>
      <c r="AL285" s="17">
        <v>5</v>
      </c>
      <c r="AM285" s="18">
        <f t="shared" ref="AM285:AM304" si="89">ROUND(AN285,0)</f>
        <v>5</v>
      </c>
      <c r="AN285" s="17">
        <v>5</v>
      </c>
      <c r="AO285" s="18">
        <v>25</v>
      </c>
      <c r="AP285" s="17">
        <v>0</v>
      </c>
      <c r="AQ285" s="57">
        <f t="shared" ref="AQ285:AQ304" si="90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387</v>
      </c>
      <c r="AU285" s="18">
        <v>50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390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91">IF(BP285&lt;100,ROUND(BP285,1-LEN(ROUND(BP285,0))),ROUND(BP285,2-LEN(ROUND(BP285,0))))</f>
        <v>0</v>
      </c>
      <c r="BP285" s="17"/>
    </row>
    <row r="286" spans="1:68" x14ac:dyDescent="0.3">
      <c r="A286" s="14">
        <f t="shared" si="85"/>
        <v>113060002</v>
      </c>
      <c r="B286" s="13">
        <v>11</v>
      </c>
      <c r="C286" s="12">
        <f t="shared" si="86"/>
        <v>3</v>
      </c>
      <c r="D286" s="13">
        <v>6</v>
      </c>
      <c r="E286" s="13">
        <v>0</v>
      </c>
      <c r="F286" s="12">
        <f t="shared" si="87"/>
        <v>2</v>
      </c>
      <c r="H286" s="9">
        <v>3</v>
      </c>
      <c r="I286" s="9">
        <v>2</v>
      </c>
      <c r="K286" s="9" t="s">
        <v>1036</v>
      </c>
      <c r="M286" s="9">
        <v>1</v>
      </c>
      <c r="N286" s="9">
        <v>15</v>
      </c>
      <c r="O286" s="141" t="s">
        <v>1042</v>
      </c>
      <c r="S286" s="9" t="s">
        <v>1037</v>
      </c>
      <c r="V286" s="9">
        <f ca="1">IFERROR(OFFSET(ITEM_RES!$A$5,MATCH(BUILDING!U286,ITEM_RES!$J$5:$J$229,0)-1,0),0)</f>
        <v>0</v>
      </c>
      <c r="Y286" s="9">
        <f ca="1">IFERROR(OFFSET(ITEM_RES!$A$5,MATCH(BUILDING!X286,ITEM_RES!$J$5:$J$229,0)-1,0),0)</f>
        <v>0</v>
      </c>
      <c r="AA286" s="9" t="s">
        <v>1040</v>
      </c>
      <c r="AB286" s="9">
        <v>2</v>
      </c>
      <c r="AD286" s="11">
        <f ca="1">IFERROR(OFFSET(MANOR_LEVEL!$B$1,MATCH(AE286-1,MANOR_LEVEL!$A:$A,0)-1,0),0)</f>
        <v>1956000</v>
      </c>
      <c r="AE286" s="56">
        <v>11</v>
      </c>
      <c r="AG286" s="56">
        <f t="shared" ca="1" si="84"/>
        <v>1060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1060</v>
      </c>
      <c r="AI286" s="179">
        <f ca="1">AG285+AG286</f>
        <v>2590</v>
      </c>
      <c r="AK286" s="11">
        <f t="shared" si="88"/>
        <v>10</v>
      </c>
      <c r="AL286" s="10">
        <v>10</v>
      </c>
      <c r="AM286" s="11">
        <f t="shared" si="89"/>
        <v>10</v>
      </c>
      <c r="AN286" s="10">
        <v>10</v>
      </c>
      <c r="AO286" s="11">
        <v>50</v>
      </c>
      <c r="AP286" s="10">
        <v>0</v>
      </c>
      <c r="AQ286" s="56">
        <f t="shared" si="90"/>
        <v>1</v>
      </c>
      <c r="AS286" s="11">
        <f ca="1">IFERROR(OFFSET(ITEM_RES!$A$1,MATCH(AT286,ITEM_RES!$J:$J,0)-1,0),0)</f>
        <v>211020801</v>
      </c>
      <c r="AT286" s="10" t="s">
        <v>387</v>
      </c>
      <c r="AU286" s="11">
        <v>100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91"/>
        <v>0</v>
      </c>
    </row>
    <row r="287" spans="1:68" x14ac:dyDescent="0.3">
      <c r="A287" s="14">
        <f t="shared" si="85"/>
        <v>113060003</v>
      </c>
      <c r="B287" s="13">
        <v>11</v>
      </c>
      <c r="C287" s="12">
        <f t="shared" si="86"/>
        <v>3</v>
      </c>
      <c r="D287" s="13">
        <v>6</v>
      </c>
      <c r="E287" s="13">
        <v>0</v>
      </c>
      <c r="F287" s="12">
        <f t="shared" si="87"/>
        <v>3</v>
      </c>
      <c r="H287" s="9">
        <v>3</v>
      </c>
      <c r="I287" s="9">
        <v>3</v>
      </c>
      <c r="K287" s="9" t="s">
        <v>1036</v>
      </c>
      <c r="M287" s="9">
        <v>1</v>
      </c>
      <c r="N287" s="9">
        <v>15</v>
      </c>
      <c r="O287" s="141" t="s">
        <v>1042</v>
      </c>
      <c r="S287" s="9" t="s">
        <v>1037</v>
      </c>
      <c r="V287" s="9">
        <f ca="1">IFERROR(OFFSET(ITEM_RES!$A$5,MATCH(BUILDING!U287,ITEM_RES!$J$5:$J$229,0)-1,0),0)</f>
        <v>0</v>
      </c>
      <c r="Y287" s="9">
        <f ca="1">IFERROR(OFFSET(ITEM_RES!$A$5,MATCH(BUILDING!X287,ITEM_RES!$J$5:$J$229,0)-1,0),0)</f>
        <v>0</v>
      </c>
      <c r="AA287" s="9" t="s">
        <v>1040</v>
      </c>
      <c r="AB287" s="9">
        <v>3</v>
      </c>
      <c r="AD287" s="11">
        <f ca="1">IFERROR(OFFSET(MANOR_LEVEL!$B$1,MATCH(AE287-1,MANOR_LEVEL!$A:$A,0)-1,0),0)</f>
        <v>1956000</v>
      </c>
      <c r="AE287" s="56">
        <v>11</v>
      </c>
      <c r="AG287" s="56">
        <f t="shared" ca="1" si="84"/>
        <v>1590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1590</v>
      </c>
      <c r="AI287" s="179">
        <f t="shared" ref="AI287:AI304" ca="1" si="92">AG286+AG287</f>
        <v>2650</v>
      </c>
      <c r="AK287" s="11">
        <f t="shared" si="88"/>
        <v>30</v>
      </c>
      <c r="AL287" s="10">
        <v>30</v>
      </c>
      <c r="AM287" s="11">
        <f t="shared" si="89"/>
        <v>15</v>
      </c>
      <c r="AN287" s="10">
        <v>15</v>
      </c>
      <c r="AO287" s="11">
        <v>75</v>
      </c>
      <c r="AP287" s="10">
        <v>0</v>
      </c>
      <c r="AQ287" s="56">
        <f t="shared" si="90"/>
        <v>1</v>
      </c>
      <c r="AS287" s="11">
        <f ca="1">IFERROR(OFFSET(ITEM_RES!$A$1,MATCH(AT287,ITEM_RES!$J:$J,0)-1,0),0)</f>
        <v>211020801</v>
      </c>
      <c r="AT287" s="10" t="s">
        <v>387</v>
      </c>
      <c r="AU287" s="11">
        <v>150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91"/>
        <v>0</v>
      </c>
    </row>
    <row r="288" spans="1:68" x14ac:dyDescent="0.3">
      <c r="A288" s="14">
        <f t="shared" si="85"/>
        <v>113060004</v>
      </c>
      <c r="B288" s="13">
        <v>11</v>
      </c>
      <c r="C288" s="12">
        <f t="shared" si="86"/>
        <v>3</v>
      </c>
      <c r="D288" s="13">
        <v>6</v>
      </c>
      <c r="E288" s="13">
        <v>0</v>
      </c>
      <c r="F288" s="12">
        <f t="shared" si="87"/>
        <v>4</v>
      </c>
      <c r="H288" s="9">
        <v>3</v>
      </c>
      <c r="I288" s="9">
        <v>4</v>
      </c>
      <c r="K288" s="9" t="s">
        <v>1036</v>
      </c>
      <c r="M288" s="9">
        <v>1</v>
      </c>
      <c r="N288" s="9">
        <v>15</v>
      </c>
      <c r="O288" s="141" t="s">
        <v>1042</v>
      </c>
      <c r="S288" s="9" t="s">
        <v>1037</v>
      </c>
      <c r="V288" s="9">
        <f ca="1">IFERROR(OFFSET(ITEM_RES!$A$5,MATCH(BUILDING!U288,ITEM_RES!$J$5:$J$229,0)-1,0),0)</f>
        <v>0</v>
      </c>
      <c r="Y288" s="9">
        <f ca="1">IFERROR(OFFSET(ITEM_RES!$A$5,MATCH(BUILDING!X288,ITEM_RES!$J$5:$J$229,0)-1,0),0)</f>
        <v>0</v>
      </c>
      <c r="AA288" s="9" t="s">
        <v>1040</v>
      </c>
      <c r="AB288" s="9">
        <v>4</v>
      </c>
      <c r="AD288" s="11">
        <f ca="1">IFERROR(OFFSET(MANOR_LEVEL!$B$1,MATCH(AE288-1,MANOR_LEVEL!$A:$A,0)-1,0),0)</f>
        <v>1956000</v>
      </c>
      <c r="AE288" s="56">
        <v>11</v>
      </c>
      <c r="AG288" s="56">
        <f t="shared" ca="1" si="84"/>
        <v>6325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6325</v>
      </c>
      <c r="AI288" s="179">
        <f t="shared" ca="1" si="92"/>
        <v>7915</v>
      </c>
      <c r="AK288" s="11">
        <f t="shared" si="88"/>
        <v>300</v>
      </c>
      <c r="AL288" s="10">
        <v>300</v>
      </c>
      <c r="AM288" s="11">
        <f t="shared" si="89"/>
        <v>25</v>
      </c>
      <c r="AN288" s="10">
        <v>25</v>
      </c>
      <c r="AO288" s="11">
        <v>300</v>
      </c>
      <c r="AP288" s="10">
        <v>0</v>
      </c>
      <c r="AQ288" s="56">
        <f t="shared" si="90"/>
        <v>1</v>
      </c>
      <c r="AS288" s="11">
        <f ca="1">IFERROR(OFFSET(ITEM_RES!$A$1,MATCH(AT288,ITEM_RES!$J:$J,0)-1,0),0)</f>
        <v>211020801</v>
      </c>
      <c r="AT288" s="10" t="s">
        <v>387</v>
      </c>
      <c r="AU288" s="11">
        <v>600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91"/>
        <v>0</v>
      </c>
    </row>
    <row r="289" spans="1:67" x14ac:dyDescent="0.3">
      <c r="A289" s="14">
        <f t="shared" si="85"/>
        <v>113060005</v>
      </c>
      <c r="B289" s="13">
        <v>11</v>
      </c>
      <c r="C289" s="12">
        <f t="shared" si="86"/>
        <v>3</v>
      </c>
      <c r="D289" s="13">
        <v>6</v>
      </c>
      <c r="E289" s="13">
        <v>0</v>
      </c>
      <c r="F289" s="12">
        <f t="shared" si="87"/>
        <v>5</v>
      </c>
      <c r="H289" s="9">
        <v>3</v>
      </c>
      <c r="I289" s="9">
        <v>5</v>
      </c>
      <c r="K289" s="9" t="s">
        <v>1036</v>
      </c>
      <c r="M289" s="9">
        <v>1</v>
      </c>
      <c r="N289" s="9">
        <v>15</v>
      </c>
      <c r="O289" s="141" t="s">
        <v>1042</v>
      </c>
      <c r="S289" s="9" t="s">
        <v>1037</v>
      </c>
      <c r="V289" s="9">
        <f ca="1">IFERROR(OFFSET(ITEM_RES!$A$5,MATCH(BUILDING!U289,ITEM_RES!$J$5:$J$229,0)-1,0),0)</f>
        <v>0</v>
      </c>
      <c r="Y289" s="9">
        <f ca="1">IFERROR(OFFSET(ITEM_RES!$A$5,MATCH(BUILDING!X289,ITEM_RES!$J$5:$J$229,0)-1,0),0)</f>
        <v>0</v>
      </c>
      <c r="AA289" s="9" t="s">
        <v>1040</v>
      </c>
      <c r="AB289" s="9">
        <v>5</v>
      </c>
      <c r="AD289" s="11">
        <f ca="1">IFERROR(OFFSET(MANOR_LEVEL!$B$1,MATCH(AE289-1,MANOR_LEVEL!$A:$A,0)-1,0),0)</f>
        <v>1956000</v>
      </c>
      <c r="AE289" s="56">
        <v>11</v>
      </c>
      <c r="AG289" s="56">
        <f t="shared" ca="1" si="84"/>
        <v>28390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28390</v>
      </c>
      <c r="AI289" s="179">
        <f t="shared" ca="1" si="92"/>
        <v>34715</v>
      </c>
      <c r="AK289" s="11">
        <f t="shared" si="88"/>
        <v>600</v>
      </c>
      <c r="AL289" s="10">
        <v>600</v>
      </c>
      <c r="AM289" s="11">
        <f t="shared" si="89"/>
        <v>40</v>
      </c>
      <c r="AN289" s="10">
        <v>40</v>
      </c>
      <c r="AO289" s="11">
        <v>1350</v>
      </c>
      <c r="AP289" s="10">
        <v>0</v>
      </c>
      <c r="AQ289" s="56">
        <f t="shared" si="90"/>
        <v>1</v>
      </c>
      <c r="AS289" s="11">
        <f ca="1">IFERROR(OFFSET(ITEM_RES!$A$1,MATCH(AT289,ITEM_RES!$J:$J,0)-1,0),0)</f>
        <v>211020801</v>
      </c>
      <c r="AT289" s="10" t="s">
        <v>387</v>
      </c>
      <c r="AU289" s="11">
        <v>2700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91"/>
        <v>0</v>
      </c>
    </row>
    <row r="290" spans="1:67" x14ac:dyDescent="0.3">
      <c r="A290" s="14">
        <f t="shared" si="85"/>
        <v>113060006</v>
      </c>
      <c r="B290" s="13">
        <v>11</v>
      </c>
      <c r="C290" s="12">
        <f t="shared" si="86"/>
        <v>3</v>
      </c>
      <c r="D290" s="13">
        <v>6</v>
      </c>
      <c r="E290" s="13">
        <v>0</v>
      </c>
      <c r="F290" s="12">
        <f t="shared" si="87"/>
        <v>6</v>
      </c>
      <c r="H290" s="9">
        <v>3</v>
      </c>
      <c r="I290" s="9">
        <v>6</v>
      </c>
      <c r="K290" s="9" t="s">
        <v>1036</v>
      </c>
      <c r="M290" s="9">
        <v>1</v>
      </c>
      <c r="N290" s="9">
        <v>15</v>
      </c>
      <c r="O290" s="141" t="s">
        <v>1042</v>
      </c>
      <c r="S290" s="9" t="s">
        <v>1037</v>
      </c>
      <c r="V290" s="9">
        <f ca="1">IFERROR(OFFSET(ITEM_RES!$A$5,MATCH(BUILDING!U290,ITEM_RES!$J$5:$J$229,0)-1,0),0)</f>
        <v>0</v>
      </c>
      <c r="Y290" s="9">
        <f ca="1">IFERROR(OFFSET(ITEM_RES!$A$5,MATCH(BUILDING!X290,ITEM_RES!$J$5:$J$229,0)-1,0),0)</f>
        <v>0</v>
      </c>
      <c r="AA290" s="9" t="s">
        <v>1040</v>
      </c>
      <c r="AB290" s="9">
        <v>6</v>
      </c>
      <c r="AD290" s="11">
        <f ca="1">IFERROR(OFFSET(MANOR_LEVEL!$B$1,MATCH(AE290-1,MANOR_LEVEL!$A:$A,0)-1,0),0)</f>
        <v>1956000</v>
      </c>
      <c r="AE290" s="56">
        <v>11</v>
      </c>
      <c r="AG290" s="56">
        <f t="shared" ca="1" si="84"/>
        <v>94550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94550</v>
      </c>
      <c r="AI290" s="179">
        <f t="shared" ca="1" si="92"/>
        <v>122940</v>
      </c>
      <c r="AK290" s="11">
        <f t="shared" si="88"/>
        <v>1200</v>
      </c>
      <c r="AL290" s="10">
        <v>1200</v>
      </c>
      <c r="AM290" s="11">
        <f t="shared" si="89"/>
        <v>50</v>
      </c>
      <c r="AN290" s="10">
        <v>50</v>
      </c>
      <c r="AO290" s="11">
        <v>4500</v>
      </c>
      <c r="AP290" s="10">
        <v>0</v>
      </c>
      <c r="AQ290" s="56">
        <f t="shared" si="90"/>
        <v>1</v>
      </c>
      <c r="AS290" s="11">
        <f ca="1">IFERROR(OFFSET(ITEM_RES!$A$1,MATCH(AT290,ITEM_RES!$J:$J,0)-1,0),0)</f>
        <v>211020801</v>
      </c>
      <c r="AT290" s="10" t="s">
        <v>387</v>
      </c>
      <c r="AU290" s="11">
        <v>9000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91"/>
        <v>0</v>
      </c>
    </row>
    <row r="291" spans="1:67" x14ac:dyDescent="0.3">
      <c r="A291" s="14">
        <f t="shared" si="85"/>
        <v>113060007</v>
      </c>
      <c r="B291" s="13">
        <v>11</v>
      </c>
      <c r="C291" s="12">
        <f t="shared" si="86"/>
        <v>3</v>
      </c>
      <c r="D291" s="13">
        <v>6</v>
      </c>
      <c r="E291" s="13">
        <v>0</v>
      </c>
      <c r="F291" s="12">
        <f t="shared" si="87"/>
        <v>7</v>
      </c>
      <c r="H291" s="9">
        <v>3</v>
      </c>
      <c r="I291" s="9">
        <v>7</v>
      </c>
      <c r="K291" s="9" t="s">
        <v>1036</v>
      </c>
      <c r="M291" s="9">
        <v>1</v>
      </c>
      <c r="N291" s="9">
        <v>15</v>
      </c>
      <c r="O291" s="141" t="s">
        <v>1042</v>
      </c>
      <c r="S291" s="9" t="s">
        <v>1037</v>
      </c>
      <c r="V291" s="9">
        <f ca="1">IFERROR(OFFSET(ITEM_RES!$A$5,MATCH(BUILDING!U291,ITEM_RES!$J$5:$J$229,0)-1,0),0)</f>
        <v>0</v>
      </c>
      <c r="Y291" s="9">
        <f ca="1">IFERROR(OFFSET(ITEM_RES!$A$5,MATCH(BUILDING!X291,ITEM_RES!$J$5:$J$229,0)-1,0),0)</f>
        <v>0</v>
      </c>
      <c r="AA291" s="9" t="s">
        <v>1040</v>
      </c>
      <c r="AB291" s="9">
        <v>7</v>
      </c>
      <c r="AD291" s="11">
        <f ca="1">IFERROR(OFFSET(MANOR_LEVEL!$B$1,MATCH(AE291-1,MANOR_LEVEL!$A:$A,0)-1,0),0)</f>
        <v>1956000</v>
      </c>
      <c r="AE291" s="56">
        <v>11</v>
      </c>
      <c r="AG291" s="56">
        <f t="shared" ca="1" si="84"/>
        <v>210100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210100</v>
      </c>
      <c r="AI291" s="179">
        <f t="shared" ca="1" si="92"/>
        <v>304650</v>
      </c>
      <c r="AK291" s="11">
        <f t="shared" si="88"/>
        <v>1800</v>
      </c>
      <c r="AL291" s="10">
        <v>1800</v>
      </c>
      <c r="AM291" s="11">
        <f t="shared" si="89"/>
        <v>100</v>
      </c>
      <c r="AN291" s="10">
        <v>100</v>
      </c>
      <c r="AO291" s="11">
        <v>10000</v>
      </c>
      <c r="AP291" s="10">
        <v>0</v>
      </c>
      <c r="AQ291" s="56">
        <f t="shared" si="90"/>
        <v>1</v>
      </c>
      <c r="AS291" s="11">
        <f ca="1">IFERROR(OFFSET(ITEM_RES!$A$1,MATCH(AT291,ITEM_RES!$J:$J,0)-1,0),0)</f>
        <v>211020801</v>
      </c>
      <c r="AT291" s="10" t="s">
        <v>387</v>
      </c>
      <c r="AU291" s="11">
        <v>20000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91"/>
        <v>0</v>
      </c>
    </row>
    <row r="292" spans="1:67" x14ac:dyDescent="0.3">
      <c r="A292" s="14">
        <f t="shared" si="85"/>
        <v>113060008</v>
      </c>
      <c r="B292" s="13">
        <v>11</v>
      </c>
      <c r="C292" s="12">
        <f t="shared" si="86"/>
        <v>3</v>
      </c>
      <c r="D292" s="13">
        <v>6</v>
      </c>
      <c r="E292" s="13">
        <v>0</v>
      </c>
      <c r="F292" s="12">
        <f t="shared" si="87"/>
        <v>8</v>
      </c>
      <c r="H292" s="9">
        <v>3</v>
      </c>
      <c r="I292" s="9">
        <v>8</v>
      </c>
      <c r="K292" s="9" t="s">
        <v>1036</v>
      </c>
      <c r="M292" s="9">
        <v>1</v>
      </c>
      <c r="N292" s="9">
        <v>15</v>
      </c>
      <c r="O292" s="141" t="s">
        <v>1042</v>
      </c>
      <c r="S292" s="9" t="s">
        <v>1037</v>
      </c>
      <c r="V292" s="9">
        <f ca="1">IFERROR(OFFSET(ITEM_RES!$A$5,MATCH(BUILDING!U292,ITEM_RES!$J$5:$J$229,0)-1,0),0)</f>
        <v>0</v>
      </c>
      <c r="Y292" s="9">
        <f ca="1">IFERROR(OFFSET(ITEM_RES!$A$5,MATCH(BUILDING!X292,ITEM_RES!$J$5:$J$229,0)-1,0),0)</f>
        <v>0</v>
      </c>
      <c r="AA292" s="9" t="s">
        <v>1040</v>
      </c>
      <c r="AB292" s="9">
        <v>8</v>
      </c>
      <c r="AD292" s="11">
        <f ca="1">IFERROR(OFFSET(MANOR_LEVEL!$B$1,MATCH(AE292-1,MANOR_LEVEL!$A:$A,0)-1,0),0)</f>
        <v>1956000</v>
      </c>
      <c r="AE292" s="56">
        <v>11</v>
      </c>
      <c r="AG292" s="56">
        <f t="shared" ca="1" si="84"/>
        <v>442100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442100</v>
      </c>
      <c r="AI292" s="179">
        <f t="shared" ca="1" si="92"/>
        <v>652200</v>
      </c>
      <c r="AK292" s="11">
        <f t="shared" si="88"/>
        <v>3600</v>
      </c>
      <c r="AL292" s="10">
        <v>3600</v>
      </c>
      <c r="AM292" s="11">
        <f t="shared" si="89"/>
        <v>100</v>
      </c>
      <c r="AN292" s="10">
        <v>100</v>
      </c>
      <c r="AO292" s="11">
        <v>21000</v>
      </c>
      <c r="AP292" s="10">
        <v>0</v>
      </c>
      <c r="AQ292" s="56">
        <f t="shared" si="90"/>
        <v>2</v>
      </c>
      <c r="AS292" s="11">
        <f ca="1">IFERROR(OFFSET(ITEM_RES!$A$1,MATCH(AT292,ITEM_RES!$J:$J,0)-1,0),0)</f>
        <v>211020801</v>
      </c>
      <c r="AT292" s="10" t="s">
        <v>387</v>
      </c>
      <c r="AU292" s="11">
        <v>42000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449</v>
      </c>
      <c r="BJ292" s="11">
        <v>1</v>
      </c>
      <c r="BM292" s="11">
        <f ca="1">IFERROR(OFFSET(ITEM_RES!$A$1,MATCH(BN292,ITEM_RES!$J:$J,0)-1,0),0)</f>
        <v>0</v>
      </c>
      <c r="BO292" s="11">
        <f t="shared" si="91"/>
        <v>0</v>
      </c>
    </row>
    <row r="293" spans="1:67" x14ac:dyDescent="0.3">
      <c r="A293" s="14">
        <f t="shared" si="85"/>
        <v>113060009</v>
      </c>
      <c r="B293" s="13">
        <v>11</v>
      </c>
      <c r="C293" s="12">
        <f t="shared" si="86"/>
        <v>3</v>
      </c>
      <c r="D293" s="13">
        <v>6</v>
      </c>
      <c r="E293" s="13">
        <v>0</v>
      </c>
      <c r="F293" s="12">
        <f t="shared" si="87"/>
        <v>9</v>
      </c>
      <c r="H293" s="9">
        <v>3</v>
      </c>
      <c r="I293" s="9">
        <v>9</v>
      </c>
      <c r="K293" s="9" t="s">
        <v>1036</v>
      </c>
      <c r="M293" s="9">
        <v>1</v>
      </c>
      <c r="N293" s="9">
        <v>15</v>
      </c>
      <c r="O293" s="141" t="s">
        <v>1042</v>
      </c>
      <c r="S293" s="9" t="s">
        <v>1037</v>
      </c>
      <c r="V293" s="9">
        <f ca="1">IFERROR(OFFSET(ITEM_RES!$A$5,MATCH(BUILDING!U293,ITEM_RES!$J$5:$J$229,0)-1,0),0)</f>
        <v>0</v>
      </c>
      <c r="Y293" s="9">
        <f ca="1">IFERROR(OFFSET(ITEM_RES!$A$5,MATCH(BUILDING!X293,ITEM_RES!$J$5:$J$229,0)-1,0),0)</f>
        <v>0</v>
      </c>
      <c r="AA293" s="9" t="s">
        <v>1040</v>
      </c>
      <c r="AB293" s="9">
        <v>9</v>
      </c>
      <c r="AD293" s="11">
        <f ca="1">IFERROR(OFFSET(MANOR_LEVEL!$B$1,MATCH(AE293-1,MANOR_LEVEL!$A:$A,0)-1,0),0)</f>
        <v>1956000</v>
      </c>
      <c r="AE293" s="56">
        <v>11</v>
      </c>
      <c r="AG293" s="56">
        <f t="shared" ca="1" si="84"/>
        <v>819150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819150</v>
      </c>
      <c r="AI293" s="179">
        <f t="shared" ca="1" si="92"/>
        <v>1261250</v>
      </c>
      <c r="AK293" s="11">
        <f t="shared" si="88"/>
        <v>5400</v>
      </c>
      <c r="AL293" s="10">
        <v>5400</v>
      </c>
      <c r="AM293" s="11">
        <f t="shared" si="89"/>
        <v>150</v>
      </c>
      <c r="AN293" s="10">
        <v>150</v>
      </c>
      <c r="AO293" s="11">
        <v>39000</v>
      </c>
      <c r="AP293" s="10">
        <v>0</v>
      </c>
      <c r="AQ293" s="56">
        <f t="shared" si="90"/>
        <v>1</v>
      </c>
      <c r="AS293" s="11">
        <f ca="1">IFERROR(OFFSET(ITEM_RES!$A$1,MATCH(AT293,ITEM_RES!$J:$J,0)-1,0),0)</f>
        <v>211020801</v>
      </c>
      <c r="AT293" s="10" t="s">
        <v>387</v>
      </c>
      <c r="AU293" s="11">
        <v>78000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91"/>
        <v>0</v>
      </c>
    </row>
    <row r="294" spans="1:67" x14ac:dyDescent="0.3">
      <c r="A294" s="14">
        <f t="shared" si="85"/>
        <v>113060010</v>
      </c>
      <c r="B294" s="13">
        <v>11</v>
      </c>
      <c r="C294" s="12">
        <f t="shared" si="86"/>
        <v>3</v>
      </c>
      <c r="D294" s="13">
        <v>6</v>
      </c>
      <c r="E294" s="13">
        <v>0</v>
      </c>
      <c r="F294" s="12">
        <f t="shared" si="87"/>
        <v>10</v>
      </c>
      <c r="H294" s="9">
        <v>3</v>
      </c>
      <c r="I294" s="9">
        <v>10</v>
      </c>
      <c r="K294" s="9" t="s">
        <v>1036</v>
      </c>
      <c r="M294" s="9">
        <v>1</v>
      </c>
      <c r="N294" s="9">
        <v>15</v>
      </c>
      <c r="O294" s="141" t="s">
        <v>1042</v>
      </c>
      <c r="S294" s="9" t="s">
        <v>1037</v>
      </c>
      <c r="V294" s="9">
        <f ca="1">IFERROR(OFFSET(ITEM_RES!$A$5,MATCH(BUILDING!U294,ITEM_RES!$J$5:$J$229,0)-1,0),0)</f>
        <v>0</v>
      </c>
      <c r="Y294" s="9">
        <f ca="1">IFERROR(OFFSET(ITEM_RES!$A$5,MATCH(BUILDING!X294,ITEM_RES!$J$5:$J$229,0)-1,0),0)</f>
        <v>0</v>
      </c>
      <c r="AA294" s="9" t="s">
        <v>1040</v>
      </c>
      <c r="AB294" s="9">
        <v>10</v>
      </c>
      <c r="AD294" s="11">
        <f ca="1">IFERROR(OFFSET(MANOR_LEVEL!$B$1,MATCH(AE294-1,MANOR_LEVEL!$A:$A,0)-1,0),0)</f>
        <v>1956000</v>
      </c>
      <c r="AE294" s="56">
        <v>11</v>
      </c>
      <c r="AG294" s="56">
        <f t="shared" ca="1" si="84"/>
        <v>1365200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1365200</v>
      </c>
      <c r="AI294" s="179">
        <f t="shared" ca="1" si="92"/>
        <v>2184350</v>
      </c>
      <c r="AK294" s="11">
        <f t="shared" si="88"/>
        <v>7200</v>
      </c>
      <c r="AL294" s="10">
        <v>7200</v>
      </c>
      <c r="AM294" s="11">
        <f t="shared" si="89"/>
        <v>200</v>
      </c>
      <c r="AN294" s="10">
        <v>200</v>
      </c>
      <c r="AO294" s="11">
        <v>65000</v>
      </c>
      <c r="AP294" s="10">
        <v>0</v>
      </c>
      <c r="AQ294" s="56">
        <f t="shared" si="90"/>
        <v>1</v>
      </c>
      <c r="AS294" s="11">
        <f ca="1">IFERROR(OFFSET(ITEM_RES!$A$1,MATCH(AT294,ITEM_RES!$J:$J,0)-1,0),0)</f>
        <v>211020801</v>
      </c>
      <c r="AT294" s="10" t="s">
        <v>387</v>
      </c>
      <c r="AU294" s="11">
        <v>130000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91"/>
        <v>0</v>
      </c>
    </row>
    <row r="295" spans="1:67" x14ac:dyDescent="0.3">
      <c r="A295" s="14">
        <f t="shared" si="85"/>
        <v>113060011</v>
      </c>
      <c r="B295" s="13">
        <v>11</v>
      </c>
      <c r="C295" s="12">
        <f t="shared" si="86"/>
        <v>3</v>
      </c>
      <c r="D295" s="13">
        <v>6</v>
      </c>
      <c r="E295" s="13">
        <v>0</v>
      </c>
      <c r="F295" s="12">
        <f t="shared" si="87"/>
        <v>11</v>
      </c>
      <c r="H295" s="9">
        <v>3</v>
      </c>
      <c r="I295" s="9">
        <v>11</v>
      </c>
      <c r="K295" s="9" t="s">
        <v>1036</v>
      </c>
      <c r="M295" s="9">
        <v>1</v>
      </c>
      <c r="N295" s="9">
        <v>15</v>
      </c>
      <c r="O295" s="141" t="s">
        <v>1042</v>
      </c>
      <c r="S295" s="9" t="s">
        <v>1037</v>
      </c>
      <c r="V295" s="9">
        <f ca="1">IFERROR(OFFSET(ITEM_RES!$A$5,MATCH(BUILDING!U295,ITEM_RES!$J$5:$J$229,0)-1,0),0)</f>
        <v>0</v>
      </c>
      <c r="Y295" s="9">
        <f ca="1">IFERROR(OFFSET(ITEM_RES!$A$5,MATCH(BUILDING!X295,ITEM_RES!$J$5:$J$229,0)-1,0),0)</f>
        <v>0</v>
      </c>
      <c r="AA295" s="9" t="s">
        <v>1040</v>
      </c>
      <c r="AB295" s="9">
        <v>11</v>
      </c>
      <c r="AD295" s="11">
        <f ca="1">IFERROR(OFFSET(MANOR_LEVEL!$B$1,MATCH(AE295-1,MANOR_LEVEL!$A:$A,0)-1,0),0)</f>
        <v>1956000</v>
      </c>
      <c r="AE295" s="56">
        <v>11</v>
      </c>
      <c r="AG295" s="56">
        <f t="shared" ca="1" si="84"/>
        <v>2310250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2310250</v>
      </c>
      <c r="AI295" s="179">
        <f t="shared" ca="1" si="92"/>
        <v>3675450</v>
      </c>
      <c r="AK295" s="11">
        <f t="shared" si="88"/>
        <v>9000</v>
      </c>
      <c r="AL295" s="10">
        <v>9000</v>
      </c>
      <c r="AM295" s="11">
        <f t="shared" si="89"/>
        <v>250</v>
      </c>
      <c r="AN295" s="10">
        <v>250</v>
      </c>
      <c r="AO295" s="11">
        <v>110000</v>
      </c>
      <c r="AP295" s="10">
        <v>0</v>
      </c>
      <c r="AQ295" s="56">
        <f t="shared" si="90"/>
        <v>1</v>
      </c>
      <c r="AS295" s="11">
        <f ca="1">IFERROR(OFFSET(ITEM_RES!$A$1,MATCH(AT295,ITEM_RES!$J:$J,0)-1,0),0)</f>
        <v>211020801</v>
      </c>
      <c r="AT295" s="10" t="s">
        <v>387</v>
      </c>
      <c r="AU295" s="11">
        <v>220000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91"/>
        <v>0</v>
      </c>
    </row>
    <row r="296" spans="1:67" x14ac:dyDescent="0.3">
      <c r="A296" s="14">
        <f t="shared" si="85"/>
        <v>113060012</v>
      </c>
      <c r="B296" s="13">
        <v>11</v>
      </c>
      <c r="C296" s="12">
        <f t="shared" si="86"/>
        <v>3</v>
      </c>
      <c r="D296" s="13">
        <v>6</v>
      </c>
      <c r="E296" s="13">
        <v>0</v>
      </c>
      <c r="F296" s="12">
        <f t="shared" si="87"/>
        <v>12</v>
      </c>
      <c r="H296" s="9">
        <v>3</v>
      </c>
      <c r="I296" s="9">
        <v>12</v>
      </c>
      <c r="K296" s="9" t="s">
        <v>1036</v>
      </c>
      <c r="M296" s="9">
        <v>1</v>
      </c>
      <c r="N296" s="9">
        <v>15</v>
      </c>
      <c r="O296" s="141" t="s">
        <v>1042</v>
      </c>
      <c r="S296" s="9" t="s">
        <v>1037</v>
      </c>
      <c r="V296" s="9">
        <f ca="1">IFERROR(OFFSET(ITEM_RES!$A$5,MATCH(BUILDING!U296,ITEM_RES!$J$5:$J$229,0)-1,0),0)</f>
        <v>0</v>
      </c>
      <c r="Y296" s="9">
        <f ca="1">IFERROR(OFFSET(ITEM_RES!$A$5,MATCH(BUILDING!X296,ITEM_RES!$J$5:$J$229,0)-1,0),0)</f>
        <v>0</v>
      </c>
      <c r="AA296" s="9" t="s">
        <v>1040</v>
      </c>
      <c r="AB296" s="9">
        <v>12</v>
      </c>
      <c r="AD296" s="11">
        <f ca="1">IFERROR(OFFSET(MANOR_LEVEL!$B$1,MATCH(AE296-1,MANOR_LEVEL!$A:$A,0)-1,0),0)</f>
        <v>1956000</v>
      </c>
      <c r="AE296" s="56">
        <v>11</v>
      </c>
      <c r="AG296" s="56">
        <f t="shared" ca="1" si="84"/>
        <v>3885300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3885300</v>
      </c>
      <c r="AI296" s="179">
        <f t="shared" ca="1" si="92"/>
        <v>6195550</v>
      </c>
      <c r="AK296" s="11">
        <f t="shared" si="88"/>
        <v>10800</v>
      </c>
      <c r="AL296" s="10">
        <v>10800</v>
      </c>
      <c r="AM296" s="11">
        <f t="shared" si="89"/>
        <v>300</v>
      </c>
      <c r="AN296" s="10">
        <v>300</v>
      </c>
      <c r="AO296" s="11">
        <v>185000</v>
      </c>
      <c r="AP296" s="10">
        <v>0</v>
      </c>
      <c r="AQ296" s="56">
        <f t="shared" si="90"/>
        <v>1</v>
      </c>
      <c r="AS296" s="11">
        <f ca="1">IFERROR(OFFSET(ITEM_RES!$A$1,MATCH(AT296,ITEM_RES!$J:$J,0)-1,0),0)</f>
        <v>211020801</v>
      </c>
      <c r="AT296" s="10" t="s">
        <v>387</v>
      </c>
      <c r="AU296" s="11">
        <v>370000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91"/>
        <v>0</v>
      </c>
    </row>
    <row r="297" spans="1:67" x14ac:dyDescent="0.3">
      <c r="A297" s="14">
        <f t="shared" si="85"/>
        <v>113060013</v>
      </c>
      <c r="B297" s="13">
        <v>11</v>
      </c>
      <c r="C297" s="12">
        <f t="shared" si="86"/>
        <v>3</v>
      </c>
      <c r="D297" s="13">
        <v>6</v>
      </c>
      <c r="E297" s="13">
        <v>0</v>
      </c>
      <c r="F297" s="12">
        <f t="shared" si="87"/>
        <v>13</v>
      </c>
      <c r="H297" s="9">
        <v>3</v>
      </c>
      <c r="I297" s="9">
        <v>13</v>
      </c>
      <c r="K297" s="9" t="s">
        <v>1036</v>
      </c>
      <c r="M297" s="9">
        <v>1</v>
      </c>
      <c r="N297" s="9">
        <v>15</v>
      </c>
      <c r="O297" s="141" t="s">
        <v>1042</v>
      </c>
      <c r="S297" s="9" t="s">
        <v>1037</v>
      </c>
      <c r="V297" s="9">
        <f ca="1">IFERROR(OFFSET(ITEM_RES!$A$5,MATCH(BUILDING!U297,ITEM_RES!$J$5:$J$229,0)-1,0),0)</f>
        <v>0</v>
      </c>
      <c r="Y297" s="9">
        <f ca="1">IFERROR(OFFSET(ITEM_RES!$A$5,MATCH(BUILDING!X297,ITEM_RES!$J$5:$J$229,0)-1,0),0)</f>
        <v>0</v>
      </c>
      <c r="AA297" s="9" t="s">
        <v>1040</v>
      </c>
      <c r="AB297" s="9">
        <v>13</v>
      </c>
      <c r="AD297" s="11">
        <f ca="1">IFERROR(OFFSET(MANOR_LEVEL!$B$1,MATCH(AE297-1,MANOR_LEVEL!$A:$A,0)-1,0),0)</f>
        <v>1956000</v>
      </c>
      <c r="AE297" s="56">
        <v>11</v>
      </c>
      <c r="AG297" s="56">
        <f t="shared" ca="1" si="84"/>
        <v>6510350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6510350</v>
      </c>
      <c r="AI297" s="179">
        <f t="shared" ca="1" si="92"/>
        <v>10395650</v>
      </c>
      <c r="AK297" s="11">
        <f t="shared" si="88"/>
        <v>12600</v>
      </c>
      <c r="AL297" s="10">
        <v>12600</v>
      </c>
      <c r="AM297" s="11">
        <f t="shared" si="89"/>
        <v>350</v>
      </c>
      <c r="AN297" s="10">
        <v>350</v>
      </c>
      <c r="AO297" s="11">
        <v>310000</v>
      </c>
      <c r="AP297" s="10">
        <v>0</v>
      </c>
      <c r="AQ297" s="56">
        <f t="shared" si="90"/>
        <v>1</v>
      </c>
      <c r="AS297" s="11">
        <f ca="1">IFERROR(OFFSET(ITEM_RES!$A$1,MATCH(AT297,ITEM_RES!$J:$J,0)-1,0),0)</f>
        <v>211020801</v>
      </c>
      <c r="AT297" s="10" t="s">
        <v>387</v>
      </c>
      <c r="AU297" s="11">
        <v>620000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91"/>
        <v>0</v>
      </c>
    </row>
    <row r="298" spans="1:67" x14ac:dyDescent="0.3">
      <c r="A298" s="14">
        <f t="shared" si="85"/>
        <v>113060014</v>
      </c>
      <c r="B298" s="13">
        <v>11</v>
      </c>
      <c r="C298" s="12">
        <f t="shared" si="86"/>
        <v>3</v>
      </c>
      <c r="D298" s="13">
        <v>6</v>
      </c>
      <c r="E298" s="13">
        <v>0</v>
      </c>
      <c r="F298" s="12">
        <f t="shared" si="87"/>
        <v>14</v>
      </c>
      <c r="H298" s="9">
        <v>3</v>
      </c>
      <c r="I298" s="9">
        <v>14</v>
      </c>
      <c r="K298" s="9" t="s">
        <v>1036</v>
      </c>
      <c r="M298" s="9">
        <v>1</v>
      </c>
      <c r="N298" s="9">
        <v>15</v>
      </c>
      <c r="O298" s="141" t="s">
        <v>1042</v>
      </c>
      <c r="S298" s="9" t="s">
        <v>1037</v>
      </c>
      <c r="V298" s="9">
        <f ca="1">IFERROR(OFFSET(ITEM_RES!$A$5,MATCH(BUILDING!U298,ITEM_RES!$J$5:$J$229,0)-1,0),0)</f>
        <v>0</v>
      </c>
      <c r="Y298" s="9">
        <f ca="1">IFERROR(OFFSET(ITEM_RES!$A$5,MATCH(BUILDING!X298,ITEM_RES!$J$5:$J$229,0)-1,0),0)</f>
        <v>0</v>
      </c>
      <c r="AA298" s="9" t="s">
        <v>1040</v>
      </c>
      <c r="AB298" s="9">
        <v>14</v>
      </c>
      <c r="AD298" s="11">
        <f ca="1">IFERROR(OFFSET(MANOR_LEVEL!$B$1,MATCH(AE298-1,MANOR_LEVEL!$A:$A,0)-1,0),0)</f>
        <v>1956000</v>
      </c>
      <c r="AE298" s="56">
        <v>11</v>
      </c>
      <c r="AG298" s="56">
        <f t="shared" ca="1" si="84"/>
        <v>10185450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10185450</v>
      </c>
      <c r="AI298" s="179">
        <f t="shared" ca="1" si="92"/>
        <v>16695800</v>
      </c>
      <c r="AK298" s="11">
        <f t="shared" si="88"/>
        <v>14400</v>
      </c>
      <c r="AL298" s="10">
        <v>14400</v>
      </c>
      <c r="AM298" s="11">
        <f t="shared" si="89"/>
        <v>450</v>
      </c>
      <c r="AN298" s="10">
        <v>450</v>
      </c>
      <c r="AO298" s="11">
        <v>485000</v>
      </c>
      <c r="AP298" s="10">
        <v>0</v>
      </c>
      <c r="AQ298" s="56">
        <f t="shared" si="90"/>
        <v>1</v>
      </c>
      <c r="AS298" s="11">
        <f ca="1">IFERROR(OFFSET(ITEM_RES!$A$1,MATCH(AT298,ITEM_RES!$J:$J,0)-1,0),0)</f>
        <v>211020801</v>
      </c>
      <c r="AT298" s="10" t="s">
        <v>387</v>
      </c>
      <c r="AU298" s="11">
        <v>970000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91"/>
        <v>0</v>
      </c>
    </row>
    <row r="299" spans="1:67" x14ac:dyDescent="0.3">
      <c r="A299" s="14">
        <f t="shared" si="85"/>
        <v>113060015</v>
      </c>
      <c r="B299" s="13">
        <v>11</v>
      </c>
      <c r="C299" s="12">
        <f t="shared" si="86"/>
        <v>3</v>
      </c>
      <c r="D299" s="13">
        <v>6</v>
      </c>
      <c r="E299" s="13">
        <v>0</v>
      </c>
      <c r="F299" s="12">
        <f t="shared" si="87"/>
        <v>15</v>
      </c>
      <c r="H299" s="9">
        <v>3</v>
      </c>
      <c r="I299" s="9">
        <v>15</v>
      </c>
      <c r="K299" s="9" t="s">
        <v>1036</v>
      </c>
      <c r="M299" s="9">
        <v>1</v>
      </c>
      <c r="N299" s="9">
        <v>15</v>
      </c>
      <c r="O299" s="141" t="s">
        <v>1042</v>
      </c>
      <c r="S299" s="9" t="s">
        <v>1037</v>
      </c>
      <c r="V299" s="9">
        <f ca="1">IFERROR(OFFSET(ITEM_RES!$A$5,MATCH(BUILDING!U299,ITEM_RES!$J$5:$J$229,0)-1,0),0)</f>
        <v>0</v>
      </c>
      <c r="Y299" s="9">
        <f ca="1">IFERROR(OFFSET(ITEM_RES!$A$5,MATCH(BUILDING!X299,ITEM_RES!$J$5:$J$229,0)-1,0),0)</f>
        <v>0</v>
      </c>
      <c r="AA299" s="9" t="s">
        <v>1040</v>
      </c>
      <c r="AB299" s="9">
        <v>15</v>
      </c>
      <c r="AD299" s="11">
        <f ca="1">IFERROR(OFFSET(MANOR_LEVEL!$B$1,MATCH(AE299-1,MANOR_LEVEL!$A:$A,0)-1,0),0)</f>
        <v>1956000</v>
      </c>
      <c r="AE299" s="56">
        <v>11</v>
      </c>
      <c r="AG299" s="56">
        <f t="shared" ca="1" si="84"/>
        <v>22050550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22050550</v>
      </c>
      <c r="AI299" s="179">
        <f t="shared" ca="1" si="92"/>
        <v>32236000</v>
      </c>
      <c r="AK299" s="11">
        <f t="shared" si="88"/>
        <v>16200</v>
      </c>
      <c r="AL299" s="10">
        <v>16200</v>
      </c>
      <c r="AM299" s="11">
        <f t="shared" si="89"/>
        <v>550</v>
      </c>
      <c r="AN299" s="10">
        <v>550</v>
      </c>
      <c r="AO299" s="11">
        <v>1050000</v>
      </c>
      <c r="AP299" s="10">
        <v>0</v>
      </c>
      <c r="AQ299" s="56">
        <f t="shared" si="90"/>
        <v>1</v>
      </c>
      <c r="AS299" s="11">
        <f ca="1">IFERROR(OFFSET(ITEM_RES!$A$1,MATCH(AT299,ITEM_RES!$J:$J,0)-1,0),0)</f>
        <v>211020801</v>
      </c>
      <c r="AT299" s="10" t="s">
        <v>387</v>
      </c>
      <c r="AU299" s="11">
        <v>2100000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91"/>
        <v>0</v>
      </c>
    </row>
    <row r="300" spans="1:67" x14ac:dyDescent="0.3">
      <c r="A300" s="14">
        <f t="shared" si="85"/>
        <v>113060016</v>
      </c>
      <c r="B300" s="13">
        <v>11</v>
      </c>
      <c r="C300" s="12">
        <f t="shared" si="86"/>
        <v>3</v>
      </c>
      <c r="D300" s="13">
        <v>6</v>
      </c>
      <c r="E300" s="13">
        <v>0</v>
      </c>
      <c r="F300" s="12">
        <f t="shared" si="87"/>
        <v>16</v>
      </c>
      <c r="H300" s="9">
        <v>3</v>
      </c>
      <c r="I300" s="9">
        <v>16</v>
      </c>
      <c r="K300" s="9" t="s">
        <v>1036</v>
      </c>
      <c r="M300" s="9">
        <v>0</v>
      </c>
      <c r="N300" s="9">
        <v>15</v>
      </c>
      <c r="O300" s="141" t="s">
        <v>1042</v>
      </c>
      <c r="S300" s="9" t="s">
        <v>1037</v>
      </c>
      <c r="V300" s="9">
        <f ca="1">IFERROR(OFFSET(ITEM_RES!$A$5,MATCH(BUILDING!U300,ITEM_RES!$J$5:$J$229,0)-1,0),0)</f>
        <v>0</v>
      </c>
      <c r="Y300" s="9">
        <f ca="1">IFERROR(OFFSET(ITEM_RES!$A$5,MATCH(BUILDING!X300,ITEM_RES!$J$5:$J$229,0)-1,0),0)</f>
        <v>0</v>
      </c>
      <c r="AA300" s="9" t="s">
        <v>1040</v>
      </c>
      <c r="AB300" s="9">
        <v>16</v>
      </c>
      <c r="AD300" s="11">
        <f ca="1">IFERROR(OFFSET(MANOR_LEVEL!$B$1,MATCH(AE300-1,MANOR_LEVEL!$A:$A,0)-1,0),0)</f>
        <v>3961500</v>
      </c>
      <c r="AE300" s="56">
        <v>12</v>
      </c>
      <c r="AG300" s="56">
        <f t="shared" ca="1" si="84"/>
        <v>45150700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45150700</v>
      </c>
      <c r="AI300" s="179">
        <f t="shared" ca="1" si="92"/>
        <v>67201250</v>
      </c>
      <c r="AK300" s="11">
        <f t="shared" si="88"/>
        <v>18000</v>
      </c>
      <c r="AL300" s="10">
        <v>18000</v>
      </c>
      <c r="AM300" s="11">
        <f t="shared" si="89"/>
        <v>700</v>
      </c>
      <c r="AN300" s="10">
        <v>700</v>
      </c>
      <c r="AO300" s="11">
        <v>2150000</v>
      </c>
      <c r="AP300" s="10">
        <v>0</v>
      </c>
      <c r="AQ300" s="56">
        <f t="shared" si="90"/>
        <v>1</v>
      </c>
      <c r="AS300" s="11">
        <f ca="1">IFERROR(OFFSET(ITEM_RES!$A$1,MATCH(AT300,ITEM_RES!$J:$J,0)-1,0),0)</f>
        <v>211020801</v>
      </c>
      <c r="AT300" s="10" t="s">
        <v>387</v>
      </c>
      <c r="AU300" s="11">
        <v>4300000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91"/>
        <v>0</v>
      </c>
    </row>
    <row r="301" spans="1:67" x14ac:dyDescent="0.3">
      <c r="A301" s="14">
        <f t="shared" si="85"/>
        <v>113060017</v>
      </c>
      <c r="B301" s="13">
        <v>11</v>
      </c>
      <c r="C301" s="12">
        <f t="shared" si="86"/>
        <v>3</v>
      </c>
      <c r="D301" s="13">
        <v>6</v>
      </c>
      <c r="E301" s="13">
        <v>0</v>
      </c>
      <c r="F301" s="12">
        <f t="shared" si="87"/>
        <v>17</v>
      </c>
      <c r="H301" s="9">
        <v>3</v>
      </c>
      <c r="I301" s="9">
        <v>17</v>
      </c>
      <c r="K301" s="9" t="s">
        <v>1036</v>
      </c>
      <c r="M301" s="9">
        <v>0</v>
      </c>
      <c r="N301" s="9">
        <v>15</v>
      </c>
      <c r="O301" s="141" t="s">
        <v>1042</v>
      </c>
      <c r="S301" s="9" t="s">
        <v>1037</v>
      </c>
      <c r="V301" s="9">
        <f ca="1">IFERROR(OFFSET(ITEM_RES!$A$5,MATCH(BUILDING!U301,ITEM_RES!$J$5:$J$229,0)-1,0),0)</f>
        <v>0</v>
      </c>
      <c r="Y301" s="9">
        <f ca="1">IFERROR(OFFSET(ITEM_RES!$A$5,MATCH(BUILDING!X301,ITEM_RES!$J$5:$J$229,0)-1,0),0)</f>
        <v>0</v>
      </c>
      <c r="AA301" s="9" t="s">
        <v>1040</v>
      </c>
      <c r="AB301" s="9">
        <v>17</v>
      </c>
      <c r="AD301" s="11">
        <f ca="1">IFERROR(OFFSET(MANOR_LEVEL!$B$1,MATCH(AE301-1,MANOR_LEVEL!$A:$A,0)-1,0),0)</f>
        <v>23283600</v>
      </c>
      <c r="AE301" s="56">
        <v>15</v>
      </c>
      <c r="AG301" s="56">
        <f t="shared" ca="1" si="84"/>
        <v>100000850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100000850</v>
      </c>
      <c r="AI301" s="179">
        <f t="shared" ca="1" si="92"/>
        <v>145151550</v>
      </c>
      <c r="AK301" s="11">
        <f t="shared" si="88"/>
        <v>19800</v>
      </c>
      <c r="AL301" s="10">
        <v>19800</v>
      </c>
      <c r="AM301" s="11">
        <f t="shared" si="89"/>
        <v>850</v>
      </c>
      <c r="AN301" s="10">
        <v>850</v>
      </c>
      <c r="AO301" s="11">
        <v>4000000</v>
      </c>
      <c r="AP301" s="10">
        <v>0</v>
      </c>
      <c r="AQ301" s="56">
        <f t="shared" si="90"/>
        <v>1</v>
      </c>
      <c r="AS301" s="11">
        <f ca="1">IFERROR(OFFSET(ITEM_RES!$A$1,MATCH(AT301,ITEM_RES!$J:$J,0)-1,0),0)</f>
        <v>211020901</v>
      </c>
      <c r="AT301" s="10" t="s">
        <v>388</v>
      </c>
      <c r="AU301" s="11">
        <v>8000000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91"/>
        <v>0</v>
      </c>
    </row>
    <row r="302" spans="1:67" x14ac:dyDescent="0.3">
      <c r="A302" s="14">
        <f t="shared" si="85"/>
        <v>113060018</v>
      </c>
      <c r="B302" s="13">
        <v>11</v>
      </c>
      <c r="C302" s="12">
        <f t="shared" si="86"/>
        <v>3</v>
      </c>
      <c r="D302" s="13">
        <v>6</v>
      </c>
      <c r="E302" s="13">
        <v>0</v>
      </c>
      <c r="F302" s="12">
        <f t="shared" si="87"/>
        <v>18</v>
      </c>
      <c r="H302" s="9">
        <v>3</v>
      </c>
      <c r="I302" s="9">
        <v>18</v>
      </c>
      <c r="K302" s="9" t="s">
        <v>1036</v>
      </c>
      <c r="M302" s="9">
        <v>0</v>
      </c>
      <c r="N302" s="9">
        <v>15</v>
      </c>
      <c r="O302" s="141" t="s">
        <v>1042</v>
      </c>
      <c r="S302" s="9" t="s">
        <v>1037</v>
      </c>
      <c r="V302" s="9">
        <f ca="1">IFERROR(OFFSET(ITEM_RES!$A$5,MATCH(BUILDING!U302,ITEM_RES!$J$5:$J$229,0)-1,0),0)</f>
        <v>0</v>
      </c>
      <c r="Y302" s="9">
        <f ca="1">IFERROR(OFFSET(ITEM_RES!$A$5,MATCH(BUILDING!X302,ITEM_RES!$J$5:$J$229,0)-1,0),0)</f>
        <v>0</v>
      </c>
      <c r="AA302" s="9" t="s">
        <v>1040</v>
      </c>
      <c r="AB302" s="9">
        <v>18</v>
      </c>
      <c r="AD302" s="11">
        <f ca="1">IFERROR(OFFSET(MANOR_LEVEL!$B$1,MATCH(AE302-1,MANOR_LEVEL!$A:$A,0)-1,0),0)</f>
        <v>119976300</v>
      </c>
      <c r="AE302" s="56">
        <v>17</v>
      </c>
      <c r="AG302" s="56">
        <f t="shared" ref="AG302:AG304" ca="1" si="93">ROUND(AH302,0)</f>
        <v>162501050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162501050</v>
      </c>
      <c r="AI302" s="179">
        <f t="shared" ca="1" si="92"/>
        <v>262501900</v>
      </c>
      <c r="AK302" s="11">
        <f t="shared" si="88"/>
        <v>21600</v>
      </c>
      <c r="AL302" s="10">
        <v>21600</v>
      </c>
      <c r="AM302" s="11">
        <f t="shared" si="89"/>
        <v>1050</v>
      </c>
      <c r="AN302" s="10">
        <v>1050</v>
      </c>
      <c r="AO302" s="11">
        <v>6500000</v>
      </c>
      <c r="AP302" s="10">
        <v>0</v>
      </c>
      <c r="AQ302" s="56">
        <f t="shared" si="90"/>
        <v>1</v>
      </c>
      <c r="AS302" s="11">
        <f ca="1">IFERROR(OFFSET(ITEM_RES!$A$1,MATCH(AT302,ITEM_RES!$J:$J,0)-1,0),0)</f>
        <v>211020901</v>
      </c>
      <c r="AT302" s="10" t="s">
        <v>388</v>
      </c>
      <c r="AU302" s="11">
        <v>13000000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91"/>
        <v>0</v>
      </c>
    </row>
    <row r="303" spans="1:67" x14ac:dyDescent="0.3">
      <c r="A303" s="14">
        <f t="shared" si="85"/>
        <v>113060019</v>
      </c>
      <c r="B303" s="13">
        <v>11</v>
      </c>
      <c r="C303" s="12">
        <f t="shared" si="86"/>
        <v>3</v>
      </c>
      <c r="D303" s="13">
        <v>6</v>
      </c>
      <c r="E303" s="13">
        <v>0</v>
      </c>
      <c r="F303" s="12">
        <f t="shared" si="87"/>
        <v>19</v>
      </c>
      <c r="H303" s="9">
        <v>3</v>
      </c>
      <c r="I303" s="9">
        <v>19</v>
      </c>
      <c r="K303" s="9" t="s">
        <v>1036</v>
      </c>
      <c r="M303" s="9">
        <v>0</v>
      </c>
      <c r="N303" s="9">
        <v>15</v>
      </c>
      <c r="O303" s="141" t="s">
        <v>1042</v>
      </c>
      <c r="S303" s="9" t="s">
        <v>1037</v>
      </c>
      <c r="V303" s="9">
        <f ca="1">IFERROR(OFFSET(ITEM_RES!$A$5,MATCH(BUILDING!U303,ITEM_RES!$J$5:$J$229,0)-1,0),0)</f>
        <v>0</v>
      </c>
      <c r="Y303" s="9">
        <f ca="1">IFERROR(OFFSET(ITEM_RES!$A$5,MATCH(BUILDING!X303,ITEM_RES!$J$5:$J$229,0)-1,0),0)</f>
        <v>0</v>
      </c>
      <c r="AA303" s="9" t="s">
        <v>1040</v>
      </c>
      <c r="AB303" s="9">
        <v>19</v>
      </c>
      <c r="AD303" s="11">
        <f ca="1">IFERROR(OFFSET(MANOR_LEVEL!$B$1,MATCH(AE303-1,MANOR_LEVEL!$A:$A,0)-1,0),0)</f>
        <v>223207650</v>
      </c>
      <c r="AE303" s="56">
        <v>18</v>
      </c>
      <c r="AG303" s="56">
        <f t="shared" ca="1" si="93"/>
        <v>250001250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250001250</v>
      </c>
      <c r="AI303" s="179">
        <f t="shared" ca="1" si="92"/>
        <v>412502300</v>
      </c>
      <c r="AK303" s="11">
        <f t="shared" si="88"/>
        <v>23400</v>
      </c>
      <c r="AL303" s="10">
        <v>23400</v>
      </c>
      <c r="AM303" s="11">
        <f t="shared" si="89"/>
        <v>1250</v>
      </c>
      <c r="AN303" s="10">
        <v>1250</v>
      </c>
      <c r="AO303" s="11">
        <v>10000000</v>
      </c>
      <c r="AP303" s="10">
        <v>0</v>
      </c>
      <c r="AQ303" s="56">
        <f t="shared" si="90"/>
        <v>1</v>
      </c>
      <c r="AS303" s="11">
        <f ca="1">IFERROR(OFFSET(ITEM_RES!$A$1,MATCH(AT303,ITEM_RES!$J:$J,0)-1,0),0)</f>
        <v>211020901</v>
      </c>
      <c r="AT303" s="10" t="s">
        <v>388</v>
      </c>
      <c r="AU303" s="11">
        <v>20000000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91"/>
        <v>0</v>
      </c>
    </row>
    <row r="304" spans="1:67" ht="17.25" thickBot="1" x14ac:dyDescent="0.35">
      <c r="A304" s="14">
        <f t="shared" si="85"/>
        <v>113060020</v>
      </c>
      <c r="B304" s="13">
        <v>11</v>
      </c>
      <c r="C304" s="12">
        <f t="shared" si="86"/>
        <v>3</v>
      </c>
      <c r="D304" s="13">
        <v>6</v>
      </c>
      <c r="E304" s="13">
        <v>0</v>
      </c>
      <c r="F304" s="12">
        <f t="shared" si="87"/>
        <v>20</v>
      </c>
      <c r="H304" s="9">
        <v>3</v>
      </c>
      <c r="I304" s="9">
        <v>20</v>
      </c>
      <c r="K304" s="9" t="s">
        <v>1036</v>
      </c>
      <c r="M304" s="9">
        <v>0</v>
      </c>
      <c r="N304" s="9">
        <v>15</v>
      </c>
      <c r="O304" s="141" t="s">
        <v>1042</v>
      </c>
      <c r="S304" s="9" t="s">
        <v>1037</v>
      </c>
      <c r="V304" s="9">
        <f ca="1">IFERROR(OFFSET(ITEM_RES!$A$5,MATCH(BUILDING!U304,ITEM_RES!$J$5:$J$229,0)-1,0),0)</f>
        <v>0</v>
      </c>
      <c r="Y304" s="9">
        <f ca="1">IFERROR(OFFSET(ITEM_RES!$A$5,MATCH(BUILDING!X304,ITEM_RES!$J$5:$J$229,0)-1,0),0)</f>
        <v>0</v>
      </c>
      <c r="AA304" s="9" t="s">
        <v>1040</v>
      </c>
      <c r="AB304" s="9">
        <v>20</v>
      </c>
      <c r="AD304" s="11">
        <f ca="1">IFERROR(OFFSET(MANOR_LEVEL!$B$1,MATCH(AE304-1,MANOR_LEVEL!$A:$A,0)-1,0),0)</f>
        <v>682013750</v>
      </c>
      <c r="AE304" s="56">
        <v>20</v>
      </c>
      <c r="AG304" s="56">
        <f t="shared" ca="1" si="93"/>
        <v>400001500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400001500</v>
      </c>
      <c r="AI304" s="179">
        <f t="shared" ca="1" si="92"/>
        <v>650002750</v>
      </c>
      <c r="AK304" s="11">
        <f t="shared" si="88"/>
        <v>25200</v>
      </c>
      <c r="AL304" s="10">
        <v>25200</v>
      </c>
      <c r="AM304" s="11">
        <f t="shared" si="89"/>
        <v>1500</v>
      </c>
      <c r="AN304" s="10">
        <v>1500</v>
      </c>
      <c r="AO304" s="11">
        <v>16000000</v>
      </c>
      <c r="AP304" s="10">
        <v>0</v>
      </c>
      <c r="AQ304" s="56">
        <f t="shared" si="90"/>
        <v>1</v>
      </c>
      <c r="AS304" s="11">
        <f ca="1">IFERROR(OFFSET(ITEM_RES!$A$1,MATCH(AT304,ITEM_RES!$J:$J,0)-1,0),0)</f>
        <v>211020901</v>
      </c>
      <c r="AT304" s="10" t="s">
        <v>388</v>
      </c>
      <c r="AU304" s="11">
        <v>32000000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91"/>
        <v>0</v>
      </c>
    </row>
    <row r="305" spans="1:68" s="15" customFormat="1" x14ac:dyDescent="0.3">
      <c r="A305" s="21">
        <f t="shared" si="78"/>
        <v>111070001</v>
      </c>
      <c r="B305" s="20">
        <v>11</v>
      </c>
      <c r="C305" s="19">
        <f t="shared" si="79"/>
        <v>1</v>
      </c>
      <c r="D305" s="20">
        <v>7</v>
      </c>
      <c r="E305" s="20">
        <v>0</v>
      </c>
      <c r="F305" s="19">
        <f t="shared" si="80"/>
        <v>1</v>
      </c>
      <c r="G305" s="78"/>
      <c r="H305" s="16">
        <v>1</v>
      </c>
      <c r="I305" s="16">
        <v>1</v>
      </c>
      <c r="J305" s="78"/>
      <c r="K305" s="16" t="s">
        <v>689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688</v>
      </c>
      <c r="T305" s="78"/>
      <c r="U305" s="86"/>
      <c r="V305" s="16">
        <f ca="1">IFERROR(OFFSET(ITEM_RES!$A$5,MATCH(BUILDING!U305,ITEM_RES!$J$5:$J$229,0)-1,0),0)</f>
        <v>0</v>
      </c>
      <c r="W305" s="18"/>
      <c r="X305" s="86"/>
      <c r="Y305" s="16">
        <f ca="1">IFERROR(OFFSET(ITEM_RES!$A$5,MATCH(BUILDING!X305,ITEM_RES!$J$5:$J$229,0)-1,0),0)</f>
        <v>0</v>
      </c>
      <c r="Z305" s="78"/>
      <c r="AA305" s="16" t="s">
        <v>512</v>
      </c>
      <c r="AB305" s="16">
        <v>1</v>
      </c>
      <c r="AC305" s="78"/>
      <c r="AD305" s="18">
        <f ca="1">IFERROR(OFFSET(MANOR_LEVEL!$B$1,MATCH(AE305-1,MANOR_LEVEL!$A:$A,0)-1,0),0)</f>
        <v>7772100</v>
      </c>
      <c r="AE305" s="57">
        <v>13</v>
      </c>
      <c r="AF305" s="78"/>
      <c r="AG305" s="57">
        <f t="shared" ca="1" si="84"/>
        <v>1505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1505</v>
      </c>
      <c r="AI305" s="181">
        <f ca="1">AG305</f>
        <v>1505</v>
      </c>
      <c r="AJ305" s="78"/>
      <c r="AK305" s="18">
        <f t="shared" si="75"/>
        <v>5</v>
      </c>
      <c r="AL305" s="17">
        <v>5</v>
      </c>
      <c r="AM305" s="18">
        <f t="shared" si="82"/>
        <v>5</v>
      </c>
      <c r="AN305" s="17">
        <v>5</v>
      </c>
      <c r="AO305" s="18">
        <f t="shared" si="82"/>
        <v>0</v>
      </c>
      <c r="AP305" s="17">
        <v>0</v>
      </c>
      <c r="AQ305" s="57">
        <f t="shared" si="76"/>
        <v>2</v>
      </c>
      <c r="AR305" s="18"/>
      <c r="AS305" s="18">
        <f ca="1">IFERROR(OFFSET(ITEM_RES!$A$1,MATCH(AT305,ITEM_RES!$J:$J,0)-1,0),0)</f>
        <v>211020801</v>
      </c>
      <c r="AT305" s="17" t="s">
        <v>429</v>
      </c>
      <c r="AU305" s="18">
        <v>50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445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78"/>
        <v>111070002</v>
      </c>
      <c r="B306" s="13">
        <v>11</v>
      </c>
      <c r="C306" s="12">
        <f t="shared" si="79"/>
        <v>1</v>
      </c>
      <c r="D306" s="13">
        <v>7</v>
      </c>
      <c r="E306" s="13">
        <v>0</v>
      </c>
      <c r="F306" s="12">
        <f t="shared" si="80"/>
        <v>2</v>
      </c>
      <c r="H306" s="9">
        <v>1</v>
      </c>
      <c r="I306" s="9">
        <v>2</v>
      </c>
      <c r="K306" s="9" t="s">
        <v>689</v>
      </c>
      <c r="M306" s="9">
        <v>1</v>
      </c>
      <c r="N306" s="9">
        <v>15</v>
      </c>
      <c r="O306" s="141"/>
      <c r="S306" s="9" t="s">
        <v>688</v>
      </c>
      <c r="V306" s="9">
        <f ca="1">IFERROR(OFFSET(ITEM_RES!$A$5,MATCH(BUILDING!U306,ITEM_RES!$J$5:$J$229,0)-1,0),0)</f>
        <v>0</v>
      </c>
      <c r="Y306" s="9">
        <f ca="1">IFERROR(OFFSET(ITEM_RES!$A$5,MATCH(BUILDING!X306,ITEM_RES!$J$5:$J$229,0)-1,0),0)</f>
        <v>0</v>
      </c>
      <c r="AA306" s="9" t="s">
        <v>512</v>
      </c>
      <c r="AB306" s="9">
        <v>2</v>
      </c>
      <c r="AD306" s="11">
        <f ca="1">IFERROR(OFFSET(MANOR_LEVEL!$B$1,MATCH(AE306-1,MANOR_LEVEL!$A:$A,0)-1,0),0)</f>
        <v>23283600</v>
      </c>
      <c r="AE306" s="56">
        <v>15</v>
      </c>
      <c r="AG306" s="56">
        <f t="shared" ca="1" si="84"/>
        <v>1010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1010</v>
      </c>
      <c r="AI306" s="179">
        <f ca="1">AG305+AG306</f>
        <v>2515</v>
      </c>
      <c r="AK306" s="11">
        <f t="shared" si="75"/>
        <v>10</v>
      </c>
      <c r="AL306" s="10">
        <v>10</v>
      </c>
      <c r="AM306" s="11">
        <f t="shared" si="82"/>
        <v>10</v>
      </c>
      <c r="AN306" s="10">
        <v>10</v>
      </c>
      <c r="AO306" s="11">
        <f t="shared" si="82"/>
        <v>0</v>
      </c>
      <c r="AP306" s="10">
        <v>0</v>
      </c>
      <c r="AQ306" s="56">
        <f t="shared" si="76"/>
        <v>1</v>
      </c>
      <c r="AS306" s="11">
        <f ca="1">IFERROR(OFFSET(ITEM_RES!$A$1,MATCH(AT306,ITEM_RES!$J:$J,0)-1,0),0)</f>
        <v>211020801</v>
      </c>
      <c r="AT306" s="10" t="s">
        <v>429</v>
      </c>
      <c r="AU306" s="11">
        <v>100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78"/>
        <v>111070003</v>
      </c>
      <c r="B307" s="13">
        <v>11</v>
      </c>
      <c r="C307" s="12">
        <f t="shared" si="79"/>
        <v>1</v>
      </c>
      <c r="D307" s="13">
        <v>7</v>
      </c>
      <c r="E307" s="13">
        <v>0</v>
      </c>
      <c r="F307" s="12">
        <f t="shared" si="80"/>
        <v>3</v>
      </c>
      <c r="H307" s="9">
        <v>1</v>
      </c>
      <c r="I307" s="9">
        <v>3</v>
      </c>
      <c r="K307" s="9" t="s">
        <v>689</v>
      </c>
      <c r="M307" s="9">
        <v>1</v>
      </c>
      <c r="N307" s="9">
        <v>15</v>
      </c>
      <c r="O307" s="141"/>
      <c r="S307" s="9" t="s">
        <v>688</v>
      </c>
      <c r="V307" s="9">
        <f ca="1">IFERROR(OFFSET(ITEM_RES!$A$5,MATCH(BUILDING!U307,ITEM_RES!$J$5:$J$229,0)-1,0),0)</f>
        <v>0</v>
      </c>
      <c r="Y307" s="9">
        <f ca="1">IFERROR(OFFSET(ITEM_RES!$A$5,MATCH(BUILDING!X307,ITEM_RES!$J$5:$J$229,0)-1,0),0)</f>
        <v>0</v>
      </c>
      <c r="AA307" s="9" t="s">
        <v>512</v>
      </c>
      <c r="AB307" s="9">
        <v>3</v>
      </c>
      <c r="AD307" s="11">
        <f ca="1">IFERROR(OFFSET(MANOR_LEVEL!$B$1,MATCH(AE307-1,MANOR_LEVEL!$A:$A,0)-1,0),0)</f>
        <v>50404400</v>
      </c>
      <c r="AE307" s="56">
        <v>16</v>
      </c>
      <c r="AG307" s="56">
        <f t="shared" ca="1" si="84"/>
        <v>1515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1515</v>
      </c>
      <c r="AI307" s="179">
        <f t="shared" ref="AI307:AI324" ca="1" si="94">AG306+AG307</f>
        <v>2525</v>
      </c>
      <c r="AK307" s="11">
        <f t="shared" si="75"/>
        <v>30</v>
      </c>
      <c r="AL307" s="10">
        <v>30</v>
      </c>
      <c r="AM307" s="11">
        <f t="shared" si="82"/>
        <v>15</v>
      </c>
      <c r="AN307" s="10">
        <v>15</v>
      </c>
      <c r="AO307" s="11">
        <f t="shared" si="82"/>
        <v>0</v>
      </c>
      <c r="AP307" s="10">
        <v>0</v>
      </c>
      <c r="AQ307" s="56">
        <f t="shared" si="76"/>
        <v>1</v>
      </c>
      <c r="AS307" s="11">
        <f ca="1">IFERROR(OFFSET(ITEM_RES!$A$1,MATCH(AT307,ITEM_RES!$J:$J,0)-1,0),0)</f>
        <v>211020801</v>
      </c>
      <c r="AT307" s="10" t="s">
        <v>429</v>
      </c>
      <c r="AU307" s="11">
        <v>150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78"/>
        <v>111070004</v>
      </c>
      <c r="B308" s="13">
        <v>11</v>
      </c>
      <c r="C308" s="12">
        <f t="shared" si="79"/>
        <v>1</v>
      </c>
      <c r="D308" s="13">
        <v>7</v>
      </c>
      <c r="E308" s="13">
        <v>0</v>
      </c>
      <c r="F308" s="12">
        <f t="shared" si="80"/>
        <v>4</v>
      </c>
      <c r="H308" s="9">
        <v>1</v>
      </c>
      <c r="I308" s="9">
        <v>4</v>
      </c>
      <c r="K308" s="9" t="s">
        <v>689</v>
      </c>
      <c r="M308" s="9">
        <v>1</v>
      </c>
      <c r="N308" s="9">
        <v>15</v>
      </c>
      <c r="O308" s="141"/>
      <c r="S308" s="9" t="s">
        <v>688</v>
      </c>
      <c r="V308" s="9">
        <f ca="1">IFERROR(OFFSET(ITEM_RES!$A$5,MATCH(BUILDING!U308,ITEM_RES!$J$5:$J$229,0)-1,0),0)</f>
        <v>0</v>
      </c>
      <c r="Y308" s="9">
        <f ca="1">IFERROR(OFFSET(ITEM_RES!$A$5,MATCH(BUILDING!X308,ITEM_RES!$J$5:$J$229,0)-1,0),0)</f>
        <v>0</v>
      </c>
      <c r="AA308" s="9" t="s">
        <v>512</v>
      </c>
      <c r="AB308" s="9">
        <v>4</v>
      </c>
      <c r="AD308" s="11">
        <f ca="1">IFERROR(OFFSET(MANOR_LEVEL!$B$1,MATCH(AE308-1,MANOR_LEVEL!$A:$A,0)-1,0),0)</f>
        <v>50404400</v>
      </c>
      <c r="AE308" s="56">
        <v>16</v>
      </c>
      <c r="AG308" s="56">
        <f t="shared" ca="1" si="84"/>
        <v>6025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6025</v>
      </c>
      <c r="AI308" s="179">
        <f t="shared" ca="1" si="94"/>
        <v>7540</v>
      </c>
      <c r="AK308" s="11">
        <f t="shared" si="75"/>
        <v>300</v>
      </c>
      <c r="AL308" s="10">
        <v>300</v>
      </c>
      <c r="AM308" s="11">
        <f t="shared" si="82"/>
        <v>25</v>
      </c>
      <c r="AN308" s="10">
        <v>25</v>
      </c>
      <c r="AO308" s="11">
        <f t="shared" si="82"/>
        <v>0</v>
      </c>
      <c r="AP308" s="10">
        <v>0</v>
      </c>
      <c r="AQ308" s="56">
        <f t="shared" si="76"/>
        <v>1</v>
      </c>
      <c r="AS308" s="11">
        <f ca="1">IFERROR(OFFSET(ITEM_RES!$A$1,MATCH(AT308,ITEM_RES!$J:$J,0)-1,0),0)</f>
        <v>211020801</v>
      </c>
      <c r="AT308" s="10" t="s">
        <v>429</v>
      </c>
      <c r="AU308" s="11">
        <v>600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78"/>
        <v>111070005</v>
      </c>
      <c r="B309" s="13">
        <v>11</v>
      </c>
      <c r="C309" s="12">
        <f t="shared" si="79"/>
        <v>1</v>
      </c>
      <c r="D309" s="13">
        <v>7</v>
      </c>
      <c r="E309" s="13">
        <v>0</v>
      </c>
      <c r="F309" s="12">
        <f t="shared" si="80"/>
        <v>5</v>
      </c>
      <c r="H309" s="9">
        <v>1</v>
      </c>
      <c r="I309" s="9">
        <v>5</v>
      </c>
      <c r="K309" s="9" t="s">
        <v>689</v>
      </c>
      <c r="M309" s="9">
        <v>1</v>
      </c>
      <c r="N309" s="9">
        <v>15</v>
      </c>
      <c r="O309" s="141"/>
      <c r="S309" s="9" t="s">
        <v>688</v>
      </c>
      <c r="V309" s="9">
        <f ca="1">IFERROR(OFFSET(ITEM_RES!$A$5,MATCH(BUILDING!U309,ITEM_RES!$J$5:$J$229,0)-1,0),0)</f>
        <v>0</v>
      </c>
      <c r="Y309" s="9">
        <f ca="1">IFERROR(OFFSET(ITEM_RES!$A$5,MATCH(BUILDING!X309,ITEM_RES!$J$5:$J$229,0)-1,0),0)</f>
        <v>0</v>
      </c>
      <c r="AA309" s="9" t="s">
        <v>512</v>
      </c>
      <c r="AB309" s="9">
        <v>5</v>
      </c>
      <c r="AD309" s="11">
        <f ca="1">IFERROR(OFFSET(MANOR_LEVEL!$B$1,MATCH(AE309-1,MANOR_LEVEL!$A:$A,0)-1,0),0)</f>
        <v>50404400</v>
      </c>
      <c r="AE309" s="56">
        <v>16</v>
      </c>
      <c r="AG309" s="56">
        <f t="shared" ca="1" si="84"/>
        <v>27040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27040</v>
      </c>
      <c r="AI309" s="179">
        <f t="shared" ca="1" si="94"/>
        <v>33065</v>
      </c>
      <c r="AK309" s="11">
        <f t="shared" si="75"/>
        <v>600</v>
      </c>
      <c r="AL309" s="10">
        <v>600</v>
      </c>
      <c r="AM309" s="11">
        <f t="shared" si="82"/>
        <v>40</v>
      </c>
      <c r="AN309" s="10">
        <v>40</v>
      </c>
      <c r="AO309" s="11">
        <f t="shared" si="82"/>
        <v>0</v>
      </c>
      <c r="AP309" s="10">
        <v>0</v>
      </c>
      <c r="AQ309" s="56">
        <f t="shared" si="76"/>
        <v>1</v>
      </c>
      <c r="AS309" s="11">
        <f ca="1">IFERROR(OFFSET(ITEM_RES!$A$1,MATCH(AT309,ITEM_RES!$J:$J,0)-1,0),0)</f>
        <v>211020801</v>
      </c>
      <c r="AT309" s="10" t="s">
        <v>429</v>
      </c>
      <c r="AU309" s="11">
        <v>2700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78"/>
        <v>111070006</v>
      </c>
      <c r="B310" s="13">
        <v>11</v>
      </c>
      <c r="C310" s="12">
        <f t="shared" si="79"/>
        <v>1</v>
      </c>
      <c r="D310" s="13">
        <v>7</v>
      </c>
      <c r="E310" s="13">
        <v>0</v>
      </c>
      <c r="F310" s="12">
        <f t="shared" si="80"/>
        <v>6</v>
      </c>
      <c r="H310" s="9">
        <v>1</v>
      </c>
      <c r="I310" s="9">
        <v>6</v>
      </c>
      <c r="K310" s="9" t="s">
        <v>689</v>
      </c>
      <c r="M310" s="9">
        <v>1</v>
      </c>
      <c r="N310" s="9">
        <v>15</v>
      </c>
      <c r="O310" s="141"/>
      <c r="S310" s="9" t="s">
        <v>688</v>
      </c>
      <c r="V310" s="9">
        <f ca="1">IFERROR(OFFSET(ITEM_RES!$A$5,MATCH(BUILDING!U310,ITEM_RES!$J$5:$J$229,0)-1,0),0)</f>
        <v>0</v>
      </c>
      <c r="Y310" s="9">
        <f ca="1">IFERROR(OFFSET(ITEM_RES!$A$5,MATCH(BUILDING!X310,ITEM_RES!$J$5:$J$229,0)-1,0),0)</f>
        <v>0</v>
      </c>
      <c r="AA310" s="9" t="s">
        <v>512</v>
      </c>
      <c r="AB310" s="9">
        <v>6</v>
      </c>
      <c r="AD310" s="11">
        <f ca="1">IFERROR(OFFSET(MANOR_LEVEL!$B$1,MATCH(AE310-1,MANOR_LEVEL!$A:$A,0)-1,0),0)</f>
        <v>50404400</v>
      </c>
      <c r="AE310" s="56">
        <v>16</v>
      </c>
      <c r="AG310" s="56">
        <f t="shared" ca="1" si="84"/>
        <v>90050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90050</v>
      </c>
      <c r="AI310" s="179">
        <f t="shared" ca="1" si="94"/>
        <v>117090</v>
      </c>
      <c r="AK310" s="11">
        <f t="shared" si="75"/>
        <v>1200</v>
      </c>
      <c r="AL310" s="10">
        <v>1200</v>
      </c>
      <c r="AM310" s="11">
        <f t="shared" si="82"/>
        <v>50</v>
      </c>
      <c r="AN310" s="10">
        <v>50</v>
      </c>
      <c r="AO310" s="11">
        <f t="shared" si="82"/>
        <v>0</v>
      </c>
      <c r="AP310" s="10">
        <v>0</v>
      </c>
      <c r="AQ310" s="56">
        <f t="shared" si="76"/>
        <v>1</v>
      </c>
      <c r="AS310" s="11">
        <f ca="1">IFERROR(OFFSET(ITEM_RES!$A$1,MATCH(AT310,ITEM_RES!$J:$J,0)-1,0),0)</f>
        <v>211020801</v>
      </c>
      <c r="AT310" s="10" t="s">
        <v>429</v>
      </c>
      <c r="AU310" s="11">
        <v>9000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78"/>
        <v>111070007</v>
      </c>
      <c r="B311" s="13">
        <v>11</v>
      </c>
      <c r="C311" s="12">
        <f t="shared" si="79"/>
        <v>1</v>
      </c>
      <c r="D311" s="13">
        <v>7</v>
      </c>
      <c r="E311" s="13">
        <v>0</v>
      </c>
      <c r="F311" s="12">
        <f t="shared" si="80"/>
        <v>7</v>
      </c>
      <c r="H311" s="9">
        <v>1</v>
      </c>
      <c r="I311" s="9">
        <v>7</v>
      </c>
      <c r="K311" s="9" t="s">
        <v>689</v>
      </c>
      <c r="M311" s="9">
        <v>1</v>
      </c>
      <c r="N311" s="9">
        <v>15</v>
      </c>
      <c r="O311" s="141"/>
      <c r="S311" s="9" t="s">
        <v>688</v>
      </c>
      <c r="V311" s="9">
        <f ca="1">IFERROR(OFFSET(ITEM_RES!$A$5,MATCH(BUILDING!U311,ITEM_RES!$J$5:$J$229,0)-1,0),0)</f>
        <v>0</v>
      </c>
      <c r="Y311" s="9">
        <f ca="1">IFERROR(OFFSET(ITEM_RES!$A$5,MATCH(BUILDING!X311,ITEM_RES!$J$5:$J$229,0)-1,0),0)</f>
        <v>0</v>
      </c>
      <c r="AA311" s="9" t="s">
        <v>512</v>
      </c>
      <c r="AB311" s="9">
        <v>7</v>
      </c>
      <c r="AD311" s="11">
        <f ca="1">IFERROR(OFFSET(MANOR_LEVEL!$B$1,MATCH(AE311-1,MANOR_LEVEL!$A:$A,0)-1,0),0)</f>
        <v>50404400</v>
      </c>
      <c r="AE311" s="56">
        <v>16</v>
      </c>
      <c r="AG311" s="56">
        <f t="shared" ca="1" si="84"/>
        <v>200100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200100</v>
      </c>
      <c r="AI311" s="179">
        <f t="shared" ca="1" si="94"/>
        <v>290150</v>
      </c>
      <c r="AK311" s="11">
        <f t="shared" si="75"/>
        <v>1800</v>
      </c>
      <c r="AL311" s="10">
        <v>1800</v>
      </c>
      <c r="AM311" s="11">
        <f t="shared" si="82"/>
        <v>100</v>
      </c>
      <c r="AN311" s="10">
        <v>100</v>
      </c>
      <c r="AO311" s="11">
        <f t="shared" si="82"/>
        <v>0</v>
      </c>
      <c r="AP311" s="10">
        <v>0</v>
      </c>
      <c r="AQ311" s="56">
        <f t="shared" si="76"/>
        <v>1</v>
      </c>
      <c r="AS311" s="11">
        <f ca="1">IFERROR(OFFSET(ITEM_RES!$A$1,MATCH(AT311,ITEM_RES!$J:$J,0)-1,0),0)</f>
        <v>211020801</v>
      </c>
      <c r="AT311" s="10" t="s">
        <v>429</v>
      </c>
      <c r="AU311" s="11">
        <v>20000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78"/>
        <v>111070008</v>
      </c>
      <c r="B312" s="13">
        <v>11</v>
      </c>
      <c r="C312" s="12">
        <f t="shared" si="79"/>
        <v>1</v>
      </c>
      <c r="D312" s="13">
        <v>7</v>
      </c>
      <c r="E312" s="13">
        <v>0</v>
      </c>
      <c r="F312" s="12">
        <f t="shared" si="80"/>
        <v>8</v>
      </c>
      <c r="H312" s="9">
        <v>1</v>
      </c>
      <c r="I312" s="9">
        <v>8</v>
      </c>
      <c r="K312" s="9" t="s">
        <v>689</v>
      </c>
      <c r="M312" s="9">
        <v>1</v>
      </c>
      <c r="N312" s="9">
        <v>15</v>
      </c>
      <c r="O312" s="141"/>
      <c r="S312" s="9" t="s">
        <v>688</v>
      </c>
      <c r="V312" s="9">
        <f ca="1">IFERROR(OFFSET(ITEM_RES!$A$5,MATCH(BUILDING!U312,ITEM_RES!$J$5:$J$229,0)-1,0),0)</f>
        <v>0</v>
      </c>
      <c r="Y312" s="9">
        <f ca="1">IFERROR(OFFSET(ITEM_RES!$A$5,MATCH(BUILDING!X312,ITEM_RES!$J$5:$J$229,0)-1,0),0)</f>
        <v>0</v>
      </c>
      <c r="AA312" s="9" t="s">
        <v>512</v>
      </c>
      <c r="AB312" s="9">
        <v>8</v>
      </c>
      <c r="AD312" s="11">
        <f ca="1">IFERROR(OFFSET(MANOR_LEVEL!$B$1,MATCH(AE312-1,MANOR_LEVEL!$A:$A,0)-1,0),0)</f>
        <v>50404400</v>
      </c>
      <c r="AE312" s="56">
        <v>16</v>
      </c>
      <c r="AG312" s="56">
        <f t="shared" ca="1" si="84"/>
        <v>420100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420100</v>
      </c>
      <c r="AI312" s="179">
        <f t="shared" ca="1" si="94"/>
        <v>620200</v>
      </c>
      <c r="AK312" s="11">
        <f t="shared" si="75"/>
        <v>3600</v>
      </c>
      <c r="AL312" s="10">
        <v>3600</v>
      </c>
      <c r="AM312" s="11">
        <f t="shared" si="82"/>
        <v>100</v>
      </c>
      <c r="AN312" s="10">
        <v>100</v>
      </c>
      <c r="AO312" s="11">
        <f t="shared" si="82"/>
        <v>0</v>
      </c>
      <c r="AP312" s="10">
        <v>0</v>
      </c>
      <c r="AQ312" s="56">
        <f t="shared" si="76"/>
        <v>1</v>
      </c>
      <c r="AS312" s="11">
        <f ca="1">IFERROR(OFFSET(ITEM_RES!$A$1,MATCH(AT312,ITEM_RES!$J:$J,0)-1,0),0)</f>
        <v>211020801</v>
      </c>
      <c r="AT312" s="10" t="s">
        <v>429</v>
      </c>
      <c r="AU312" s="11">
        <v>42000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78"/>
        <v>111070009</v>
      </c>
      <c r="B313" s="13">
        <v>11</v>
      </c>
      <c r="C313" s="12">
        <f t="shared" si="79"/>
        <v>1</v>
      </c>
      <c r="D313" s="13">
        <v>7</v>
      </c>
      <c r="E313" s="13">
        <v>0</v>
      </c>
      <c r="F313" s="12">
        <f t="shared" si="80"/>
        <v>9</v>
      </c>
      <c r="H313" s="9">
        <v>1</v>
      </c>
      <c r="I313" s="9">
        <v>9</v>
      </c>
      <c r="K313" s="9" t="s">
        <v>689</v>
      </c>
      <c r="M313" s="9">
        <v>1</v>
      </c>
      <c r="N313" s="9">
        <v>15</v>
      </c>
      <c r="O313" s="141"/>
      <c r="S313" s="9" t="s">
        <v>688</v>
      </c>
      <c r="V313" s="9">
        <f ca="1">IFERROR(OFFSET(ITEM_RES!$A$5,MATCH(BUILDING!U313,ITEM_RES!$J$5:$J$229,0)-1,0),0)</f>
        <v>0</v>
      </c>
      <c r="Y313" s="9">
        <f ca="1">IFERROR(OFFSET(ITEM_RES!$A$5,MATCH(BUILDING!X313,ITEM_RES!$J$5:$J$229,0)-1,0),0)</f>
        <v>0</v>
      </c>
      <c r="AA313" s="9" t="s">
        <v>512</v>
      </c>
      <c r="AB313" s="9">
        <v>9</v>
      </c>
      <c r="AD313" s="11">
        <f ca="1">IFERROR(OFFSET(MANOR_LEVEL!$B$1,MATCH(AE313-1,MANOR_LEVEL!$A:$A,0)-1,0),0)</f>
        <v>50404400</v>
      </c>
      <c r="AE313" s="56">
        <v>16</v>
      </c>
      <c r="AG313" s="56">
        <f t="shared" ca="1" si="84"/>
        <v>780150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780150</v>
      </c>
      <c r="AI313" s="179">
        <f t="shared" ca="1" si="94"/>
        <v>1200250</v>
      </c>
      <c r="AK313" s="11">
        <f t="shared" si="75"/>
        <v>5400</v>
      </c>
      <c r="AL313" s="10">
        <v>5400</v>
      </c>
      <c r="AM313" s="11">
        <f t="shared" si="82"/>
        <v>150</v>
      </c>
      <c r="AN313" s="10">
        <v>150</v>
      </c>
      <c r="AO313" s="11">
        <f t="shared" si="82"/>
        <v>0</v>
      </c>
      <c r="AP313" s="10">
        <v>0</v>
      </c>
      <c r="AQ313" s="56">
        <f t="shared" si="76"/>
        <v>1</v>
      </c>
      <c r="AS313" s="11">
        <f ca="1">IFERROR(OFFSET(ITEM_RES!$A$1,MATCH(AT313,ITEM_RES!$J:$J,0)-1,0),0)</f>
        <v>211020801</v>
      </c>
      <c r="AT313" s="10" t="s">
        <v>429</v>
      </c>
      <c r="AU313" s="11">
        <v>78000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78"/>
        <v>111070010</v>
      </c>
      <c r="B314" s="13">
        <v>11</v>
      </c>
      <c r="C314" s="12">
        <f t="shared" si="79"/>
        <v>1</v>
      </c>
      <c r="D314" s="13">
        <v>7</v>
      </c>
      <c r="E314" s="13">
        <v>0</v>
      </c>
      <c r="F314" s="12">
        <f t="shared" si="80"/>
        <v>10</v>
      </c>
      <c r="H314" s="9">
        <v>1</v>
      </c>
      <c r="I314" s="9">
        <v>10</v>
      </c>
      <c r="K314" s="9" t="s">
        <v>689</v>
      </c>
      <c r="M314" s="9">
        <v>1</v>
      </c>
      <c r="N314" s="9">
        <v>15</v>
      </c>
      <c r="O314" s="141"/>
      <c r="S314" s="9" t="s">
        <v>688</v>
      </c>
      <c r="V314" s="9">
        <f ca="1">IFERROR(OFFSET(ITEM_RES!$A$5,MATCH(BUILDING!U314,ITEM_RES!$J$5:$J$229,0)-1,0),0)</f>
        <v>0</v>
      </c>
      <c r="Y314" s="9">
        <f ca="1">IFERROR(OFFSET(ITEM_RES!$A$5,MATCH(BUILDING!X314,ITEM_RES!$J$5:$J$229,0)-1,0),0)</f>
        <v>0</v>
      </c>
      <c r="AA314" s="9" t="s">
        <v>512</v>
      </c>
      <c r="AB314" s="9">
        <v>10</v>
      </c>
      <c r="AD314" s="11">
        <f ca="1">IFERROR(OFFSET(MANOR_LEVEL!$B$1,MATCH(AE314-1,MANOR_LEVEL!$A:$A,0)-1,0),0)</f>
        <v>50404400</v>
      </c>
      <c r="AE314" s="56">
        <v>16</v>
      </c>
      <c r="AG314" s="56">
        <f t="shared" ca="1" si="84"/>
        <v>1300200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1300200</v>
      </c>
      <c r="AI314" s="179">
        <f t="shared" ca="1" si="94"/>
        <v>2080350</v>
      </c>
      <c r="AK314" s="11">
        <f t="shared" si="75"/>
        <v>7200</v>
      </c>
      <c r="AL314" s="10">
        <v>7200</v>
      </c>
      <c r="AM314" s="11">
        <f t="shared" si="82"/>
        <v>200</v>
      </c>
      <c r="AN314" s="10">
        <v>200</v>
      </c>
      <c r="AO314" s="11">
        <f t="shared" si="82"/>
        <v>0</v>
      </c>
      <c r="AP314" s="10">
        <v>0</v>
      </c>
      <c r="AQ314" s="56">
        <f t="shared" si="76"/>
        <v>1</v>
      </c>
      <c r="AS314" s="11">
        <f ca="1">IFERROR(OFFSET(ITEM_RES!$A$1,MATCH(AT314,ITEM_RES!$J:$J,0)-1,0),0)</f>
        <v>211020801</v>
      </c>
      <c r="AT314" s="10" t="s">
        <v>429</v>
      </c>
      <c r="AU314" s="11">
        <v>130000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78"/>
        <v>111070011</v>
      </c>
      <c r="B315" s="13">
        <v>11</v>
      </c>
      <c r="C315" s="12">
        <f t="shared" si="79"/>
        <v>1</v>
      </c>
      <c r="D315" s="13">
        <v>7</v>
      </c>
      <c r="E315" s="13">
        <v>0</v>
      </c>
      <c r="F315" s="12">
        <f t="shared" si="80"/>
        <v>11</v>
      </c>
      <c r="H315" s="9">
        <v>1</v>
      </c>
      <c r="I315" s="9">
        <v>11</v>
      </c>
      <c r="K315" s="9" t="s">
        <v>689</v>
      </c>
      <c r="M315" s="9">
        <v>1</v>
      </c>
      <c r="N315" s="9">
        <v>15</v>
      </c>
      <c r="O315" s="141"/>
      <c r="S315" s="9" t="s">
        <v>688</v>
      </c>
      <c r="V315" s="9">
        <f ca="1">IFERROR(OFFSET(ITEM_RES!$A$5,MATCH(BUILDING!U315,ITEM_RES!$J$5:$J$229,0)-1,0),0)</f>
        <v>0</v>
      </c>
      <c r="Y315" s="9">
        <f ca="1">IFERROR(OFFSET(ITEM_RES!$A$5,MATCH(BUILDING!X315,ITEM_RES!$J$5:$J$229,0)-1,0),0)</f>
        <v>0</v>
      </c>
      <c r="AA315" s="9" t="s">
        <v>512</v>
      </c>
      <c r="AB315" s="9">
        <v>11</v>
      </c>
      <c r="AD315" s="11">
        <f ca="1">IFERROR(OFFSET(MANOR_LEVEL!$B$1,MATCH(AE315-1,MANOR_LEVEL!$A:$A,0)-1,0),0)</f>
        <v>50404400</v>
      </c>
      <c r="AE315" s="56">
        <v>16</v>
      </c>
      <c r="AG315" s="56">
        <f t="shared" ca="1" si="84"/>
        <v>2200750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2200750</v>
      </c>
      <c r="AI315" s="179">
        <f t="shared" ca="1" si="94"/>
        <v>3500950</v>
      </c>
      <c r="AK315" s="11">
        <f t="shared" si="75"/>
        <v>9000</v>
      </c>
      <c r="AL315" s="10">
        <v>9000</v>
      </c>
      <c r="AM315" s="11">
        <f t="shared" si="82"/>
        <v>250</v>
      </c>
      <c r="AN315" s="10">
        <v>250</v>
      </c>
      <c r="AO315" s="11">
        <v>500</v>
      </c>
      <c r="AP315" s="10">
        <v>0</v>
      </c>
      <c r="AQ315" s="56">
        <f t="shared" si="76"/>
        <v>1</v>
      </c>
      <c r="AS315" s="11">
        <f ca="1">IFERROR(OFFSET(ITEM_RES!$A$1,MATCH(AT315,ITEM_RES!$J:$J,0)-1,0),0)</f>
        <v>211020801</v>
      </c>
      <c r="AT315" s="10" t="s">
        <v>429</v>
      </c>
      <c r="AU315" s="11">
        <v>220000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78"/>
        <v>111070012</v>
      </c>
      <c r="B316" s="13">
        <v>11</v>
      </c>
      <c r="C316" s="12">
        <f t="shared" si="79"/>
        <v>1</v>
      </c>
      <c r="D316" s="13">
        <v>7</v>
      </c>
      <c r="E316" s="13">
        <v>0</v>
      </c>
      <c r="F316" s="12">
        <f t="shared" si="80"/>
        <v>12</v>
      </c>
      <c r="H316" s="9">
        <v>1</v>
      </c>
      <c r="I316" s="9">
        <v>12</v>
      </c>
      <c r="K316" s="9" t="s">
        <v>689</v>
      </c>
      <c r="M316" s="9">
        <v>1</v>
      </c>
      <c r="N316" s="9">
        <v>15</v>
      </c>
      <c r="O316" s="141"/>
      <c r="S316" s="9" t="s">
        <v>688</v>
      </c>
      <c r="V316" s="9">
        <f ca="1">IFERROR(OFFSET(ITEM_RES!$A$5,MATCH(BUILDING!U316,ITEM_RES!$J$5:$J$229,0)-1,0),0)</f>
        <v>0</v>
      </c>
      <c r="Y316" s="9">
        <f ca="1">IFERROR(OFFSET(ITEM_RES!$A$5,MATCH(BUILDING!X316,ITEM_RES!$J$5:$J$229,0)-1,0),0)</f>
        <v>0</v>
      </c>
      <c r="AA316" s="9" t="s">
        <v>512</v>
      </c>
      <c r="AB316" s="9">
        <v>12</v>
      </c>
      <c r="AD316" s="11">
        <f ca="1">IFERROR(OFFSET(MANOR_LEVEL!$B$1,MATCH(AE316-1,MANOR_LEVEL!$A:$A,0)-1,0),0)</f>
        <v>50404400</v>
      </c>
      <c r="AE316" s="56">
        <v>16</v>
      </c>
      <c r="AG316" s="56">
        <f t="shared" ca="1" si="84"/>
        <v>3706300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3706300</v>
      </c>
      <c r="AI316" s="179">
        <f t="shared" ca="1" si="94"/>
        <v>5907050</v>
      </c>
      <c r="AK316" s="11">
        <f t="shared" si="75"/>
        <v>10800</v>
      </c>
      <c r="AL316" s="10">
        <v>10800</v>
      </c>
      <c r="AM316" s="11">
        <f t="shared" si="82"/>
        <v>300</v>
      </c>
      <c r="AN316" s="10">
        <v>300</v>
      </c>
      <c r="AO316" s="11">
        <v>6000</v>
      </c>
      <c r="AP316" s="10">
        <v>0</v>
      </c>
      <c r="AQ316" s="56">
        <f t="shared" si="76"/>
        <v>1</v>
      </c>
      <c r="AS316" s="11">
        <f ca="1">IFERROR(OFFSET(ITEM_RES!$A$1,MATCH(AT316,ITEM_RES!$J:$J,0)-1,0),0)</f>
        <v>211020801</v>
      </c>
      <c r="AT316" s="10" t="s">
        <v>429</v>
      </c>
      <c r="AU316" s="11">
        <v>370000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78"/>
        <v>111070013</v>
      </c>
      <c r="B317" s="13">
        <v>11</v>
      </c>
      <c r="C317" s="12">
        <f t="shared" si="79"/>
        <v>1</v>
      </c>
      <c r="D317" s="13">
        <v>7</v>
      </c>
      <c r="E317" s="13">
        <v>0</v>
      </c>
      <c r="F317" s="12">
        <f t="shared" si="80"/>
        <v>13</v>
      </c>
      <c r="H317" s="9">
        <v>1</v>
      </c>
      <c r="I317" s="9">
        <v>13</v>
      </c>
      <c r="K317" s="9" t="s">
        <v>689</v>
      </c>
      <c r="M317" s="9">
        <v>1</v>
      </c>
      <c r="N317" s="9">
        <v>15</v>
      </c>
      <c r="O317" s="141"/>
      <c r="S317" s="9" t="s">
        <v>688</v>
      </c>
      <c r="V317" s="9">
        <f ca="1">IFERROR(OFFSET(ITEM_RES!$A$5,MATCH(BUILDING!U317,ITEM_RES!$J$5:$J$229,0)-1,0),0)</f>
        <v>0</v>
      </c>
      <c r="Y317" s="9">
        <f ca="1">IFERROR(OFFSET(ITEM_RES!$A$5,MATCH(BUILDING!X317,ITEM_RES!$J$5:$J$229,0)-1,0),0)</f>
        <v>0</v>
      </c>
      <c r="AA317" s="9" t="s">
        <v>512</v>
      </c>
      <c r="AB317" s="9">
        <v>13</v>
      </c>
      <c r="AD317" s="11">
        <f ca="1">IFERROR(OFFSET(MANOR_LEVEL!$B$1,MATCH(AE317-1,MANOR_LEVEL!$A:$A,0)-1,0),0)</f>
        <v>50404400</v>
      </c>
      <c r="AE317" s="56">
        <v>16</v>
      </c>
      <c r="AG317" s="56">
        <f t="shared" ca="1" si="84"/>
        <v>6239350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6239350</v>
      </c>
      <c r="AI317" s="179">
        <f t="shared" ca="1" si="94"/>
        <v>9945650</v>
      </c>
      <c r="AK317" s="11">
        <f t="shared" si="75"/>
        <v>12600</v>
      </c>
      <c r="AL317" s="10">
        <v>12600</v>
      </c>
      <c r="AM317" s="11">
        <f t="shared" si="82"/>
        <v>350</v>
      </c>
      <c r="AN317" s="10">
        <v>350</v>
      </c>
      <c r="AO317" s="11">
        <v>39000</v>
      </c>
      <c r="AP317" s="10">
        <v>0</v>
      </c>
      <c r="AQ317" s="56">
        <f t="shared" si="76"/>
        <v>1</v>
      </c>
      <c r="AS317" s="11">
        <f ca="1">IFERROR(OFFSET(ITEM_RES!$A$1,MATCH(AT317,ITEM_RES!$J:$J,0)-1,0),0)</f>
        <v>211020801</v>
      </c>
      <c r="AT317" s="10" t="s">
        <v>429</v>
      </c>
      <c r="AU317" s="11">
        <v>620000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78"/>
        <v>111070014</v>
      </c>
      <c r="B318" s="13">
        <v>11</v>
      </c>
      <c r="C318" s="12">
        <f t="shared" si="79"/>
        <v>1</v>
      </c>
      <c r="D318" s="13">
        <v>7</v>
      </c>
      <c r="E318" s="13">
        <v>0</v>
      </c>
      <c r="F318" s="12">
        <f t="shared" si="80"/>
        <v>14</v>
      </c>
      <c r="H318" s="9">
        <v>1</v>
      </c>
      <c r="I318" s="9">
        <v>14</v>
      </c>
      <c r="K318" s="9" t="s">
        <v>689</v>
      </c>
      <c r="M318" s="9">
        <v>1</v>
      </c>
      <c r="N318" s="9">
        <v>15</v>
      </c>
      <c r="O318" s="141"/>
      <c r="S318" s="9" t="s">
        <v>688</v>
      </c>
      <c r="V318" s="9">
        <f ca="1">IFERROR(OFFSET(ITEM_RES!$A$5,MATCH(BUILDING!U318,ITEM_RES!$J$5:$J$229,0)-1,0),0)</f>
        <v>0</v>
      </c>
      <c r="Y318" s="9">
        <f ca="1">IFERROR(OFFSET(ITEM_RES!$A$5,MATCH(BUILDING!X318,ITEM_RES!$J$5:$J$229,0)-1,0),0)</f>
        <v>0</v>
      </c>
      <c r="AA318" s="9" t="s">
        <v>512</v>
      </c>
      <c r="AB318" s="9">
        <v>14</v>
      </c>
      <c r="AD318" s="11">
        <f ca="1">IFERROR(OFFSET(MANOR_LEVEL!$B$1,MATCH(AE318-1,MANOR_LEVEL!$A:$A,0)-1,0),0)</f>
        <v>50404400</v>
      </c>
      <c r="AE318" s="56">
        <v>16</v>
      </c>
      <c r="AG318" s="56">
        <f t="shared" ca="1" si="84"/>
        <v>10011450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10011450</v>
      </c>
      <c r="AI318" s="179">
        <f t="shared" ca="1" si="94"/>
        <v>16250800</v>
      </c>
      <c r="AK318" s="11">
        <f t="shared" si="75"/>
        <v>14400</v>
      </c>
      <c r="AL318" s="10">
        <v>14400</v>
      </c>
      <c r="AM318" s="11">
        <f t="shared" si="82"/>
        <v>450</v>
      </c>
      <c r="AN318" s="10">
        <v>450</v>
      </c>
      <c r="AO318" s="11">
        <v>310000</v>
      </c>
      <c r="AP318" s="10">
        <v>0</v>
      </c>
      <c r="AQ318" s="56">
        <f t="shared" si="76"/>
        <v>2</v>
      </c>
      <c r="AS318" s="11">
        <f ca="1">IFERROR(OFFSET(ITEM_RES!$A$1,MATCH(AT318,ITEM_RES!$J:$J,0)-1,0),0)</f>
        <v>211020801</v>
      </c>
      <c r="AT318" s="10" t="s">
        <v>429</v>
      </c>
      <c r="AU318" s="11">
        <v>970000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457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78"/>
        <v>111070015</v>
      </c>
      <c r="B319" s="13">
        <v>11</v>
      </c>
      <c r="C319" s="12">
        <f t="shared" si="79"/>
        <v>1</v>
      </c>
      <c r="D319" s="13">
        <v>7</v>
      </c>
      <c r="E319" s="13">
        <v>0</v>
      </c>
      <c r="F319" s="12">
        <f t="shared" si="80"/>
        <v>15</v>
      </c>
      <c r="H319" s="9">
        <v>1</v>
      </c>
      <c r="I319" s="9">
        <v>15</v>
      </c>
      <c r="K319" s="9" t="s">
        <v>689</v>
      </c>
      <c r="M319" s="9">
        <v>1</v>
      </c>
      <c r="N319" s="9">
        <v>15</v>
      </c>
      <c r="O319" s="141"/>
      <c r="S319" s="9" t="s">
        <v>688</v>
      </c>
      <c r="V319" s="9">
        <f ca="1">IFERROR(OFFSET(ITEM_RES!$A$5,MATCH(BUILDING!U319,ITEM_RES!$J$5:$J$229,0)-1,0),0)</f>
        <v>0</v>
      </c>
      <c r="Y319" s="9">
        <f ca="1">IFERROR(OFFSET(ITEM_RES!$A$5,MATCH(BUILDING!X319,ITEM_RES!$J$5:$J$229,0)-1,0),0)</f>
        <v>0</v>
      </c>
      <c r="AA319" s="9" t="s">
        <v>512</v>
      </c>
      <c r="AB319" s="9">
        <v>15</v>
      </c>
      <c r="AD319" s="11">
        <f ca="1">IFERROR(OFFSET(MANOR_LEVEL!$B$1,MATCH(AE319-1,MANOR_LEVEL!$A:$A,0)-1,0),0)</f>
        <v>50404400</v>
      </c>
      <c r="AE319" s="56">
        <v>16</v>
      </c>
      <c r="AG319" s="56">
        <f t="shared" ca="1" si="84"/>
        <v>21485550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21485550</v>
      </c>
      <c r="AI319" s="179">
        <f t="shared" ca="1" si="94"/>
        <v>31497000</v>
      </c>
      <c r="AK319" s="11">
        <f t="shared" si="75"/>
        <v>16200</v>
      </c>
      <c r="AL319" s="10">
        <v>16200</v>
      </c>
      <c r="AM319" s="11">
        <f t="shared" si="82"/>
        <v>550</v>
      </c>
      <c r="AN319" s="10">
        <v>550</v>
      </c>
      <c r="AO319" s="11">
        <v>485000</v>
      </c>
      <c r="AP319" s="10">
        <v>0</v>
      </c>
      <c r="AQ319" s="56">
        <f t="shared" si="76"/>
        <v>1</v>
      </c>
      <c r="AS319" s="11">
        <f ca="1">IFERROR(OFFSET(ITEM_RES!$A$1,MATCH(AT319,ITEM_RES!$J:$J,0)-1,0),0)</f>
        <v>211020801</v>
      </c>
      <c r="AT319" s="10" t="s">
        <v>429</v>
      </c>
      <c r="AU319" s="11">
        <v>2100000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78"/>
        <v>111070016</v>
      </c>
      <c r="B320" s="13">
        <v>11</v>
      </c>
      <c r="C320" s="12">
        <f t="shared" si="79"/>
        <v>1</v>
      </c>
      <c r="D320" s="13">
        <v>7</v>
      </c>
      <c r="E320" s="13">
        <v>0</v>
      </c>
      <c r="F320" s="12">
        <f t="shared" si="80"/>
        <v>16</v>
      </c>
      <c r="H320" s="9">
        <v>1</v>
      </c>
      <c r="I320" s="9">
        <v>16</v>
      </c>
      <c r="K320" s="9" t="s">
        <v>689</v>
      </c>
      <c r="M320" s="9">
        <v>0</v>
      </c>
      <c r="N320" s="9">
        <v>15</v>
      </c>
      <c r="O320" s="141"/>
      <c r="S320" s="9" t="s">
        <v>688</v>
      </c>
      <c r="V320" s="9">
        <f ca="1">IFERROR(OFFSET(ITEM_RES!$A$5,MATCH(BUILDING!U320,ITEM_RES!$J$5:$J$229,0)-1,0),0)</f>
        <v>0</v>
      </c>
      <c r="Y320" s="9">
        <f ca="1">IFERROR(OFFSET(ITEM_RES!$A$5,MATCH(BUILDING!X320,ITEM_RES!$J$5:$J$229,0)-1,0),0)</f>
        <v>0</v>
      </c>
      <c r="AA320" s="9" t="s">
        <v>512</v>
      </c>
      <c r="AB320" s="9">
        <v>16</v>
      </c>
      <c r="AD320" s="11">
        <f ca="1">IFERROR(OFFSET(MANOR_LEVEL!$B$1,MATCH(AE320-1,MANOR_LEVEL!$A:$A,0)-1,0),0)</f>
        <v>50404400</v>
      </c>
      <c r="AE320" s="56">
        <v>16</v>
      </c>
      <c r="AG320" s="56">
        <f t="shared" ca="1" si="84"/>
        <v>44050700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44050700</v>
      </c>
      <c r="AI320" s="179">
        <f t="shared" ca="1" si="94"/>
        <v>65536250</v>
      </c>
      <c r="AK320" s="11">
        <f t="shared" si="75"/>
        <v>18000</v>
      </c>
      <c r="AL320" s="10">
        <v>18000</v>
      </c>
      <c r="AM320" s="11">
        <f t="shared" si="82"/>
        <v>700</v>
      </c>
      <c r="AN320" s="10">
        <v>700</v>
      </c>
      <c r="AO320" s="11">
        <v>1050000</v>
      </c>
      <c r="AP320" s="10">
        <v>0</v>
      </c>
      <c r="AQ320" s="56">
        <f t="shared" si="76"/>
        <v>1</v>
      </c>
      <c r="AS320" s="11">
        <f ca="1">IFERROR(OFFSET(ITEM_RES!$A$1,MATCH(AT320,ITEM_RES!$J:$J,0)-1,0),0)</f>
        <v>211020801</v>
      </c>
      <c r="AT320" s="10" t="s">
        <v>429</v>
      </c>
      <c r="AU320" s="11">
        <v>4300000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78"/>
        <v>111070017</v>
      </c>
      <c r="B321" s="13">
        <v>11</v>
      </c>
      <c r="C321" s="12">
        <f t="shared" si="79"/>
        <v>1</v>
      </c>
      <c r="D321" s="13">
        <v>7</v>
      </c>
      <c r="E321" s="13">
        <v>0</v>
      </c>
      <c r="F321" s="12">
        <f t="shared" si="80"/>
        <v>17</v>
      </c>
      <c r="H321" s="9">
        <v>1</v>
      </c>
      <c r="I321" s="9">
        <v>17</v>
      </c>
      <c r="K321" s="9" t="s">
        <v>689</v>
      </c>
      <c r="M321" s="9">
        <v>0</v>
      </c>
      <c r="N321" s="9">
        <v>15</v>
      </c>
      <c r="O321" s="141"/>
      <c r="S321" s="9" t="s">
        <v>688</v>
      </c>
      <c r="V321" s="9">
        <f ca="1">IFERROR(OFFSET(ITEM_RES!$A$5,MATCH(BUILDING!U321,ITEM_RES!$J$5:$J$229,0)-1,0),0)</f>
        <v>0</v>
      </c>
      <c r="Y321" s="9">
        <f ca="1">IFERROR(OFFSET(ITEM_RES!$A$5,MATCH(BUILDING!X321,ITEM_RES!$J$5:$J$229,0)-1,0),0)</f>
        <v>0</v>
      </c>
      <c r="AA321" s="9" t="s">
        <v>512</v>
      </c>
      <c r="AB321" s="9">
        <v>17</v>
      </c>
      <c r="AD321" s="11">
        <f ca="1">IFERROR(OFFSET(MANOR_LEVEL!$B$1,MATCH(AE321-1,MANOR_LEVEL!$A:$A,0)-1,0),0)</f>
        <v>50404400</v>
      </c>
      <c r="AE321" s="56">
        <v>16</v>
      </c>
      <c r="AG321" s="56">
        <f t="shared" ca="1" si="84"/>
        <v>82150850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82150850</v>
      </c>
      <c r="AI321" s="179">
        <f t="shared" ca="1" si="94"/>
        <v>126201550</v>
      </c>
      <c r="AK321" s="11">
        <f t="shared" ref="AK321:AK384" si="95">ROUND(AL321,0)</f>
        <v>19800</v>
      </c>
      <c r="AL321" s="10">
        <v>19800</v>
      </c>
      <c r="AM321" s="11">
        <f t="shared" si="82"/>
        <v>850</v>
      </c>
      <c r="AN321" s="10">
        <v>850</v>
      </c>
      <c r="AO321" s="11">
        <v>2150000</v>
      </c>
      <c r="AP321" s="10">
        <v>0</v>
      </c>
      <c r="AQ321" s="56">
        <f t="shared" si="76"/>
        <v>1</v>
      </c>
      <c r="AS321" s="11">
        <f ca="1">IFERROR(OFFSET(ITEM_RES!$A$1,MATCH(AT321,ITEM_RES!$J:$J,0)-1,0),0)</f>
        <v>211020801</v>
      </c>
      <c r="AT321" s="10" t="s">
        <v>429</v>
      </c>
      <c r="AU321" s="11">
        <v>8000000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78"/>
        <v>111070018</v>
      </c>
      <c r="B322" s="13">
        <v>11</v>
      </c>
      <c r="C322" s="12">
        <f t="shared" si="79"/>
        <v>1</v>
      </c>
      <c r="D322" s="13">
        <v>7</v>
      </c>
      <c r="E322" s="13">
        <v>0</v>
      </c>
      <c r="F322" s="12">
        <f t="shared" si="80"/>
        <v>18</v>
      </c>
      <c r="H322" s="9">
        <v>1</v>
      </c>
      <c r="I322" s="9">
        <v>18</v>
      </c>
      <c r="K322" s="9" t="s">
        <v>689</v>
      </c>
      <c r="M322" s="9">
        <v>0</v>
      </c>
      <c r="N322" s="9">
        <v>15</v>
      </c>
      <c r="O322" s="141"/>
      <c r="S322" s="9" t="s">
        <v>688</v>
      </c>
      <c r="V322" s="9">
        <f ca="1">IFERROR(OFFSET(ITEM_RES!$A$5,MATCH(BUILDING!U322,ITEM_RES!$J$5:$J$229,0)-1,0),0)</f>
        <v>0</v>
      </c>
      <c r="Y322" s="9">
        <f ca="1">IFERROR(OFFSET(ITEM_RES!$A$5,MATCH(BUILDING!X322,ITEM_RES!$J$5:$J$229,0)-1,0),0)</f>
        <v>0</v>
      </c>
      <c r="AA322" s="9" t="s">
        <v>512</v>
      </c>
      <c r="AB322" s="9">
        <v>18</v>
      </c>
      <c r="AD322" s="11">
        <f ca="1">IFERROR(OFFSET(MANOR_LEVEL!$B$1,MATCH(AE322-1,MANOR_LEVEL!$A:$A,0)-1,0),0)</f>
        <v>50404400</v>
      </c>
      <c r="AE322" s="56">
        <v>16</v>
      </c>
      <c r="AG322" s="56">
        <f t="shared" ca="1" si="84"/>
        <v>160001050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160001050</v>
      </c>
      <c r="AI322" s="179">
        <f t="shared" ca="1" si="94"/>
        <v>242151900</v>
      </c>
      <c r="AK322" s="11">
        <f t="shared" si="95"/>
        <v>21600</v>
      </c>
      <c r="AL322" s="10">
        <v>21600</v>
      </c>
      <c r="AM322" s="11">
        <f t="shared" si="82"/>
        <v>1050</v>
      </c>
      <c r="AN322" s="10">
        <v>1050</v>
      </c>
      <c r="AO322" s="11">
        <v>4000000</v>
      </c>
      <c r="AP322" s="10">
        <v>0</v>
      </c>
      <c r="AQ322" s="56">
        <f t="shared" ref="AQ322:AQ385" si="96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437</v>
      </c>
      <c r="AU322" s="11">
        <v>13000000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78"/>
        <v>111070019</v>
      </c>
      <c r="B323" s="13">
        <v>11</v>
      </c>
      <c r="C323" s="12">
        <f t="shared" si="79"/>
        <v>1</v>
      </c>
      <c r="D323" s="13">
        <v>7</v>
      </c>
      <c r="E323" s="13">
        <v>0</v>
      </c>
      <c r="F323" s="12">
        <f t="shared" si="80"/>
        <v>19</v>
      </c>
      <c r="H323" s="9">
        <v>1</v>
      </c>
      <c r="I323" s="9">
        <v>19</v>
      </c>
      <c r="K323" s="9" t="s">
        <v>689</v>
      </c>
      <c r="M323" s="9">
        <v>0</v>
      </c>
      <c r="N323" s="9">
        <v>15</v>
      </c>
      <c r="O323" s="141"/>
      <c r="S323" s="9" t="s">
        <v>688</v>
      </c>
      <c r="V323" s="9">
        <f ca="1">IFERROR(OFFSET(ITEM_RES!$A$5,MATCH(BUILDING!U323,ITEM_RES!$J$5:$J$229,0)-1,0),0)</f>
        <v>0</v>
      </c>
      <c r="Y323" s="9">
        <f ca="1">IFERROR(OFFSET(ITEM_RES!$A$5,MATCH(BUILDING!X323,ITEM_RES!$J$5:$J$229,0)-1,0),0)</f>
        <v>0</v>
      </c>
      <c r="AA323" s="9" t="s">
        <v>512</v>
      </c>
      <c r="AB323" s="9">
        <v>19</v>
      </c>
      <c r="AD323" s="11">
        <f ca="1">IFERROR(OFFSET(MANOR_LEVEL!$B$1,MATCH(AE323-1,MANOR_LEVEL!$A:$A,0)-1,0),0)</f>
        <v>50404400</v>
      </c>
      <c r="AE323" s="56">
        <v>16</v>
      </c>
      <c r="AG323" s="56">
        <f t="shared" ca="1" si="84"/>
        <v>246501250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246501250</v>
      </c>
      <c r="AI323" s="179">
        <f t="shared" ca="1" si="94"/>
        <v>406502300</v>
      </c>
      <c r="AK323" s="11">
        <f t="shared" si="95"/>
        <v>23400</v>
      </c>
      <c r="AL323" s="10">
        <v>23400</v>
      </c>
      <c r="AM323" s="11">
        <f t="shared" si="82"/>
        <v>1250</v>
      </c>
      <c r="AN323" s="10">
        <v>1250</v>
      </c>
      <c r="AO323" s="11">
        <v>6500000</v>
      </c>
      <c r="AP323" s="10">
        <v>0</v>
      </c>
      <c r="AQ323" s="56">
        <f t="shared" si="96"/>
        <v>1</v>
      </c>
      <c r="AS323" s="11">
        <f ca="1">IFERROR(OFFSET(ITEM_RES!$A$1,MATCH(AT323,ITEM_RES!$J:$J,0)-1,0),0)</f>
        <v>211020901</v>
      </c>
      <c r="AT323" s="10" t="s">
        <v>437</v>
      </c>
      <c r="AU323" s="11">
        <v>20000000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78"/>
        <v>111070020</v>
      </c>
      <c r="B324" s="13">
        <v>11</v>
      </c>
      <c r="C324" s="12">
        <f t="shared" si="79"/>
        <v>1</v>
      </c>
      <c r="D324" s="13">
        <v>7</v>
      </c>
      <c r="E324" s="13">
        <v>0</v>
      </c>
      <c r="F324" s="12">
        <f t="shared" si="80"/>
        <v>20</v>
      </c>
      <c r="H324" s="9">
        <v>1</v>
      </c>
      <c r="I324" s="9">
        <v>20</v>
      </c>
      <c r="K324" s="9" t="s">
        <v>689</v>
      </c>
      <c r="M324" s="9">
        <v>0</v>
      </c>
      <c r="N324" s="9">
        <v>15</v>
      </c>
      <c r="O324" s="141"/>
      <c r="S324" s="9" t="s">
        <v>688</v>
      </c>
      <c r="V324" s="9">
        <f ca="1">IFERROR(OFFSET(ITEM_RES!$A$5,MATCH(BUILDING!U324,ITEM_RES!$J$5:$J$229,0)-1,0),0)</f>
        <v>0</v>
      </c>
      <c r="Y324" s="9">
        <f ca="1">IFERROR(OFFSET(ITEM_RES!$A$5,MATCH(BUILDING!X324,ITEM_RES!$J$5:$J$229,0)-1,0),0)</f>
        <v>0</v>
      </c>
      <c r="AA324" s="9" t="s">
        <v>512</v>
      </c>
      <c r="AB324" s="9">
        <v>20</v>
      </c>
      <c r="AD324" s="11">
        <f ca="1">IFERROR(OFFSET(MANOR_LEVEL!$B$1,MATCH(AE324-1,MANOR_LEVEL!$A:$A,0)-1,0),0)</f>
        <v>50404400</v>
      </c>
      <c r="AE324" s="56">
        <v>16</v>
      </c>
      <c r="AG324" s="56">
        <f t="shared" ca="1" si="84"/>
        <v>394001500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394001500</v>
      </c>
      <c r="AI324" s="179">
        <f t="shared" ca="1" si="94"/>
        <v>640502750</v>
      </c>
      <c r="AK324" s="11">
        <f t="shared" si="95"/>
        <v>25200</v>
      </c>
      <c r="AL324" s="10">
        <v>25200</v>
      </c>
      <c r="AM324" s="11">
        <f t="shared" si="82"/>
        <v>1500</v>
      </c>
      <c r="AN324" s="10">
        <v>1500</v>
      </c>
      <c r="AO324" s="11">
        <v>10000000</v>
      </c>
      <c r="AP324" s="10">
        <v>0</v>
      </c>
      <c r="AQ324" s="56">
        <f t="shared" si="96"/>
        <v>1</v>
      </c>
      <c r="AS324" s="11">
        <f ca="1">IFERROR(OFFSET(ITEM_RES!$A$1,MATCH(AT324,ITEM_RES!$J:$J,0)-1,0),0)</f>
        <v>211020901</v>
      </c>
      <c r="AT324" s="10" t="s">
        <v>437</v>
      </c>
      <c r="AU324" s="11">
        <v>32000000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78"/>
        <v>111080001</v>
      </c>
      <c r="B325" s="20">
        <v>11</v>
      </c>
      <c r="C325" s="19">
        <f t="shared" si="79"/>
        <v>1</v>
      </c>
      <c r="D325" s="20">
        <v>8</v>
      </c>
      <c r="E325" s="20">
        <v>0</v>
      </c>
      <c r="F325" s="19">
        <f t="shared" si="80"/>
        <v>1</v>
      </c>
      <c r="G325" s="78"/>
      <c r="H325" s="16">
        <v>1</v>
      </c>
      <c r="I325" s="16">
        <v>1</v>
      </c>
      <c r="J325" s="78"/>
      <c r="K325" s="16" t="s">
        <v>902</v>
      </c>
      <c r="L325" s="16">
        <v>4</v>
      </c>
      <c r="M325" s="16">
        <v>1</v>
      </c>
      <c r="N325" s="16">
        <v>15</v>
      </c>
      <c r="O325" s="16" t="s">
        <v>1132</v>
      </c>
      <c r="P325" s="17"/>
      <c r="Q325" s="17"/>
      <c r="R325" s="18"/>
      <c r="S325" s="16" t="s">
        <v>690</v>
      </c>
      <c r="T325" s="78"/>
      <c r="U325" s="86"/>
      <c r="V325" s="16">
        <f ca="1">IFERROR(OFFSET(ITEM_RES!$A$5,MATCH(BUILDING!U325,ITEM_RES!$J$5:$J$229,0)-1,0),0)</f>
        <v>0</v>
      </c>
      <c r="W325" s="18"/>
      <c r="X325" s="86"/>
      <c r="Y325" s="16">
        <f ca="1">IFERROR(OFFSET(ITEM_RES!$A$5,MATCH(BUILDING!X325,ITEM_RES!$J$5:$J$229,0)-1,0),0)</f>
        <v>0</v>
      </c>
      <c r="Z325" s="78"/>
      <c r="AA325" s="16" t="s">
        <v>513</v>
      </c>
      <c r="AB325" s="16">
        <v>1</v>
      </c>
      <c r="AC325" s="78"/>
      <c r="AD325" s="18">
        <f ca="1">IFERROR(OFFSET(MANOR_LEVEL!$B$1,MATCH(AE325-1,MANOR_LEVEL!$A:$A,0)-1,0),0)</f>
        <v>108200</v>
      </c>
      <c r="AE325" s="57">
        <v>7</v>
      </c>
      <c r="AF325" s="78"/>
      <c r="AG325" s="57">
        <f t="shared" ca="1" si="84"/>
        <v>1505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1505</v>
      </c>
      <c r="AI325" s="181">
        <f ca="1">AG325</f>
        <v>1505</v>
      </c>
      <c r="AJ325" s="78"/>
      <c r="AK325" s="18">
        <f t="shared" si="95"/>
        <v>5</v>
      </c>
      <c r="AL325" s="17">
        <v>5</v>
      </c>
      <c r="AM325" s="18">
        <f t="shared" si="82"/>
        <v>5</v>
      </c>
      <c r="AN325" s="17">
        <v>5</v>
      </c>
      <c r="AO325" s="18">
        <f t="shared" si="82"/>
        <v>0</v>
      </c>
      <c r="AP325" s="17">
        <v>0</v>
      </c>
      <c r="AQ325" s="57">
        <f t="shared" si="96"/>
        <v>2</v>
      </c>
      <c r="AR325" s="18"/>
      <c r="AS325" s="18">
        <f ca="1">IFERROR(OFFSET(ITEM_RES!$A$1,MATCH(AT325,ITEM_RES!$J:$J,0)-1,0),0)</f>
        <v>211020801</v>
      </c>
      <c r="AT325" s="17" t="s">
        <v>429</v>
      </c>
      <c r="AU325" s="18">
        <v>50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445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78"/>
        <v>111080002</v>
      </c>
      <c r="B326" s="13">
        <v>11</v>
      </c>
      <c r="C326" s="12">
        <f t="shared" si="79"/>
        <v>1</v>
      </c>
      <c r="D326" s="13">
        <v>8</v>
      </c>
      <c r="E326" s="13">
        <v>0</v>
      </c>
      <c r="F326" s="12">
        <f t="shared" si="80"/>
        <v>2</v>
      </c>
      <c r="H326" s="9">
        <v>1</v>
      </c>
      <c r="I326" s="9">
        <v>2</v>
      </c>
      <c r="K326" s="9" t="s">
        <v>902</v>
      </c>
      <c r="M326" s="9">
        <v>1</v>
      </c>
      <c r="N326" s="9">
        <v>15</v>
      </c>
      <c r="O326" s="9" t="s">
        <v>1133</v>
      </c>
      <c r="S326" s="9" t="s">
        <v>690</v>
      </c>
      <c r="V326" s="9">
        <f ca="1">IFERROR(OFFSET(ITEM_RES!$A$5,MATCH(BUILDING!U326,ITEM_RES!$J$5:$J$229,0)-1,0),0)</f>
        <v>0</v>
      </c>
      <c r="Y326" s="9">
        <f ca="1">IFERROR(OFFSET(ITEM_RES!$A$5,MATCH(BUILDING!X326,ITEM_RES!$J$5:$J$229,0)-1,0),0)</f>
        <v>0</v>
      </c>
      <c r="AA326" s="9" t="s">
        <v>513</v>
      </c>
      <c r="AB326" s="9">
        <v>2</v>
      </c>
      <c r="AD326" s="11">
        <f ca="1">IFERROR(OFFSET(MANOR_LEVEL!$B$1,MATCH(AE326-1,MANOR_LEVEL!$A:$A,0)-1,0),0)</f>
        <v>240400</v>
      </c>
      <c r="AE326" s="56">
        <v>8</v>
      </c>
      <c r="AG326" s="56">
        <f t="shared" ca="1" si="84"/>
        <v>1010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1010</v>
      </c>
      <c r="AI326" s="179">
        <f ca="1">AG325+AG326</f>
        <v>2515</v>
      </c>
      <c r="AK326" s="11">
        <f t="shared" si="95"/>
        <v>10</v>
      </c>
      <c r="AL326" s="10">
        <v>10</v>
      </c>
      <c r="AM326" s="11">
        <f t="shared" si="82"/>
        <v>10</v>
      </c>
      <c r="AN326" s="10">
        <v>10</v>
      </c>
      <c r="AO326" s="11">
        <f t="shared" si="82"/>
        <v>0</v>
      </c>
      <c r="AP326" s="10">
        <v>0</v>
      </c>
      <c r="AQ326" s="56">
        <f t="shared" si="96"/>
        <v>1</v>
      </c>
      <c r="AS326" s="11">
        <f ca="1">IFERROR(OFFSET(ITEM_RES!$A$1,MATCH(AT326,ITEM_RES!$J:$J,0)-1,0),0)</f>
        <v>211020801</v>
      </c>
      <c r="AT326" s="10" t="s">
        <v>429</v>
      </c>
      <c r="AU326" s="11">
        <v>100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78"/>
        <v>111080003</v>
      </c>
      <c r="B327" s="13">
        <v>11</v>
      </c>
      <c r="C327" s="12">
        <f t="shared" si="79"/>
        <v>1</v>
      </c>
      <c r="D327" s="13">
        <v>8</v>
      </c>
      <c r="E327" s="13">
        <v>0</v>
      </c>
      <c r="F327" s="12">
        <f t="shared" si="80"/>
        <v>3</v>
      </c>
      <c r="H327" s="9">
        <v>1</v>
      </c>
      <c r="I327" s="9">
        <v>3</v>
      </c>
      <c r="K327" s="9" t="s">
        <v>902</v>
      </c>
      <c r="M327" s="9">
        <v>1</v>
      </c>
      <c r="N327" s="9">
        <v>15</v>
      </c>
      <c r="O327" s="9" t="s">
        <v>1134</v>
      </c>
      <c r="S327" s="9" t="s">
        <v>690</v>
      </c>
      <c r="V327" s="9">
        <f ca="1">IFERROR(OFFSET(ITEM_RES!$A$5,MATCH(BUILDING!U327,ITEM_RES!$J$5:$J$229,0)-1,0),0)</f>
        <v>0</v>
      </c>
      <c r="Y327" s="9">
        <f ca="1">IFERROR(OFFSET(ITEM_RES!$A$5,MATCH(BUILDING!X327,ITEM_RES!$J$5:$J$229,0)-1,0),0)</f>
        <v>0</v>
      </c>
      <c r="AA327" s="9" t="s">
        <v>513</v>
      </c>
      <c r="AB327" s="9">
        <v>3</v>
      </c>
      <c r="AD327" s="11">
        <f ca="1">IFERROR(OFFSET(MANOR_LEVEL!$B$1,MATCH(AE327-1,MANOR_LEVEL!$A:$A,0)-1,0),0)</f>
        <v>630500</v>
      </c>
      <c r="AE327" s="56">
        <v>9</v>
      </c>
      <c r="AG327" s="56">
        <f t="shared" ca="1" si="84"/>
        <v>1515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1515</v>
      </c>
      <c r="AI327" s="179">
        <f t="shared" ref="AI327:AI344" ca="1" si="97">AG326+AG327</f>
        <v>2525</v>
      </c>
      <c r="AK327" s="11">
        <f t="shared" si="95"/>
        <v>30</v>
      </c>
      <c r="AL327" s="10">
        <v>30</v>
      </c>
      <c r="AM327" s="11">
        <f t="shared" si="82"/>
        <v>15</v>
      </c>
      <c r="AN327" s="10">
        <v>15</v>
      </c>
      <c r="AO327" s="11">
        <f t="shared" si="82"/>
        <v>0</v>
      </c>
      <c r="AP327" s="10">
        <v>0</v>
      </c>
      <c r="AQ327" s="56">
        <f t="shared" si="96"/>
        <v>1</v>
      </c>
      <c r="AS327" s="11">
        <f ca="1">IFERROR(OFFSET(ITEM_RES!$A$1,MATCH(AT327,ITEM_RES!$J:$J,0)-1,0),0)</f>
        <v>211020801</v>
      </c>
      <c r="AT327" s="10" t="s">
        <v>429</v>
      </c>
      <c r="AU327" s="11">
        <v>150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78"/>
        <v>111080004</v>
      </c>
      <c r="B328" s="13">
        <v>11</v>
      </c>
      <c r="C328" s="12">
        <f t="shared" si="79"/>
        <v>1</v>
      </c>
      <c r="D328" s="13">
        <v>8</v>
      </c>
      <c r="E328" s="13">
        <v>0</v>
      </c>
      <c r="F328" s="12">
        <f t="shared" si="80"/>
        <v>4</v>
      </c>
      <c r="H328" s="9">
        <v>1</v>
      </c>
      <c r="I328" s="9">
        <v>4</v>
      </c>
      <c r="K328" s="9" t="s">
        <v>902</v>
      </c>
      <c r="M328" s="9">
        <v>1</v>
      </c>
      <c r="N328" s="9">
        <v>15</v>
      </c>
      <c r="O328" s="9" t="s">
        <v>1135</v>
      </c>
      <c r="S328" s="9" t="s">
        <v>690</v>
      </c>
      <c r="V328" s="9">
        <f ca="1">IFERROR(OFFSET(ITEM_RES!$A$5,MATCH(BUILDING!U328,ITEM_RES!$J$5:$J$229,0)-1,0),0)</f>
        <v>0</v>
      </c>
      <c r="Y328" s="9">
        <f ca="1">IFERROR(OFFSET(ITEM_RES!$A$5,MATCH(BUILDING!X328,ITEM_RES!$J$5:$J$229,0)-1,0),0)</f>
        <v>0</v>
      </c>
      <c r="AA328" s="9" t="s">
        <v>513</v>
      </c>
      <c r="AB328" s="9">
        <v>4</v>
      </c>
      <c r="AD328" s="11">
        <f ca="1">IFERROR(OFFSET(MANOR_LEVEL!$B$1,MATCH(AE328-1,MANOR_LEVEL!$A:$A,0)-1,0),0)</f>
        <v>630500</v>
      </c>
      <c r="AE328" s="56">
        <v>9</v>
      </c>
      <c r="AG328" s="56">
        <f t="shared" ca="1" si="84"/>
        <v>6025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6025</v>
      </c>
      <c r="AI328" s="179">
        <f t="shared" ca="1" si="97"/>
        <v>7540</v>
      </c>
      <c r="AK328" s="11">
        <f t="shared" si="95"/>
        <v>300</v>
      </c>
      <c r="AL328" s="10">
        <v>300</v>
      </c>
      <c r="AM328" s="11">
        <f t="shared" si="82"/>
        <v>25</v>
      </c>
      <c r="AN328" s="10">
        <v>25</v>
      </c>
      <c r="AO328" s="11">
        <f t="shared" si="82"/>
        <v>0</v>
      </c>
      <c r="AP328" s="10">
        <v>0</v>
      </c>
      <c r="AQ328" s="56">
        <f t="shared" si="96"/>
        <v>1</v>
      </c>
      <c r="AS328" s="11">
        <f ca="1">IFERROR(OFFSET(ITEM_RES!$A$1,MATCH(AT328,ITEM_RES!$J:$J,0)-1,0),0)</f>
        <v>211020801</v>
      </c>
      <c r="AT328" s="10" t="s">
        <v>429</v>
      </c>
      <c r="AU328" s="11">
        <v>600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78"/>
        <v>111080005</v>
      </c>
      <c r="B329" s="13">
        <v>11</v>
      </c>
      <c r="C329" s="12">
        <f t="shared" si="79"/>
        <v>1</v>
      </c>
      <c r="D329" s="13">
        <v>8</v>
      </c>
      <c r="E329" s="13">
        <v>0</v>
      </c>
      <c r="F329" s="12">
        <f t="shared" si="80"/>
        <v>5</v>
      </c>
      <c r="H329" s="9">
        <v>1</v>
      </c>
      <c r="I329" s="9">
        <v>5</v>
      </c>
      <c r="K329" s="9" t="s">
        <v>902</v>
      </c>
      <c r="M329" s="9">
        <v>1</v>
      </c>
      <c r="N329" s="9">
        <v>15</v>
      </c>
      <c r="O329" s="9" t="s">
        <v>1136</v>
      </c>
      <c r="S329" s="9" t="s">
        <v>690</v>
      </c>
      <c r="V329" s="9">
        <f ca="1">IFERROR(OFFSET(ITEM_RES!$A$5,MATCH(BUILDING!U329,ITEM_RES!$J$5:$J$229,0)-1,0),0)</f>
        <v>0</v>
      </c>
      <c r="Y329" s="9">
        <f ca="1">IFERROR(OFFSET(ITEM_RES!$A$5,MATCH(BUILDING!X329,ITEM_RES!$J$5:$J$229,0)-1,0),0)</f>
        <v>0</v>
      </c>
      <c r="AA329" s="9" t="s">
        <v>513</v>
      </c>
      <c r="AB329" s="9">
        <v>5</v>
      </c>
      <c r="AD329" s="11">
        <f ca="1">IFERROR(OFFSET(MANOR_LEVEL!$B$1,MATCH(AE329-1,MANOR_LEVEL!$A:$A,0)-1,0),0)</f>
        <v>1170750</v>
      </c>
      <c r="AE329" s="56">
        <v>10</v>
      </c>
      <c r="AG329" s="56">
        <f t="shared" ca="1" si="84"/>
        <v>27040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27040</v>
      </c>
      <c r="AI329" s="179">
        <f t="shared" ca="1" si="97"/>
        <v>33065</v>
      </c>
      <c r="AK329" s="11">
        <f t="shared" si="95"/>
        <v>600</v>
      </c>
      <c r="AL329" s="10">
        <v>600</v>
      </c>
      <c r="AM329" s="11">
        <f t="shared" si="82"/>
        <v>40</v>
      </c>
      <c r="AN329" s="10">
        <v>40</v>
      </c>
      <c r="AO329" s="11">
        <f t="shared" si="82"/>
        <v>0</v>
      </c>
      <c r="AP329" s="10">
        <v>0</v>
      </c>
      <c r="AQ329" s="56">
        <f t="shared" si="96"/>
        <v>1</v>
      </c>
      <c r="AS329" s="11">
        <f ca="1">IFERROR(OFFSET(ITEM_RES!$A$1,MATCH(AT329,ITEM_RES!$J:$J,0)-1,0),0)</f>
        <v>211020801</v>
      </c>
      <c r="AT329" s="10" t="s">
        <v>429</v>
      </c>
      <c r="AU329" s="11">
        <v>2700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78"/>
        <v>111080006</v>
      </c>
      <c r="B330" s="13">
        <v>11</v>
      </c>
      <c r="C330" s="12">
        <f t="shared" si="79"/>
        <v>1</v>
      </c>
      <c r="D330" s="13">
        <v>8</v>
      </c>
      <c r="E330" s="13">
        <v>0</v>
      </c>
      <c r="F330" s="12">
        <f t="shared" si="80"/>
        <v>6</v>
      </c>
      <c r="H330" s="9">
        <v>1</v>
      </c>
      <c r="I330" s="9">
        <v>6</v>
      </c>
      <c r="K330" s="9" t="s">
        <v>902</v>
      </c>
      <c r="M330" s="9">
        <v>1</v>
      </c>
      <c r="N330" s="9">
        <v>15</v>
      </c>
      <c r="O330" s="9" t="s">
        <v>1137</v>
      </c>
      <c r="S330" s="9" t="s">
        <v>690</v>
      </c>
      <c r="V330" s="9">
        <f ca="1">IFERROR(OFFSET(ITEM_RES!$A$5,MATCH(BUILDING!U330,ITEM_RES!$J$5:$J$229,0)-1,0),0)</f>
        <v>0</v>
      </c>
      <c r="Y330" s="9">
        <f ca="1">IFERROR(OFFSET(ITEM_RES!$A$5,MATCH(BUILDING!X330,ITEM_RES!$J$5:$J$229,0)-1,0),0)</f>
        <v>0</v>
      </c>
      <c r="AA330" s="9" t="s">
        <v>513</v>
      </c>
      <c r="AB330" s="9">
        <v>6</v>
      </c>
      <c r="AD330" s="11">
        <f ca="1">IFERROR(OFFSET(MANOR_LEVEL!$B$1,MATCH(AE330-1,MANOR_LEVEL!$A:$A,0)-1,0),0)</f>
        <v>1170750</v>
      </c>
      <c r="AE330" s="56">
        <v>10</v>
      </c>
      <c r="AG330" s="56">
        <f t="shared" ca="1" si="84"/>
        <v>90050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90050</v>
      </c>
      <c r="AI330" s="179">
        <f t="shared" ca="1" si="97"/>
        <v>117090</v>
      </c>
      <c r="AK330" s="11">
        <f t="shared" si="95"/>
        <v>1200</v>
      </c>
      <c r="AL330" s="10">
        <v>1200</v>
      </c>
      <c r="AM330" s="11">
        <f t="shared" si="82"/>
        <v>50</v>
      </c>
      <c r="AN330" s="10">
        <v>50</v>
      </c>
      <c r="AO330" s="11">
        <f t="shared" si="82"/>
        <v>0</v>
      </c>
      <c r="AP330" s="10">
        <v>0</v>
      </c>
      <c r="AQ330" s="56">
        <f t="shared" si="96"/>
        <v>1</v>
      </c>
      <c r="AS330" s="11">
        <f ca="1">IFERROR(OFFSET(ITEM_RES!$A$1,MATCH(AT330,ITEM_RES!$J:$J,0)-1,0),0)</f>
        <v>211020801</v>
      </c>
      <c r="AT330" s="10" t="s">
        <v>429</v>
      </c>
      <c r="AU330" s="11">
        <v>9000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78"/>
        <v>111080007</v>
      </c>
      <c r="B331" s="13">
        <v>11</v>
      </c>
      <c r="C331" s="12">
        <f t="shared" si="79"/>
        <v>1</v>
      </c>
      <c r="D331" s="13">
        <v>8</v>
      </c>
      <c r="E331" s="13">
        <v>0</v>
      </c>
      <c r="F331" s="12">
        <f t="shared" si="80"/>
        <v>7</v>
      </c>
      <c r="H331" s="9">
        <v>1</v>
      </c>
      <c r="I331" s="9">
        <v>7</v>
      </c>
      <c r="K331" s="9" t="s">
        <v>902</v>
      </c>
      <c r="M331" s="9">
        <v>1</v>
      </c>
      <c r="N331" s="9">
        <v>15</v>
      </c>
      <c r="O331" s="9" t="s">
        <v>1138</v>
      </c>
      <c r="S331" s="9" t="s">
        <v>690</v>
      </c>
      <c r="V331" s="9">
        <f ca="1">IFERROR(OFFSET(ITEM_RES!$A$5,MATCH(BUILDING!U331,ITEM_RES!$J$5:$J$229,0)-1,0),0)</f>
        <v>0</v>
      </c>
      <c r="Y331" s="9">
        <f ca="1">IFERROR(OFFSET(ITEM_RES!$A$5,MATCH(BUILDING!X331,ITEM_RES!$J$5:$J$229,0)-1,0),0)</f>
        <v>0</v>
      </c>
      <c r="AA331" s="9" t="s">
        <v>513</v>
      </c>
      <c r="AB331" s="9">
        <v>7</v>
      </c>
      <c r="AD331" s="11">
        <f ca="1">IFERROR(OFFSET(MANOR_LEVEL!$B$1,MATCH(AE331-1,MANOR_LEVEL!$A:$A,0)-1,0),0)</f>
        <v>1956000</v>
      </c>
      <c r="AE331" s="56">
        <v>11</v>
      </c>
      <c r="AG331" s="56">
        <f t="shared" ca="1" si="84"/>
        <v>200100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200100</v>
      </c>
      <c r="AI331" s="179">
        <f t="shared" ca="1" si="97"/>
        <v>290150</v>
      </c>
      <c r="AK331" s="11">
        <f t="shared" si="95"/>
        <v>1800</v>
      </c>
      <c r="AL331" s="10">
        <v>1800</v>
      </c>
      <c r="AM331" s="11">
        <f t="shared" si="82"/>
        <v>100</v>
      </c>
      <c r="AN331" s="10">
        <v>100</v>
      </c>
      <c r="AO331" s="11">
        <f t="shared" si="82"/>
        <v>0</v>
      </c>
      <c r="AP331" s="10">
        <v>0</v>
      </c>
      <c r="AQ331" s="56">
        <f t="shared" si="96"/>
        <v>1</v>
      </c>
      <c r="AS331" s="11">
        <f ca="1">IFERROR(OFFSET(ITEM_RES!$A$1,MATCH(AT331,ITEM_RES!$J:$J,0)-1,0),0)</f>
        <v>211020801</v>
      </c>
      <c r="AT331" s="10" t="s">
        <v>429</v>
      </c>
      <c r="AU331" s="11">
        <v>20000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78"/>
        <v>111080008</v>
      </c>
      <c r="B332" s="13">
        <v>11</v>
      </c>
      <c r="C332" s="12">
        <f t="shared" si="79"/>
        <v>1</v>
      </c>
      <c r="D332" s="13">
        <v>8</v>
      </c>
      <c r="E332" s="13">
        <v>0</v>
      </c>
      <c r="F332" s="12">
        <f t="shared" si="80"/>
        <v>8</v>
      </c>
      <c r="H332" s="9">
        <v>1</v>
      </c>
      <c r="I332" s="9">
        <v>8</v>
      </c>
      <c r="K332" s="9" t="s">
        <v>902</v>
      </c>
      <c r="M332" s="9">
        <v>1</v>
      </c>
      <c r="N332" s="9">
        <v>15</v>
      </c>
      <c r="O332" s="9" t="s">
        <v>1138</v>
      </c>
      <c r="S332" s="9" t="s">
        <v>690</v>
      </c>
      <c r="V332" s="9">
        <f ca="1">IFERROR(OFFSET(ITEM_RES!$A$5,MATCH(BUILDING!U332,ITEM_RES!$J$5:$J$229,0)-1,0),0)</f>
        <v>0</v>
      </c>
      <c r="Y332" s="9">
        <f ca="1">IFERROR(OFFSET(ITEM_RES!$A$5,MATCH(BUILDING!X332,ITEM_RES!$J$5:$J$229,0)-1,0),0)</f>
        <v>0</v>
      </c>
      <c r="AA332" s="9" t="s">
        <v>513</v>
      </c>
      <c r="AB332" s="9">
        <v>8</v>
      </c>
      <c r="AD332" s="11">
        <f ca="1">IFERROR(OFFSET(MANOR_LEVEL!$B$1,MATCH(AE332-1,MANOR_LEVEL!$A:$A,0)-1,0),0)</f>
        <v>3961500</v>
      </c>
      <c r="AE332" s="56">
        <v>12</v>
      </c>
      <c r="AG332" s="56">
        <f t="shared" ca="1" si="84"/>
        <v>420100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420100</v>
      </c>
      <c r="AI332" s="179">
        <f t="shared" ca="1" si="97"/>
        <v>620200</v>
      </c>
      <c r="AK332" s="11">
        <f t="shared" si="95"/>
        <v>3600</v>
      </c>
      <c r="AL332" s="10">
        <v>3600</v>
      </c>
      <c r="AM332" s="11">
        <f t="shared" si="82"/>
        <v>100</v>
      </c>
      <c r="AN332" s="10">
        <v>100</v>
      </c>
      <c r="AO332" s="11">
        <f t="shared" si="82"/>
        <v>0</v>
      </c>
      <c r="AP332" s="10">
        <v>0</v>
      </c>
      <c r="AQ332" s="56">
        <f t="shared" si="96"/>
        <v>1</v>
      </c>
      <c r="AS332" s="11">
        <f ca="1">IFERROR(OFFSET(ITEM_RES!$A$1,MATCH(AT332,ITEM_RES!$J:$J,0)-1,0),0)</f>
        <v>211020801</v>
      </c>
      <c r="AT332" s="10" t="s">
        <v>429</v>
      </c>
      <c r="AU332" s="11">
        <v>42000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78"/>
        <v>111080009</v>
      </c>
      <c r="B333" s="13">
        <v>11</v>
      </c>
      <c r="C333" s="12">
        <f t="shared" si="79"/>
        <v>1</v>
      </c>
      <c r="D333" s="13">
        <v>8</v>
      </c>
      <c r="E333" s="13">
        <v>0</v>
      </c>
      <c r="F333" s="12">
        <f t="shared" si="80"/>
        <v>9</v>
      </c>
      <c r="H333" s="9">
        <v>1</v>
      </c>
      <c r="I333" s="9">
        <v>9</v>
      </c>
      <c r="K333" s="9" t="s">
        <v>902</v>
      </c>
      <c r="M333" s="9">
        <v>1</v>
      </c>
      <c r="N333" s="9">
        <v>15</v>
      </c>
      <c r="O333" s="9" t="s">
        <v>1138</v>
      </c>
      <c r="S333" s="9" t="s">
        <v>690</v>
      </c>
      <c r="V333" s="9">
        <f ca="1">IFERROR(OFFSET(ITEM_RES!$A$5,MATCH(BUILDING!U333,ITEM_RES!$J$5:$J$229,0)-1,0),0)</f>
        <v>0</v>
      </c>
      <c r="Y333" s="9">
        <f ca="1">IFERROR(OFFSET(ITEM_RES!$A$5,MATCH(BUILDING!X333,ITEM_RES!$J$5:$J$229,0)-1,0),0)</f>
        <v>0</v>
      </c>
      <c r="AA333" s="9" t="s">
        <v>513</v>
      </c>
      <c r="AB333" s="9">
        <v>9</v>
      </c>
      <c r="AD333" s="11">
        <f ca="1">IFERROR(OFFSET(MANOR_LEVEL!$B$1,MATCH(AE333-1,MANOR_LEVEL!$A:$A,0)-1,0),0)</f>
        <v>7772100</v>
      </c>
      <c r="AE333" s="56">
        <v>13</v>
      </c>
      <c r="AG333" s="56">
        <f t="shared" ca="1" si="84"/>
        <v>780150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780150</v>
      </c>
      <c r="AI333" s="179">
        <f t="shared" ca="1" si="97"/>
        <v>1200250</v>
      </c>
      <c r="AK333" s="11">
        <f t="shared" si="95"/>
        <v>5400</v>
      </c>
      <c r="AL333" s="10">
        <v>5400</v>
      </c>
      <c r="AM333" s="11">
        <f t="shared" si="82"/>
        <v>150</v>
      </c>
      <c r="AN333" s="10">
        <v>150</v>
      </c>
      <c r="AO333" s="11">
        <f t="shared" si="82"/>
        <v>0</v>
      </c>
      <c r="AP333" s="10">
        <v>0</v>
      </c>
      <c r="AQ333" s="56">
        <f t="shared" si="96"/>
        <v>1</v>
      </c>
      <c r="AS333" s="11">
        <f ca="1">IFERROR(OFFSET(ITEM_RES!$A$1,MATCH(AT333,ITEM_RES!$J:$J,0)-1,0),0)</f>
        <v>211020801</v>
      </c>
      <c r="AT333" s="10" t="s">
        <v>429</v>
      </c>
      <c r="AU333" s="11">
        <v>78000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78"/>
        <v>111080010</v>
      </c>
      <c r="B334" s="13">
        <v>11</v>
      </c>
      <c r="C334" s="12">
        <f t="shared" si="79"/>
        <v>1</v>
      </c>
      <c r="D334" s="13">
        <v>8</v>
      </c>
      <c r="E334" s="13">
        <v>0</v>
      </c>
      <c r="F334" s="12">
        <f t="shared" si="80"/>
        <v>10</v>
      </c>
      <c r="H334" s="9">
        <v>1</v>
      </c>
      <c r="I334" s="9">
        <v>10</v>
      </c>
      <c r="K334" s="9" t="s">
        <v>902</v>
      </c>
      <c r="M334" s="9">
        <v>1</v>
      </c>
      <c r="N334" s="9">
        <v>15</v>
      </c>
      <c r="O334" s="9" t="s">
        <v>1138</v>
      </c>
      <c r="S334" s="9" t="s">
        <v>690</v>
      </c>
      <c r="V334" s="9">
        <f ca="1">IFERROR(OFFSET(ITEM_RES!$A$5,MATCH(BUILDING!U334,ITEM_RES!$J$5:$J$229,0)-1,0),0)</f>
        <v>0</v>
      </c>
      <c r="Y334" s="9">
        <f ca="1">IFERROR(OFFSET(ITEM_RES!$A$5,MATCH(BUILDING!X334,ITEM_RES!$J$5:$J$229,0)-1,0),0)</f>
        <v>0</v>
      </c>
      <c r="AA334" s="9" t="s">
        <v>513</v>
      </c>
      <c r="AB334" s="9">
        <v>10</v>
      </c>
      <c r="AD334" s="11">
        <f ca="1">IFERROR(OFFSET(MANOR_LEVEL!$B$1,MATCH(AE334-1,MANOR_LEVEL!$A:$A,0)-1,0),0)</f>
        <v>7772100</v>
      </c>
      <c r="AE334" s="56">
        <v>13</v>
      </c>
      <c r="AG334" s="56">
        <f t="shared" ca="1" si="84"/>
        <v>1300200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1300200</v>
      </c>
      <c r="AI334" s="179">
        <f t="shared" ca="1" si="97"/>
        <v>2080350</v>
      </c>
      <c r="AK334" s="11">
        <f t="shared" si="95"/>
        <v>7200</v>
      </c>
      <c r="AL334" s="10">
        <v>7200</v>
      </c>
      <c r="AM334" s="11">
        <f t="shared" si="82"/>
        <v>200</v>
      </c>
      <c r="AN334" s="10">
        <v>200</v>
      </c>
      <c r="AO334" s="11">
        <f t="shared" si="82"/>
        <v>0</v>
      </c>
      <c r="AP334" s="10">
        <v>0</v>
      </c>
      <c r="AQ334" s="56">
        <f t="shared" si="96"/>
        <v>1</v>
      </c>
      <c r="AS334" s="11">
        <f ca="1">IFERROR(OFFSET(ITEM_RES!$A$1,MATCH(AT334,ITEM_RES!$J:$J,0)-1,0),0)</f>
        <v>211020801</v>
      </c>
      <c r="AT334" s="10" t="s">
        <v>429</v>
      </c>
      <c r="AU334" s="11">
        <v>130000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78"/>
        <v>111080011</v>
      </c>
      <c r="B335" s="13">
        <v>11</v>
      </c>
      <c r="C335" s="12">
        <f t="shared" si="79"/>
        <v>1</v>
      </c>
      <c r="D335" s="13">
        <v>8</v>
      </c>
      <c r="E335" s="13">
        <v>0</v>
      </c>
      <c r="F335" s="12">
        <f t="shared" si="80"/>
        <v>11</v>
      </c>
      <c r="H335" s="9">
        <v>1</v>
      </c>
      <c r="I335" s="9">
        <v>11</v>
      </c>
      <c r="K335" s="9" t="s">
        <v>902</v>
      </c>
      <c r="M335" s="9">
        <v>1</v>
      </c>
      <c r="N335" s="9">
        <v>15</v>
      </c>
      <c r="O335" s="9" t="s">
        <v>1138</v>
      </c>
      <c r="S335" s="9" t="s">
        <v>690</v>
      </c>
      <c r="V335" s="9">
        <f ca="1">IFERROR(OFFSET(ITEM_RES!$A$5,MATCH(BUILDING!U335,ITEM_RES!$J$5:$J$229,0)-1,0),0)</f>
        <v>0</v>
      </c>
      <c r="Y335" s="9">
        <f ca="1">IFERROR(OFFSET(ITEM_RES!$A$5,MATCH(BUILDING!X335,ITEM_RES!$J$5:$J$229,0)-1,0),0)</f>
        <v>0</v>
      </c>
      <c r="AA335" s="9" t="s">
        <v>513</v>
      </c>
      <c r="AB335" s="9">
        <v>11</v>
      </c>
      <c r="AD335" s="11">
        <f ca="1">IFERROR(OFFSET(MANOR_LEVEL!$B$1,MATCH(AE335-1,MANOR_LEVEL!$A:$A,0)-1,0),0)</f>
        <v>13022450</v>
      </c>
      <c r="AE335" s="56">
        <v>14</v>
      </c>
      <c r="AG335" s="56">
        <f t="shared" ca="1" si="84"/>
        <v>2200750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2200750</v>
      </c>
      <c r="AI335" s="179">
        <f t="shared" ca="1" si="97"/>
        <v>3500950</v>
      </c>
      <c r="AK335" s="11">
        <f t="shared" si="95"/>
        <v>9000</v>
      </c>
      <c r="AL335" s="10">
        <v>9000</v>
      </c>
      <c r="AM335" s="11">
        <f t="shared" si="82"/>
        <v>250</v>
      </c>
      <c r="AN335" s="10">
        <v>250</v>
      </c>
      <c r="AO335" s="11">
        <v>500</v>
      </c>
      <c r="AP335" s="10">
        <v>0</v>
      </c>
      <c r="AQ335" s="56">
        <f t="shared" si="96"/>
        <v>1</v>
      </c>
      <c r="AS335" s="11">
        <f ca="1">IFERROR(OFFSET(ITEM_RES!$A$1,MATCH(AT335,ITEM_RES!$J:$J,0)-1,0),0)</f>
        <v>211020801</v>
      </c>
      <c r="AT335" s="10" t="s">
        <v>429</v>
      </c>
      <c r="AU335" s="11">
        <v>220000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78"/>
        <v>111080012</v>
      </c>
      <c r="B336" s="13">
        <v>11</v>
      </c>
      <c r="C336" s="12">
        <f t="shared" si="79"/>
        <v>1</v>
      </c>
      <c r="D336" s="13">
        <v>8</v>
      </c>
      <c r="E336" s="13">
        <v>0</v>
      </c>
      <c r="F336" s="12">
        <f t="shared" si="80"/>
        <v>12</v>
      </c>
      <c r="H336" s="9">
        <v>1</v>
      </c>
      <c r="I336" s="9">
        <v>12</v>
      </c>
      <c r="K336" s="9" t="s">
        <v>902</v>
      </c>
      <c r="M336" s="9">
        <v>1</v>
      </c>
      <c r="N336" s="9">
        <v>15</v>
      </c>
      <c r="O336" s="9" t="s">
        <v>1138</v>
      </c>
      <c r="S336" s="9" t="s">
        <v>690</v>
      </c>
      <c r="V336" s="9">
        <f ca="1">IFERROR(OFFSET(ITEM_RES!$A$5,MATCH(BUILDING!U336,ITEM_RES!$J$5:$J$229,0)-1,0),0)</f>
        <v>0</v>
      </c>
      <c r="Y336" s="9">
        <f ca="1">IFERROR(OFFSET(ITEM_RES!$A$5,MATCH(BUILDING!X336,ITEM_RES!$J$5:$J$229,0)-1,0),0)</f>
        <v>0</v>
      </c>
      <c r="AA336" s="9" t="s">
        <v>513</v>
      </c>
      <c r="AB336" s="9">
        <v>12</v>
      </c>
      <c r="AD336" s="11">
        <f ca="1">IFERROR(OFFSET(MANOR_LEVEL!$B$1,MATCH(AE336-1,MANOR_LEVEL!$A:$A,0)-1,0),0)</f>
        <v>23283600</v>
      </c>
      <c r="AE336" s="56">
        <v>15</v>
      </c>
      <c r="AG336" s="56">
        <f t="shared" ca="1" si="84"/>
        <v>3706300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3706300</v>
      </c>
      <c r="AI336" s="179">
        <f t="shared" ca="1" si="97"/>
        <v>5907050</v>
      </c>
      <c r="AK336" s="11">
        <f t="shared" si="95"/>
        <v>10800</v>
      </c>
      <c r="AL336" s="10">
        <v>10800</v>
      </c>
      <c r="AM336" s="11">
        <f t="shared" si="82"/>
        <v>300</v>
      </c>
      <c r="AN336" s="10">
        <v>300</v>
      </c>
      <c r="AO336" s="11">
        <v>6000</v>
      </c>
      <c r="AP336" s="10">
        <v>0</v>
      </c>
      <c r="AQ336" s="56">
        <f t="shared" si="96"/>
        <v>1</v>
      </c>
      <c r="AS336" s="11">
        <f ca="1">IFERROR(OFFSET(ITEM_RES!$A$1,MATCH(AT336,ITEM_RES!$J:$J,0)-1,0),0)</f>
        <v>211020801</v>
      </c>
      <c r="AT336" s="10" t="s">
        <v>429</v>
      </c>
      <c r="AU336" s="11">
        <v>370000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78"/>
        <v>111080013</v>
      </c>
      <c r="B337" s="13">
        <v>11</v>
      </c>
      <c r="C337" s="12">
        <f t="shared" si="79"/>
        <v>1</v>
      </c>
      <c r="D337" s="13">
        <v>8</v>
      </c>
      <c r="E337" s="13">
        <v>0</v>
      </c>
      <c r="F337" s="12">
        <f t="shared" si="80"/>
        <v>13</v>
      </c>
      <c r="H337" s="9">
        <v>1</v>
      </c>
      <c r="I337" s="9">
        <v>13</v>
      </c>
      <c r="K337" s="9" t="s">
        <v>902</v>
      </c>
      <c r="M337" s="9">
        <v>1</v>
      </c>
      <c r="N337" s="9">
        <v>15</v>
      </c>
      <c r="O337" s="9" t="s">
        <v>1138</v>
      </c>
      <c r="S337" s="9" t="s">
        <v>690</v>
      </c>
      <c r="V337" s="9">
        <f ca="1">IFERROR(OFFSET(ITEM_RES!$A$5,MATCH(BUILDING!U337,ITEM_RES!$J$5:$J$229,0)-1,0),0)</f>
        <v>0</v>
      </c>
      <c r="Y337" s="9">
        <f ca="1">IFERROR(OFFSET(ITEM_RES!$A$5,MATCH(BUILDING!X337,ITEM_RES!$J$5:$J$229,0)-1,0),0)</f>
        <v>0</v>
      </c>
      <c r="AA337" s="9" t="s">
        <v>513</v>
      </c>
      <c r="AB337" s="9">
        <v>13</v>
      </c>
      <c r="AD337" s="11">
        <f ca="1">IFERROR(OFFSET(MANOR_LEVEL!$B$1,MATCH(AE337-1,MANOR_LEVEL!$A:$A,0)-1,0),0)</f>
        <v>50404400</v>
      </c>
      <c r="AE337" s="56">
        <v>16</v>
      </c>
      <c r="AG337" s="56">
        <f t="shared" ca="1" si="84"/>
        <v>6239350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6239350</v>
      </c>
      <c r="AI337" s="179">
        <f t="shared" ca="1" si="97"/>
        <v>9945650</v>
      </c>
      <c r="AK337" s="11">
        <f t="shared" si="95"/>
        <v>12600</v>
      </c>
      <c r="AL337" s="10">
        <v>12600</v>
      </c>
      <c r="AM337" s="11">
        <f t="shared" si="82"/>
        <v>350</v>
      </c>
      <c r="AN337" s="10">
        <v>350</v>
      </c>
      <c r="AO337" s="11">
        <v>39000</v>
      </c>
      <c r="AP337" s="10">
        <v>0</v>
      </c>
      <c r="AQ337" s="56">
        <f t="shared" si="96"/>
        <v>1</v>
      </c>
      <c r="AS337" s="11">
        <f ca="1">IFERROR(OFFSET(ITEM_RES!$A$1,MATCH(AT337,ITEM_RES!$J:$J,0)-1,0),0)</f>
        <v>211020801</v>
      </c>
      <c r="AT337" s="10" t="s">
        <v>429</v>
      </c>
      <c r="AU337" s="11">
        <v>620000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78"/>
        <v>111080014</v>
      </c>
      <c r="B338" s="13">
        <v>11</v>
      </c>
      <c r="C338" s="12">
        <f t="shared" si="79"/>
        <v>1</v>
      </c>
      <c r="D338" s="13">
        <v>8</v>
      </c>
      <c r="E338" s="13">
        <v>0</v>
      </c>
      <c r="F338" s="12">
        <f t="shared" si="80"/>
        <v>14</v>
      </c>
      <c r="H338" s="9">
        <v>1</v>
      </c>
      <c r="I338" s="9">
        <v>14</v>
      </c>
      <c r="K338" s="9" t="s">
        <v>902</v>
      </c>
      <c r="M338" s="9">
        <v>1</v>
      </c>
      <c r="N338" s="9">
        <v>15</v>
      </c>
      <c r="O338" s="9" t="s">
        <v>1138</v>
      </c>
      <c r="S338" s="9" t="s">
        <v>690</v>
      </c>
      <c r="V338" s="9">
        <f ca="1">IFERROR(OFFSET(ITEM_RES!$A$5,MATCH(BUILDING!U338,ITEM_RES!$J$5:$J$229,0)-1,0),0)</f>
        <v>0</v>
      </c>
      <c r="Y338" s="9">
        <f ca="1">IFERROR(OFFSET(ITEM_RES!$A$5,MATCH(BUILDING!X338,ITEM_RES!$J$5:$J$229,0)-1,0),0)</f>
        <v>0</v>
      </c>
      <c r="AA338" s="9" t="s">
        <v>513</v>
      </c>
      <c r="AB338" s="9">
        <v>14</v>
      </c>
      <c r="AD338" s="11">
        <f ca="1">IFERROR(OFFSET(MANOR_LEVEL!$B$1,MATCH(AE338-1,MANOR_LEVEL!$A:$A,0)-1,0),0)</f>
        <v>119976300</v>
      </c>
      <c r="AE338" s="56">
        <v>17</v>
      </c>
      <c r="AG338" s="56">
        <f t="shared" ca="1" si="84"/>
        <v>10011450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10011450</v>
      </c>
      <c r="AI338" s="179">
        <f t="shared" ca="1" si="97"/>
        <v>16250800</v>
      </c>
      <c r="AK338" s="11">
        <f t="shared" si="95"/>
        <v>14400</v>
      </c>
      <c r="AL338" s="10">
        <v>14400</v>
      </c>
      <c r="AM338" s="11">
        <f t="shared" si="82"/>
        <v>450</v>
      </c>
      <c r="AN338" s="10">
        <v>450</v>
      </c>
      <c r="AO338" s="11">
        <v>310000</v>
      </c>
      <c r="AP338" s="10">
        <v>0</v>
      </c>
      <c r="AQ338" s="56">
        <f t="shared" si="96"/>
        <v>2</v>
      </c>
      <c r="AS338" s="11">
        <f ca="1">IFERROR(OFFSET(ITEM_RES!$A$1,MATCH(AT338,ITEM_RES!$J:$J,0)-1,0),0)</f>
        <v>211020801</v>
      </c>
      <c r="AT338" s="10" t="s">
        <v>429</v>
      </c>
      <c r="AU338" s="11">
        <v>970000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457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78"/>
        <v>111080015</v>
      </c>
      <c r="B339" s="13">
        <v>11</v>
      </c>
      <c r="C339" s="12">
        <f t="shared" si="79"/>
        <v>1</v>
      </c>
      <c r="D339" s="13">
        <v>8</v>
      </c>
      <c r="E339" s="13">
        <v>0</v>
      </c>
      <c r="F339" s="12">
        <f t="shared" si="80"/>
        <v>15</v>
      </c>
      <c r="H339" s="9">
        <v>1</v>
      </c>
      <c r="I339" s="9">
        <v>15</v>
      </c>
      <c r="K339" s="9" t="s">
        <v>902</v>
      </c>
      <c r="M339" s="9">
        <v>1</v>
      </c>
      <c r="N339" s="9">
        <v>15</v>
      </c>
      <c r="O339" s="9" t="s">
        <v>1138</v>
      </c>
      <c r="S339" s="9" t="s">
        <v>690</v>
      </c>
      <c r="V339" s="9">
        <f ca="1">IFERROR(OFFSET(ITEM_RES!$A$5,MATCH(BUILDING!U339,ITEM_RES!$J$5:$J$229,0)-1,0),0)</f>
        <v>0</v>
      </c>
      <c r="Y339" s="9">
        <f ca="1">IFERROR(OFFSET(ITEM_RES!$A$5,MATCH(BUILDING!X339,ITEM_RES!$J$5:$J$229,0)-1,0),0)</f>
        <v>0</v>
      </c>
      <c r="AA339" s="9" t="s">
        <v>513</v>
      </c>
      <c r="AB339" s="9">
        <v>15</v>
      </c>
      <c r="AD339" s="11">
        <f ca="1">IFERROR(OFFSET(MANOR_LEVEL!$B$1,MATCH(AE339-1,MANOR_LEVEL!$A:$A,0)-1,0),0)</f>
        <v>223207650</v>
      </c>
      <c r="AE339" s="56">
        <v>18</v>
      </c>
      <c r="AG339" s="56">
        <f t="shared" ca="1" si="84"/>
        <v>21485550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21485550</v>
      </c>
      <c r="AI339" s="179">
        <f t="shared" ca="1" si="97"/>
        <v>31497000</v>
      </c>
      <c r="AK339" s="11">
        <f t="shared" si="95"/>
        <v>16200</v>
      </c>
      <c r="AL339" s="10">
        <v>16200</v>
      </c>
      <c r="AM339" s="11">
        <f t="shared" si="82"/>
        <v>550</v>
      </c>
      <c r="AN339" s="10">
        <v>550</v>
      </c>
      <c r="AO339" s="11">
        <v>485000</v>
      </c>
      <c r="AP339" s="10">
        <v>0</v>
      </c>
      <c r="AQ339" s="56">
        <f t="shared" si="96"/>
        <v>1</v>
      </c>
      <c r="AS339" s="11">
        <f ca="1">IFERROR(OFFSET(ITEM_RES!$A$1,MATCH(AT339,ITEM_RES!$J:$J,0)-1,0),0)</f>
        <v>211020801</v>
      </c>
      <c r="AT339" s="10" t="s">
        <v>429</v>
      </c>
      <c r="AU339" s="11">
        <v>2100000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78"/>
        <v>111080016</v>
      </c>
      <c r="B340" s="13">
        <v>11</v>
      </c>
      <c r="C340" s="12">
        <f t="shared" si="79"/>
        <v>1</v>
      </c>
      <c r="D340" s="13">
        <v>8</v>
      </c>
      <c r="E340" s="13">
        <v>0</v>
      </c>
      <c r="F340" s="12">
        <f t="shared" si="80"/>
        <v>16</v>
      </c>
      <c r="H340" s="9">
        <v>1</v>
      </c>
      <c r="I340" s="9">
        <v>16</v>
      </c>
      <c r="K340" s="9" t="s">
        <v>902</v>
      </c>
      <c r="M340" s="9">
        <v>0</v>
      </c>
      <c r="N340" s="9">
        <v>15</v>
      </c>
      <c r="O340" s="9" t="s">
        <v>1138</v>
      </c>
      <c r="S340" s="9" t="s">
        <v>690</v>
      </c>
      <c r="V340" s="9">
        <f ca="1">IFERROR(OFFSET(ITEM_RES!$A$5,MATCH(BUILDING!U340,ITEM_RES!$J$5:$J$229,0)-1,0),0)</f>
        <v>0</v>
      </c>
      <c r="Y340" s="9">
        <f ca="1">IFERROR(OFFSET(ITEM_RES!$A$5,MATCH(BUILDING!X340,ITEM_RES!$J$5:$J$229,0)-1,0),0)</f>
        <v>0</v>
      </c>
      <c r="AA340" s="9" t="s">
        <v>513</v>
      </c>
      <c r="AB340" s="9">
        <v>16</v>
      </c>
      <c r="AD340" s="11">
        <f ca="1">IFERROR(OFFSET(MANOR_LEVEL!$B$1,MATCH(AE340-1,MANOR_LEVEL!$A:$A,0)-1,0),0)</f>
        <v>223207650</v>
      </c>
      <c r="AE340" s="56">
        <v>18</v>
      </c>
      <c r="AG340" s="56">
        <f t="shared" ca="1" si="84"/>
        <v>44050700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44050700</v>
      </c>
      <c r="AI340" s="179">
        <f t="shared" ca="1" si="97"/>
        <v>65536250</v>
      </c>
      <c r="AK340" s="11">
        <f t="shared" si="95"/>
        <v>18000</v>
      </c>
      <c r="AL340" s="10">
        <v>18000</v>
      </c>
      <c r="AM340" s="11">
        <f t="shared" si="82"/>
        <v>700</v>
      </c>
      <c r="AN340" s="10">
        <v>700</v>
      </c>
      <c r="AO340" s="11">
        <v>1050000</v>
      </c>
      <c r="AP340" s="10">
        <v>0</v>
      </c>
      <c r="AQ340" s="56">
        <f t="shared" si="96"/>
        <v>1</v>
      </c>
      <c r="AS340" s="11">
        <f ca="1">IFERROR(OFFSET(ITEM_RES!$A$1,MATCH(AT340,ITEM_RES!$J:$J,0)-1,0),0)</f>
        <v>211020801</v>
      </c>
      <c r="AT340" s="10" t="s">
        <v>429</v>
      </c>
      <c r="AU340" s="11">
        <v>4300000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98">B341*10000000+C341*1000000+D341*10000+E341*100+F341</f>
        <v>111080017</v>
      </c>
      <c r="B341" s="13">
        <v>11</v>
      </c>
      <c r="C341" s="12">
        <f t="shared" ref="C341:C404" si="99">H341</f>
        <v>1</v>
      </c>
      <c r="D341" s="13">
        <v>8</v>
      </c>
      <c r="E341" s="13">
        <v>0</v>
      </c>
      <c r="F341" s="12">
        <f t="shared" ref="F341:F404" si="100">I341</f>
        <v>17</v>
      </c>
      <c r="H341" s="9">
        <v>1</v>
      </c>
      <c r="I341" s="9">
        <v>17</v>
      </c>
      <c r="K341" s="9" t="s">
        <v>902</v>
      </c>
      <c r="M341" s="9">
        <v>0</v>
      </c>
      <c r="N341" s="9">
        <v>15</v>
      </c>
      <c r="O341" s="9" t="s">
        <v>1138</v>
      </c>
      <c r="S341" s="9" t="s">
        <v>690</v>
      </c>
      <c r="V341" s="9">
        <f ca="1">IFERROR(OFFSET(ITEM_RES!$A$5,MATCH(BUILDING!U341,ITEM_RES!$J$5:$J$229,0)-1,0),0)</f>
        <v>0</v>
      </c>
      <c r="Y341" s="9">
        <f ca="1">IFERROR(OFFSET(ITEM_RES!$A$5,MATCH(BUILDING!X341,ITEM_RES!$J$5:$J$229,0)-1,0),0)</f>
        <v>0</v>
      </c>
      <c r="AA341" s="9" t="s">
        <v>513</v>
      </c>
      <c r="AB341" s="9">
        <v>17</v>
      </c>
      <c r="AD341" s="11">
        <f ca="1">IFERROR(OFFSET(MANOR_LEVEL!$B$1,MATCH(AE341-1,MANOR_LEVEL!$A:$A,0)-1,0),0)</f>
        <v>223207650</v>
      </c>
      <c r="AE341" s="56">
        <v>18</v>
      </c>
      <c r="AG341" s="56">
        <f t="shared" ca="1" si="84"/>
        <v>82150850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82150850</v>
      </c>
      <c r="AI341" s="179">
        <f t="shared" ca="1" si="97"/>
        <v>126201550</v>
      </c>
      <c r="AK341" s="11">
        <f t="shared" si="95"/>
        <v>19800</v>
      </c>
      <c r="AL341" s="10">
        <v>19800</v>
      </c>
      <c r="AM341" s="11">
        <f t="shared" si="82"/>
        <v>850</v>
      </c>
      <c r="AN341" s="10">
        <v>850</v>
      </c>
      <c r="AO341" s="11">
        <v>2150000</v>
      </c>
      <c r="AP341" s="10">
        <v>0</v>
      </c>
      <c r="AQ341" s="56">
        <f t="shared" si="96"/>
        <v>1</v>
      </c>
      <c r="AS341" s="11">
        <f ca="1">IFERROR(OFFSET(ITEM_RES!$A$1,MATCH(AT341,ITEM_RES!$J:$J,0)-1,0),0)</f>
        <v>211020801</v>
      </c>
      <c r="AT341" s="10" t="s">
        <v>429</v>
      </c>
      <c r="AU341" s="11">
        <v>8000000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98"/>
        <v>111080018</v>
      </c>
      <c r="B342" s="13">
        <v>11</v>
      </c>
      <c r="C342" s="12">
        <f t="shared" si="99"/>
        <v>1</v>
      </c>
      <c r="D342" s="13">
        <v>8</v>
      </c>
      <c r="E342" s="13">
        <v>0</v>
      </c>
      <c r="F342" s="12">
        <f t="shared" si="100"/>
        <v>18</v>
      </c>
      <c r="H342" s="9">
        <v>1</v>
      </c>
      <c r="I342" s="9">
        <v>18</v>
      </c>
      <c r="K342" s="9" t="s">
        <v>902</v>
      </c>
      <c r="M342" s="9">
        <v>0</v>
      </c>
      <c r="N342" s="9">
        <v>15</v>
      </c>
      <c r="O342" s="9" t="s">
        <v>1138</v>
      </c>
      <c r="S342" s="9" t="s">
        <v>690</v>
      </c>
      <c r="V342" s="9">
        <f ca="1">IFERROR(OFFSET(ITEM_RES!$A$5,MATCH(BUILDING!U342,ITEM_RES!$J$5:$J$229,0)-1,0),0)</f>
        <v>0</v>
      </c>
      <c r="Y342" s="9">
        <f ca="1">IFERROR(OFFSET(ITEM_RES!$A$5,MATCH(BUILDING!X342,ITEM_RES!$J$5:$J$229,0)-1,0),0)</f>
        <v>0</v>
      </c>
      <c r="AA342" s="9" t="s">
        <v>513</v>
      </c>
      <c r="AB342" s="9">
        <v>18</v>
      </c>
      <c r="AD342" s="11">
        <f ca="1">IFERROR(OFFSET(MANOR_LEVEL!$B$1,MATCH(AE342-1,MANOR_LEVEL!$A:$A,0)-1,0),0)</f>
        <v>223207650</v>
      </c>
      <c r="AE342" s="56">
        <v>18</v>
      </c>
      <c r="AG342" s="56">
        <f t="shared" ca="1" si="84"/>
        <v>134001050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134001050</v>
      </c>
      <c r="AI342" s="179">
        <f t="shared" ca="1" si="97"/>
        <v>216151900</v>
      </c>
      <c r="AK342" s="11">
        <f t="shared" si="95"/>
        <v>21600</v>
      </c>
      <c r="AL342" s="10">
        <v>21600</v>
      </c>
      <c r="AM342" s="11">
        <f t="shared" ref="AM342:AO404" si="101">ROUND(AN342,0)</f>
        <v>1050</v>
      </c>
      <c r="AN342" s="10">
        <v>1050</v>
      </c>
      <c r="AO342" s="11">
        <v>4000000</v>
      </c>
      <c r="AP342" s="10">
        <v>0</v>
      </c>
      <c r="AQ342" s="56">
        <f t="shared" si="96"/>
        <v>1</v>
      </c>
      <c r="AS342" s="11">
        <f ca="1">IFERROR(OFFSET(ITEM_RES!$A$1,MATCH(AT342,ITEM_RES!$J:$J,0)-1,0),0)</f>
        <v>211020801</v>
      </c>
      <c r="AT342" s="10" t="s">
        <v>429</v>
      </c>
      <c r="AU342" s="11">
        <v>13000000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98"/>
        <v>111080019</v>
      </c>
      <c r="B343" s="13">
        <v>11</v>
      </c>
      <c r="C343" s="12">
        <f t="shared" si="99"/>
        <v>1</v>
      </c>
      <c r="D343" s="13">
        <v>8</v>
      </c>
      <c r="E343" s="13">
        <v>0</v>
      </c>
      <c r="F343" s="12">
        <f t="shared" si="100"/>
        <v>19</v>
      </c>
      <c r="H343" s="9">
        <v>1</v>
      </c>
      <c r="I343" s="9">
        <v>19</v>
      </c>
      <c r="K343" s="9" t="s">
        <v>902</v>
      </c>
      <c r="M343" s="9">
        <v>0</v>
      </c>
      <c r="N343" s="9">
        <v>15</v>
      </c>
      <c r="O343" s="9" t="s">
        <v>1138</v>
      </c>
      <c r="S343" s="9" t="s">
        <v>690</v>
      </c>
      <c r="V343" s="9">
        <f ca="1">IFERROR(OFFSET(ITEM_RES!$A$5,MATCH(BUILDING!U343,ITEM_RES!$J$5:$J$229,0)-1,0),0)</f>
        <v>0</v>
      </c>
      <c r="Y343" s="9">
        <f ca="1">IFERROR(OFFSET(ITEM_RES!$A$5,MATCH(BUILDING!X343,ITEM_RES!$J$5:$J$229,0)-1,0),0)</f>
        <v>0</v>
      </c>
      <c r="AA343" s="9" t="s">
        <v>513</v>
      </c>
      <c r="AB343" s="9">
        <v>19</v>
      </c>
      <c r="AD343" s="11">
        <f ca="1">IFERROR(OFFSET(MANOR_LEVEL!$B$1,MATCH(AE343-1,MANOR_LEVEL!$A:$A,0)-1,0),0)</f>
        <v>223207650</v>
      </c>
      <c r="AE343" s="56">
        <v>18</v>
      </c>
      <c r="AG343" s="56">
        <f t="shared" ca="1" si="84"/>
        <v>246501250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246501250</v>
      </c>
      <c r="AI343" s="179">
        <f t="shared" ca="1" si="97"/>
        <v>380502300</v>
      </c>
      <c r="AK343" s="11">
        <f t="shared" si="95"/>
        <v>23400</v>
      </c>
      <c r="AL343" s="10">
        <v>23400</v>
      </c>
      <c r="AM343" s="11">
        <f t="shared" si="101"/>
        <v>1250</v>
      </c>
      <c r="AN343" s="10">
        <v>1250</v>
      </c>
      <c r="AO343" s="11">
        <v>6500000</v>
      </c>
      <c r="AP343" s="10">
        <v>0</v>
      </c>
      <c r="AQ343" s="56">
        <f t="shared" si="96"/>
        <v>1</v>
      </c>
      <c r="AS343" s="11">
        <f ca="1">IFERROR(OFFSET(ITEM_RES!$A$1,MATCH(AT343,ITEM_RES!$J:$J,0)-1,0),0)</f>
        <v>211020901</v>
      </c>
      <c r="AT343" s="10" t="s">
        <v>437</v>
      </c>
      <c r="AU343" s="11">
        <v>20000000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98"/>
        <v>111080020</v>
      </c>
      <c r="B344" s="13">
        <v>11</v>
      </c>
      <c r="C344" s="12">
        <f t="shared" si="99"/>
        <v>1</v>
      </c>
      <c r="D344" s="13">
        <v>8</v>
      </c>
      <c r="E344" s="13">
        <v>0</v>
      </c>
      <c r="F344" s="12">
        <f t="shared" si="100"/>
        <v>20</v>
      </c>
      <c r="H344" s="9">
        <v>1</v>
      </c>
      <c r="I344" s="9">
        <v>20</v>
      </c>
      <c r="K344" s="9" t="s">
        <v>902</v>
      </c>
      <c r="M344" s="9">
        <v>0</v>
      </c>
      <c r="N344" s="9">
        <v>15</v>
      </c>
      <c r="O344" s="9" t="s">
        <v>1138</v>
      </c>
      <c r="S344" s="9" t="s">
        <v>690</v>
      </c>
      <c r="V344" s="9">
        <f ca="1">IFERROR(OFFSET(ITEM_RES!$A$5,MATCH(BUILDING!U344,ITEM_RES!$J$5:$J$229,0)-1,0),0)</f>
        <v>0</v>
      </c>
      <c r="Y344" s="9">
        <f ca="1">IFERROR(OFFSET(ITEM_RES!$A$5,MATCH(BUILDING!X344,ITEM_RES!$J$5:$J$229,0)-1,0),0)</f>
        <v>0</v>
      </c>
      <c r="AA344" s="9" t="s">
        <v>513</v>
      </c>
      <c r="AB344" s="9">
        <v>20</v>
      </c>
      <c r="AD344" s="11">
        <f ca="1">IFERROR(OFFSET(MANOR_LEVEL!$B$1,MATCH(AE344-1,MANOR_LEVEL!$A:$A,0)-1,0),0)</f>
        <v>223207650</v>
      </c>
      <c r="AE344" s="56">
        <v>18</v>
      </c>
      <c r="AG344" s="56">
        <f t="shared" ca="1" si="84"/>
        <v>394001500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394001500</v>
      </c>
      <c r="AI344" s="179">
        <f t="shared" ca="1" si="97"/>
        <v>640502750</v>
      </c>
      <c r="AK344" s="11">
        <f t="shared" si="95"/>
        <v>25200</v>
      </c>
      <c r="AL344" s="10">
        <v>25200</v>
      </c>
      <c r="AM344" s="11">
        <f t="shared" si="101"/>
        <v>1500</v>
      </c>
      <c r="AN344" s="10">
        <v>1500</v>
      </c>
      <c r="AO344" s="11">
        <v>10000000</v>
      </c>
      <c r="AP344" s="10">
        <v>0</v>
      </c>
      <c r="AQ344" s="56">
        <f t="shared" si="96"/>
        <v>1</v>
      </c>
      <c r="AS344" s="11">
        <f ca="1">IFERROR(OFFSET(ITEM_RES!$A$1,MATCH(AT344,ITEM_RES!$J:$J,0)-1,0),0)</f>
        <v>211020901</v>
      </c>
      <c r="AT344" s="10" t="s">
        <v>437</v>
      </c>
      <c r="AU344" s="11">
        <v>32000000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98"/>
        <v>112040001</v>
      </c>
      <c r="B345" s="20">
        <v>11</v>
      </c>
      <c r="C345" s="19">
        <f t="shared" si="99"/>
        <v>2</v>
      </c>
      <c r="D345" s="20">
        <v>4</v>
      </c>
      <c r="E345" s="20">
        <v>0</v>
      </c>
      <c r="F345" s="19">
        <f t="shared" si="100"/>
        <v>1</v>
      </c>
      <c r="G345" s="78"/>
      <c r="H345" s="16">
        <v>2</v>
      </c>
      <c r="I345" s="16">
        <v>1</v>
      </c>
      <c r="J345" s="78"/>
      <c r="K345" s="16" t="s">
        <v>366</v>
      </c>
      <c r="L345" s="16">
        <v>10</v>
      </c>
      <c r="M345" s="16">
        <v>1</v>
      </c>
      <c r="N345" s="16">
        <v>15</v>
      </c>
      <c r="O345" s="16" t="s">
        <v>750</v>
      </c>
      <c r="P345" s="17"/>
      <c r="Q345" s="17"/>
      <c r="R345" s="18"/>
      <c r="S345" s="16" t="s">
        <v>691</v>
      </c>
      <c r="T345" s="78"/>
      <c r="U345" s="86" t="s">
        <v>542</v>
      </c>
      <c r="V345" s="16">
        <f ca="1">IFERROR(OFFSET(ITEM_RES!$A$5,MATCH(BUILDING!U345,ITEM_RES!$J$5:$J$229,0)-1,0),0)</f>
        <v>211020601</v>
      </c>
      <c r="W345" s="18">
        <v>2</v>
      </c>
      <c r="X345" s="86" t="s">
        <v>537</v>
      </c>
      <c r="Y345" s="16">
        <f ca="1">IFERROR(OFFSET(ITEM_RES!$A$5,MATCH(BUILDING!X345,ITEM_RES!$J$5:$J$229,0)-1,0),0)</f>
        <v>211020701</v>
      </c>
      <c r="Z345" s="78"/>
      <c r="AA345" s="16" t="s">
        <v>514</v>
      </c>
      <c r="AB345" s="16">
        <v>1</v>
      </c>
      <c r="AC345" s="78"/>
      <c r="AD345" s="18">
        <f ca="1">IFERROR(OFFSET(MANOR_LEVEL!$B$1,MATCH(AE345-1,MANOR_LEVEL!$A:$A,0)-1,0),0)</f>
        <v>1956000</v>
      </c>
      <c r="AE345" s="57">
        <v>11</v>
      </c>
      <c r="AF345" s="78"/>
      <c r="AG345" s="57">
        <f t="shared" ca="1" si="84"/>
        <v>1605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1605</v>
      </c>
      <c r="AI345" s="181">
        <f ca="1">AG345</f>
        <v>1605</v>
      </c>
      <c r="AJ345" s="78"/>
      <c r="AK345" s="18">
        <f t="shared" si="95"/>
        <v>5</v>
      </c>
      <c r="AL345" s="17">
        <v>5</v>
      </c>
      <c r="AM345" s="18">
        <f t="shared" si="101"/>
        <v>5</v>
      </c>
      <c r="AN345" s="17">
        <v>5</v>
      </c>
      <c r="AO345" s="18">
        <v>50</v>
      </c>
      <c r="AP345" s="17">
        <v>0</v>
      </c>
      <c r="AQ345" s="57">
        <f t="shared" si="96"/>
        <v>3</v>
      </c>
      <c r="AR345" s="18"/>
      <c r="AS345" s="18">
        <f ca="1">IFERROR(OFFSET(ITEM_RES!$A$1,MATCH(AT345,ITEM_RES!$J:$J,0)-1,0),0)</f>
        <v>211020401</v>
      </c>
      <c r="AT345" s="17" t="s">
        <v>430</v>
      </c>
      <c r="AU345" s="18">
        <v>50</v>
      </c>
      <c r="AV345" s="17"/>
      <c r="AW345" s="18"/>
      <c r="AX345" s="18">
        <f ca="1">IFERROR(OFFSET(ITEM_RES!$A$1,MATCH(AY345,ITEM_RES!$J:$J,0)-1,0),0)</f>
        <v>211020801</v>
      </c>
      <c r="AY345" s="17" t="s">
        <v>429</v>
      </c>
      <c r="AZ345" s="18">
        <v>50</v>
      </c>
      <c r="BA345" s="17"/>
      <c r="BB345" s="18"/>
      <c r="BC345" s="18">
        <f ca="1">IFERROR(OFFSET(ITEM_RES!$A$1,MATCH(BD345,ITEM_RES!$J:$J,0)-1,0),0)</f>
        <v>213010101</v>
      </c>
      <c r="BD345" s="17" t="s">
        <v>445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98"/>
        <v>112040002</v>
      </c>
      <c r="B346" s="13">
        <v>11</v>
      </c>
      <c r="C346" s="12">
        <f t="shared" si="99"/>
        <v>2</v>
      </c>
      <c r="D346" s="13">
        <v>4</v>
      </c>
      <c r="E346" s="13">
        <v>0</v>
      </c>
      <c r="F346" s="12">
        <f t="shared" si="100"/>
        <v>2</v>
      </c>
      <c r="H346" s="9">
        <v>2</v>
      </c>
      <c r="I346" s="9">
        <v>2</v>
      </c>
      <c r="K346" s="9" t="s">
        <v>366</v>
      </c>
      <c r="M346" s="9">
        <v>1</v>
      </c>
      <c r="N346" s="9">
        <v>15</v>
      </c>
      <c r="O346" s="9" t="s">
        <v>750</v>
      </c>
      <c r="S346" s="9" t="s">
        <v>691</v>
      </c>
      <c r="U346" s="84" t="s">
        <v>542</v>
      </c>
      <c r="V346" s="9">
        <f ca="1">IFERROR(OFFSET(ITEM_RES!$A$5,MATCH(BUILDING!U346,ITEM_RES!$J$5:$J$229,0)-1,0),0)</f>
        <v>211020601</v>
      </c>
      <c r="W346" s="11">
        <v>2</v>
      </c>
      <c r="X346" s="84" t="s">
        <v>537</v>
      </c>
      <c r="Y346" s="9">
        <f ca="1">IFERROR(OFFSET(ITEM_RES!$A$5,MATCH(BUILDING!X346,ITEM_RES!$J$5:$J$229,0)-1,0),0)</f>
        <v>211020701</v>
      </c>
      <c r="AA346" s="9" t="s">
        <v>514</v>
      </c>
      <c r="AB346" s="9">
        <v>2</v>
      </c>
      <c r="AD346" s="11">
        <f ca="1">IFERROR(OFFSET(MANOR_LEVEL!$B$1,MATCH(AE346-1,MANOR_LEVEL!$A:$A,0)-1,0),0)</f>
        <v>1956000</v>
      </c>
      <c r="AE346" s="56">
        <v>11</v>
      </c>
      <c r="AG346" s="56">
        <f t="shared" ca="1" si="84"/>
        <v>1210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1210</v>
      </c>
      <c r="AI346" s="179">
        <f ca="1">AG345+AG346</f>
        <v>2815</v>
      </c>
      <c r="AK346" s="11">
        <f t="shared" si="95"/>
        <v>10</v>
      </c>
      <c r="AL346" s="10">
        <v>10</v>
      </c>
      <c r="AM346" s="11">
        <f t="shared" si="101"/>
        <v>10</v>
      </c>
      <c r="AN346" s="10">
        <v>10</v>
      </c>
      <c r="AO346" s="11">
        <v>100</v>
      </c>
      <c r="AP346" s="10">
        <v>0</v>
      </c>
      <c r="AQ346" s="56">
        <f t="shared" si="96"/>
        <v>2</v>
      </c>
      <c r="AS346" s="11">
        <f ca="1">IFERROR(OFFSET(ITEM_RES!$A$1,MATCH(AT346,ITEM_RES!$J:$J,0)-1,0),0)</f>
        <v>211020401</v>
      </c>
      <c r="AT346" s="10" t="s">
        <v>430</v>
      </c>
      <c r="AU346" s="11">
        <v>100</v>
      </c>
      <c r="AX346" s="11">
        <f ca="1">IFERROR(OFFSET(ITEM_RES!$A$1,MATCH(AY346,ITEM_RES!$J:$J,0)-1,0),0)</f>
        <v>211020801</v>
      </c>
      <c r="AY346" s="10" t="s">
        <v>429</v>
      </c>
      <c r="AZ346" s="11">
        <v>100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98"/>
        <v>112040003</v>
      </c>
      <c r="B347" s="13">
        <v>11</v>
      </c>
      <c r="C347" s="12">
        <f t="shared" si="99"/>
        <v>2</v>
      </c>
      <c r="D347" s="13">
        <v>4</v>
      </c>
      <c r="E347" s="13">
        <v>0</v>
      </c>
      <c r="F347" s="12">
        <f t="shared" si="100"/>
        <v>3</v>
      </c>
      <c r="H347" s="9">
        <v>2</v>
      </c>
      <c r="I347" s="9">
        <v>3</v>
      </c>
      <c r="K347" s="9" t="s">
        <v>366</v>
      </c>
      <c r="M347" s="9">
        <v>1</v>
      </c>
      <c r="N347" s="9">
        <v>15</v>
      </c>
      <c r="O347" s="9" t="s">
        <v>750</v>
      </c>
      <c r="S347" s="9" t="s">
        <v>691</v>
      </c>
      <c r="U347" s="84" t="s">
        <v>542</v>
      </c>
      <c r="V347" s="9">
        <f ca="1">IFERROR(OFFSET(ITEM_RES!$A$5,MATCH(BUILDING!U347,ITEM_RES!$J$5:$J$229,0)-1,0),0)</f>
        <v>211020601</v>
      </c>
      <c r="W347" s="11">
        <v>2</v>
      </c>
      <c r="X347" s="84" t="s">
        <v>537</v>
      </c>
      <c r="Y347" s="9">
        <f ca="1">IFERROR(OFFSET(ITEM_RES!$A$5,MATCH(BUILDING!X347,ITEM_RES!$J$5:$J$229,0)-1,0),0)</f>
        <v>211020701</v>
      </c>
      <c r="AA347" s="9" t="s">
        <v>514</v>
      </c>
      <c r="AB347" s="9">
        <v>3</v>
      </c>
      <c r="AD347" s="11">
        <f ca="1">IFERROR(OFFSET(MANOR_LEVEL!$B$1,MATCH(AE347-1,MANOR_LEVEL!$A:$A,0)-1,0),0)</f>
        <v>3961500</v>
      </c>
      <c r="AE347" s="56">
        <v>12</v>
      </c>
      <c r="AG347" s="56">
        <f t="shared" ca="1" si="84"/>
        <v>1815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1815</v>
      </c>
      <c r="AI347" s="179">
        <f t="shared" ref="AI347:AI364" ca="1" si="102">AG346+AG347</f>
        <v>3025</v>
      </c>
      <c r="AK347" s="11">
        <f t="shared" si="95"/>
        <v>30</v>
      </c>
      <c r="AL347" s="10">
        <v>30</v>
      </c>
      <c r="AM347" s="11">
        <f t="shared" si="101"/>
        <v>15</v>
      </c>
      <c r="AN347" s="10">
        <v>15</v>
      </c>
      <c r="AO347" s="11">
        <v>150</v>
      </c>
      <c r="AP347" s="10">
        <v>0</v>
      </c>
      <c r="AQ347" s="56">
        <f t="shared" si="96"/>
        <v>2</v>
      </c>
      <c r="AS347" s="11">
        <f ca="1">IFERROR(OFFSET(ITEM_RES!$A$1,MATCH(AT347,ITEM_RES!$J:$J,0)-1,0),0)</f>
        <v>211020401</v>
      </c>
      <c r="AT347" s="10" t="s">
        <v>430</v>
      </c>
      <c r="AU347" s="11">
        <v>150</v>
      </c>
      <c r="AX347" s="11">
        <f ca="1">IFERROR(OFFSET(ITEM_RES!$A$1,MATCH(AY347,ITEM_RES!$J:$J,0)-1,0),0)</f>
        <v>211020801</v>
      </c>
      <c r="AY347" s="10" t="s">
        <v>429</v>
      </c>
      <c r="AZ347" s="11">
        <v>150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98"/>
        <v>112040004</v>
      </c>
      <c r="B348" s="13">
        <v>11</v>
      </c>
      <c r="C348" s="12">
        <f t="shared" si="99"/>
        <v>2</v>
      </c>
      <c r="D348" s="13">
        <v>4</v>
      </c>
      <c r="E348" s="13">
        <v>0</v>
      </c>
      <c r="F348" s="12">
        <f t="shared" si="100"/>
        <v>4</v>
      </c>
      <c r="H348" s="9">
        <v>2</v>
      </c>
      <c r="I348" s="9">
        <v>4</v>
      </c>
      <c r="K348" s="9" t="s">
        <v>366</v>
      </c>
      <c r="M348" s="9">
        <v>1</v>
      </c>
      <c r="N348" s="9">
        <v>15</v>
      </c>
      <c r="O348" s="9" t="s">
        <v>750</v>
      </c>
      <c r="S348" s="9" t="s">
        <v>691</v>
      </c>
      <c r="U348" s="84" t="s">
        <v>542</v>
      </c>
      <c r="V348" s="9">
        <f ca="1">IFERROR(OFFSET(ITEM_RES!$A$5,MATCH(BUILDING!U348,ITEM_RES!$J$5:$J$229,0)-1,0),0)</f>
        <v>211020601</v>
      </c>
      <c r="W348" s="11">
        <v>2</v>
      </c>
      <c r="X348" s="84" t="s">
        <v>537</v>
      </c>
      <c r="Y348" s="9">
        <f ca="1">IFERROR(OFFSET(ITEM_RES!$A$5,MATCH(BUILDING!X348,ITEM_RES!$J$5:$J$229,0)-1,0),0)</f>
        <v>211020701</v>
      </c>
      <c r="AA348" s="9" t="s">
        <v>514</v>
      </c>
      <c r="AB348" s="9">
        <v>4</v>
      </c>
      <c r="AD348" s="11">
        <f ca="1">IFERROR(OFFSET(MANOR_LEVEL!$B$1,MATCH(AE348-1,MANOR_LEVEL!$A:$A,0)-1,0),0)</f>
        <v>7772100</v>
      </c>
      <c r="AE348" s="56">
        <v>13</v>
      </c>
      <c r="AG348" s="56">
        <f t="shared" ca="1" si="84"/>
        <v>7225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7225</v>
      </c>
      <c r="AI348" s="179">
        <f t="shared" ca="1" si="102"/>
        <v>9040</v>
      </c>
      <c r="AK348" s="11">
        <f t="shared" si="95"/>
        <v>300</v>
      </c>
      <c r="AL348" s="10">
        <v>300</v>
      </c>
      <c r="AM348" s="11">
        <f t="shared" si="101"/>
        <v>25</v>
      </c>
      <c r="AN348" s="10">
        <v>25</v>
      </c>
      <c r="AO348" s="11">
        <v>600</v>
      </c>
      <c r="AP348" s="10">
        <v>0</v>
      </c>
      <c r="AQ348" s="56">
        <f t="shared" si="96"/>
        <v>2</v>
      </c>
      <c r="AS348" s="11">
        <f ca="1">IFERROR(OFFSET(ITEM_RES!$A$1,MATCH(AT348,ITEM_RES!$J:$J,0)-1,0),0)</f>
        <v>211020401</v>
      </c>
      <c r="AT348" s="10" t="s">
        <v>430</v>
      </c>
      <c r="AU348" s="11">
        <v>600</v>
      </c>
      <c r="AX348" s="11">
        <f ca="1">IFERROR(OFFSET(ITEM_RES!$A$1,MATCH(AY348,ITEM_RES!$J:$J,0)-1,0),0)</f>
        <v>211020801</v>
      </c>
      <c r="AY348" s="10" t="s">
        <v>429</v>
      </c>
      <c r="AZ348" s="11">
        <v>600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98"/>
        <v>112040005</v>
      </c>
      <c r="B349" s="13">
        <v>11</v>
      </c>
      <c r="C349" s="12">
        <f t="shared" si="99"/>
        <v>2</v>
      </c>
      <c r="D349" s="13">
        <v>4</v>
      </c>
      <c r="E349" s="13">
        <v>0</v>
      </c>
      <c r="F349" s="12">
        <f t="shared" si="100"/>
        <v>5</v>
      </c>
      <c r="H349" s="9">
        <v>2</v>
      </c>
      <c r="I349" s="9">
        <v>5</v>
      </c>
      <c r="K349" s="9" t="s">
        <v>366</v>
      </c>
      <c r="M349" s="9">
        <v>1</v>
      </c>
      <c r="N349" s="9">
        <v>15</v>
      </c>
      <c r="O349" s="9" t="s">
        <v>750</v>
      </c>
      <c r="S349" s="9" t="s">
        <v>691</v>
      </c>
      <c r="U349" s="84" t="s">
        <v>542</v>
      </c>
      <c r="V349" s="9">
        <f ca="1">IFERROR(OFFSET(ITEM_RES!$A$5,MATCH(BUILDING!U349,ITEM_RES!$J$5:$J$229,0)-1,0),0)</f>
        <v>211020601</v>
      </c>
      <c r="W349" s="11">
        <v>2</v>
      </c>
      <c r="X349" s="84" t="s">
        <v>537</v>
      </c>
      <c r="Y349" s="9">
        <f ca="1">IFERROR(OFFSET(ITEM_RES!$A$5,MATCH(BUILDING!X349,ITEM_RES!$J$5:$J$229,0)-1,0),0)</f>
        <v>211020701</v>
      </c>
      <c r="AA349" s="9" t="s">
        <v>514</v>
      </c>
      <c r="AB349" s="9">
        <v>5</v>
      </c>
      <c r="AD349" s="11">
        <f ca="1">IFERROR(OFFSET(MANOR_LEVEL!$B$1,MATCH(AE349-1,MANOR_LEVEL!$A:$A,0)-1,0),0)</f>
        <v>7772100</v>
      </c>
      <c r="AE349" s="56">
        <v>13</v>
      </c>
      <c r="AG349" s="56">
        <f t="shared" ca="1" si="84"/>
        <v>32440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32440</v>
      </c>
      <c r="AI349" s="179">
        <f t="shared" ca="1" si="102"/>
        <v>39665</v>
      </c>
      <c r="AK349" s="11">
        <f t="shared" si="95"/>
        <v>600</v>
      </c>
      <c r="AL349" s="10">
        <v>600</v>
      </c>
      <c r="AM349" s="11">
        <f t="shared" si="101"/>
        <v>40</v>
      </c>
      <c r="AN349" s="10">
        <v>40</v>
      </c>
      <c r="AO349" s="11">
        <v>2700</v>
      </c>
      <c r="AP349" s="10">
        <v>0</v>
      </c>
      <c r="AQ349" s="56">
        <f t="shared" si="96"/>
        <v>2</v>
      </c>
      <c r="AS349" s="11">
        <f ca="1">IFERROR(OFFSET(ITEM_RES!$A$1,MATCH(AT349,ITEM_RES!$J:$J,0)-1,0),0)</f>
        <v>211020401</v>
      </c>
      <c r="AT349" s="10" t="s">
        <v>430</v>
      </c>
      <c r="AU349" s="11">
        <v>2700</v>
      </c>
      <c r="AX349" s="11">
        <f ca="1">IFERROR(OFFSET(ITEM_RES!$A$1,MATCH(AY349,ITEM_RES!$J:$J,0)-1,0),0)</f>
        <v>211020801</v>
      </c>
      <c r="AY349" s="10" t="s">
        <v>429</v>
      </c>
      <c r="AZ349" s="11">
        <v>2700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98"/>
        <v>112040006</v>
      </c>
      <c r="B350" s="13">
        <v>11</v>
      </c>
      <c r="C350" s="12">
        <f t="shared" si="99"/>
        <v>2</v>
      </c>
      <c r="D350" s="13">
        <v>4</v>
      </c>
      <c r="E350" s="13">
        <v>0</v>
      </c>
      <c r="F350" s="12">
        <f t="shared" si="100"/>
        <v>6</v>
      </c>
      <c r="H350" s="9">
        <v>2</v>
      </c>
      <c r="I350" s="9">
        <v>6</v>
      </c>
      <c r="K350" s="9" t="s">
        <v>366</v>
      </c>
      <c r="M350" s="9">
        <v>1</v>
      </c>
      <c r="N350" s="9">
        <v>15</v>
      </c>
      <c r="O350" s="9" t="s">
        <v>750</v>
      </c>
      <c r="S350" s="9" t="s">
        <v>691</v>
      </c>
      <c r="U350" s="84" t="s">
        <v>542</v>
      </c>
      <c r="V350" s="9">
        <f ca="1">IFERROR(OFFSET(ITEM_RES!$A$5,MATCH(BUILDING!U350,ITEM_RES!$J$5:$J$229,0)-1,0),0)</f>
        <v>211020601</v>
      </c>
      <c r="W350" s="11">
        <v>2</v>
      </c>
      <c r="X350" s="84" t="s">
        <v>537</v>
      </c>
      <c r="Y350" s="9">
        <f ca="1">IFERROR(OFFSET(ITEM_RES!$A$5,MATCH(BUILDING!X350,ITEM_RES!$J$5:$J$229,0)-1,0),0)</f>
        <v>211020701</v>
      </c>
      <c r="AA350" s="9" t="s">
        <v>514</v>
      </c>
      <c r="AB350" s="9">
        <v>6</v>
      </c>
      <c r="AD350" s="11">
        <f ca="1">IFERROR(OFFSET(MANOR_LEVEL!$B$1,MATCH(AE350-1,MANOR_LEVEL!$A:$A,0)-1,0),0)</f>
        <v>50404400</v>
      </c>
      <c r="AE350" s="56">
        <v>16</v>
      </c>
      <c r="AG350" s="56">
        <f t="shared" ca="1" si="84"/>
        <v>108050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108050</v>
      </c>
      <c r="AI350" s="179">
        <f t="shared" ca="1" si="102"/>
        <v>140490</v>
      </c>
      <c r="AK350" s="11">
        <f t="shared" si="95"/>
        <v>1200</v>
      </c>
      <c r="AL350" s="10">
        <v>1200</v>
      </c>
      <c r="AM350" s="11">
        <f t="shared" si="101"/>
        <v>50</v>
      </c>
      <c r="AN350" s="10">
        <v>50</v>
      </c>
      <c r="AO350" s="11">
        <v>9000</v>
      </c>
      <c r="AP350" s="10">
        <v>0</v>
      </c>
      <c r="AQ350" s="56">
        <f t="shared" si="96"/>
        <v>2</v>
      </c>
      <c r="AS350" s="11">
        <f ca="1">IFERROR(OFFSET(ITEM_RES!$A$1,MATCH(AT350,ITEM_RES!$J:$J,0)-1,0),0)</f>
        <v>211020401</v>
      </c>
      <c r="AT350" s="10" t="s">
        <v>430</v>
      </c>
      <c r="AU350" s="11">
        <v>9000</v>
      </c>
      <c r="AX350" s="11">
        <f ca="1">IFERROR(OFFSET(ITEM_RES!$A$1,MATCH(AY350,ITEM_RES!$J:$J,0)-1,0),0)</f>
        <v>211020801</v>
      </c>
      <c r="AY350" s="10" t="s">
        <v>429</v>
      </c>
      <c r="AZ350" s="11">
        <v>9000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98"/>
        <v>112040007</v>
      </c>
      <c r="B351" s="13">
        <v>11</v>
      </c>
      <c r="C351" s="12">
        <f t="shared" si="99"/>
        <v>2</v>
      </c>
      <c r="D351" s="13">
        <v>4</v>
      </c>
      <c r="E351" s="13">
        <v>0</v>
      </c>
      <c r="F351" s="12">
        <f t="shared" si="100"/>
        <v>7</v>
      </c>
      <c r="H351" s="9">
        <v>2</v>
      </c>
      <c r="I351" s="9">
        <v>7</v>
      </c>
      <c r="K351" s="9" t="s">
        <v>365</v>
      </c>
      <c r="M351" s="9">
        <v>1</v>
      </c>
      <c r="N351" s="9">
        <v>15</v>
      </c>
      <c r="O351" s="9" t="s">
        <v>750</v>
      </c>
      <c r="S351" s="9" t="s">
        <v>691</v>
      </c>
      <c r="U351" s="84" t="s">
        <v>542</v>
      </c>
      <c r="V351" s="9">
        <f ca="1">IFERROR(OFFSET(ITEM_RES!$A$5,MATCH(BUILDING!U351,ITEM_RES!$J$5:$J$229,0)-1,0),0)</f>
        <v>211020601</v>
      </c>
      <c r="W351" s="11">
        <v>2</v>
      </c>
      <c r="X351" s="84" t="s">
        <v>537</v>
      </c>
      <c r="Y351" s="9">
        <f ca="1">IFERROR(OFFSET(ITEM_RES!$A$5,MATCH(BUILDING!X351,ITEM_RES!$J$5:$J$229,0)-1,0),0)</f>
        <v>211020701</v>
      </c>
      <c r="AA351" s="9" t="s">
        <v>514</v>
      </c>
      <c r="AB351" s="9">
        <v>7</v>
      </c>
      <c r="AD351" s="11">
        <f ca="1">IFERROR(OFFSET(MANOR_LEVEL!$B$1,MATCH(AE351-1,MANOR_LEVEL!$A:$A,0)-1,0),0)</f>
        <v>50404400</v>
      </c>
      <c r="AE351" s="56">
        <v>16</v>
      </c>
      <c r="AG351" s="56">
        <f t="shared" ca="1" si="84"/>
        <v>240100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240100</v>
      </c>
      <c r="AI351" s="179">
        <f t="shared" ca="1" si="102"/>
        <v>348150</v>
      </c>
      <c r="AK351" s="11">
        <f t="shared" si="95"/>
        <v>1800</v>
      </c>
      <c r="AL351" s="10">
        <v>1800</v>
      </c>
      <c r="AM351" s="11">
        <f t="shared" si="101"/>
        <v>100</v>
      </c>
      <c r="AN351" s="10">
        <v>100</v>
      </c>
      <c r="AO351" s="11">
        <v>20000</v>
      </c>
      <c r="AP351" s="10">
        <v>0</v>
      </c>
      <c r="AQ351" s="56">
        <f t="shared" si="96"/>
        <v>2</v>
      </c>
      <c r="AS351" s="11">
        <f ca="1">IFERROR(OFFSET(ITEM_RES!$A$1,MATCH(AT351,ITEM_RES!$J:$J,0)-1,0),0)</f>
        <v>211020401</v>
      </c>
      <c r="AT351" s="10" t="s">
        <v>430</v>
      </c>
      <c r="AU351" s="11">
        <v>20000</v>
      </c>
      <c r="AX351" s="11">
        <f ca="1">IFERROR(OFFSET(ITEM_RES!$A$1,MATCH(AY351,ITEM_RES!$J:$J,0)-1,0),0)</f>
        <v>211020801</v>
      </c>
      <c r="AY351" s="10" t="s">
        <v>429</v>
      </c>
      <c r="AZ351" s="11">
        <v>20000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98"/>
        <v>112040008</v>
      </c>
      <c r="B352" s="13">
        <v>11</v>
      </c>
      <c r="C352" s="12">
        <f t="shared" si="99"/>
        <v>2</v>
      </c>
      <c r="D352" s="13">
        <v>4</v>
      </c>
      <c r="E352" s="13">
        <v>0</v>
      </c>
      <c r="F352" s="12">
        <f t="shared" si="100"/>
        <v>8</v>
      </c>
      <c r="H352" s="9">
        <v>2</v>
      </c>
      <c r="I352" s="9">
        <v>8</v>
      </c>
      <c r="K352" s="9" t="s">
        <v>365</v>
      </c>
      <c r="M352" s="9">
        <v>1</v>
      </c>
      <c r="N352" s="9">
        <v>15</v>
      </c>
      <c r="O352" s="9" t="s">
        <v>750</v>
      </c>
      <c r="S352" s="9" t="s">
        <v>691</v>
      </c>
      <c r="U352" s="84" t="s">
        <v>542</v>
      </c>
      <c r="V352" s="9">
        <f ca="1">IFERROR(OFFSET(ITEM_RES!$A$5,MATCH(BUILDING!U352,ITEM_RES!$J$5:$J$229,0)-1,0),0)</f>
        <v>211020601</v>
      </c>
      <c r="W352" s="11">
        <v>2</v>
      </c>
      <c r="X352" s="84" t="s">
        <v>537</v>
      </c>
      <c r="Y352" s="9">
        <f ca="1">IFERROR(OFFSET(ITEM_RES!$A$5,MATCH(BUILDING!X352,ITEM_RES!$J$5:$J$229,0)-1,0),0)</f>
        <v>211020701</v>
      </c>
      <c r="AA352" s="9" t="s">
        <v>514</v>
      </c>
      <c r="AB352" s="9">
        <v>8</v>
      </c>
      <c r="AD352" s="11">
        <f ca="1">IFERROR(OFFSET(MANOR_LEVEL!$B$1,MATCH(AE352-1,MANOR_LEVEL!$A:$A,0)-1,0),0)</f>
        <v>50404400</v>
      </c>
      <c r="AE352" s="56">
        <v>16</v>
      </c>
      <c r="AG352" s="56">
        <f t="shared" ca="1" si="84"/>
        <v>509100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509100</v>
      </c>
      <c r="AI352" s="179">
        <f t="shared" ca="1" si="102"/>
        <v>749200</v>
      </c>
      <c r="AK352" s="11">
        <f t="shared" si="95"/>
        <v>3600</v>
      </c>
      <c r="AL352" s="10">
        <v>3600</v>
      </c>
      <c r="AM352" s="11">
        <f t="shared" si="101"/>
        <v>100</v>
      </c>
      <c r="AN352" s="10">
        <v>100</v>
      </c>
      <c r="AO352" s="11">
        <v>42000</v>
      </c>
      <c r="AP352" s="10">
        <v>0</v>
      </c>
      <c r="AQ352" s="56">
        <f t="shared" si="96"/>
        <v>3</v>
      </c>
      <c r="AS352" s="11">
        <f ca="1">IFERROR(OFFSET(ITEM_RES!$A$1,MATCH(AT352,ITEM_RES!$J:$J,0)-1,0),0)</f>
        <v>211020401</v>
      </c>
      <c r="AT352" s="10" t="s">
        <v>430</v>
      </c>
      <c r="AU352" s="11">
        <v>42000</v>
      </c>
      <c r="AX352" s="11">
        <f ca="1">IFERROR(OFFSET(ITEM_RES!$A$1,MATCH(AY352,ITEM_RES!$J:$J,0)-1,0),0)</f>
        <v>211020801</v>
      </c>
      <c r="AY352" s="10" t="s">
        <v>429</v>
      </c>
      <c r="AZ352" s="11">
        <v>42000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458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98"/>
        <v>112040009</v>
      </c>
      <c r="B353" s="13">
        <v>11</v>
      </c>
      <c r="C353" s="12">
        <f t="shared" si="99"/>
        <v>2</v>
      </c>
      <c r="D353" s="13">
        <v>4</v>
      </c>
      <c r="E353" s="13">
        <v>0</v>
      </c>
      <c r="F353" s="12">
        <f t="shared" si="100"/>
        <v>9</v>
      </c>
      <c r="H353" s="9">
        <v>2</v>
      </c>
      <c r="I353" s="9">
        <v>9</v>
      </c>
      <c r="K353" s="9" t="s">
        <v>365</v>
      </c>
      <c r="M353" s="9">
        <v>1</v>
      </c>
      <c r="N353" s="9">
        <v>15</v>
      </c>
      <c r="O353" s="9" t="s">
        <v>750</v>
      </c>
      <c r="S353" s="9" t="s">
        <v>691</v>
      </c>
      <c r="U353" s="84" t="s">
        <v>542</v>
      </c>
      <c r="V353" s="9">
        <f ca="1">IFERROR(OFFSET(ITEM_RES!$A$5,MATCH(BUILDING!U353,ITEM_RES!$J$5:$J$229,0)-1,0),0)</f>
        <v>211020601</v>
      </c>
      <c r="W353" s="11">
        <v>2</v>
      </c>
      <c r="X353" s="84" t="s">
        <v>537</v>
      </c>
      <c r="Y353" s="9">
        <f ca="1">IFERROR(OFFSET(ITEM_RES!$A$5,MATCH(BUILDING!X353,ITEM_RES!$J$5:$J$229,0)-1,0),0)</f>
        <v>211020701</v>
      </c>
      <c r="AA353" s="9" t="s">
        <v>514</v>
      </c>
      <c r="AB353" s="9">
        <v>9</v>
      </c>
      <c r="AD353" s="11">
        <f ca="1">IFERROR(OFFSET(MANOR_LEVEL!$B$1,MATCH(AE353-1,MANOR_LEVEL!$A:$A,0)-1,0),0)</f>
        <v>50404400</v>
      </c>
      <c r="AE353" s="56">
        <v>16</v>
      </c>
      <c r="AG353" s="56">
        <f t="shared" ca="1" si="84"/>
        <v>951750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951750</v>
      </c>
      <c r="AI353" s="179">
        <f t="shared" ca="1" si="102"/>
        <v>1460850</v>
      </c>
      <c r="AK353" s="11">
        <f t="shared" si="95"/>
        <v>5400</v>
      </c>
      <c r="AL353" s="10">
        <v>5400</v>
      </c>
      <c r="AM353" s="11">
        <f t="shared" si="101"/>
        <v>150</v>
      </c>
      <c r="AN353" s="10">
        <v>150</v>
      </c>
      <c r="AO353" s="11">
        <v>78000</v>
      </c>
      <c r="AP353" s="10">
        <v>0</v>
      </c>
      <c r="AQ353" s="56">
        <f t="shared" si="96"/>
        <v>2</v>
      </c>
      <c r="AS353" s="11">
        <f ca="1">IFERROR(OFFSET(ITEM_RES!$A$1,MATCH(AT353,ITEM_RES!$J:$J,0)-1,0),0)</f>
        <v>211020501</v>
      </c>
      <c r="AT353" s="10" t="s">
        <v>428</v>
      </c>
      <c r="AU353" s="11">
        <v>78000</v>
      </c>
      <c r="AX353" s="11">
        <f ca="1">IFERROR(OFFSET(ITEM_RES!$A$1,MATCH(AY353,ITEM_RES!$J:$J,0)-1,0),0)</f>
        <v>211020801</v>
      </c>
      <c r="AY353" s="10" t="s">
        <v>429</v>
      </c>
      <c r="AZ353" s="11">
        <v>78000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98"/>
        <v>112040010</v>
      </c>
      <c r="B354" s="13">
        <v>11</v>
      </c>
      <c r="C354" s="12">
        <f t="shared" si="99"/>
        <v>2</v>
      </c>
      <c r="D354" s="13">
        <v>4</v>
      </c>
      <c r="E354" s="13">
        <v>0</v>
      </c>
      <c r="F354" s="12">
        <f t="shared" si="100"/>
        <v>10</v>
      </c>
      <c r="H354" s="9">
        <v>2</v>
      </c>
      <c r="I354" s="9">
        <v>10</v>
      </c>
      <c r="K354" s="9" t="s">
        <v>365</v>
      </c>
      <c r="M354" s="9">
        <v>1</v>
      </c>
      <c r="N354" s="9">
        <v>15</v>
      </c>
      <c r="O354" s="9" t="s">
        <v>750</v>
      </c>
      <c r="S354" s="9" t="s">
        <v>691</v>
      </c>
      <c r="U354" s="84" t="s">
        <v>542</v>
      </c>
      <c r="V354" s="9">
        <f ca="1">IFERROR(OFFSET(ITEM_RES!$A$5,MATCH(BUILDING!U354,ITEM_RES!$J$5:$J$229,0)-1,0),0)</f>
        <v>211020601</v>
      </c>
      <c r="W354" s="11">
        <v>2</v>
      </c>
      <c r="X354" s="84" t="s">
        <v>537</v>
      </c>
      <c r="Y354" s="9">
        <f ca="1">IFERROR(OFFSET(ITEM_RES!$A$5,MATCH(BUILDING!X354,ITEM_RES!$J$5:$J$229,0)-1,0),0)</f>
        <v>211020701</v>
      </c>
      <c r="AA354" s="9" t="s">
        <v>514</v>
      </c>
      <c r="AB354" s="9">
        <v>10</v>
      </c>
      <c r="AD354" s="11">
        <f ca="1">IFERROR(OFFSET(MANOR_LEVEL!$B$1,MATCH(AE354-1,MANOR_LEVEL!$A:$A,0)-1,0),0)</f>
        <v>50404400</v>
      </c>
      <c r="AE354" s="56">
        <v>16</v>
      </c>
      <c r="AG354" s="56">
        <f t="shared" ca="1" si="84"/>
        <v>1586200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1586200</v>
      </c>
      <c r="AI354" s="179">
        <f t="shared" ca="1" si="102"/>
        <v>2537950</v>
      </c>
      <c r="AK354" s="11">
        <f t="shared" si="95"/>
        <v>7200</v>
      </c>
      <c r="AL354" s="10">
        <v>7200</v>
      </c>
      <c r="AM354" s="11">
        <f t="shared" si="101"/>
        <v>200</v>
      </c>
      <c r="AN354" s="10">
        <v>200</v>
      </c>
      <c r="AO354" s="11">
        <v>130000</v>
      </c>
      <c r="AP354" s="10">
        <v>0</v>
      </c>
      <c r="AQ354" s="56">
        <f t="shared" si="96"/>
        <v>2</v>
      </c>
      <c r="AS354" s="11">
        <f ca="1">IFERROR(OFFSET(ITEM_RES!$A$1,MATCH(AT354,ITEM_RES!$J:$J,0)-1,0),0)</f>
        <v>211020501</v>
      </c>
      <c r="AT354" s="10" t="s">
        <v>428</v>
      </c>
      <c r="AU354" s="11">
        <v>130000</v>
      </c>
      <c r="AX354" s="11">
        <f ca="1">IFERROR(OFFSET(ITEM_RES!$A$1,MATCH(AY354,ITEM_RES!$J:$J,0)-1,0),0)</f>
        <v>211020801</v>
      </c>
      <c r="AY354" s="10" t="s">
        <v>429</v>
      </c>
      <c r="AZ354" s="11">
        <v>130000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98"/>
        <v>112040011</v>
      </c>
      <c r="B355" s="13">
        <v>11</v>
      </c>
      <c r="C355" s="12">
        <f t="shared" si="99"/>
        <v>2</v>
      </c>
      <c r="D355" s="13">
        <v>4</v>
      </c>
      <c r="E355" s="13">
        <v>0</v>
      </c>
      <c r="F355" s="12">
        <f t="shared" si="100"/>
        <v>11</v>
      </c>
      <c r="H355" s="9">
        <v>2</v>
      </c>
      <c r="I355" s="9">
        <v>11</v>
      </c>
      <c r="K355" s="9" t="s">
        <v>365</v>
      </c>
      <c r="M355" s="9">
        <v>1</v>
      </c>
      <c r="N355" s="9">
        <v>15</v>
      </c>
      <c r="O355" s="9" t="s">
        <v>750</v>
      </c>
      <c r="S355" s="9" t="s">
        <v>691</v>
      </c>
      <c r="U355" s="84" t="s">
        <v>542</v>
      </c>
      <c r="V355" s="9">
        <f ca="1">IFERROR(OFFSET(ITEM_RES!$A$5,MATCH(BUILDING!U355,ITEM_RES!$J$5:$J$229,0)-1,0),0)</f>
        <v>211020601</v>
      </c>
      <c r="W355" s="11">
        <v>2</v>
      </c>
      <c r="X355" s="84" t="s">
        <v>537</v>
      </c>
      <c r="Y355" s="9">
        <f ca="1">IFERROR(OFFSET(ITEM_RES!$A$5,MATCH(BUILDING!X355,ITEM_RES!$J$5:$J$229,0)-1,0),0)</f>
        <v>211020701</v>
      </c>
      <c r="AA355" s="9" t="s">
        <v>514</v>
      </c>
      <c r="AB355" s="9">
        <v>11</v>
      </c>
      <c r="AD355" s="11">
        <f ca="1">IFERROR(OFFSET(MANOR_LEVEL!$B$1,MATCH(AE355-1,MANOR_LEVEL!$A:$A,0)-1,0),0)</f>
        <v>50404400</v>
      </c>
      <c r="AE355" s="56">
        <v>16</v>
      </c>
      <c r="AG355" s="56">
        <f t="shared" ca="1" si="84"/>
        <v>2684250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2684250</v>
      </c>
      <c r="AI355" s="179">
        <f t="shared" ca="1" si="102"/>
        <v>4270450</v>
      </c>
      <c r="AK355" s="11">
        <f t="shared" si="95"/>
        <v>9000</v>
      </c>
      <c r="AL355" s="10">
        <v>9000</v>
      </c>
      <c r="AM355" s="11">
        <f t="shared" si="101"/>
        <v>250</v>
      </c>
      <c r="AN355" s="10">
        <v>250</v>
      </c>
      <c r="AO355" s="11">
        <v>220000</v>
      </c>
      <c r="AP355" s="10">
        <v>0</v>
      </c>
      <c r="AQ355" s="56">
        <f t="shared" si="96"/>
        <v>2</v>
      </c>
      <c r="AS355" s="11">
        <f ca="1">IFERROR(OFFSET(ITEM_RES!$A$1,MATCH(AT355,ITEM_RES!$J:$J,0)-1,0),0)</f>
        <v>211020501</v>
      </c>
      <c r="AT355" s="10" t="s">
        <v>428</v>
      </c>
      <c r="AU355" s="11">
        <v>220000</v>
      </c>
      <c r="AX355" s="11">
        <f ca="1">IFERROR(OFFSET(ITEM_RES!$A$1,MATCH(AY355,ITEM_RES!$J:$J,0)-1,0),0)</f>
        <v>211020801</v>
      </c>
      <c r="AY355" s="10" t="s">
        <v>429</v>
      </c>
      <c r="AZ355" s="11">
        <v>220000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98"/>
        <v>112040012</v>
      </c>
      <c r="B356" s="13">
        <v>11</v>
      </c>
      <c r="C356" s="12">
        <f t="shared" si="99"/>
        <v>2</v>
      </c>
      <c r="D356" s="13">
        <v>4</v>
      </c>
      <c r="E356" s="13">
        <v>0</v>
      </c>
      <c r="F356" s="12">
        <f t="shared" si="100"/>
        <v>12</v>
      </c>
      <c r="H356" s="9">
        <v>2</v>
      </c>
      <c r="I356" s="9">
        <v>12</v>
      </c>
      <c r="K356" s="9" t="s">
        <v>365</v>
      </c>
      <c r="M356" s="9">
        <v>1</v>
      </c>
      <c r="N356" s="9">
        <v>15</v>
      </c>
      <c r="O356" s="9" t="s">
        <v>750</v>
      </c>
      <c r="S356" s="9" t="s">
        <v>691</v>
      </c>
      <c r="U356" s="84" t="s">
        <v>542</v>
      </c>
      <c r="V356" s="9">
        <f ca="1">IFERROR(OFFSET(ITEM_RES!$A$5,MATCH(BUILDING!U356,ITEM_RES!$J$5:$J$229,0)-1,0),0)</f>
        <v>211020601</v>
      </c>
      <c r="W356" s="11">
        <v>2</v>
      </c>
      <c r="X356" s="84" t="s">
        <v>537</v>
      </c>
      <c r="Y356" s="9">
        <f ca="1">IFERROR(OFFSET(ITEM_RES!$A$5,MATCH(BUILDING!X356,ITEM_RES!$J$5:$J$229,0)-1,0),0)</f>
        <v>211020701</v>
      </c>
      <c r="AA356" s="9" t="s">
        <v>514</v>
      </c>
      <c r="AB356" s="9">
        <v>12</v>
      </c>
      <c r="AD356" s="11">
        <f ca="1">IFERROR(OFFSET(MANOR_LEVEL!$B$1,MATCH(AE356-1,MANOR_LEVEL!$A:$A,0)-1,0),0)</f>
        <v>50404400</v>
      </c>
      <c r="AE356" s="56">
        <v>16</v>
      </c>
      <c r="AG356" s="56">
        <f t="shared" ca="1" si="84"/>
        <v>4514300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4514300</v>
      </c>
      <c r="AI356" s="179">
        <f t="shared" ca="1" si="102"/>
        <v>7198550</v>
      </c>
      <c r="AK356" s="11">
        <f t="shared" si="95"/>
        <v>10800</v>
      </c>
      <c r="AL356" s="10">
        <v>10800</v>
      </c>
      <c r="AM356" s="11">
        <f t="shared" si="101"/>
        <v>300</v>
      </c>
      <c r="AN356" s="10">
        <v>300</v>
      </c>
      <c r="AO356" s="11">
        <v>370000</v>
      </c>
      <c r="AP356" s="10">
        <v>0</v>
      </c>
      <c r="AQ356" s="56">
        <f t="shared" si="96"/>
        <v>2</v>
      </c>
      <c r="AS356" s="11">
        <f ca="1">IFERROR(OFFSET(ITEM_RES!$A$1,MATCH(AT356,ITEM_RES!$J:$J,0)-1,0),0)</f>
        <v>211020501</v>
      </c>
      <c r="AT356" s="10" t="s">
        <v>428</v>
      </c>
      <c r="AU356" s="11">
        <v>370000</v>
      </c>
      <c r="AX356" s="11">
        <f ca="1">IFERROR(OFFSET(ITEM_RES!$A$1,MATCH(AY356,ITEM_RES!$J:$J,0)-1,0),0)</f>
        <v>211020801</v>
      </c>
      <c r="AY356" s="10" t="s">
        <v>429</v>
      </c>
      <c r="AZ356" s="11">
        <v>370000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98"/>
        <v>112040013</v>
      </c>
      <c r="B357" s="13">
        <v>11</v>
      </c>
      <c r="C357" s="12">
        <f t="shared" si="99"/>
        <v>2</v>
      </c>
      <c r="D357" s="13">
        <v>4</v>
      </c>
      <c r="E357" s="13">
        <v>0</v>
      </c>
      <c r="F357" s="12">
        <f t="shared" si="100"/>
        <v>13</v>
      </c>
      <c r="H357" s="9">
        <v>2</v>
      </c>
      <c r="I357" s="9">
        <v>13</v>
      </c>
      <c r="K357" s="9" t="s">
        <v>365</v>
      </c>
      <c r="M357" s="9">
        <v>1</v>
      </c>
      <c r="N357" s="9">
        <v>15</v>
      </c>
      <c r="O357" s="9" t="s">
        <v>750</v>
      </c>
      <c r="S357" s="9" t="s">
        <v>691</v>
      </c>
      <c r="U357" s="84" t="s">
        <v>542</v>
      </c>
      <c r="V357" s="9">
        <f ca="1">IFERROR(OFFSET(ITEM_RES!$A$5,MATCH(BUILDING!U357,ITEM_RES!$J$5:$J$229,0)-1,0),0)</f>
        <v>211020601</v>
      </c>
      <c r="W357" s="11">
        <v>2</v>
      </c>
      <c r="X357" s="84" t="s">
        <v>537</v>
      </c>
      <c r="Y357" s="9">
        <f ca="1">IFERROR(OFFSET(ITEM_RES!$A$5,MATCH(BUILDING!X357,ITEM_RES!$J$5:$J$229,0)-1,0),0)</f>
        <v>211020701</v>
      </c>
      <c r="AA357" s="9" t="s">
        <v>514</v>
      </c>
      <c r="AB357" s="9">
        <v>13</v>
      </c>
      <c r="AD357" s="11">
        <f ca="1">IFERROR(OFFSET(MANOR_LEVEL!$B$1,MATCH(AE357-1,MANOR_LEVEL!$A:$A,0)-1,0),0)</f>
        <v>50404400</v>
      </c>
      <c r="AE357" s="56">
        <v>16</v>
      </c>
      <c r="AG357" s="56">
        <f t="shared" ca="1" si="84"/>
        <v>7564350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7564350</v>
      </c>
      <c r="AI357" s="179">
        <f t="shared" ca="1" si="102"/>
        <v>12078650</v>
      </c>
      <c r="AK357" s="11">
        <f t="shared" si="95"/>
        <v>12600</v>
      </c>
      <c r="AL357" s="10">
        <v>12600</v>
      </c>
      <c r="AM357" s="11">
        <f t="shared" si="101"/>
        <v>350</v>
      </c>
      <c r="AN357" s="10">
        <v>350</v>
      </c>
      <c r="AO357" s="11">
        <v>620000</v>
      </c>
      <c r="AP357" s="10">
        <v>0</v>
      </c>
      <c r="AQ357" s="56">
        <f t="shared" si="96"/>
        <v>2</v>
      </c>
      <c r="AS357" s="11">
        <f ca="1">IFERROR(OFFSET(ITEM_RES!$A$1,MATCH(AT357,ITEM_RES!$J:$J,0)-1,0),0)</f>
        <v>211020501</v>
      </c>
      <c r="AT357" s="10" t="s">
        <v>428</v>
      </c>
      <c r="AU357" s="11">
        <v>620000</v>
      </c>
      <c r="AX357" s="11">
        <f ca="1">IFERROR(OFFSET(ITEM_RES!$A$1,MATCH(AY357,ITEM_RES!$J:$J,0)-1,0),0)</f>
        <v>211020801</v>
      </c>
      <c r="AY357" s="10" t="s">
        <v>429</v>
      </c>
      <c r="AZ357" s="11">
        <v>620000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98"/>
        <v>112040014</v>
      </c>
      <c r="B358" s="13">
        <v>11</v>
      </c>
      <c r="C358" s="12">
        <f t="shared" si="99"/>
        <v>2</v>
      </c>
      <c r="D358" s="13">
        <v>4</v>
      </c>
      <c r="E358" s="13">
        <v>0</v>
      </c>
      <c r="F358" s="12">
        <f t="shared" si="100"/>
        <v>14</v>
      </c>
      <c r="H358" s="9">
        <v>2</v>
      </c>
      <c r="I358" s="9">
        <v>14</v>
      </c>
      <c r="K358" s="9" t="s">
        <v>365</v>
      </c>
      <c r="M358" s="9">
        <v>1</v>
      </c>
      <c r="N358" s="9">
        <v>15</v>
      </c>
      <c r="O358" s="9" t="s">
        <v>750</v>
      </c>
      <c r="S358" s="9" t="s">
        <v>691</v>
      </c>
      <c r="U358" s="84" t="s">
        <v>542</v>
      </c>
      <c r="V358" s="9">
        <f ca="1">IFERROR(OFFSET(ITEM_RES!$A$5,MATCH(BUILDING!U358,ITEM_RES!$J$5:$J$229,0)-1,0),0)</f>
        <v>211020601</v>
      </c>
      <c r="W358" s="11">
        <v>2</v>
      </c>
      <c r="X358" s="84" t="s">
        <v>537</v>
      </c>
      <c r="Y358" s="9">
        <f ca="1">IFERROR(OFFSET(ITEM_RES!$A$5,MATCH(BUILDING!X358,ITEM_RES!$J$5:$J$229,0)-1,0),0)</f>
        <v>211020701</v>
      </c>
      <c r="AA358" s="9" t="s">
        <v>514</v>
      </c>
      <c r="AB358" s="9">
        <v>14</v>
      </c>
      <c r="AD358" s="11">
        <f ca="1">IFERROR(OFFSET(MANOR_LEVEL!$B$1,MATCH(AE358-1,MANOR_LEVEL!$A:$A,0)-1,0),0)</f>
        <v>50404400</v>
      </c>
      <c r="AE358" s="56">
        <v>16</v>
      </c>
      <c r="AG358" s="56">
        <f t="shared" ca="1" si="84"/>
        <v>11834450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11834450</v>
      </c>
      <c r="AI358" s="179">
        <f t="shared" ca="1" si="102"/>
        <v>19398800</v>
      </c>
      <c r="AK358" s="11">
        <f t="shared" si="95"/>
        <v>14400</v>
      </c>
      <c r="AL358" s="10">
        <v>14400</v>
      </c>
      <c r="AM358" s="11">
        <f t="shared" si="101"/>
        <v>450</v>
      </c>
      <c r="AN358" s="10">
        <v>450</v>
      </c>
      <c r="AO358" s="11">
        <v>970000</v>
      </c>
      <c r="AP358" s="10">
        <v>0</v>
      </c>
      <c r="AQ358" s="56">
        <f t="shared" si="96"/>
        <v>2</v>
      </c>
      <c r="AS358" s="11">
        <f ca="1">IFERROR(OFFSET(ITEM_RES!$A$1,MATCH(AT358,ITEM_RES!$J:$J,0)-1,0),0)</f>
        <v>211020501</v>
      </c>
      <c r="AT358" s="10" t="s">
        <v>428</v>
      </c>
      <c r="AU358" s="11">
        <v>970000</v>
      </c>
      <c r="AX358" s="11">
        <f ca="1">IFERROR(OFFSET(ITEM_RES!$A$1,MATCH(AY358,ITEM_RES!$J:$J,0)-1,0),0)</f>
        <v>211020801</v>
      </c>
      <c r="AY358" s="10" t="s">
        <v>429</v>
      </c>
      <c r="AZ358" s="11">
        <v>970000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98"/>
        <v>112040015</v>
      </c>
      <c r="B359" s="13">
        <v>11</v>
      </c>
      <c r="C359" s="12">
        <f t="shared" si="99"/>
        <v>2</v>
      </c>
      <c r="D359" s="13">
        <v>4</v>
      </c>
      <c r="E359" s="13">
        <v>0</v>
      </c>
      <c r="F359" s="12">
        <f t="shared" si="100"/>
        <v>15</v>
      </c>
      <c r="H359" s="9">
        <v>2</v>
      </c>
      <c r="I359" s="9">
        <v>15</v>
      </c>
      <c r="K359" s="9" t="s">
        <v>365</v>
      </c>
      <c r="M359" s="9">
        <v>1</v>
      </c>
      <c r="N359" s="9">
        <v>15</v>
      </c>
      <c r="O359" s="9" t="s">
        <v>750</v>
      </c>
      <c r="S359" s="9" t="s">
        <v>691</v>
      </c>
      <c r="U359" s="84" t="s">
        <v>542</v>
      </c>
      <c r="V359" s="9">
        <f ca="1">IFERROR(OFFSET(ITEM_RES!$A$5,MATCH(BUILDING!U359,ITEM_RES!$J$5:$J$229,0)-1,0),0)</f>
        <v>211020601</v>
      </c>
      <c r="W359" s="11">
        <v>2</v>
      </c>
      <c r="X359" s="84" t="s">
        <v>537</v>
      </c>
      <c r="Y359" s="9">
        <f ca="1">IFERROR(OFFSET(ITEM_RES!$A$5,MATCH(BUILDING!X359,ITEM_RES!$J$5:$J$229,0)-1,0),0)</f>
        <v>211020701</v>
      </c>
      <c r="AA359" s="9" t="s">
        <v>514</v>
      </c>
      <c r="AB359" s="9">
        <v>15</v>
      </c>
      <c r="AD359" s="11">
        <f ca="1">IFERROR(OFFSET(MANOR_LEVEL!$B$1,MATCH(AE359-1,MANOR_LEVEL!$A:$A,0)-1,0),0)</f>
        <v>50404400</v>
      </c>
      <c r="AE359" s="56">
        <v>16</v>
      </c>
      <c r="AG359" s="56">
        <f t="shared" ca="1" si="84"/>
        <v>25620550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25620550</v>
      </c>
      <c r="AI359" s="179">
        <f t="shared" ca="1" si="102"/>
        <v>37455000</v>
      </c>
      <c r="AK359" s="11">
        <f t="shared" si="95"/>
        <v>16200</v>
      </c>
      <c r="AL359" s="10">
        <v>16200</v>
      </c>
      <c r="AM359" s="11">
        <f t="shared" si="101"/>
        <v>550</v>
      </c>
      <c r="AN359" s="10">
        <v>550</v>
      </c>
      <c r="AO359" s="11">
        <v>2100000</v>
      </c>
      <c r="AP359" s="10">
        <v>0</v>
      </c>
      <c r="AQ359" s="56">
        <f t="shared" si="96"/>
        <v>2</v>
      </c>
      <c r="AS359" s="11">
        <f ca="1">IFERROR(OFFSET(ITEM_RES!$A$1,MATCH(AT359,ITEM_RES!$J:$J,0)-1,0),0)</f>
        <v>211020501</v>
      </c>
      <c r="AT359" s="10" t="s">
        <v>428</v>
      </c>
      <c r="AU359" s="11">
        <v>2100000</v>
      </c>
      <c r="AX359" s="11">
        <f ca="1">IFERROR(OFFSET(ITEM_RES!$A$1,MATCH(AY359,ITEM_RES!$J:$J,0)-1,0),0)</f>
        <v>211020801</v>
      </c>
      <c r="AY359" s="10" t="s">
        <v>429</v>
      </c>
      <c r="AZ359" s="11">
        <v>2100000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98"/>
        <v>112040016</v>
      </c>
      <c r="B360" s="13">
        <v>11</v>
      </c>
      <c r="C360" s="12">
        <f t="shared" si="99"/>
        <v>2</v>
      </c>
      <c r="D360" s="13">
        <v>4</v>
      </c>
      <c r="E360" s="13">
        <v>0</v>
      </c>
      <c r="F360" s="12">
        <f t="shared" si="100"/>
        <v>16</v>
      </c>
      <c r="H360" s="9">
        <v>2</v>
      </c>
      <c r="I360" s="9">
        <v>16</v>
      </c>
      <c r="K360" s="9" t="s">
        <v>365</v>
      </c>
      <c r="M360" s="9">
        <v>0</v>
      </c>
      <c r="N360" s="9">
        <v>15</v>
      </c>
      <c r="O360" s="9" t="s">
        <v>750</v>
      </c>
      <c r="S360" s="9" t="s">
        <v>691</v>
      </c>
      <c r="U360" s="84" t="s">
        <v>542</v>
      </c>
      <c r="V360" s="9">
        <f ca="1">IFERROR(OFFSET(ITEM_RES!$A$5,MATCH(BUILDING!U360,ITEM_RES!$J$5:$J$229,0)-1,0),0)</f>
        <v>211020601</v>
      </c>
      <c r="W360" s="11">
        <v>2</v>
      </c>
      <c r="X360" s="84" t="s">
        <v>537</v>
      </c>
      <c r="Y360" s="9">
        <f ca="1">IFERROR(OFFSET(ITEM_RES!$A$5,MATCH(BUILDING!X360,ITEM_RES!$J$5:$J$229,0)-1,0),0)</f>
        <v>211020701</v>
      </c>
      <c r="AA360" s="9" t="s">
        <v>514</v>
      </c>
      <c r="AB360" s="9">
        <v>16</v>
      </c>
      <c r="AD360" s="11">
        <f ca="1">IFERROR(OFFSET(MANOR_LEVEL!$B$1,MATCH(AE360-1,MANOR_LEVEL!$A:$A,0)-1,0),0)</f>
        <v>50404400</v>
      </c>
      <c r="AE360" s="56">
        <v>16</v>
      </c>
      <c r="AG360" s="56">
        <f t="shared" ca="1" si="84"/>
        <v>52460700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52460700</v>
      </c>
      <c r="AI360" s="179">
        <f t="shared" ca="1" si="102"/>
        <v>78081250</v>
      </c>
      <c r="AK360" s="11">
        <f t="shared" si="95"/>
        <v>18000</v>
      </c>
      <c r="AL360" s="10">
        <v>18000</v>
      </c>
      <c r="AM360" s="11">
        <f t="shared" si="101"/>
        <v>700</v>
      </c>
      <c r="AN360" s="10">
        <v>700</v>
      </c>
      <c r="AO360" s="11">
        <v>4300000</v>
      </c>
      <c r="AP360" s="10">
        <v>0</v>
      </c>
      <c r="AQ360" s="56">
        <f t="shared" si="96"/>
        <v>2</v>
      </c>
      <c r="AS360" s="11">
        <f ca="1">IFERROR(OFFSET(ITEM_RES!$A$1,MATCH(AT360,ITEM_RES!$J:$J,0)-1,0),0)</f>
        <v>211020501</v>
      </c>
      <c r="AT360" s="10" t="s">
        <v>428</v>
      </c>
      <c r="AU360" s="11">
        <v>4300000</v>
      </c>
      <c r="AX360" s="11">
        <f ca="1">IFERROR(OFFSET(ITEM_RES!$A$1,MATCH(AY360,ITEM_RES!$J:$J,0)-1,0),0)</f>
        <v>211020801</v>
      </c>
      <c r="AY360" s="10" t="s">
        <v>429</v>
      </c>
      <c r="AZ360" s="11">
        <v>4300000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98"/>
        <v>112040017</v>
      </c>
      <c r="B361" s="13">
        <v>11</v>
      </c>
      <c r="C361" s="12">
        <f t="shared" si="99"/>
        <v>2</v>
      </c>
      <c r="D361" s="13">
        <v>4</v>
      </c>
      <c r="E361" s="13">
        <v>0</v>
      </c>
      <c r="F361" s="12">
        <f t="shared" si="100"/>
        <v>17</v>
      </c>
      <c r="H361" s="9">
        <v>2</v>
      </c>
      <c r="I361" s="9">
        <v>17</v>
      </c>
      <c r="K361" s="9" t="s">
        <v>365</v>
      </c>
      <c r="M361" s="9">
        <v>0</v>
      </c>
      <c r="N361" s="9">
        <v>15</v>
      </c>
      <c r="O361" s="9" t="s">
        <v>750</v>
      </c>
      <c r="S361" s="9" t="s">
        <v>691</v>
      </c>
      <c r="U361" s="84" t="s">
        <v>542</v>
      </c>
      <c r="V361" s="9">
        <f ca="1">IFERROR(OFFSET(ITEM_RES!$A$5,MATCH(BUILDING!U361,ITEM_RES!$J$5:$J$229,0)-1,0),0)</f>
        <v>211020601</v>
      </c>
      <c r="W361" s="11">
        <v>2</v>
      </c>
      <c r="X361" s="84" t="s">
        <v>537</v>
      </c>
      <c r="Y361" s="9">
        <f ca="1">IFERROR(OFFSET(ITEM_RES!$A$5,MATCH(BUILDING!X361,ITEM_RES!$J$5:$J$229,0)-1,0),0)</f>
        <v>211020701</v>
      </c>
      <c r="AA361" s="9" t="s">
        <v>514</v>
      </c>
      <c r="AB361" s="9">
        <v>17</v>
      </c>
      <c r="AD361" s="11">
        <f ca="1">IFERROR(OFFSET(MANOR_LEVEL!$B$1,MATCH(AE361-1,MANOR_LEVEL!$A:$A,0)-1,0),0)</f>
        <v>50404400</v>
      </c>
      <c r="AE361" s="56">
        <v>16</v>
      </c>
      <c r="AG361" s="56">
        <f t="shared" ca="1" si="84"/>
        <v>97600850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97600850</v>
      </c>
      <c r="AI361" s="179">
        <f t="shared" ca="1" si="102"/>
        <v>150061550</v>
      </c>
      <c r="AK361" s="11">
        <f t="shared" si="95"/>
        <v>19800</v>
      </c>
      <c r="AL361" s="10">
        <v>19800</v>
      </c>
      <c r="AM361" s="11">
        <f t="shared" si="101"/>
        <v>850</v>
      </c>
      <c r="AN361" s="10">
        <v>850</v>
      </c>
      <c r="AO361" s="11">
        <v>8000000</v>
      </c>
      <c r="AP361" s="10">
        <v>0</v>
      </c>
      <c r="AQ361" s="56">
        <f t="shared" si="96"/>
        <v>2</v>
      </c>
      <c r="AS361" s="11">
        <f ca="1">IFERROR(OFFSET(ITEM_RES!$A$1,MATCH(AT361,ITEM_RES!$J:$J,0)-1,0),0)</f>
        <v>211020501</v>
      </c>
      <c r="AT361" s="10" t="s">
        <v>428</v>
      </c>
      <c r="AU361" s="11">
        <v>8000000</v>
      </c>
      <c r="AX361" s="11">
        <f ca="1">IFERROR(OFFSET(ITEM_RES!$A$1,MATCH(AY361,ITEM_RES!$J:$J,0)-1,0),0)</f>
        <v>211020801</v>
      </c>
      <c r="AY361" s="10" t="s">
        <v>429</v>
      </c>
      <c r="AZ361" s="11">
        <v>8000000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98"/>
        <v>112040018</v>
      </c>
      <c r="B362" s="13">
        <v>11</v>
      </c>
      <c r="C362" s="12">
        <f t="shared" si="99"/>
        <v>2</v>
      </c>
      <c r="D362" s="13">
        <v>4</v>
      </c>
      <c r="E362" s="13">
        <v>0</v>
      </c>
      <c r="F362" s="12">
        <f t="shared" si="100"/>
        <v>18</v>
      </c>
      <c r="H362" s="9">
        <v>2</v>
      </c>
      <c r="I362" s="9">
        <v>18</v>
      </c>
      <c r="K362" s="9" t="s">
        <v>365</v>
      </c>
      <c r="M362" s="9">
        <v>0</v>
      </c>
      <c r="N362" s="9">
        <v>15</v>
      </c>
      <c r="O362" s="9" t="s">
        <v>750</v>
      </c>
      <c r="S362" s="9" t="s">
        <v>691</v>
      </c>
      <c r="U362" s="84" t="s">
        <v>542</v>
      </c>
      <c r="V362" s="9">
        <f ca="1">IFERROR(OFFSET(ITEM_RES!$A$5,MATCH(BUILDING!U362,ITEM_RES!$J$5:$J$229,0)-1,0),0)</f>
        <v>211020601</v>
      </c>
      <c r="W362" s="11">
        <v>2</v>
      </c>
      <c r="X362" s="84" t="s">
        <v>537</v>
      </c>
      <c r="Y362" s="9">
        <f ca="1">IFERROR(OFFSET(ITEM_RES!$A$5,MATCH(BUILDING!X362,ITEM_RES!$J$5:$J$229,0)-1,0),0)</f>
        <v>211020701</v>
      </c>
      <c r="AA362" s="9" t="s">
        <v>514</v>
      </c>
      <c r="AB362" s="9">
        <v>18</v>
      </c>
      <c r="AD362" s="11">
        <f ca="1">IFERROR(OFFSET(MANOR_LEVEL!$B$1,MATCH(AE362-1,MANOR_LEVEL!$A:$A,0)-1,0),0)</f>
        <v>50404400</v>
      </c>
      <c r="AE362" s="56">
        <v>16</v>
      </c>
      <c r="AG362" s="56">
        <f t="shared" ca="1" si="84"/>
        <v>158601050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158601050</v>
      </c>
      <c r="AI362" s="179">
        <f t="shared" ca="1" si="102"/>
        <v>256201900</v>
      </c>
      <c r="AK362" s="11">
        <f t="shared" si="95"/>
        <v>21600</v>
      </c>
      <c r="AL362" s="10">
        <v>21600</v>
      </c>
      <c r="AM362" s="11">
        <f t="shared" si="101"/>
        <v>1050</v>
      </c>
      <c r="AN362" s="10">
        <v>1050</v>
      </c>
      <c r="AO362" s="11">
        <v>13000000</v>
      </c>
      <c r="AP362" s="10">
        <v>0</v>
      </c>
      <c r="AQ362" s="56">
        <f t="shared" si="96"/>
        <v>2</v>
      </c>
      <c r="AS362" s="11">
        <f ca="1">IFERROR(OFFSET(ITEM_RES!$A$1,MATCH(AT362,ITEM_RES!$J:$J,0)-1,0),0)</f>
        <v>211020501</v>
      </c>
      <c r="AT362" s="10" t="s">
        <v>428</v>
      </c>
      <c r="AU362" s="11">
        <v>13000000</v>
      </c>
      <c r="AX362" s="11">
        <f ca="1">IFERROR(OFFSET(ITEM_RES!$A$1,MATCH(AY362,ITEM_RES!$J:$J,0)-1,0),0)</f>
        <v>211020801</v>
      </c>
      <c r="AY362" s="10" t="s">
        <v>429</v>
      </c>
      <c r="AZ362" s="11">
        <v>13000000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98"/>
        <v>112040019</v>
      </c>
      <c r="B363" s="13">
        <v>11</v>
      </c>
      <c r="C363" s="12">
        <f t="shared" si="99"/>
        <v>2</v>
      </c>
      <c r="D363" s="13">
        <v>4</v>
      </c>
      <c r="E363" s="13">
        <v>0</v>
      </c>
      <c r="F363" s="12">
        <f t="shared" si="100"/>
        <v>19</v>
      </c>
      <c r="H363" s="9">
        <v>2</v>
      </c>
      <c r="I363" s="9">
        <v>19</v>
      </c>
      <c r="K363" s="9" t="s">
        <v>365</v>
      </c>
      <c r="M363" s="9">
        <v>0</v>
      </c>
      <c r="N363" s="9">
        <v>15</v>
      </c>
      <c r="O363" s="9" t="s">
        <v>750</v>
      </c>
      <c r="S363" s="9" t="s">
        <v>691</v>
      </c>
      <c r="U363" s="84" t="s">
        <v>542</v>
      </c>
      <c r="V363" s="9">
        <f ca="1">IFERROR(OFFSET(ITEM_RES!$A$5,MATCH(BUILDING!U363,ITEM_RES!$J$5:$J$229,0)-1,0),0)</f>
        <v>211020601</v>
      </c>
      <c r="W363" s="11">
        <v>2</v>
      </c>
      <c r="X363" s="84" t="s">
        <v>537</v>
      </c>
      <c r="Y363" s="9">
        <f ca="1">IFERROR(OFFSET(ITEM_RES!$A$5,MATCH(BUILDING!X363,ITEM_RES!$J$5:$J$229,0)-1,0),0)</f>
        <v>211020701</v>
      </c>
      <c r="AA363" s="9" t="s">
        <v>514</v>
      </c>
      <c r="AB363" s="9">
        <v>19</v>
      </c>
      <c r="AD363" s="11">
        <f ca="1">IFERROR(OFFSET(MANOR_LEVEL!$B$1,MATCH(AE363-1,MANOR_LEVEL!$A:$A,0)-1,0),0)</f>
        <v>50404400</v>
      </c>
      <c r="AE363" s="56">
        <v>16</v>
      </c>
      <c r="AG363" s="56">
        <f t="shared" ca="1" si="84"/>
        <v>244001250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244001250</v>
      </c>
      <c r="AI363" s="179">
        <f t="shared" ca="1" si="102"/>
        <v>402602300</v>
      </c>
      <c r="AK363" s="11">
        <f t="shared" si="95"/>
        <v>23400</v>
      </c>
      <c r="AL363" s="10">
        <v>23400</v>
      </c>
      <c r="AM363" s="11">
        <f t="shared" si="101"/>
        <v>1250</v>
      </c>
      <c r="AN363" s="10">
        <v>1250</v>
      </c>
      <c r="AO363" s="11">
        <v>20000000</v>
      </c>
      <c r="AP363" s="10">
        <v>0</v>
      </c>
      <c r="AQ363" s="56">
        <f t="shared" si="96"/>
        <v>2</v>
      </c>
      <c r="AS363" s="11">
        <f ca="1">IFERROR(OFFSET(ITEM_RES!$A$1,MATCH(AT363,ITEM_RES!$J:$J,0)-1,0),0)</f>
        <v>211020501</v>
      </c>
      <c r="AT363" s="10" t="s">
        <v>428</v>
      </c>
      <c r="AU363" s="11">
        <v>20000000</v>
      </c>
      <c r="AX363" s="11">
        <f ca="1">IFERROR(OFFSET(ITEM_RES!$A$1,MATCH(AY363,ITEM_RES!$J:$J,0)-1,0),0)</f>
        <v>211020801</v>
      </c>
      <c r="AY363" s="10" t="s">
        <v>429</v>
      </c>
      <c r="AZ363" s="11">
        <v>20000000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98"/>
        <v>112040020</v>
      </c>
      <c r="B364" s="13">
        <v>11</v>
      </c>
      <c r="C364" s="12">
        <f t="shared" si="99"/>
        <v>2</v>
      </c>
      <c r="D364" s="13">
        <v>4</v>
      </c>
      <c r="E364" s="13">
        <v>0</v>
      </c>
      <c r="F364" s="12">
        <f t="shared" si="100"/>
        <v>20</v>
      </c>
      <c r="H364" s="9">
        <v>2</v>
      </c>
      <c r="I364" s="9">
        <v>20</v>
      </c>
      <c r="K364" s="9" t="s">
        <v>365</v>
      </c>
      <c r="M364" s="9">
        <v>0</v>
      </c>
      <c r="N364" s="9">
        <v>15</v>
      </c>
      <c r="O364" s="9" t="s">
        <v>750</v>
      </c>
      <c r="S364" s="9" t="s">
        <v>691</v>
      </c>
      <c r="U364" s="84" t="s">
        <v>542</v>
      </c>
      <c r="V364" s="9">
        <f ca="1">IFERROR(OFFSET(ITEM_RES!$A$5,MATCH(BUILDING!U364,ITEM_RES!$J$5:$J$229,0)-1,0),0)</f>
        <v>211020601</v>
      </c>
      <c r="W364" s="11">
        <v>2</v>
      </c>
      <c r="X364" s="84" t="s">
        <v>537</v>
      </c>
      <c r="Y364" s="9">
        <f ca="1">IFERROR(OFFSET(ITEM_RES!$A$5,MATCH(BUILDING!X364,ITEM_RES!$J$5:$J$229,0)-1,0),0)</f>
        <v>211020701</v>
      </c>
      <c r="AA364" s="9" t="s">
        <v>514</v>
      </c>
      <c r="AB364" s="9">
        <v>20</v>
      </c>
      <c r="AD364" s="11">
        <f ca="1">IFERROR(OFFSET(MANOR_LEVEL!$B$1,MATCH(AE364-1,MANOR_LEVEL!$A:$A,0)-1,0),0)</f>
        <v>50404400</v>
      </c>
      <c r="AE364" s="56">
        <v>16</v>
      </c>
      <c r="AG364" s="56">
        <f t="shared" ca="1" si="84"/>
        <v>390401500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390401500</v>
      </c>
      <c r="AI364" s="179">
        <f t="shared" ca="1" si="102"/>
        <v>634402750</v>
      </c>
      <c r="AK364" s="11">
        <f t="shared" si="95"/>
        <v>25200</v>
      </c>
      <c r="AL364" s="10">
        <v>25200</v>
      </c>
      <c r="AM364" s="11">
        <f t="shared" si="101"/>
        <v>1500</v>
      </c>
      <c r="AN364" s="10">
        <v>1500</v>
      </c>
      <c r="AO364" s="11">
        <v>32000000</v>
      </c>
      <c r="AP364" s="10">
        <v>0</v>
      </c>
      <c r="AQ364" s="56">
        <f t="shared" si="96"/>
        <v>2</v>
      </c>
      <c r="AS364" s="11">
        <f ca="1">IFERROR(OFFSET(ITEM_RES!$A$1,MATCH(AT364,ITEM_RES!$J:$J,0)-1,0),0)</f>
        <v>211020501</v>
      </c>
      <c r="AT364" s="10" t="s">
        <v>428</v>
      </c>
      <c r="AU364" s="11">
        <v>32000000</v>
      </c>
      <c r="AX364" s="11">
        <f ca="1">IFERROR(OFFSET(ITEM_RES!$A$1,MATCH(AY364,ITEM_RES!$J:$J,0)-1,0),0)</f>
        <v>211020801</v>
      </c>
      <c r="AY364" s="10" t="s">
        <v>429</v>
      </c>
      <c r="AZ364" s="11">
        <v>32000000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98"/>
        <v>112050001</v>
      </c>
      <c r="B365" s="20">
        <v>11</v>
      </c>
      <c r="C365" s="19">
        <f t="shared" si="99"/>
        <v>2</v>
      </c>
      <c r="D365" s="20">
        <v>5</v>
      </c>
      <c r="E365" s="20">
        <v>0</v>
      </c>
      <c r="F365" s="19">
        <f t="shared" si="100"/>
        <v>1</v>
      </c>
      <c r="G365" s="78"/>
      <c r="H365" s="16">
        <v>2</v>
      </c>
      <c r="I365" s="16">
        <v>1</v>
      </c>
      <c r="J365" s="78"/>
      <c r="K365" s="16" t="s">
        <v>367</v>
      </c>
      <c r="L365" s="16">
        <v>10</v>
      </c>
      <c r="M365" s="16">
        <v>1</v>
      </c>
      <c r="N365" s="16">
        <v>15</v>
      </c>
      <c r="O365" s="16" t="s">
        <v>751</v>
      </c>
      <c r="P365" s="17"/>
      <c r="Q365" s="17"/>
      <c r="R365" s="18"/>
      <c r="S365" s="16" t="s">
        <v>692</v>
      </c>
      <c r="T365" s="78"/>
      <c r="U365" s="86" t="s">
        <v>543</v>
      </c>
      <c r="V365" s="16">
        <f ca="1">IFERROR(OFFSET(ITEM_RES!$A$5,MATCH(BUILDING!U365,ITEM_RES!$J$5:$J$229,0)-1,0),0)</f>
        <v>211020801</v>
      </c>
      <c r="W365" s="18">
        <v>1</v>
      </c>
      <c r="X365" s="86" t="s">
        <v>388</v>
      </c>
      <c r="Y365" s="16">
        <f ca="1">IFERROR(OFFSET(ITEM_RES!$A$5,MATCH(BUILDING!X365,ITEM_RES!$J$5:$J$229,0)-1,0),0)</f>
        <v>211020901</v>
      </c>
      <c r="Z365" s="78"/>
      <c r="AA365" s="16" t="s">
        <v>515</v>
      </c>
      <c r="AB365" s="16">
        <v>1</v>
      </c>
      <c r="AC365" s="78"/>
      <c r="AD365" s="18">
        <f ca="1">IFERROR(OFFSET(MANOR_LEVEL!$B$1,MATCH(AE365-1,MANOR_LEVEL!$A:$A,0)-1,0),0)</f>
        <v>1956000</v>
      </c>
      <c r="AE365" s="57">
        <v>11</v>
      </c>
      <c r="AF365" s="78"/>
      <c r="AG365" s="57">
        <f t="shared" ca="1" si="84"/>
        <v>1605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1605</v>
      </c>
      <c r="AI365" s="181">
        <f ca="1">AG365</f>
        <v>1605</v>
      </c>
      <c r="AJ365" s="78"/>
      <c r="AK365" s="18">
        <f t="shared" si="95"/>
        <v>5</v>
      </c>
      <c r="AL365" s="17">
        <v>5</v>
      </c>
      <c r="AM365" s="18">
        <f t="shared" si="101"/>
        <v>5</v>
      </c>
      <c r="AN365" s="17">
        <v>5</v>
      </c>
      <c r="AO365" s="18">
        <v>50</v>
      </c>
      <c r="AP365" s="17">
        <v>0</v>
      </c>
      <c r="AQ365" s="57">
        <f t="shared" si="96"/>
        <v>3</v>
      </c>
      <c r="AR365" s="18"/>
      <c r="AS365" s="18">
        <f ca="1">IFERROR(OFFSET(ITEM_RES!$A$1,MATCH(AT365,ITEM_RES!$J:$J,0)-1,0),0)</f>
        <v>211020401</v>
      </c>
      <c r="AT365" s="17" t="s">
        <v>430</v>
      </c>
      <c r="AU365" s="18">
        <v>50</v>
      </c>
      <c r="AV365" s="17"/>
      <c r="AW365" s="18"/>
      <c r="AX365" s="18">
        <f ca="1">IFERROR(OFFSET(ITEM_RES!$A$1,MATCH(AY365,ITEM_RES!$J:$J,0)-1,0),0)</f>
        <v>211020801</v>
      </c>
      <c r="AY365" s="17" t="s">
        <v>429</v>
      </c>
      <c r="AZ365" s="18">
        <v>50</v>
      </c>
      <c r="BA365" s="17"/>
      <c r="BB365" s="18"/>
      <c r="BC365" s="18">
        <f ca="1">IFERROR(OFFSET(ITEM_RES!$A$1,MATCH(BD365,ITEM_RES!$J:$J,0)-1,0),0)</f>
        <v>213010101</v>
      </c>
      <c r="BD365" s="17" t="s">
        <v>445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98"/>
        <v>112050002</v>
      </c>
      <c r="B366" s="13">
        <v>11</v>
      </c>
      <c r="C366" s="12">
        <f t="shared" si="99"/>
        <v>2</v>
      </c>
      <c r="D366" s="13">
        <v>5</v>
      </c>
      <c r="E366" s="13">
        <v>0</v>
      </c>
      <c r="F366" s="12">
        <f t="shared" si="100"/>
        <v>2</v>
      </c>
      <c r="H366" s="9">
        <v>2</v>
      </c>
      <c r="I366" s="9">
        <v>2</v>
      </c>
      <c r="K366" s="9" t="s">
        <v>362</v>
      </c>
      <c r="M366" s="9">
        <v>1</v>
      </c>
      <c r="N366" s="9">
        <v>15</v>
      </c>
      <c r="O366" s="9" t="s">
        <v>751</v>
      </c>
      <c r="S366" s="9" t="s">
        <v>692</v>
      </c>
      <c r="U366" s="84" t="s">
        <v>543</v>
      </c>
      <c r="V366" s="9">
        <f ca="1">IFERROR(OFFSET(ITEM_RES!$A$5,MATCH(BUILDING!U366,ITEM_RES!$J$5:$J$229,0)-1,0),0)</f>
        <v>211020801</v>
      </c>
      <c r="W366" s="11">
        <v>1</v>
      </c>
      <c r="X366" s="84" t="s">
        <v>388</v>
      </c>
      <c r="Y366" s="9">
        <f ca="1">IFERROR(OFFSET(ITEM_RES!$A$5,MATCH(BUILDING!X366,ITEM_RES!$J$5:$J$229,0)-1,0),0)</f>
        <v>211020901</v>
      </c>
      <c r="AA366" s="9" t="s">
        <v>515</v>
      </c>
      <c r="AB366" s="9">
        <v>2</v>
      </c>
      <c r="AD366" s="11">
        <f ca="1">IFERROR(OFFSET(MANOR_LEVEL!$B$1,MATCH(AE366-1,MANOR_LEVEL!$A:$A,0)-1,0),0)</f>
        <v>1956000</v>
      </c>
      <c r="AE366" s="56">
        <v>11</v>
      </c>
      <c r="AG366" s="56">
        <f t="shared" ref="AG366:AG429" ca="1" si="103">ROUND(AH366,0)</f>
        <v>1210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1210</v>
      </c>
      <c r="AI366" s="179">
        <f ca="1">AG365+AG366</f>
        <v>2815</v>
      </c>
      <c r="AK366" s="11">
        <f t="shared" si="95"/>
        <v>10</v>
      </c>
      <c r="AL366" s="10">
        <v>10</v>
      </c>
      <c r="AM366" s="11">
        <f t="shared" si="101"/>
        <v>10</v>
      </c>
      <c r="AN366" s="10">
        <v>10</v>
      </c>
      <c r="AO366" s="11">
        <v>100</v>
      </c>
      <c r="AP366" s="10">
        <v>0</v>
      </c>
      <c r="AQ366" s="56">
        <f t="shared" si="96"/>
        <v>2</v>
      </c>
      <c r="AS366" s="11">
        <f ca="1">IFERROR(OFFSET(ITEM_RES!$A$1,MATCH(AT366,ITEM_RES!$J:$J,0)-1,0),0)</f>
        <v>211020401</v>
      </c>
      <c r="AT366" s="10" t="s">
        <v>430</v>
      </c>
      <c r="AU366" s="11">
        <v>100</v>
      </c>
      <c r="AX366" s="11">
        <f ca="1">IFERROR(OFFSET(ITEM_RES!$A$1,MATCH(AY366,ITEM_RES!$J:$J,0)-1,0),0)</f>
        <v>211020801</v>
      </c>
      <c r="AY366" s="10" t="s">
        <v>429</v>
      </c>
      <c r="AZ366" s="11">
        <v>100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98"/>
        <v>112050003</v>
      </c>
      <c r="B367" s="13">
        <v>11</v>
      </c>
      <c r="C367" s="12">
        <f t="shared" si="99"/>
        <v>2</v>
      </c>
      <c r="D367" s="13">
        <v>5</v>
      </c>
      <c r="E367" s="13">
        <v>0</v>
      </c>
      <c r="F367" s="12">
        <f t="shared" si="100"/>
        <v>3</v>
      </c>
      <c r="H367" s="9">
        <v>2</v>
      </c>
      <c r="I367" s="9">
        <v>3</v>
      </c>
      <c r="K367" s="9" t="s">
        <v>362</v>
      </c>
      <c r="M367" s="9">
        <v>1</v>
      </c>
      <c r="N367" s="9">
        <v>15</v>
      </c>
      <c r="O367" s="9" t="s">
        <v>751</v>
      </c>
      <c r="S367" s="9" t="s">
        <v>692</v>
      </c>
      <c r="U367" s="84" t="s">
        <v>543</v>
      </c>
      <c r="V367" s="9">
        <f ca="1">IFERROR(OFFSET(ITEM_RES!$A$5,MATCH(BUILDING!U367,ITEM_RES!$J$5:$J$229,0)-1,0),0)</f>
        <v>211020801</v>
      </c>
      <c r="W367" s="11">
        <v>1</v>
      </c>
      <c r="X367" s="84" t="s">
        <v>388</v>
      </c>
      <c r="Y367" s="9">
        <f ca="1">IFERROR(OFFSET(ITEM_RES!$A$5,MATCH(BUILDING!X367,ITEM_RES!$J$5:$J$229,0)-1,0),0)</f>
        <v>211020901</v>
      </c>
      <c r="AA367" s="9" t="s">
        <v>515</v>
      </c>
      <c r="AB367" s="9">
        <v>3</v>
      </c>
      <c r="AD367" s="11">
        <f ca="1">IFERROR(OFFSET(MANOR_LEVEL!$B$1,MATCH(AE367-1,MANOR_LEVEL!$A:$A,0)-1,0),0)</f>
        <v>3961500</v>
      </c>
      <c r="AE367" s="56">
        <v>12</v>
      </c>
      <c r="AG367" s="56">
        <f t="shared" ca="1" si="103"/>
        <v>1815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1815</v>
      </c>
      <c r="AI367" s="179">
        <f t="shared" ref="AI367:AI384" ca="1" si="104">AG366+AG367</f>
        <v>3025</v>
      </c>
      <c r="AK367" s="11">
        <f t="shared" si="95"/>
        <v>30</v>
      </c>
      <c r="AL367" s="10">
        <v>30</v>
      </c>
      <c r="AM367" s="11">
        <f t="shared" si="101"/>
        <v>15</v>
      </c>
      <c r="AN367" s="10">
        <v>15</v>
      </c>
      <c r="AO367" s="11">
        <v>150</v>
      </c>
      <c r="AP367" s="10">
        <v>0</v>
      </c>
      <c r="AQ367" s="56">
        <f t="shared" si="96"/>
        <v>2</v>
      </c>
      <c r="AS367" s="11">
        <f ca="1">IFERROR(OFFSET(ITEM_RES!$A$1,MATCH(AT367,ITEM_RES!$J:$J,0)-1,0),0)</f>
        <v>211020401</v>
      </c>
      <c r="AT367" s="10" t="s">
        <v>430</v>
      </c>
      <c r="AU367" s="11">
        <v>150</v>
      </c>
      <c r="AX367" s="11">
        <f ca="1">IFERROR(OFFSET(ITEM_RES!$A$1,MATCH(AY367,ITEM_RES!$J:$J,0)-1,0),0)</f>
        <v>211020801</v>
      </c>
      <c r="AY367" s="10" t="s">
        <v>429</v>
      </c>
      <c r="AZ367" s="11">
        <v>150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98"/>
        <v>112050004</v>
      </c>
      <c r="B368" s="13">
        <v>11</v>
      </c>
      <c r="C368" s="12">
        <f t="shared" si="99"/>
        <v>2</v>
      </c>
      <c r="D368" s="13">
        <v>5</v>
      </c>
      <c r="E368" s="13">
        <v>0</v>
      </c>
      <c r="F368" s="12">
        <f t="shared" si="100"/>
        <v>4</v>
      </c>
      <c r="H368" s="9">
        <v>2</v>
      </c>
      <c r="I368" s="9">
        <v>4</v>
      </c>
      <c r="K368" s="9" t="s">
        <v>362</v>
      </c>
      <c r="M368" s="9">
        <v>1</v>
      </c>
      <c r="N368" s="9">
        <v>15</v>
      </c>
      <c r="O368" s="9" t="s">
        <v>751</v>
      </c>
      <c r="S368" s="9" t="s">
        <v>692</v>
      </c>
      <c r="U368" s="84" t="s">
        <v>543</v>
      </c>
      <c r="V368" s="9">
        <f ca="1">IFERROR(OFFSET(ITEM_RES!$A$5,MATCH(BUILDING!U368,ITEM_RES!$J$5:$J$229,0)-1,0),0)</f>
        <v>211020801</v>
      </c>
      <c r="W368" s="11">
        <v>1</v>
      </c>
      <c r="X368" s="84" t="s">
        <v>388</v>
      </c>
      <c r="Y368" s="9">
        <f ca="1">IFERROR(OFFSET(ITEM_RES!$A$5,MATCH(BUILDING!X368,ITEM_RES!$J$5:$J$229,0)-1,0),0)</f>
        <v>211020901</v>
      </c>
      <c r="AA368" s="9" t="s">
        <v>515</v>
      </c>
      <c r="AB368" s="9">
        <v>4</v>
      </c>
      <c r="AD368" s="11">
        <f ca="1">IFERROR(OFFSET(MANOR_LEVEL!$B$1,MATCH(AE368-1,MANOR_LEVEL!$A:$A,0)-1,0),0)</f>
        <v>7772100</v>
      </c>
      <c r="AE368" s="56">
        <v>13</v>
      </c>
      <c r="AG368" s="56">
        <f t="shared" ca="1" si="103"/>
        <v>7225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7225</v>
      </c>
      <c r="AI368" s="179">
        <f t="shared" ca="1" si="104"/>
        <v>9040</v>
      </c>
      <c r="AK368" s="11">
        <f t="shared" si="95"/>
        <v>300</v>
      </c>
      <c r="AL368" s="10">
        <v>300</v>
      </c>
      <c r="AM368" s="11">
        <f t="shared" si="101"/>
        <v>25</v>
      </c>
      <c r="AN368" s="10">
        <v>25</v>
      </c>
      <c r="AO368" s="11">
        <v>600</v>
      </c>
      <c r="AP368" s="10">
        <v>0</v>
      </c>
      <c r="AQ368" s="56">
        <f t="shared" si="96"/>
        <v>2</v>
      </c>
      <c r="AS368" s="11">
        <f ca="1">IFERROR(OFFSET(ITEM_RES!$A$1,MATCH(AT368,ITEM_RES!$J:$J,0)-1,0),0)</f>
        <v>211020401</v>
      </c>
      <c r="AT368" s="10" t="s">
        <v>430</v>
      </c>
      <c r="AU368" s="11">
        <v>600</v>
      </c>
      <c r="AX368" s="11">
        <f ca="1">IFERROR(OFFSET(ITEM_RES!$A$1,MATCH(AY368,ITEM_RES!$J:$J,0)-1,0),0)</f>
        <v>211020801</v>
      </c>
      <c r="AY368" s="10" t="s">
        <v>429</v>
      </c>
      <c r="AZ368" s="11">
        <v>600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98"/>
        <v>112050005</v>
      </c>
      <c r="B369" s="13">
        <v>11</v>
      </c>
      <c r="C369" s="12">
        <f t="shared" si="99"/>
        <v>2</v>
      </c>
      <c r="D369" s="13">
        <v>5</v>
      </c>
      <c r="E369" s="13">
        <v>0</v>
      </c>
      <c r="F369" s="12">
        <f t="shared" si="100"/>
        <v>5</v>
      </c>
      <c r="H369" s="9">
        <v>2</v>
      </c>
      <c r="I369" s="9">
        <v>5</v>
      </c>
      <c r="K369" s="9" t="s">
        <v>362</v>
      </c>
      <c r="M369" s="9">
        <v>1</v>
      </c>
      <c r="N369" s="9">
        <v>15</v>
      </c>
      <c r="O369" s="9" t="s">
        <v>751</v>
      </c>
      <c r="S369" s="9" t="s">
        <v>692</v>
      </c>
      <c r="U369" s="84" t="s">
        <v>543</v>
      </c>
      <c r="V369" s="9">
        <f ca="1">IFERROR(OFFSET(ITEM_RES!$A$5,MATCH(BUILDING!U369,ITEM_RES!$J$5:$J$229,0)-1,0),0)</f>
        <v>211020801</v>
      </c>
      <c r="W369" s="11">
        <v>1</v>
      </c>
      <c r="X369" s="84" t="s">
        <v>388</v>
      </c>
      <c r="Y369" s="9">
        <f ca="1">IFERROR(OFFSET(ITEM_RES!$A$5,MATCH(BUILDING!X369,ITEM_RES!$J$5:$J$229,0)-1,0),0)</f>
        <v>211020901</v>
      </c>
      <c r="AA369" s="9" t="s">
        <v>515</v>
      </c>
      <c r="AB369" s="9">
        <v>5</v>
      </c>
      <c r="AD369" s="11">
        <f ca="1">IFERROR(OFFSET(MANOR_LEVEL!$B$1,MATCH(AE369-1,MANOR_LEVEL!$A:$A,0)-1,0),0)</f>
        <v>7772100</v>
      </c>
      <c r="AE369" s="56">
        <v>13</v>
      </c>
      <c r="AG369" s="56">
        <f t="shared" ca="1" si="103"/>
        <v>32440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32440</v>
      </c>
      <c r="AI369" s="179">
        <f t="shared" ca="1" si="104"/>
        <v>39665</v>
      </c>
      <c r="AK369" s="11">
        <f t="shared" si="95"/>
        <v>600</v>
      </c>
      <c r="AL369" s="10">
        <v>600</v>
      </c>
      <c r="AM369" s="11">
        <f t="shared" si="101"/>
        <v>40</v>
      </c>
      <c r="AN369" s="10">
        <v>40</v>
      </c>
      <c r="AO369" s="11">
        <v>2700</v>
      </c>
      <c r="AP369" s="10">
        <v>0</v>
      </c>
      <c r="AQ369" s="56">
        <f t="shared" si="96"/>
        <v>2</v>
      </c>
      <c r="AS369" s="11">
        <f ca="1">IFERROR(OFFSET(ITEM_RES!$A$1,MATCH(AT369,ITEM_RES!$J:$J,0)-1,0),0)</f>
        <v>211020401</v>
      </c>
      <c r="AT369" s="10" t="s">
        <v>430</v>
      </c>
      <c r="AU369" s="11">
        <v>2700</v>
      </c>
      <c r="AX369" s="11">
        <f ca="1">IFERROR(OFFSET(ITEM_RES!$A$1,MATCH(AY369,ITEM_RES!$J:$J,0)-1,0),0)</f>
        <v>211020801</v>
      </c>
      <c r="AY369" s="10" t="s">
        <v>429</v>
      </c>
      <c r="AZ369" s="11">
        <v>2700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98"/>
        <v>112050006</v>
      </c>
      <c r="B370" s="13">
        <v>11</v>
      </c>
      <c r="C370" s="12">
        <f t="shared" si="99"/>
        <v>2</v>
      </c>
      <c r="D370" s="13">
        <v>5</v>
      </c>
      <c r="E370" s="13">
        <v>0</v>
      </c>
      <c r="F370" s="12">
        <f t="shared" si="100"/>
        <v>6</v>
      </c>
      <c r="H370" s="9">
        <v>2</v>
      </c>
      <c r="I370" s="9">
        <v>6</v>
      </c>
      <c r="K370" s="9" t="s">
        <v>362</v>
      </c>
      <c r="M370" s="9">
        <v>1</v>
      </c>
      <c r="N370" s="9">
        <v>15</v>
      </c>
      <c r="O370" s="9" t="s">
        <v>751</v>
      </c>
      <c r="S370" s="9" t="s">
        <v>692</v>
      </c>
      <c r="U370" s="84" t="s">
        <v>543</v>
      </c>
      <c r="V370" s="9">
        <f ca="1">IFERROR(OFFSET(ITEM_RES!$A$5,MATCH(BUILDING!U370,ITEM_RES!$J$5:$J$229,0)-1,0),0)</f>
        <v>211020801</v>
      </c>
      <c r="W370" s="11">
        <v>1</v>
      </c>
      <c r="X370" s="84" t="s">
        <v>388</v>
      </c>
      <c r="Y370" s="9">
        <f ca="1">IFERROR(OFFSET(ITEM_RES!$A$5,MATCH(BUILDING!X370,ITEM_RES!$J$5:$J$229,0)-1,0),0)</f>
        <v>211020901</v>
      </c>
      <c r="AA370" s="9" t="s">
        <v>515</v>
      </c>
      <c r="AB370" s="9">
        <v>6</v>
      </c>
      <c r="AD370" s="11">
        <f ca="1">IFERROR(OFFSET(MANOR_LEVEL!$B$1,MATCH(AE370-1,MANOR_LEVEL!$A:$A,0)-1,0),0)</f>
        <v>50404400</v>
      </c>
      <c r="AE370" s="56">
        <v>16</v>
      </c>
      <c r="AG370" s="56">
        <f t="shared" ca="1" si="103"/>
        <v>108050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108050</v>
      </c>
      <c r="AI370" s="179">
        <f t="shared" ca="1" si="104"/>
        <v>140490</v>
      </c>
      <c r="AK370" s="11">
        <f t="shared" si="95"/>
        <v>1200</v>
      </c>
      <c r="AL370" s="10">
        <v>1200</v>
      </c>
      <c r="AM370" s="11">
        <f t="shared" si="101"/>
        <v>50</v>
      </c>
      <c r="AN370" s="10">
        <v>50</v>
      </c>
      <c r="AO370" s="11">
        <v>9000</v>
      </c>
      <c r="AP370" s="10">
        <v>0</v>
      </c>
      <c r="AQ370" s="56">
        <f t="shared" si="96"/>
        <v>2</v>
      </c>
      <c r="AS370" s="11">
        <f ca="1">IFERROR(OFFSET(ITEM_RES!$A$1,MATCH(AT370,ITEM_RES!$J:$J,0)-1,0),0)</f>
        <v>211020401</v>
      </c>
      <c r="AT370" s="10" t="s">
        <v>430</v>
      </c>
      <c r="AU370" s="11">
        <v>9000</v>
      </c>
      <c r="AX370" s="11">
        <f ca="1">IFERROR(OFFSET(ITEM_RES!$A$1,MATCH(AY370,ITEM_RES!$J:$J,0)-1,0),0)</f>
        <v>211020801</v>
      </c>
      <c r="AY370" s="10" t="s">
        <v>429</v>
      </c>
      <c r="AZ370" s="11">
        <v>9000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98"/>
        <v>112050007</v>
      </c>
      <c r="B371" s="13">
        <v>11</v>
      </c>
      <c r="C371" s="12">
        <f t="shared" si="99"/>
        <v>2</v>
      </c>
      <c r="D371" s="13">
        <v>5</v>
      </c>
      <c r="E371" s="13">
        <v>0</v>
      </c>
      <c r="F371" s="12">
        <f t="shared" si="100"/>
        <v>7</v>
      </c>
      <c r="H371" s="9">
        <v>2</v>
      </c>
      <c r="I371" s="9">
        <v>7</v>
      </c>
      <c r="K371" s="9" t="s">
        <v>362</v>
      </c>
      <c r="M371" s="9">
        <v>1</v>
      </c>
      <c r="N371" s="9">
        <v>15</v>
      </c>
      <c r="O371" s="9" t="s">
        <v>751</v>
      </c>
      <c r="S371" s="9" t="s">
        <v>692</v>
      </c>
      <c r="U371" s="84" t="s">
        <v>543</v>
      </c>
      <c r="V371" s="9">
        <f ca="1">IFERROR(OFFSET(ITEM_RES!$A$5,MATCH(BUILDING!U371,ITEM_RES!$J$5:$J$229,0)-1,0),0)</f>
        <v>211020801</v>
      </c>
      <c r="W371" s="11">
        <v>1</v>
      </c>
      <c r="X371" s="84" t="s">
        <v>388</v>
      </c>
      <c r="Y371" s="9">
        <f ca="1">IFERROR(OFFSET(ITEM_RES!$A$5,MATCH(BUILDING!X371,ITEM_RES!$J$5:$J$229,0)-1,0),0)</f>
        <v>211020901</v>
      </c>
      <c r="AA371" s="9" t="s">
        <v>515</v>
      </c>
      <c r="AB371" s="9">
        <v>7</v>
      </c>
      <c r="AD371" s="11">
        <f ca="1">IFERROR(OFFSET(MANOR_LEVEL!$B$1,MATCH(AE371-1,MANOR_LEVEL!$A:$A,0)-1,0),0)</f>
        <v>50404400</v>
      </c>
      <c r="AE371" s="56">
        <v>16</v>
      </c>
      <c r="AG371" s="56">
        <f t="shared" ca="1" si="103"/>
        <v>250100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250100</v>
      </c>
      <c r="AI371" s="179">
        <f t="shared" ca="1" si="104"/>
        <v>358150</v>
      </c>
      <c r="AK371" s="11">
        <f t="shared" si="95"/>
        <v>1800</v>
      </c>
      <c r="AL371" s="10">
        <v>1800</v>
      </c>
      <c r="AM371" s="11">
        <f t="shared" si="101"/>
        <v>100</v>
      </c>
      <c r="AN371" s="10">
        <v>100</v>
      </c>
      <c r="AO371" s="11">
        <v>20000</v>
      </c>
      <c r="AP371" s="10">
        <v>0</v>
      </c>
      <c r="AQ371" s="56">
        <f t="shared" si="96"/>
        <v>3</v>
      </c>
      <c r="AS371" s="11">
        <f ca="1">IFERROR(OFFSET(ITEM_RES!$A$1,MATCH(AT371,ITEM_RES!$J:$J,0)-1,0),0)</f>
        <v>211020401</v>
      </c>
      <c r="AT371" s="10" t="s">
        <v>430</v>
      </c>
      <c r="AU371" s="11">
        <v>20000</v>
      </c>
      <c r="AX371" s="11">
        <f ca="1">IFERROR(OFFSET(ITEM_RES!$A$1,MATCH(AY371,ITEM_RES!$J:$J,0)-1,0),0)</f>
        <v>211020801</v>
      </c>
      <c r="AY371" s="10" t="s">
        <v>429</v>
      </c>
      <c r="AZ371" s="11">
        <v>20000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459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98"/>
        <v>112050008</v>
      </c>
      <c r="B372" s="13">
        <v>11</v>
      </c>
      <c r="C372" s="12">
        <f t="shared" si="99"/>
        <v>2</v>
      </c>
      <c r="D372" s="13">
        <v>5</v>
      </c>
      <c r="E372" s="13">
        <v>0</v>
      </c>
      <c r="F372" s="12">
        <f t="shared" si="100"/>
        <v>8</v>
      </c>
      <c r="H372" s="9">
        <v>2</v>
      </c>
      <c r="I372" s="9">
        <v>8</v>
      </c>
      <c r="K372" s="9" t="s">
        <v>362</v>
      </c>
      <c r="M372" s="9">
        <v>1</v>
      </c>
      <c r="N372" s="9">
        <v>15</v>
      </c>
      <c r="O372" s="9" t="s">
        <v>751</v>
      </c>
      <c r="S372" s="9" t="s">
        <v>692</v>
      </c>
      <c r="U372" s="84" t="s">
        <v>543</v>
      </c>
      <c r="V372" s="9">
        <f ca="1">IFERROR(OFFSET(ITEM_RES!$A$5,MATCH(BUILDING!U372,ITEM_RES!$J$5:$J$229,0)-1,0),0)</f>
        <v>211020801</v>
      </c>
      <c r="W372" s="11">
        <v>1</v>
      </c>
      <c r="X372" s="84" t="s">
        <v>388</v>
      </c>
      <c r="Y372" s="9">
        <f ca="1">IFERROR(OFFSET(ITEM_RES!$A$5,MATCH(BUILDING!X372,ITEM_RES!$J$5:$J$229,0)-1,0),0)</f>
        <v>211020901</v>
      </c>
      <c r="AA372" s="9" t="s">
        <v>515</v>
      </c>
      <c r="AB372" s="9">
        <v>8</v>
      </c>
      <c r="AD372" s="11">
        <f ca="1">IFERROR(OFFSET(MANOR_LEVEL!$B$1,MATCH(AE372-1,MANOR_LEVEL!$A:$A,0)-1,0),0)</f>
        <v>50404400</v>
      </c>
      <c r="AE372" s="56">
        <v>16</v>
      </c>
      <c r="AG372" s="56">
        <f t="shared" ca="1" si="103"/>
        <v>504100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504100</v>
      </c>
      <c r="AI372" s="179">
        <f t="shared" ca="1" si="104"/>
        <v>754200</v>
      </c>
      <c r="AK372" s="11">
        <f t="shared" si="95"/>
        <v>3600</v>
      </c>
      <c r="AL372" s="10">
        <v>3600</v>
      </c>
      <c r="AM372" s="11">
        <f t="shared" si="101"/>
        <v>100</v>
      </c>
      <c r="AN372" s="10">
        <v>100</v>
      </c>
      <c r="AO372" s="11">
        <v>42000</v>
      </c>
      <c r="AP372" s="10">
        <v>0</v>
      </c>
      <c r="AQ372" s="56">
        <f t="shared" si="96"/>
        <v>2</v>
      </c>
      <c r="AS372" s="11">
        <f ca="1">IFERROR(OFFSET(ITEM_RES!$A$1,MATCH(AT372,ITEM_RES!$J:$J,0)-1,0),0)</f>
        <v>211020401</v>
      </c>
      <c r="AT372" s="10" t="s">
        <v>430</v>
      </c>
      <c r="AU372" s="11">
        <v>42000</v>
      </c>
      <c r="AX372" s="11">
        <f ca="1">IFERROR(OFFSET(ITEM_RES!$A$1,MATCH(AY372,ITEM_RES!$J:$J,0)-1,0),0)</f>
        <v>211020801</v>
      </c>
      <c r="AY372" s="10" t="s">
        <v>429</v>
      </c>
      <c r="AZ372" s="11">
        <v>42000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98"/>
        <v>112050009</v>
      </c>
      <c r="B373" s="13">
        <v>11</v>
      </c>
      <c r="C373" s="12">
        <f t="shared" si="99"/>
        <v>2</v>
      </c>
      <c r="D373" s="13">
        <v>5</v>
      </c>
      <c r="E373" s="13">
        <v>0</v>
      </c>
      <c r="F373" s="12">
        <f t="shared" si="100"/>
        <v>9</v>
      </c>
      <c r="H373" s="9">
        <v>2</v>
      </c>
      <c r="I373" s="9">
        <v>9</v>
      </c>
      <c r="K373" s="9" t="s">
        <v>362</v>
      </c>
      <c r="M373" s="9">
        <v>1</v>
      </c>
      <c r="N373" s="9">
        <v>15</v>
      </c>
      <c r="O373" s="9" t="s">
        <v>751</v>
      </c>
      <c r="S373" s="9" t="s">
        <v>692</v>
      </c>
      <c r="U373" s="84" t="s">
        <v>543</v>
      </c>
      <c r="V373" s="9">
        <f ca="1">IFERROR(OFFSET(ITEM_RES!$A$5,MATCH(BUILDING!U373,ITEM_RES!$J$5:$J$229,0)-1,0),0)</f>
        <v>211020801</v>
      </c>
      <c r="W373" s="11">
        <v>1</v>
      </c>
      <c r="X373" s="84" t="s">
        <v>388</v>
      </c>
      <c r="Y373" s="9">
        <f ca="1">IFERROR(OFFSET(ITEM_RES!$A$5,MATCH(BUILDING!X373,ITEM_RES!$J$5:$J$229,0)-1,0),0)</f>
        <v>211020901</v>
      </c>
      <c r="AA373" s="9" t="s">
        <v>515</v>
      </c>
      <c r="AB373" s="9">
        <v>9</v>
      </c>
      <c r="AD373" s="11">
        <f ca="1">IFERROR(OFFSET(MANOR_LEVEL!$B$1,MATCH(AE373-1,MANOR_LEVEL!$A:$A,0)-1,0),0)</f>
        <v>50404400</v>
      </c>
      <c r="AE373" s="56">
        <v>16</v>
      </c>
      <c r="AG373" s="56">
        <f t="shared" ca="1" si="103"/>
        <v>936150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936150</v>
      </c>
      <c r="AI373" s="179">
        <f t="shared" ca="1" si="104"/>
        <v>1440250</v>
      </c>
      <c r="AK373" s="11">
        <f t="shared" si="95"/>
        <v>5400</v>
      </c>
      <c r="AL373" s="10">
        <v>5400</v>
      </c>
      <c r="AM373" s="11">
        <f t="shared" si="101"/>
        <v>150</v>
      </c>
      <c r="AN373" s="10">
        <v>150</v>
      </c>
      <c r="AO373" s="11">
        <v>78000</v>
      </c>
      <c r="AP373" s="10">
        <v>0</v>
      </c>
      <c r="AQ373" s="56">
        <f t="shared" si="96"/>
        <v>2</v>
      </c>
      <c r="AS373" s="11">
        <f ca="1">IFERROR(OFFSET(ITEM_RES!$A$1,MATCH(AT373,ITEM_RES!$J:$J,0)-1,0),0)</f>
        <v>211020401</v>
      </c>
      <c r="AT373" s="10" t="s">
        <v>430</v>
      </c>
      <c r="AU373" s="11">
        <v>78000</v>
      </c>
      <c r="AX373" s="11">
        <f ca="1">IFERROR(OFFSET(ITEM_RES!$A$1,MATCH(AY373,ITEM_RES!$J:$J,0)-1,0),0)</f>
        <v>211020801</v>
      </c>
      <c r="AY373" s="10" t="s">
        <v>429</v>
      </c>
      <c r="AZ373" s="11">
        <v>78000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98"/>
        <v>112050010</v>
      </c>
      <c r="B374" s="13">
        <v>11</v>
      </c>
      <c r="C374" s="12">
        <f t="shared" si="99"/>
        <v>2</v>
      </c>
      <c r="D374" s="13">
        <v>5</v>
      </c>
      <c r="E374" s="13">
        <v>0</v>
      </c>
      <c r="F374" s="12">
        <f t="shared" si="100"/>
        <v>10</v>
      </c>
      <c r="H374" s="9">
        <v>2</v>
      </c>
      <c r="I374" s="9">
        <v>10</v>
      </c>
      <c r="K374" s="9" t="s">
        <v>362</v>
      </c>
      <c r="M374" s="9">
        <v>1</v>
      </c>
      <c r="N374" s="9">
        <v>15</v>
      </c>
      <c r="O374" s="9" t="s">
        <v>751</v>
      </c>
      <c r="S374" s="9" t="s">
        <v>692</v>
      </c>
      <c r="U374" s="84" t="s">
        <v>543</v>
      </c>
      <c r="V374" s="9">
        <f ca="1">IFERROR(OFFSET(ITEM_RES!$A$5,MATCH(BUILDING!U374,ITEM_RES!$J$5:$J$229,0)-1,0),0)</f>
        <v>211020801</v>
      </c>
      <c r="W374" s="11">
        <v>1</v>
      </c>
      <c r="X374" s="84" t="s">
        <v>388</v>
      </c>
      <c r="Y374" s="9">
        <f ca="1">IFERROR(OFFSET(ITEM_RES!$A$5,MATCH(BUILDING!X374,ITEM_RES!$J$5:$J$229,0)-1,0),0)</f>
        <v>211020901</v>
      </c>
      <c r="AA374" s="9" t="s">
        <v>515</v>
      </c>
      <c r="AB374" s="9">
        <v>10</v>
      </c>
      <c r="AD374" s="11">
        <f ca="1">IFERROR(OFFSET(MANOR_LEVEL!$B$1,MATCH(AE374-1,MANOR_LEVEL!$A:$A,0)-1,0),0)</f>
        <v>50404400</v>
      </c>
      <c r="AE374" s="56">
        <v>16</v>
      </c>
      <c r="AG374" s="56">
        <f t="shared" ca="1" si="103"/>
        <v>1560200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1560200</v>
      </c>
      <c r="AI374" s="179">
        <f t="shared" ca="1" si="104"/>
        <v>2496350</v>
      </c>
      <c r="AK374" s="11">
        <f t="shared" si="95"/>
        <v>7200</v>
      </c>
      <c r="AL374" s="10">
        <v>7200</v>
      </c>
      <c r="AM374" s="11">
        <f t="shared" si="101"/>
        <v>200</v>
      </c>
      <c r="AN374" s="10">
        <v>200</v>
      </c>
      <c r="AO374" s="11">
        <v>130000</v>
      </c>
      <c r="AP374" s="10">
        <v>0</v>
      </c>
      <c r="AQ374" s="56">
        <f t="shared" si="96"/>
        <v>2</v>
      </c>
      <c r="AS374" s="11">
        <f ca="1">IFERROR(OFFSET(ITEM_RES!$A$1,MATCH(AT374,ITEM_RES!$J:$J,0)-1,0),0)</f>
        <v>211020401</v>
      </c>
      <c r="AT374" s="10" t="s">
        <v>430</v>
      </c>
      <c r="AU374" s="11">
        <v>130000</v>
      </c>
      <c r="AX374" s="11">
        <f ca="1">IFERROR(OFFSET(ITEM_RES!$A$1,MATCH(AY374,ITEM_RES!$J:$J,0)-1,0),0)</f>
        <v>211020801</v>
      </c>
      <c r="AY374" s="10" t="s">
        <v>429</v>
      </c>
      <c r="AZ374" s="11">
        <v>130000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98"/>
        <v>112050011</v>
      </c>
      <c r="B375" s="13">
        <v>11</v>
      </c>
      <c r="C375" s="12">
        <f t="shared" si="99"/>
        <v>2</v>
      </c>
      <c r="D375" s="13">
        <v>5</v>
      </c>
      <c r="E375" s="13">
        <v>0</v>
      </c>
      <c r="F375" s="12">
        <f t="shared" si="100"/>
        <v>11</v>
      </c>
      <c r="H375" s="9">
        <v>2</v>
      </c>
      <c r="I375" s="9">
        <v>11</v>
      </c>
      <c r="K375" s="9" t="s">
        <v>362</v>
      </c>
      <c r="M375" s="9">
        <v>1</v>
      </c>
      <c r="N375" s="9">
        <v>15</v>
      </c>
      <c r="O375" s="9" t="s">
        <v>751</v>
      </c>
      <c r="S375" s="9" t="s">
        <v>692</v>
      </c>
      <c r="U375" s="84" t="s">
        <v>543</v>
      </c>
      <c r="V375" s="9">
        <f ca="1">IFERROR(OFFSET(ITEM_RES!$A$5,MATCH(BUILDING!U375,ITEM_RES!$J$5:$J$229,0)-1,0),0)</f>
        <v>211020801</v>
      </c>
      <c r="W375" s="11">
        <v>1</v>
      </c>
      <c r="X375" s="84" t="s">
        <v>388</v>
      </c>
      <c r="Y375" s="9">
        <f ca="1">IFERROR(OFFSET(ITEM_RES!$A$5,MATCH(BUILDING!X375,ITEM_RES!$J$5:$J$229,0)-1,0),0)</f>
        <v>211020901</v>
      </c>
      <c r="AA375" s="9" t="s">
        <v>515</v>
      </c>
      <c r="AB375" s="9">
        <v>11</v>
      </c>
      <c r="AD375" s="11">
        <f ca="1">IFERROR(OFFSET(MANOR_LEVEL!$B$1,MATCH(AE375-1,MANOR_LEVEL!$A:$A,0)-1,0),0)</f>
        <v>50404400</v>
      </c>
      <c r="AE375" s="56">
        <v>16</v>
      </c>
      <c r="AG375" s="56">
        <f t="shared" ca="1" si="103"/>
        <v>2640250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2640250</v>
      </c>
      <c r="AI375" s="179">
        <f t="shared" ca="1" si="104"/>
        <v>4200450</v>
      </c>
      <c r="AK375" s="11">
        <f t="shared" si="95"/>
        <v>9000</v>
      </c>
      <c r="AL375" s="10">
        <v>9000</v>
      </c>
      <c r="AM375" s="11">
        <f t="shared" si="101"/>
        <v>250</v>
      </c>
      <c r="AN375" s="10">
        <v>250</v>
      </c>
      <c r="AO375" s="11">
        <v>220000</v>
      </c>
      <c r="AP375" s="10">
        <v>0</v>
      </c>
      <c r="AQ375" s="56">
        <f t="shared" si="96"/>
        <v>2</v>
      </c>
      <c r="AS375" s="11">
        <f ca="1">IFERROR(OFFSET(ITEM_RES!$A$1,MATCH(AT375,ITEM_RES!$J:$J,0)-1,0),0)</f>
        <v>211020401</v>
      </c>
      <c r="AT375" s="10" t="s">
        <v>430</v>
      </c>
      <c r="AU375" s="11">
        <v>220000</v>
      </c>
      <c r="AX375" s="11">
        <f ca="1">IFERROR(OFFSET(ITEM_RES!$A$1,MATCH(AY375,ITEM_RES!$J:$J,0)-1,0),0)</f>
        <v>211020801</v>
      </c>
      <c r="AY375" s="10" t="s">
        <v>429</v>
      </c>
      <c r="AZ375" s="11">
        <v>220000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98"/>
        <v>112050012</v>
      </c>
      <c r="B376" s="13">
        <v>11</v>
      </c>
      <c r="C376" s="12">
        <f t="shared" si="99"/>
        <v>2</v>
      </c>
      <c r="D376" s="13">
        <v>5</v>
      </c>
      <c r="E376" s="13">
        <v>0</v>
      </c>
      <c r="F376" s="12">
        <f t="shared" si="100"/>
        <v>12</v>
      </c>
      <c r="H376" s="9">
        <v>2</v>
      </c>
      <c r="I376" s="9">
        <v>12</v>
      </c>
      <c r="K376" s="9" t="s">
        <v>362</v>
      </c>
      <c r="M376" s="9">
        <v>1</v>
      </c>
      <c r="N376" s="9">
        <v>15</v>
      </c>
      <c r="O376" s="9" t="s">
        <v>751</v>
      </c>
      <c r="S376" s="9" t="s">
        <v>692</v>
      </c>
      <c r="U376" s="84" t="s">
        <v>543</v>
      </c>
      <c r="V376" s="9">
        <f ca="1">IFERROR(OFFSET(ITEM_RES!$A$5,MATCH(BUILDING!U376,ITEM_RES!$J$5:$J$229,0)-1,0),0)</f>
        <v>211020801</v>
      </c>
      <c r="W376" s="11">
        <v>1</v>
      </c>
      <c r="X376" s="84" t="s">
        <v>388</v>
      </c>
      <c r="Y376" s="9">
        <f ca="1">IFERROR(OFFSET(ITEM_RES!$A$5,MATCH(BUILDING!X376,ITEM_RES!$J$5:$J$229,0)-1,0),0)</f>
        <v>211020901</v>
      </c>
      <c r="AA376" s="9" t="s">
        <v>515</v>
      </c>
      <c r="AB376" s="9">
        <v>12</v>
      </c>
      <c r="AD376" s="11">
        <f ca="1">IFERROR(OFFSET(MANOR_LEVEL!$B$1,MATCH(AE376-1,MANOR_LEVEL!$A:$A,0)-1,0),0)</f>
        <v>50404400</v>
      </c>
      <c r="AE376" s="56">
        <v>16</v>
      </c>
      <c r="AG376" s="56">
        <f t="shared" ca="1" si="103"/>
        <v>4514300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4514300</v>
      </c>
      <c r="AI376" s="179">
        <f t="shared" ca="1" si="104"/>
        <v>7154550</v>
      </c>
      <c r="AK376" s="11">
        <f t="shared" si="95"/>
        <v>10800</v>
      </c>
      <c r="AL376" s="10">
        <v>10800</v>
      </c>
      <c r="AM376" s="11">
        <f t="shared" si="101"/>
        <v>300</v>
      </c>
      <c r="AN376" s="10">
        <v>300</v>
      </c>
      <c r="AO376" s="11">
        <v>370000</v>
      </c>
      <c r="AP376" s="10">
        <v>0</v>
      </c>
      <c r="AQ376" s="56">
        <f t="shared" si="96"/>
        <v>2</v>
      </c>
      <c r="AS376" s="11">
        <f ca="1">IFERROR(OFFSET(ITEM_RES!$A$1,MATCH(AT376,ITEM_RES!$J:$J,0)-1,0),0)</f>
        <v>211020501</v>
      </c>
      <c r="AT376" s="10" t="s">
        <v>428</v>
      </c>
      <c r="AU376" s="11">
        <v>370000</v>
      </c>
      <c r="AX376" s="11">
        <f ca="1">IFERROR(OFFSET(ITEM_RES!$A$1,MATCH(AY376,ITEM_RES!$J:$J,0)-1,0),0)</f>
        <v>211020801</v>
      </c>
      <c r="AY376" s="10" t="s">
        <v>429</v>
      </c>
      <c r="AZ376" s="11">
        <v>370000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98"/>
        <v>112050013</v>
      </c>
      <c r="B377" s="13">
        <v>11</v>
      </c>
      <c r="C377" s="12">
        <f t="shared" si="99"/>
        <v>2</v>
      </c>
      <c r="D377" s="13">
        <v>5</v>
      </c>
      <c r="E377" s="13">
        <v>0</v>
      </c>
      <c r="F377" s="12">
        <f t="shared" si="100"/>
        <v>13</v>
      </c>
      <c r="H377" s="9">
        <v>2</v>
      </c>
      <c r="I377" s="9">
        <v>13</v>
      </c>
      <c r="K377" s="9" t="s">
        <v>362</v>
      </c>
      <c r="M377" s="9">
        <v>1</v>
      </c>
      <c r="N377" s="9">
        <v>15</v>
      </c>
      <c r="O377" s="9" t="s">
        <v>751</v>
      </c>
      <c r="S377" s="9" t="s">
        <v>692</v>
      </c>
      <c r="U377" s="84" t="s">
        <v>543</v>
      </c>
      <c r="V377" s="9">
        <f ca="1">IFERROR(OFFSET(ITEM_RES!$A$5,MATCH(BUILDING!U377,ITEM_RES!$J$5:$J$229,0)-1,0),0)</f>
        <v>211020801</v>
      </c>
      <c r="W377" s="11">
        <v>1</v>
      </c>
      <c r="X377" s="84" t="s">
        <v>388</v>
      </c>
      <c r="Y377" s="9">
        <f ca="1">IFERROR(OFFSET(ITEM_RES!$A$5,MATCH(BUILDING!X377,ITEM_RES!$J$5:$J$229,0)-1,0),0)</f>
        <v>211020901</v>
      </c>
      <c r="AA377" s="9" t="s">
        <v>515</v>
      </c>
      <c r="AB377" s="9">
        <v>13</v>
      </c>
      <c r="AD377" s="11">
        <f ca="1">IFERROR(OFFSET(MANOR_LEVEL!$B$1,MATCH(AE377-1,MANOR_LEVEL!$A:$A,0)-1,0),0)</f>
        <v>50404400</v>
      </c>
      <c r="AE377" s="56">
        <v>16</v>
      </c>
      <c r="AG377" s="56">
        <f t="shared" ca="1" si="103"/>
        <v>7564350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7564350</v>
      </c>
      <c r="AI377" s="179">
        <f t="shared" ca="1" si="104"/>
        <v>12078650</v>
      </c>
      <c r="AK377" s="11">
        <f t="shared" si="95"/>
        <v>12600</v>
      </c>
      <c r="AL377" s="10">
        <v>12600</v>
      </c>
      <c r="AM377" s="11">
        <f t="shared" si="101"/>
        <v>350</v>
      </c>
      <c r="AN377" s="10">
        <v>350</v>
      </c>
      <c r="AO377" s="11">
        <v>620000</v>
      </c>
      <c r="AP377" s="10">
        <v>0</v>
      </c>
      <c r="AQ377" s="56">
        <f t="shared" si="96"/>
        <v>2</v>
      </c>
      <c r="AS377" s="11">
        <f ca="1">IFERROR(OFFSET(ITEM_RES!$A$1,MATCH(AT377,ITEM_RES!$J:$J,0)-1,0),0)</f>
        <v>211020501</v>
      </c>
      <c r="AT377" s="10" t="s">
        <v>428</v>
      </c>
      <c r="AU377" s="11">
        <v>620000</v>
      </c>
      <c r="AX377" s="11">
        <f ca="1">IFERROR(OFFSET(ITEM_RES!$A$1,MATCH(AY377,ITEM_RES!$J:$J,0)-1,0),0)</f>
        <v>211020801</v>
      </c>
      <c r="AY377" s="10" t="s">
        <v>429</v>
      </c>
      <c r="AZ377" s="11">
        <v>620000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98"/>
        <v>112050014</v>
      </c>
      <c r="B378" s="13">
        <v>11</v>
      </c>
      <c r="C378" s="12">
        <f t="shared" si="99"/>
        <v>2</v>
      </c>
      <c r="D378" s="13">
        <v>5</v>
      </c>
      <c r="E378" s="13">
        <v>0</v>
      </c>
      <c r="F378" s="12">
        <f t="shared" si="100"/>
        <v>14</v>
      </c>
      <c r="H378" s="9">
        <v>2</v>
      </c>
      <c r="I378" s="9">
        <v>14</v>
      </c>
      <c r="K378" s="9" t="s">
        <v>362</v>
      </c>
      <c r="M378" s="9">
        <v>1</v>
      </c>
      <c r="N378" s="9">
        <v>15</v>
      </c>
      <c r="O378" s="9" t="s">
        <v>751</v>
      </c>
      <c r="S378" s="9" t="s">
        <v>692</v>
      </c>
      <c r="U378" s="84" t="s">
        <v>543</v>
      </c>
      <c r="V378" s="9">
        <f ca="1">IFERROR(OFFSET(ITEM_RES!$A$5,MATCH(BUILDING!U378,ITEM_RES!$J$5:$J$229,0)-1,0),0)</f>
        <v>211020801</v>
      </c>
      <c r="W378" s="11">
        <v>1</v>
      </c>
      <c r="X378" s="84" t="s">
        <v>388</v>
      </c>
      <c r="Y378" s="9">
        <f ca="1">IFERROR(OFFSET(ITEM_RES!$A$5,MATCH(BUILDING!X378,ITEM_RES!$J$5:$J$229,0)-1,0),0)</f>
        <v>211020901</v>
      </c>
      <c r="AA378" s="9" t="s">
        <v>515</v>
      </c>
      <c r="AB378" s="9">
        <v>14</v>
      </c>
      <c r="AD378" s="11">
        <f ca="1">IFERROR(OFFSET(MANOR_LEVEL!$B$1,MATCH(AE378-1,MANOR_LEVEL!$A:$A,0)-1,0),0)</f>
        <v>50404400</v>
      </c>
      <c r="AE378" s="56">
        <v>16</v>
      </c>
      <c r="AG378" s="56">
        <f t="shared" ca="1" si="103"/>
        <v>11834450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11834450</v>
      </c>
      <c r="AI378" s="179">
        <f t="shared" ca="1" si="104"/>
        <v>19398800</v>
      </c>
      <c r="AK378" s="11">
        <f t="shared" si="95"/>
        <v>14400</v>
      </c>
      <c r="AL378" s="10">
        <v>14400</v>
      </c>
      <c r="AM378" s="11">
        <f t="shared" si="101"/>
        <v>450</v>
      </c>
      <c r="AN378" s="10">
        <v>450</v>
      </c>
      <c r="AO378" s="11">
        <v>970000</v>
      </c>
      <c r="AP378" s="10">
        <v>0</v>
      </c>
      <c r="AQ378" s="56">
        <f t="shared" si="96"/>
        <v>2</v>
      </c>
      <c r="AS378" s="11">
        <f ca="1">IFERROR(OFFSET(ITEM_RES!$A$1,MATCH(AT378,ITEM_RES!$J:$J,0)-1,0),0)</f>
        <v>211020501</v>
      </c>
      <c r="AT378" s="10" t="s">
        <v>428</v>
      </c>
      <c r="AU378" s="11">
        <v>970000</v>
      </c>
      <c r="AX378" s="11">
        <f ca="1">IFERROR(OFFSET(ITEM_RES!$A$1,MATCH(AY378,ITEM_RES!$J:$J,0)-1,0),0)</f>
        <v>211020801</v>
      </c>
      <c r="AY378" s="10" t="s">
        <v>429</v>
      </c>
      <c r="AZ378" s="11">
        <v>970000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98"/>
        <v>112050015</v>
      </c>
      <c r="B379" s="13">
        <v>11</v>
      </c>
      <c r="C379" s="12">
        <f t="shared" si="99"/>
        <v>2</v>
      </c>
      <c r="D379" s="13">
        <v>5</v>
      </c>
      <c r="E379" s="13">
        <v>0</v>
      </c>
      <c r="F379" s="12">
        <f t="shared" si="100"/>
        <v>15</v>
      </c>
      <c r="H379" s="9">
        <v>2</v>
      </c>
      <c r="I379" s="9">
        <v>15</v>
      </c>
      <c r="K379" s="9" t="s">
        <v>362</v>
      </c>
      <c r="M379" s="9">
        <v>1</v>
      </c>
      <c r="N379" s="9">
        <v>15</v>
      </c>
      <c r="O379" s="9" t="s">
        <v>751</v>
      </c>
      <c r="S379" s="9" t="s">
        <v>692</v>
      </c>
      <c r="U379" s="84" t="s">
        <v>543</v>
      </c>
      <c r="V379" s="9">
        <f ca="1">IFERROR(OFFSET(ITEM_RES!$A$5,MATCH(BUILDING!U379,ITEM_RES!$J$5:$J$229,0)-1,0),0)</f>
        <v>211020801</v>
      </c>
      <c r="W379" s="11">
        <v>1</v>
      </c>
      <c r="X379" s="84" t="s">
        <v>388</v>
      </c>
      <c r="Y379" s="9">
        <f ca="1">IFERROR(OFFSET(ITEM_RES!$A$5,MATCH(BUILDING!X379,ITEM_RES!$J$5:$J$229,0)-1,0),0)</f>
        <v>211020901</v>
      </c>
      <c r="AA379" s="9" t="s">
        <v>515</v>
      </c>
      <c r="AB379" s="9">
        <v>15</v>
      </c>
      <c r="AD379" s="11">
        <f ca="1">IFERROR(OFFSET(MANOR_LEVEL!$B$1,MATCH(AE379-1,MANOR_LEVEL!$A:$A,0)-1,0),0)</f>
        <v>50404400</v>
      </c>
      <c r="AE379" s="56">
        <v>16</v>
      </c>
      <c r="AG379" s="56">
        <f t="shared" ca="1" si="103"/>
        <v>25620550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25620550</v>
      </c>
      <c r="AI379" s="179">
        <f t="shared" ca="1" si="104"/>
        <v>37455000</v>
      </c>
      <c r="AK379" s="11">
        <f t="shared" si="95"/>
        <v>16200</v>
      </c>
      <c r="AL379" s="10">
        <v>16200</v>
      </c>
      <c r="AM379" s="11">
        <f t="shared" si="101"/>
        <v>550</v>
      </c>
      <c r="AN379" s="10">
        <v>550</v>
      </c>
      <c r="AO379" s="11">
        <v>2100000</v>
      </c>
      <c r="AP379" s="10">
        <v>0</v>
      </c>
      <c r="AQ379" s="56">
        <f t="shared" si="96"/>
        <v>2</v>
      </c>
      <c r="AS379" s="11">
        <f ca="1">IFERROR(OFFSET(ITEM_RES!$A$1,MATCH(AT379,ITEM_RES!$J:$J,0)-1,0),0)</f>
        <v>211020501</v>
      </c>
      <c r="AT379" s="10" t="s">
        <v>428</v>
      </c>
      <c r="AU379" s="11">
        <v>2100000</v>
      </c>
      <c r="AX379" s="11">
        <f ca="1">IFERROR(OFFSET(ITEM_RES!$A$1,MATCH(AY379,ITEM_RES!$J:$J,0)-1,0),0)</f>
        <v>211020801</v>
      </c>
      <c r="AY379" s="10" t="s">
        <v>429</v>
      </c>
      <c r="AZ379" s="11">
        <v>2100000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98"/>
        <v>112050016</v>
      </c>
      <c r="B380" s="13">
        <v>11</v>
      </c>
      <c r="C380" s="12">
        <f t="shared" si="99"/>
        <v>2</v>
      </c>
      <c r="D380" s="13">
        <v>5</v>
      </c>
      <c r="E380" s="13">
        <v>0</v>
      </c>
      <c r="F380" s="12">
        <f t="shared" si="100"/>
        <v>16</v>
      </c>
      <c r="H380" s="9">
        <v>2</v>
      </c>
      <c r="I380" s="9">
        <v>16</v>
      </c>
      <c r="K380" s="9" t="s">
        <v>362</v>
      </c>
      <c r="M380" s="9">
        <v>0</v>
      </c>
      <c r="N380" s="9">
        <v>15</v>
      </c>
      <c r="O380" s="9" t="s">
        <v>751</v>
      </c>
      <c r="S380" s="9" t="s">
        <v>692</v>
      </c>
      <c r="U380" s="84" t="s">
        <v>543</v>
      </c>
      <c r="V380" s="9">
        <f ca="1">IFERROR(OFFSET(ITEM_RES!$A$5,MATCH(BUILDING!U380,ITEM_RES!$J$5:$J$229,0)-1,0),0)</f>
        <v>211020801</v>
      </c>
      <c r="W380" s="11">
        <v>1</v>
      </c>
      <c r="X380" s="84" t="s">
        <v>388</v>
      </c>
      <c r="Y380" s="9">
        <f ca="1">IFERROR(OFFSET(ITEM_RES!$A$5,MATCH(BUILDING!X380,ITEM_RES!$J$5:$J$229,0)-1,0),0)</f>
        <v>211020901</v>
      </c>
      <c r="AA380" s="9" t="s">
        <v>515</v>
      </c>
      <c r="AB380" s="9">
        <v>16</v>
      </c>
      <c r="AD380" s="11">
        <f ca="1">IFERROR(OFFSET(MANOR_LEVEL!$B$1,MATCH(AE380-1,MANOR_LEVEL!$A:$A,0)-1,0),0)</f>
        <v>50404400</v>
      </c>
      <c r="AE380" s="56">
        <v>16</v>
      </c>
      <c r="AG380" s="56">
        <f t="shared" ca="1" si="103"/>
        <v>52460700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52460700</v>
      </c>
      <c r="AI380" s="179">
        <f t="shared" ca="1" si="104"/>
        <v>78081250</v>
      </c>
      <c r="AK380" s="11">
        <f t="shared" si="95"/>
        <v>18000</v>
      </c>
      <c r="AL380" s="10">
        <v>18000</v>
      </c>
      <c r="AM380" s="11">
        <f t="shared" si="101"/>
        <v>700</v>
      </c>
      <c r="AN380" s="10">
        <v>700</v>
      </c>
      <c r="AO380" s="11">
        <v>4300000</v>
      </c>
      <c r="AP380" s="10">
        <v>0</v>
      </c>
      <c r="AQ380" s="56">
        <f t="shared" si="96"/>
        <v>2</v>
      </c>
      <c r="AS380" s="11">
        <f ca="1">IFERROR(OFFSET(ITEM_RES!$A$1,MATCH(AT380,ITEM_RES!$J:$J,0)-1,0),0)</f>
        <v>211020501</v>
      </c>
      <c r="AT380" s="10" t="s">
        <v>428</v>
      </c>
      <c r="AU380" s="11">
        <v>4300000</v>
      </c>
      <c r="AX380" s="11">
        <f ca="1">IFERROR(OFFSET(ITEM_RES!$A$1,MATCH(AY380,ITEM_RES!$J:$J,0)-1,0),0)</f>
        <v>211020801</v>
      </c>
      <c r="AY380" s="10" t="s">
        <v>429</v>
      </c>
      <c r="AZ380" s="11">
        <v>4300000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98"/>
        <v>112050017</v>
      </c>
      <c r="B381" s="13">
        <v>11</v>
      </c>
      <c r="C381" s="12">
        <f t="shared" si="99"/>
        <v>2</v>
      </c>
      <c r="D381" s="13">
        <v>5</v>
      </c>
      <c r="E381" s="13">
        <v>0</v>
      </c>
      <c r="F381" s="12">
        <f t="shared" si="100"/>
        <v>17</v>
      </c>
      <c r="H381" s="9">
        <v>2</v>
      </c>
      <c r="I381" s="9">
        <v>17</v>
      </c>
      <c r="K381" s="9" t="s">
        <v>362</v>
      </c>
      <c r="M381" s="9">
        <v>0</v>
      </c>
      <c r="N381" s="9">
        <v>15</v>
      </c>
      <c r="O381" s="9" t="s">
        <v>751</v>
      </c>
      <c r="S381" s="9" t="s">
        <v>692</v>
      </c>
      <c r="U381" s="84" t="s">
        <v>543</v>
      </c>
      <c r="V381" s="9">
        <f ca="1">IFERROR(OFFSET(ITEM_RES!$A$5,MATCH(BUILDING!U381,ITEM_RES!$J$5:$J$229,0)-1,0),0)</f>
        <v>211020801</v>
      </c>
      <c r="W381" s="11">
        <v>1</v>
      </c>
      <c r="X381" s="84" t="s">
        <v>388</v>
      </c>
      <c r="Y381" s="9">
        <f ca="1">IFERROR(OFFSET(ITEM_RES!$A$5,MATCH(BUILDING!X381,ITEM_RES!$J$5:$J$229,0)-1,0),0)</f>
        <v>211020901</v>
      </c>
      <c r="AA381" s="9" t="s">
        <v>515</v>
      </c>
      <c r="AB381" s="9">
        <v>17</v>
      </c>
      <c r="AD381" s="11">
        <f ca="1">IFERROR(OFFSET(MANOR_LEVEL!$B$1,MATCH(AE381-1,MANOR_LEVEL!$A:$A,0)-1,0),0)</f>
        <v>50404400</v>
      </c>
      <c r="AE381" s="56">
        <v>16</v>
      </c>
      <c r="AG381" s="56">
        <f t="shared" ca="1" si="103"/>
        <v>97600850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97600850</v>
      </c>
      <c r="AI381" s="179">
        <f t="shared" ca="1" si="104"/>
        <v>150061550</v>
      </c>
      <c r="AK381" s="11">
        <f t="shared" si="95"/>
        <v>19800</v>
      </c>
      <c r="AL381" s="10">
        <v>19800</v>
      </c>
      <c r="AM381" s="11">
        <f t="shared" si="101"/>
        <v>850</v>
      </c>
      <c r="AN381" s="10">
        <v>850</v>
      </c>
      <c r="AO381" s="11">
        <v>8000000</v>
      </c>
      <c r="AP381" s="10">
        <v>0</v>
      </c>
      <c r="AQ381" s="56">
        <f t="shared" si="96"/>
        <v>2</v>
      </c>
      <c r="AS381" s="11">
        <f ca="1">IFERROR(OFFSET(ITEM_RES!$A$1,MATCH(AT381,ITEM_RES!$J:$J,0)-1,0),0)</f>
        <v>211020501</v>
      </c>
      <c r="AT381" s="10" t="s">
        <v>428</v>
      </c>
      <c r="AU381" s="11">
        <v>8000000</v>
      </c>
      <c r="AX381" s="11">
        <f ca="1">IFERROR(OFFSET(ITEM_RES!$A$1,MATCH(AY381,ITEM_RES!$J:$J,0)-1,0),0)</f>
        <v>211020801</v>
      </c>
      <c r="AY381" s="10" t="s">
        <v>429</v>
      </c>
      <c r="AZ381" s="11">
        <v>8000000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98"/>
        <v>112050018</v>
      </c>
      <c r="B382" s="13">
        <v>11</v>
      </c>
      <c r="C382" s="12">
        <f t="shared" si="99"/>
        <v>2</v>
      </c>
      <c r="D382" s="13">
        <v>5</v>
      </c>
      <c r="E382" s="13">
        <v>0</v>
      </c>
      <c r="F382" s="12">
        <f t="shared" si="100"/>
        <v>18</v>
      </c>
      <c r="H382" s="9">
        <v>2</v>
      </c>
      <c r="I382" s="9">
        <v>18</v>
      </c>
      <c r="K382" s="9" t="s">
        <v>362</v>
      </c>
      <c r="M382" s="9">
        <v>0</v>
      </c>
      <c r="N382" s="9">
        <v>15</v>
      </c>
      <c r="O382" s="9" t="s">
        <v>751</v>
      </c>
      <c r="S382" s="9" t="s">
        <v>692</v>
      </c>
      <c r="U382" s="84" t="s">
        <v>543</v>
      </c>
      <c r="V382" s="9">
        <f ca="1">IFERROR(OFFSET(ITEM_RES!$A$5,MATCH(BUILDING!U382,ITEM_RES!$J$5:$J$229,0)-1,0),0)</f>
        <v>211020801</v>
      </c>
      <c r="W382" s="11">
        <v>1</v>
      </c>
      <c r="X382" s="84" t="s">
        <v>388</v>
      </c>
      <c r="Y382" s="9">
        <f ca="1">IFERROR(OFFSET(ITEM_RES!$A$5,MATCH(BUILDING!X382,ITEM_RES!$J$5:$J$229,0)-1,0),0)</f>
        <v>211020901</v>
      </c>
      <c r="AA382" s="9" t="s">
        <v>515</v>
      </c>
      <c r="AB382" s="9">
        <v>18</v>
      </c>
      <c r="AD382" s="11">
        <f ca="1">IFERROR(OFFSET(MANOR_LEVEL!$B$1,MATCH(AE382-1,MANOR_LEVEL!$A:$A,0)-1,0),0)</f>
        <v>50404400</v>
      </c>
      <c r="AE382" s="56">
        <v>16</v>
      </c>
      <c r="AG382" s="56">
        <f t="shared" ca="1" si="103"/>
        <v>158601050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158601050</v>
      </c>
      <c r="AI382" s="179">
        <f t="shared" ca="1" si="104"/>
        <v>256201900</v>
      </c>
      <c r="AK382" s="11">
        <f t="shared" si="95"/>
        <v>21600</v>
      </c>
      <c r="AL382" s="10">
        <v>21600</v>
      </c>
      <c r="AM382" s="11">
        <f t="shared" si="101"/>
        <v>1050</v>
      </c>
      <c r="AN382" s="10">
        <v>1050</v>
      </c>
      <c r="AO382" s="11">
        <v>13000000</v>
      </c>
      <c r="AP382" s="10">
        <v>0</v>
      </c>
      <c r="AQ382" s="56">
        <f t="shared" si="96"/>
        <v>2</v>
      </c>
      <c r="AS382" s="11">
        <f ca="1">IFERROR(OFFSET(ITEM_RES!$A$1,MATCH(AT382,ITEM_RES!$J:$J,0)-1,0),0)</f>
        <v>211020501</v>
      </c>
      <c r="AT382" s="10" t="s">
        <v>428</v>
      </c>
      <c r="AU382" s="11">
        <v>13000000</v>
      </c>
      <c r="AX382" s="11">
        <f ca="1">IFERROR(OFFSET(ITEM_RES!$A$1,MATCH(AY382,ITEM_RES!$J:$J,0)-1,0),0)</f>
        <v>211020801</v>
      </c>
      <c r="AY382" s="10" t="s">
        <v>429</v>
      </c>
      <c r="AZ382" s="11">
        <v>13000000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98"/>
        <v>112050019</v>
      </c>
      <c r="B383" s="13">
        <v>11</v>
      </c>
      <c r="C383" s="12">
        <f t="shared" si="99"/>
        <v>2</v>
      </c>
      <c r="D383" s="13">
        <v>5</v>
      </c>
      <c r="E383" s="13">
        <v>0</v>
      </c>
      <c r="F383" s="12">
        <f t="shared" si="100"/>
        <v>19</v>
      </c>
      <c r="H383" s="9">
        <v>2</v>
      </c>
      <c r="I383" s="9">
        <v>19</v>
      </c>
      <c r="K383" s="9" t="s">
        <v>362</v>
      </c>
      <c r="M383" s="9">
        <v>0</v>
      </c>
      <c r="N383" s="9">
        <v>15</v>
      </c>
      <c r="O383" s="9" t="s">
        <v>751</v>
      </c>
      <c r="S383" s="9" t="s">
        <v>692</v>
      </c>
      <c r="U383" s="84" t="s">
        <v>543</v>
      </c>
      <c r="V383" s="9">
        <f ca="1">IFERROR(OFFSET(ITEM_RES!$A$5,MATCH(BUILDING!U383,ITEM_RES!$J$5:$J$229,0)-1,0),0)</f>
        <v>211020801</v>
      </c>
      <c r="W383" s="11">
        <v>1</v>
      </c>
      <c r="X383" s="84" t="s">
        <v>388</v>
      </c>
      <c r="Y383" s="9">
        <f ca="1">IFERROR(OFFSET(ITEM_RES!$A$5,MATCH(BUILDING!X383,ITEM_RES!$J$5:$J$229,0)-1,0),0)</f>
        <v>211020901</v>
      </c>
      <c r="AA383" s="9" t="s">
        <v>515</v>
      </c>
      <c r="AB383" s="9">
        <v>19</v>
      </c>
      <c r="AD383" s="11">
        <f ca="1">IFERROR(OFFSET(MANOR_LEVEL!$B$1,MATCH(AE383-1,MANOR_LEVEL!$A:$A,0)-1,0),0)</f>
        <v>50404400</v>
      </c>
      <c r="AE383" s="56">
        <v>16</v>
      </c>
      <c r="AG383" s="56">
        <f t="shared" ca="1" si="103"/>
        <v>244001250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244001250</v>
      </c>
      <c r="AI383" s="179">
        <f t="shared" ca="1" si="104"/>
        <v>402602300</v>
      </c>
      <c r="AK383" s="11">
        <f t="shared" si="95"/>
        <v>23400</v>
      </c>
      <c r="AL383" s="10">
        <v>23400</v>
      </c>
      <c r="AM383" s="11">
        <f t="shared" si="101"/>
        <v>1250</v>
      </c>
      <c r="AN383" s="10">
        <v>1250</v>
      </c>
      <c r="AO383" s="11">
        <v>20000000</v>
      </c>
      <c r="AP383" s="10">
        <v>0</v>
      </c>
      <c r="AQ383" s="56">
        <f t="shared" si="96"/>
        <v>2</v>
      </c>
      <c r="AS383" s="11">
        <f ca="1">IFERROR(OFFSET(ITEM_RES!$A$1,MATCH(AT383,ITEM_RES!$J:$J,0)-1,0),0)</f>
        <v>211020501</v>
      </c>
      <c r="AT383" s="10" t="s">
        <v>428</v>
      </c>
      <c r="AU383" s="11">
        <v>20000000</v>
      </c>
      <c r="AX383" s="11">
        <f ca="1">IFERROR(OFFSET(ITEM_RES!$A$1,MATCH(AY383,ITEM_RES!$J:$J,0)-1,0),0)</f>
        <v>211020801</v>
      </c>
      <c r="AY383" s="10" t="s">
        <v>429</v>
      </c>
      <c r="AZ383" s="11">
        <v>20000000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98"/>
        <v>112050020</v>
      </c>
      <c r="B384" s="13">
        <v>11</v>
      </c>
      <c r="C384" s="12">
        <f t="shared" si="99"/>
        <v>2</v>
      </c>
      <c r="D384" s="13">
        <v>5</v>
      </c>
      <c r="E384" s="13">
        <v>0</v>
      </c>
      <c r="F384" s="12">
        <f t="shared" si="100"/>
        <v>20</v>
      </c>
      <c r="H384" s="9">
        <v>2</v>
      </c>
      <c r="I384" s="9">
        <v>20</v>
      </c>
      <c r="K384" s="9" t="s">
        <v>362</v>
      </c>
      <c r="M384" s="9">
        <v>0</v>
      </c>
      <c r="N384" s="9">
        <v>15</v>
      </c>
      <c r="O384" s="9" t="s">
        <v>751</v>
      </c>
      <c r="S384" s="9" t="s">
        <v>692</v>
      </c>
      <c r="U384" s="84" t="s">
        <v>543</v>
      </c>
      <c r="V384" s="9">
        <f ca="1">IFERROR(OFFSET(ITEM_RES!$A$5,MATCH(BUILDING!U384,ITEM_RES!$J$5:$J$229,0)-1,0),0)</f>
        <v>211020801</v>
      </c>
      <c r="W384" s="11">
        <v>1</v>
      </c>
      <c r="X384" s="84" t="s">
        <v>388</v>
      </c>
      <c r="Y384" s="9">
        <f ca="1">IFERROR(OFFSET(ITEM_RES!$A$5,MATCH(BUILDING!X384,ITEM_RES!$J$5:$J$229,0)-1,0),0)</f>
        <v>211020901</v>
      </c>
      <c r="AA384" s="9" t="s">
        <v>515</v>
      </c>
      <c r="AB384" s="9">
        <v>20</v>
      </c>
      <c r="AD384" s="11">
        <f ca="1">IFERROR(OFFSET(MANOR_LEVEL!$B$1,MATCH(AE384-1,MANOR_LEVEL!$A:$A,0)-1,0),0)</f>
        <v>50404400</v>
      </c>
      <c r="AE384" s="56">
        <v>16</v>
      </c>
      <c r="AG384" s="56">
        <f t="shared" ca="1" si="103"/>
        <v>390401500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390401500</v>
      </c>
      <c r="AI384" s="179">
        <f t="shared" ca="1" si="104"/>
        <v>634402750</v>
      </c>
      <c r="AK384" s="11">
        <f t="shared" si="95"/>
        <v>25200</v>
      </c>
      <c r="AL384" s="10">
        <v>25200</v>
      </c>
      <c r="AM384" s="11">
        <f t="shared" si="101"/>
        <v>1500</v>
      </c>
      <c r="AN384" s="10">
        <v>1500</v>
      </c>
      <c r="AO384" s="11">
        <v>32000000</v>
      </c>
      <c r="AP384" s="10">
        <v>0</v>
      </c>
      <c r="AQ384" s="56">
        <f t="shared" si="96"/>
        <v>2</v>
      </c>
      <c r="AS384" s="11">
        <f ca="1">IFERROR(OFFSET(ITEM_RES!$A$1,MATCH(AT384,ITEM_RES!$J:$J,0)-1,0),0)</f>
        <v>211020501</v>
      </c>
      <c r="AT384" s="10" t="s">
        <v>428</v>
      </c>
      <c r="AU384" s="11">
        <v>32000000</v>
      </c>
      <c r="AX384" s="11">
        <f ca="1">IFERROR(OFFSET(ITEM_RES!$A$1,MATCH(AY384,ITEM_RES!$J:$J,0)-1,0),0)</f>
        <v>211020801</v>
      </c>
      <c r="AY384" s="10" t="s">
        <v>429</v>
      </c>
      <c r="AZ384" s="11">
        <v>32000000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98"/>
        <v>111090001</v>
      </c>
      <c r="B385" s="20">
        <v>11</v>
      </c>
      <c r="C385" s="19">
        <f t="shared" si="99"/>
        <v>1</v>
      </c>
      <c r="D385" s="20">
        <v>9</v>
      </c>
      <c r="E385" s="20">
        <v>0</v>
      </c>
      <c r="F385" s="19">
        <f t="shared" si="100"/>
        <v>1</v>
      </c>
      <c r="G385" s="78"/>
      <c r="H385" s="16">
        <v>1</v>
      </c>
      <c r="I385" s="16">
        <v>1</v>
      </c>
      <c r="J385" s="78"/>
      <c r="K385" s="16" t="s">
        <v>369</v>
      </c>
      <c r="L385" s="16">
        <v>1</v>
      </c>
      <c r="M385" s="16">
        <v>1</v>
      </c>
      <c r="N385" s="16">
        <v>15</v>
      </c>
      <c r="O385" s="16" t="s">
        <v>1139</v>
      </c>
      <c r="P385" s="17"/>
      <c r="Q385" s="17"/>
      <c r="R385" s="18"/>
      <c r="S385" s="16" t="s">
        <v>698</v>
      </c>
      <c r="T385" s="78"/>
      <c r="U385" s="86"/>
      <c r="V385" s="16">
        <f ca="1">IFERROR(OFFSET(ITEM_RES!$A$5,MATCH(BUILDING!U385,ITEM_RES!$J$5:$J$229,0)-1,0),0)</f>
        <v>0</v>
      </c>
      <c r="W385" s="18"/>
      <c r="X385" s="86" t="s">
        <v>538</v>
      </c>
      <c r="Y385" s="16">
        <f ca="1">IFERROR(OFFSET(ITEM_RES!$A$5,MATCH(BUILDING!X385,ITEM_RES!$J$5:$J$229,0)-1,0),0)</f>
        <v>211020201</v>
      </c>
      <c r="Z385" s="78"/>
      <c r="AA385" s="16" t="s">
        <v>516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03"/>
        <v>1155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1155</v>
      </c>
      <c r="AI385" s="181">
        <f ca="1">AG385</f>
        <v>1155</v>
      </c>
      <c r="AJ385" s="78"/>
      <c r="AK385" s="18">
        <f t="shared" ref="AK385:AK428" si="105">ROUND(AL385,0)</f>
        <v>5</v>
      </c>
      <c r="AL385" s="17">
        <v>5</v>
      </c>
      <c r="AM385" s="18">
        <f t="shared" si="101"/>
        <v>5</v>
      </c>
      <c r="AN385" s="17">
        <v>5</v>
      </c>
      <c r="AO385" s="18">
        <f t="shared" si="101"/>
        <v>0</v>
      </c>
      <c r="AP385" s="17">
        <v>0</v>
      </c>
      <c r="AQ385" s="57">
        <f t="shared" si="96"/>
        <v>3</v>
      </c>
      <c r="AR385" s="18"/>
      <c r="AS385" s="18">
        <f ca="1">IFERROR(OFFSET(ITEM_RES!$A$1,MATCH(AT385,ITEM_RES!$J:$J,0)-1,0),0)</f>
        <v>211010501</v>
      </c>
      <c r="AT385" s="17" t="s">
        <v>422</v>
      </c>
      <c r="AU385" s="18">
        <v>50</v>
      </c>
      <c r="AV385" s="17"/>
      <c r="AW385" s="18"/>
      <c r="AX385" s="18">
        <f ca="1">IFERROR(OFFSET(ITEM_RES!$A$1,MATCH(AY385,ITEM_RES!$J:$J,0)-1,0),0)</f>
        <v>211020101</v>
      </c>
      <c r="AY385" s="17" t="s">
        <v>441</v>
      </c>
      <c r="AZ385" s="18">
        <v>50</v>
      </c>
      <c r="BA385" s="17"/>
      <c r="BB385" s="18"/>
      <c r="BC385" s="18">
        <f ca="1">IFERROR(OFFSET(ITEM_RES!$A$1,MATCH(BD385,ITEM_RES!$J:$J,0)-1,0),0)</f>
        <v>213010101</v>
      </c>
      <c r="BD385" s="17" t="s">
        <v>445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98"/>
        <v>111090002</v>
      </c>
      <c r="B386" s="13">
        <v>11</v>
      </c>
      <c r="C386" s="12">
        <f t="shared" si="99"/>
        <v>1</v>
      </c>
      <c r="D386" s="13">
        <v>9</v>
      </c>
      <c r="E386" s="13">
        <v>0</v>
      </c>
      <c r="F386" s="12">
        <f t="shared" si="100"/>
        <v>2</v>
      </c>
      <c r="H386" s="9">
        <v>1</v>
      </c>
      <c r="I386" s="9">
        <v>2</v>
      </c>
      <c r="K386" s="9" t="s">
        <v>369</v>
      </c>
      <c r="M386" s="9">
        <v>1</v>
      </c>
      <c r="N386" s="9">
        <v>15</v>
      </c>
      <c r="O386" s="9" t="s">
        <v>1140</v>
      </c>
      <c r="S386" s="9" t="s">
        <v>698</v>
      </c>
      <c r="V386" s="9">
        <f ca="1">IFERROR(OFFSET(ITEM_RES!$A$5,MATCH(BUILDING!U386,ITEM_RES!$J$5:$J$229,0)-1,0),0)</f>
        <v>0</v>
      </c>
      <c r="X386" s="84" t="s">
        <v>538</v>
      </c>
      <c r="Y386" s="9">
        <f ca="1">IFERROR(OFFSET(ITEM_RES!$A$5,MATCH(BUILDING!X386,ITEM_RES!$J$5:$J$229,0)-1,0),0)</f>
        <v>211020201</v>
      </c>
      <c r="AA386" s="9" t="s">
        <v>516</v>
      </c>
      <c r="AB386" s="9">
        <v>2</v>
      </c>
      <c r="AD386" s="11">
        <f ca="1">IFERROR(OFFSET(MANOR_LEVEL!$B$1,MATCH(AE386-1,MANOR_LEVEL!$A:$A,0)-1,0),0)</f>
        <v>100</v>
      </c>
      <c r="AE386" s="56">
        <v>2</v>
      </c>
      <c r="AG386" s="56">
        <f t="shared" ca="1" si="103"/>
        <v>310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310</v>
      </c>
      <c r="AI386" s="179">
        <f ca="1">AG385+AG386</f>
        <v>1465</v>
      </c>
      <c r="AK386" s="11">
        <f t="shared" si="105"/>
        <v>10</v>
      </c>
      <c r="AL386" s="10">
        <v>10</v>
      </c>
      <c r="AM386" s="11">
        <f t="shared" si="101"/>
        <v>10</v>
      </c>
      <c r="AN386" s="10">
        <v>10</v>
      </c>
      <c r="AO386" s="11">
        <f t="shared" si="101"/>
        <v>0</v>
      </c>
      <c r="AP386" s="10">
        <v>0</v>
      </c>
      <c r="AQ386" s="56">
        <f t="shared" ref="AQ386:AQ429" si="106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422</v>
      </c>
      <c r="AU386" s="11">
        <v>100</v>
      </c>
      <c r="AX386" s="11">
        <f ca="1">IFERROR(OFFSET(ITEM_RES!$A$1,MATCH(AY386,ITEM_RES!$J:$J,0)-1,0),0)</f>
        <v>211020101</v>
      </c>
      <c r="AY386" s="10" t="s">
        <v>441</v>
      </c>
      <c r="AZ386" s="11">
        <v>100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98"/>
        <v>111090003</v>
      </c>
      <c r="B387" s="13">
        <v>11</v>
      </c>
      <c r="C387" s="12">
        <f t="shared" si="99"/>
        <v>1</v>
      </c>
      <c r="D387" s="13">
        <v>9</v>
      </c>
      <c r="E387" s="13">
        <v>0</v>
      </c>
      <c r="F387" s="12">
        <f t="shared" si="100"/>
        <v>3</v>
      </c>
      <c r="H387" s="9">
        <v>1</v>
      </c>
      <c r="I387" s="9">
        <v>3</v>
      </c>
      <c r="K387" s="9" t="s">
        <v>369</v>
      </c>
      <c r="M387" s="9">
        <v>1</v>
      </c>
      <c r="N387" s="9">
        <v>15</v>
      </c>
      <c r="O387" s="9" t="s">
        <v>1141</v>
      </c>
      <c r="S387" s="9" t="s">
        <v>698</v>
      </c>
      <c r="V387" s="9">
        <f ca="1">IFERROR(OFFSET(ITEM_RES!$A$5,MATCH(BUILDING!U387,ITEM_RES!$J$5:$J$229,0)-1,0),0)</f>
        <v>0</v>
      </c>
      <c r="X387" s="84" t="s">
        <v>538</v>
      </c>
      <c r="Y387" s="9">
        <f ca="1">IFERROR(OFFSET(ITEM_RES!$A$5,MATCH(BUILDING!X387,ITEM_RES!$J$5:$J$229,0)-1,0),0)</f>
        <v>211020201</v>
      </c>
      <c r="AA387" s="9" t="s">
        <v>516</v>
      </c>
      <c r="AB387" s="9">
        <v>3</v>
      </c>
      <c r="AD387" s="11">
        <f ca="1">IFERROR(OFFSET(MANOR_LEVEL!$B$1,MATCH(AE387-1,MANOR_LEVEL!$A:$A,0)-1,0),0)</f>
        <v>310</v>
      </c>
      <c r="AE387" s="56">
        <v>3</v>
      </c>
      <c r="AG387" s="56">
        <f t="shared" ca="1" si="103"/>
        <v>465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465</v>
      </c>
      <c r="AI387" s="179">
        <f t="shared" ref="AI387:AI404" ca="1" si="107">AG386+AG387</f>
        <v>775</v>
      </c>
      <c r="AK387" s="11">
        <f t="shared" si="105"/>
        <v>30</v>
      </c>
      <c r="AL387" s="10">
        <v>30</v>
      </c>
      <c r="AM387" s="11">
        <f t="shared" si="101"/>
        <v>15</v>
      </c>
      <c r="AN387" s="10">
        <v>15</v>
      </c>
      <c r="AO387" s="11">
        <f t="shared" si="101"/>
        <v>0</v>
      </c>
      <c r="AP387" s="10">
        <v>0</v>
      </c>
      <c r="AQ387" s="56">
        <f t="shared" si="106"/>
        <v>2</v>
      </c>
      <c r="AS387" s="11">
        <f ca="1">IFERROR(OFFSET(ITEM_RES!$A$1,MATCH(AT387,ITEM_RES!$J:$J,0)-1,0),0)</f>
        <v>211010501</v>
      </c>
      <c r="AT387" s="10" t="s">
        <v>422</v>
      </c>
      <c r="AU387" s="11">
        <v>150</v>
      </c>
      <c r="AX387" s="11">
        <f ca="1">IFERROR(OFFSET(ITEM_RES!$A$1,MATCH(AY387,ITEM_RES!$J:$J,0)-1,0),0)</f>
        <v>211020101</v>
      </c>
      <c r="AY387" s="10" t="s">
        <v>441</v>
      </c>
      <c r="AZ387" s="11">
        <v>150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98"/>
        <v>111090004</v>
      </c>
      <c r="B388" s="13">
        <v>11</v>
      </c>
      <c r="C388" s="12">
        <f t="shared" si="99"/>
        <v>1</v>
      </c>
      <c r="D388" s="13">
        <v>9</v>
      </c>
      <c r="E388" s="13">
        <v>0</v>
      </c>
      <c r="F388" s="12">
        <f t="shared" si="100"/>
        <v>4</v>
      </c>
      <c r="H388" s="9">
        <v>1</v>
      </c>
      <c r="I388" s="9">
        <v>4</v>
      </c>
      <c r="K388" s="9" t="s">
        <v>369</v>
      </c>
      <c r="M388" s="9">
        <v>1</v>
      </c>
      <c r="N388" s="9">
        <v>15</v>
      </c>
      <c r="O388" s="9" t="s">
        <v>1142</v>
      </c>
      <c r="S388" s="9" t="s">
        <v>698</v>
      </c>
      <c r="V388" s="9">
        <f ca="1">IFERROR(OFFSET(ITEM_RES!$A$5,MATCH(BUILDING!U388,ITEM_RES!$J$5:$J$229,0)-1,0),0)</f>
        <v>0</v>
      </c>
      <c r="X388" s="84" t="s">
        <v>538</v>
      </c>
      <c r="Y388" s="9">
        <f ca="1">IFERROR(OFFSET(ITEM_RES!$A$5,MATCH(BUILDING!X388,ITEM_RES!$J$5:$J$229,0)-1,0),0)</f>
        <v>211020201</v>
      </c>
      <c r="AA388" s="9" t="s">
        <v>516</v>
      </c>
      <c r="AB388" s="9">
        <v>4</v>
      </c>
      <c r="AD388" s="11">
        <f ca="1">IFERROR(OFFSET(MANOR_LEVEL!$B$1,MATCH(AE388-1,MANOR_LEVEL!$A:$A,0)-1,0),0)</f>
        <v>310</v>
      </c>
      <c r="AE388" s="56">
        <v>3</v>
      </c>
      <c r="AG388" s="56">
        <f t="shared" ca="1" si="103"/>
        <v>1825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1825</v>
      </c>
      <c r="AI388" s="179">
        <f t="shared" ca="1" si="107"/>
        <v>2290</v>
      </c>
      <c r="AK388" s="11">
        <f t="shared" si="105"/>
        <v>300</v>
      </c>
      <c r="AL388" s="10">
        <v>300</v>
      </c>
      <c r="AM388" s="11">
        <f t="shared" si="101"/>
        <v>25</v>
      </c>
      <c r="AN388" s="10">
        <v>25</v>
      </c>
      <c r="AO388" s="11">
        <f t="shared" si="101"/>
        <v>0</v>
      </c>
      <c r="AP388" s="10">
        <v>0</v>
      </c>
      <c r="AQ388" s="56">
        <f t="shared" si="106"/>
        <v>2</v>
      </c>
      <c r="AS388" s="11">
        <f ca="1">IFERROR(OFFSET(ITEM_RES!$A$1,MATCH(AT388,ITEM_RES!$J:$J,0)-1,0),0)</f>
        <v>211010501</v>
      </c>
      <c r="AT388" s="10" t="s">
        <v>422</v>
      </c>
      <c r="AU388" s="11">
        <v>600</v>
      </c>
      <c r="AX388" s="11">
        <f ca="1">IFERROR(OFFSET(ITEM_RES!$A$1,MATCH(AY388,ITEM_RES!$J:$J,0)-1,0),0)</f>
        <v>211020101</v>
      </c>
      <c r="AY388" s="10" t="s">
        <v>441</v>
      </c>
      <c r="AZ388" s="11">
        <v>600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98"/>
        <v>111090005</v>
      </c>
      <c r="B389" s="13">
        <v>11</v>
      </c>
      <c r="C389" s="12">
        <f t="shared" si="99"/>
        <v>1</v>
      </c>
      <c r="D389" s="13">
        <v>9</v>
      </c>
      <c r="E389" s="13">
        <v>0</v>
      </c>
      <c r="F389" s="12">
        <f t="shared" si="100"/>
        <v>5</v>
      </c>
      <c r="H389" s="9">
        <v>1</v>
      </c>
      <c r="I389" s="9">
        <v>5</v>
      </c>
      <c r="K389" s="9" t="s">
        <v>369</v>
      </c>
      <c r="M389" s="9">
        <v>1</v>
      </c>
      <c r="N389" s="9">
        <v>15</v>
      </c>
      <c r="O389" s="9" t="s">
        <v>1143</v>
      </c>
      <c r="S389" s="9" t="s">
        <v>698</v>
      </c>
      <c r="V389" s="9">
        <f ca="1">IFERROR(OFFSET(ITEM_RES!$A$5,MATCH(BUILDING!U389,ITEM_RES!$J$5:$J$229,0)-1,0),0)</f>
        <v>0</v>
      </c>
      <c r="X389" s="84" t="s">
        <v>538</v>
      </c>
      <c r="Y389" s="9">
        <f ca="1">IFERROR(OFFSET(ITEM_RES!$A$5,MATCH(BUILDING!X389,ITEM_RES!$J$5:$J$229,0)-1,0),0)</f>
        <v>211020201</v>
      </c>
      <c r="AA389" s="9" t="s">
        <v>516</v>
      </c>
      <c r="AB389" s="9">
        <v>5</v>
      </c>
      <c r="AD389" s="11">
        <f ca="1">IFERROR(OFFSET(MANOR_LEVEL!$B$1,MATCH(AE389-1,MANOR_LEVEL!$A:$A,0)-1,0),0)</f>
        <v>930</v>
      </c>
      <c r="AE389" s="56">
        <v>4</v>
      </c>
      <c r="AG389" s="56">
        <f t="shared" ca="1" si="103"/>
        <v>8140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8140</v>
      </c>
      <c r="AI389" s="179">
        <f t="shared" ca="1" si="107"/>
        <v>9965</v>
      </c>
      <c r="AK389" s="11">
        <f t="shared" si="105"/>
        <v>600</v>
      </c>
      <c r="AL389" s="10">
        <v>600</v>
      </c>
      <c r="AM389" s="11">
        <f t="shared" si="101"/>
        <v>40</v>
      </c>
      <c r="AN389" s="10">
        <v>40</v>
      </c>
      <c r="AO389" s="11">
        <f t="shared" si="101"/>
        <v>0</v>
      </c>
      <c r="AP389" s="10">
        <v>0</v>
      </c>
      <c r="AQ389" s="56">
        <f t="shared" si="106"/>
        <v>2</v>
      </c>
      <c r="AS389" s="11">
        <f ca="1">IFERROR(OFFSET(ITEM_RES!$A$1,MATCH(AT389,ITEM_RES!$J:$J,0)-1,0),0)</f>
        <v>211010501</v>
      </c>
      <c r="AT389" s="10" t="s">
        <v>422</v>
      </c>
      <c r="AU389" s="11">
        <v>2700</v>
      </c>
      <c r="AX389" s="11">
        <f ca="1">IFERROR(OFFSET(ITEM_RES!$A$1,MATCH(AY389,ITEM_RES!$J:$J,0)-1,0),0)</f>
        <v>211020101</v>
      </c>
      <c r="AY389" s="10" t="s">
        <v>441</v>
      </c>
      <c r="AZ389" s="11">
        <v>2700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98"/>
        <v>111090006</v>
      </c>
      <c r="B390" s="13">
        <v>11</v>
      </c>
      <c r="C390" s="12">
        <f t="shared" si="99"/>
        <v>1</v>
      </c>
      <c r="D390" s="13">
        <v>9</v>
      </c>
      <c r="E390" s="13">
        <v>0</v>
      </c>
      <c r="F390" s="12">
        <f t="shared" si="100"/>
        <v>6</v>
      </c>
      <c r="H390" s="9">
        <v>1</v>
      </c>
      <c r="I390" s="9">
        <v>6</v>
      </c>
      <c r="K390" s="9" t="s">
        <v>369</v>
      </c>
      <c r="M390" s="9">
        <v>1</v>
      </c>
      <c r="N390" s="9">
        <v>15</v>
      </c>
      <c r="O390" s="9" t="s">
        <v>1144</v>
      </c>
      <c r="S390" s="9" t="s">
        <v>698</v>
      </c>
      <c r="V390" s="9">
        <f ca="1">IFERROR(OFFSET(ITEM_RES!$A$5,MATCH(BUILDING!U390,ITEM_RES!$J$5:$J$229,0)-1,0),0)</f>
        <v>0</v>
      </c>
      <c r="X390" s="84" t="s">
        <v>538</v>
      </c>
      <c r="Y390" s="9">
        <f ca="1">IFERROR(OFFSET(ITEM_RES!$A$5,MATCH(BUILDING!X390,ITEM_RES!$J$5:$J$229,0)-1,0),0)</f>
        <v>211020201</v>
      </c>
      <c r="AA390" s="9" t="s">
        <v>516</v>
      </c>
      <c r="AB390" s="9">
        <v>6</v>
      </c>
      <c r="AD390" s="11">
        <f ca="1">IFERROR(OFFSET(MANOR_LEVEL!$B$1,MATCH(AE390-1,MANOR_LEVEL!$A:$A,0)-1,0),0)</f>
        <v>930</v>
      </c>
      <c r="AE390" s="56">
        <v>4</v>
      </c>
      <c r="AG390" s="56">
        <f t="shared" ca="1" si="103"/>
        <v>27050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27050</v>
      </c>
      <c r="AI390" s="179">
        <f t="shared" ca="1" si="107"/>
        <v>35190</v>
      </c>
      <c r="AK390" s="11">
        <f t="shared" si="105"/>
        <v>1200</v>
      </c>
      <c r="AL390" s="10">
        <v>1200</v>
      </c>
      <c r="AM390" s="11">
        <f t="shared" si="101"/>
        <v>50</v>
      </c>
      <c r="AN390" s="10">
        <v>50</v>
      </c>
      <c r="AO390" s="11">
        <f t="shared" si="101"/>
        <v>0</v>
      </c>
      <c r="AP390" s="10">
        <v>0</v>
      </c>
      <c r="AQ390" s="56">
        <f t="shared" si="106"/>
        <v>2</v>
      </c>
      <c r="AS390" s="11">
        <f ca="1">IFERROR(OFFSET(ITEM_RES!$A$1,MATCH(AT390,ITEM_RES!$J:$J,0)-1,0),0)</f>
        <v>211010501</v>
      </c>
      <c r="AT390" s="10" t="s">
        <v>422</v>
      </c>
      <c r="AU390" s="11">
        <v>9000</v>
      </c>
      <c r="AX390" s="11">
        <f ca="1">IFERROR(OFFSET(ITEM_RES!$A$1,MATCH(AY390,ITEM_RES!$J:$J,0)-1,0),0)</f>
        <v>211020101</v>
      </c>
      <c r="AY390" s="10" t="s">
        <v>441</v>
      </c>
      <c r="AZ390" s="11">
        <v>9000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98"/>
        <v>111090007</v>
      </c>
      <c r="B391" s="13">
        <v>11</v>
      </c>
      <c r="C391" s="12">
        <f t="shared" si="99"/>
        <v>1</v>
      </c>
      <c r="D391" s="13">
        <v>9</v>
      </c>
      <c r="E391" s="13">
        <v>0</v>
      </c>
      <c r="F391" s="12">
        <f t="shared" si="100"/>
        <v>7</v>
      </c>
      <c r="H391" s="9">
        <v>1</v>
      </c>
      <c r="I391" s="9">
        <v>7</v>
      </c>
      <c r="K391" s="9" t="s">
        <v>369</v>
      </c>
      <c r="M391" s="9">
        <v>1</v>
      </c>
      <c r="N391" s="9">
        <v>15</v>
      </c>
      <c r="O391" s="9" t="s">
        <v>1145</v>
      </c>
      <c r="S391" s="9" t="s">
        <v>698</v>
      </c>
      <c r="V391" s="9">
        <f ca="1">IFERROR(OFFSET(ITEM_RES!$A$5,MATCH(BUILDING!U391,ITEM_RES!$J$5:$J$229,0)-1,0),0)</f>
        <v>0</v>
      </c>
      <c r="X391" s="84" t="s">
        <v>538</v>
      </c>
      <c r="Y391" s="9">
        <f ca="1">IFERROR(OFFSET(ITEM_RES!$A$5,MATCH(BUILDING!X391,ITEM_RES!$J$5:$J$229,0)-1,0),0)</f>
        <v>211020201</v>
      </c>
      <c r="AA391" s="9" t="s">
        <v>516</v>
      </c>
      <c r="AB391" s="9">
        <v>7</v>
      </c>
      <c r="AD391" s="11">
        <f ca="1">IFERROR(OFFSET(MANOR_LEVEL!$B$1,MATCH(AE391-1,MANOR_LEVEL!$A:$A,0)-1,0),0)</f>
        <v>930</v>
      </c>
      <c r="AE391" s="56">
        <v>4</v>
      </c>
      <c r="AG391" s="56">
        <f t="shared" ca="1" si="103"/>
        <v>60100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60100</v>
      </c>
      <c r="AI391" s="179">
        <f t="shared" ca="1" si="107"/>
        <v>87150</v>
      </c>
      <c r="AK391" s="11">
        <f t="shared" si="105"/>
        <v>1800</v>
      </c>
      <c r="AL391" s="10">
        <v>1800</v>
      </c>
      <c r="AM391" s="11">
        <f t="shared" si="101"/>
        <v>100</v>
      </c>
      <c r="AN391" s="10">
        <v>100</v>
      </c>
      <c r="AO391" s="11">
        <f t="shared" si="101"/>
        <v>0</v>
      </c>
      <c r="AP391" s="10">
        <v>0</v>
      </c>
      <c r="AQ391" s="56">
        <f t="shared" si="106"/>
        <v>2</v>
      </c>
      <c r="AS391" s="11">
        <f ca="1">IFERROR(OFFSET(ITEM_RES!$A$1,MATCH(AT391,ITEM_RES!$J:$J,0)-1,0),0)</f>
        <v>211010501</v>
      </c>
      <c r="AT391" s="10" t="s">
        <v>422</v>
      </c>
      <c r="AU391" s="11">
        <v>20000</v>
      </c>
      <c r="AX391" s="11">
        <f ca="1">IFERROR(OFFSET(ITEM_RES!$A$1,MATCH(AY391,ITEM_RES!$J:$J,0)-1,0),0)</f>
        <v>211020101</v>
      </c>
      <c r="AY391" s="10" t="s">
        <v>441</v>
      </c>
      <c r="AZ391" s="11">
        <v>20000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98"/>
        <v>111090008</v>
      </c>
      <c r="B392" s="13">
        <v>11</v>
      </c>
      <c r="C392" s="12">
        <f t="shared" si="99"/>
        <v>1</v>
      </c>
      <c r="D392" s="13">
        <v>9</v>
      </c>
      <c r="E392" s="13">
        <v>0</v>
      </c>
      <c r="F392" s="12">
        <f t="shared" si="100"/>
        <v>8</v>
      </c>
      <c r="H392" s="9">
        <v>1</v>
      </c>
      <c r="I392" s="9">
        <v>8</v>
      </c>
      <c r="K392" s="9" t="s">
        <v>369</v>
      </c>
      <c r="M392" s="9">
        <v>1</v>
      </c>
      <c r="N392" s="9">
        <v>15</v>
      </c>
      <c r="O392" s="9" t="s">
        <v>1145</v>
      </c>
      <c r="S392" s="9" t="s">
        <v>698</v>
      </c>
      <c r="V392" s="9">
        <f ca="1">IFERROR(OFFSET(ITEM_RES!$A$5,MATCH(BUILDING!U392,ITEM_RES!$J$5:$J$229,0)-1,0),0)</f>
        <v>0</v>
      </c>
      <c r="X392" s="84" t="s">
        <v>538</v>
      </c>
      <c r="Y392" s="9">
        <f ca="1">IFERROR(OFFSET(ITEM_RES!$A$5,MATCH(BUILDING!X392,ITEM_RES!$J$5:$J$229,0)-1,0),0)</f>
        <v>211020201</v>
      </c>
      <c r="AA392" s="9" t="s">
        <v>516</v>
      </c>
      <c r="AB392" s="9">
        <v>8</v>
      </c>
      <c r="AD392" s="11">
        <f ca="1">IFERROR(OFFSET(MANOR_LEVEL!$B$1,MATCH(AE392-1,MANOR_LEVEL!$A:$A,0)-1,0),0)</f>
        <v>5475</v>
      </c>
      <c r="AE392" s="56">
        <v>5</v>
      </c>
      <c r="AG392" s="56">
        <f t="shared" ca="1" si="103"/>
        <v>126100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126100</v>
      </c>
      <c r="AI392" s="179">
        <f t="shared" ca="1" si="107"/>
        <v>186200</v>
      </c>
      <c r="AK392" s="11">
        <f t="shared" si="105"/>
        <v>3600</v>
      </c>
      <c r="AL392" s="10">
        <v>3600</v>
      </c>
      <c r="AM392" s="11">
        <f t="shared" si="101"/>
        <v>100</v>
      </c>
      <c r="AN392" s="10">
        <v>100</v>
      </c>
      <c r="AO392" s="11">
        <f t="shared" si="101"/>
        <v>0</v>
      </c>
      <c r="AP392" s="10">
        <v>0</v>
      </c>
      <c r="AQ392" s="56">
        <f t="shared" si="106"/>
        <v>2</v>
      </c>
      <c r="AS392" s="11">
        <f ca="1">IFERROR(OFFSET(ITEM_RES!$A$1,MATCH(AT392,ITEM_RES!$J:$J,0)-1,0),0)</f>
        <v>211010501</v>
      </c>
      <c r="AT392" s="10" t="s">
        <v>422</v>
      </c>
      <c r="AU392" s="11">
        <v>42000</v>
      </c>
      <c r="AX392" s="11">
        <f ca="1">IFERROR(OFFSET(ITEM_RES!$A$1,MATCH(AY392,ITEM_RES!$J:$J,0)-1,0),0)</f>
        <v>211020101</v>
      </c>
      <c r="AY392" s="10" t="s">
        <v>441</v>
      </c>
      <c r="AZ392" s="11">
        <v>42000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98"/>
        <v>111090009</v>
      </c>
      <c r="B393" s="13">
        <v>11</v>
      </c>
      <c r="C393" s="12">
        <f t="shared" si="99"/>
        <v>1</v>
      </c>
      <c r="D393" s="13">
        <v>9</v>
      </c>
      <c r="E393" s="13">
        <v>0</v>
      </c>
      <c r="F393" s="12">
        <f t="shared" si="100"/>
        <v>9</v>
      </c>
      <c r="H393" s="9">
        <v>1</v>
      </c>
      <c r="I393" s="9">
        <v>9</v>
      </c>
      <c r="K393" s="9" t="s">
        <v>369</v>
      </c>
      <c r="M393" s="9">
        <v>1</v>
      </c>
      <c r="N393" s="9">
        <v>15</v>
      </c>
      <c r="O393" s="9" t="s">
        <v>1145</v>
      </c>
      <c r="S393" s="9" t="s">
        <v>698</v>
      </c>
      <c r="V393" s="9">
        <f ca="1">IFERROR(OFFSET(ITEM_RES!$A$5,MATCH(BUILDING!U393,ITEM_RES!$J$5:$J$229,0)-1,0),0)</f>
        <v>0</v>
      </c>
      <c r="X393" s="84" t="s">
        <v>538</v>
      </c>
      <c r="Y393" s="9">
        <f ca="1">IFERROR(OFFSET(ITEM_RES!$A$5,MATCH(BUILDING!X393,ITEM_RES!$J$5:$J$229,0)-1,0),0)</f>
        <v>211020201</v>
      </c>
      <c r="AA393" s="9" t="s">
        <v>516</v>
      </c>
      <c r="AB393" s="9">
        <v>9</v>
      </c>
      <c r="AD393" s="11">
        <f ca="1">IFERROR(OFFSET(MANOR_LEVEL!$B$1,MATCH(AE393-1,MANOR_LEVEL!$A:$A,0)-1,0),0)</f>
        <v>32560</v>
      </c>
      <c r="AE393" s="56">
        <v>6</v>
      </c>
      <c r="AG393" s="56">
        <f t="shared" ca="1" si="103"/>
        <v>234150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234150</v>
      </c>
      <c r="AI393" s="179">
        <f t="shared" ca="1" si="107"/>
        <v>360250</v>
      </c>
      <c r="AK393" s="11">
        <f t="shared" si="105"/>
        <v>5400</v>
      </c>
      <c r="AL393" s="10">
        <v>5400</v>
      </c>
      <c r="AM393" s="11">
        <f t="shared" si="101"/>
        <v>150</v>
      </c>
      <c r="AN393" s="10">
        <v>150</v>
      </c>
      <c r="AO393" s="11">
        <f t="shared" si="101"/>
        <v>0</v>
      </c>
      <c r="AP393" s="10">
        <v>0</v>
      </c>
      <c r="AQ393" s="56">
        <f t="shared" si="106"/>
        <v>2</v>
      </c>
      <c r="AS393" s="11">
        <f ca="1">IFERROR(OFFSET(ITEM_RES!$A$1,MATCH(AT393,ITEM_RES!$J:$J,0)-1,0),0)</f>
        <v>211010501</v>
      </c>
      <c r="AT393" s="10" t="s">
        <v>422</v>
      </c>
      <c r="AU393" s="11">
        <v>78000</v>
      </c>
      <c r="AX393" s="11">
        <f ca="1">IFERROR(OFFSET(ITEM_RES!$A$1,MATCH(AY393,ITEM_RES!$J:$J,0)-1,0),0)</f>
        <v>211020101</v>
      </c>
      <c r="AY393" s="10" t="s">
        <v>441</v>
      </c>
      <c r="AZ393" s="11">
        <v>78000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98"/>
        <v>111090010</v>
      </c>
      <c r="B394" s="13">
        <v>11</v>
      </c>
      <c r="C394" s="12">
        <f t="shared" si="99"/>
        <v>1</v>
      </c>
      <c r="D394" s="13">
        <v>9</v>
      </c>
      <c r="E394" s="13">
        <v>0</v>
      </c>
      <c r="F394" s="12">
        <f t="shared" si="100"/>
        <v>10</v>
      </c>
      <c r="H394" s="9">
        <v>1</v>
      </c>
      <c r="I394" s="9">
        <v>10</v>
      </c>
      <c r="K394" s="9" t="s">
        <v>369</v>
      </c>
      <c r="M394" s="9">
        <v>1</v>
      </c>
      <c r="N394" s="9">
        <v>15</v>
      </c>
      <c r="O394" s="9" t="s">
        <v>1145</v>
      </c>
      <c r="S394" s="9" t="s">
        <v>698</v>
      </c>
      <c r="V394" s="9">
        <f ca="1">IFERROR(OFFSET(ITEM_RES!$A$5,MATCH(BUILDING!U394,ITEM_RES!$J$5:$J$229,0)-1,0),0)</f>
        <v>0</v>
      </c>
      <c r="X394" s="84" t="s">
        <v>538</v>
      </c>
      <c r="Y394" s="9">
        <f ca="1">IFERROR(OFFSET(ITEM_RES!$A$5,MATCH(BUILDING!X394,ITEM_RES!$J$5:$J$229,0)-1,0),0)</f>
        <v>211020201</v>
      </c>
      <c r="AA394" s="9" t="s">
        <v>516</v>
      </c>
      <c r="AB394" s="9">
        <v>10</v>
      </c>
      <c r="AD394" s="11">
        <f ca="1">IFERROR(OFFSET(MANOR_LEVEL!$B$1,MATCH(AE394-1,MANOR_LEVEL!$A:$A,0)-1,0),0)</f>
        <v>108200</v>
      </c>
      <c r="AE394" s="56">
        <v>7</v>
      </c>
      <c r="AG394" s="56">
        <f t="shared" ca="1" si="103"/>
        <v>390200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390200</v>
      </c>
      <c r="AI394" s="179">
        <f t="shared" ca="1" si="107"/>
        <v>624350</v>
      </c>
      <c r="AK394" s="11">
        <f t="shared" si="105"/>
        <v>7200</v>
      </c>
      <c r="AL394" s="10">
        <v>7200</v>
      </c>
      <c r="AM394" s="11">
        <f t="shared" si="101"/>
        <v>200</v>
      </c>
      <c r="AN394" s="10">
        <v>200</v>
      </c>
      <c r="AO394" s="11">
        <f t="shared" si="101"/>
        <v>0</v>
      </c>
      <c r="AP394" s="10">
        <v>0</v>
      </c>
      <c r="AQ394" s="56">
        <f t="shared" si="106"/>
        <v>2</v>
      </c>
      <c r="AS394" s="11">
        <f ca="1">IFERROR(OFFSET(ITEM_RES!$A$1,MATCH(AT394,ITEM_RES!$J:$J,0)-1,0),0)</f>
        <v>211010501</v>
      </c>
      <c r="AT394" s="10" t="s">
        <v>422</v>
      </c>
      <c r="AU394" s="11">
        <v>130000</v>
      </c>
      <c r="AX394" s="11">
        <f ca="1">IFERROR(OFFSET(ITEM_RES!$A$1,MATCH(AY394,ITEM_RES!$J:$J,0)-1,0),0)</f>
        <v>211020101</v>
      </c>
      <c r="AY394" s="10" t="s">
        <v>441</v>
      </c>
      <c r="AZ394" s="11">
        <v>130000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98"/>
        <v>111090011</v>
      </c>
      <c r="B395" s="13">
        <v>11</v>
      </c>
      <c r="C395" s="12">
        <f t="shared" si="99"/>
        <v>1</v>
      </c>
      <c r="D395" s="13">
        <v>9</v>
      </c>
      <c r="E395" s="13">
        <v>0</v>
      </c>
      <c r="F395" s="12">
        <f t="shared" si="100"/>
        <v>11</v>
      </c>
      <c r="H395" s="9">
        <v>1</v>
      </c>
      <c r="I395" s="9">
        <v>11</v>
      </c>
      <c r="K395" s="9" t="s">
        <v>369</v>
      </c>
      <c r="M395" s="9">
        <v>1</v>
      </c>
      <c r="N395" s="9">
        <v>15</v>
      </c>
      <c r="O395" s="9" t="s">
        <v>1145</v>
      </c>
      <c r="S395" s="9" t="s">
        <v>698</v>
      </c>
      <c r="V395" s="9">
        <f ca="1">IFERROR(OFFSET(ITEM_RES!$A$5,MATCH(BUILDING!U395,ITEM_RES!$J$5:$J$229,0)-1,0),0)</f>
        <v>0</v>
      </c>
      <c r="X395" s="84" t="s">
        <v>538</v>
      </c>
      <c r="Y395" s="9">
        <f ca="1">IFERROR(OFFSET(ITEM_RES!$A$5,MATCH(BUILDING!X395,ITEM_RES!$J$5:$J$229,0)-1,0),0)</f>
        <v>211020201</v>
      </c>
      <c r="AA395" s="9" t="s">
        <v>516</v>
      </c>
      <c r="AB395" s="9">
        <v>11</v>
      </c>
      <c r="AD395" s="11">
        <f ca="1">IFERROR(OFFSET(MANOR_LEVEL!$B$1,MATCH(AE395-1,MANOR_LEVEL!$A:$A,0)-1,0),0)</f>
        <v>240400</v>
      </c>
      <c r="AE395" s="56">
        <v>8</v>
      </c>
      <c r="AG395" s="56">
        <f t="shared" ca="1" si="103"/>
        <v>660250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660250</v>
      </c>
      <c r="AI395" s="179">
        <f t="shared" ca="1" si="107"/>
        <v>1050450</v>
      </c>
      <c r="AK395" s="11">
        <f t="shared" si="105"/>
        <v>9000</v>
      </c>
      <c r="AL395" s="10">
        <v>9000</v>
      </c>
      <c r="AM395" s="11">
        <f t="shared" si="101"/>
        <v>250</v>
      </c>
      <c r="AN395" s="10">
        <v>250</v>
      </c>
      <c r="AO395" s="11">
        <f t="shared" si="101"/>
        <v>0</v>
      </c>
      <c r="AP395" s="10">
        <v>0</v>
      </c>
      <c r="AQ395" s="56">
        <f t="shared" si="106"/>
        <v>2</v>
      </c>
      <c r="AS395" s="11">
        <f ca="1">IFERROR(OFFSET(ITEM_RES!$A$1,MATCH(AT395,ITEM_RES!$J:$J,0)-1,0),0)</f>
        <v>211010501</v>
      </c>
      <c r="AT395" s="10" t="s">
        <v>422</v>
      </c>
      <c r="AU395" s="11">
        <v>220000</v>
      </c>
      <c r="AX395" s="11">
        <f ca="1">IFERROR(OFFSET(ITEM_RES!$A$1,MATCH(AY395,ITEM_RES!$J:$J,0)-1,0),0)</f>
        <v>211020101</v>
      </c>
      <c r="AY395" s="10" t="s">
        <v>441</v>
      </c>
      <c r="AZ395" s="11">
        <v>220000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98"/>
        <v>111090012</v>
      </c>
      <c r="B396" s="13">
        <v>11</v>
      </c>
      <c r="C396" s="12">
        <f t="shared" si="99"/>
        <v>1</v>
      </c>
      <c r="D396" s="13">
        <v>9</v>
      </c>
      <c r="E396" s="13">
        <v>0</v>
      </c>
      <c r="F396" s="12">
        <f t="shared" si="100"/>
        <v>12</v>
      </c>
      <c r="H396" s="9">
        <v>1</v>
      </c>
      <c r="I396" s="9">
        <v>12</v>
      </c>
      <c r="K396" s="9" t="s">
        <v>369</v>
      </c>
      <c r="M396" s="9">
        <v>1</v>
      </c>
      <c r="N396" s="9">
        <v>15</v>
      </c>
      <c r="O396" s="9" t="s">
        <v>1145</v>
      </c>
      <c r="S396" s="9" t="s">
        <v>698</v>
      </c>
      <c r="V396" s="9">
        <f ca="1">IFERROR(OFFSET(ITEM_RES!$A$5,MATCH(BUILDING!U396,ITEM_RES!$J$5:$J$229,0)-1,0),0)</f>
        <v>0</v>
      </c>
      <c r="X396" s="84" t="s">
        <v>538</v>
      </c>
      <c r="Y396" s="9">
        <f ca="1">IFERROR(OFFSET(ITEM_RES!$A$5,MATCH(BUILDING!X396,ITEM_RES!$J$5:$J$229,0)-1,0),0)</f>
        <v>211020201</v>
      </c>
      <c r="AA396" s="9" t="s">
        <v>516</v>
      </c>
      <c r="AB396" s="9">
        <v>12</v>
      </c>
      <c r="AD396" s="11">
        <f ca="1">IFERROR(OFFSET(MANOR_LEVEL!$B$1,MATCH(AE396-1,MANOR_LEVEL!$A:$A,0)-1,0),0)</f>
        <v>630500</v>
      </c>
      <c r="AE396" s="56">
        <v>9</v>
      </c>
      <c r="AG396" s="56">
        <f t="shared" ca="1" si="103"/>
        <v>1110300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1110300</v>
      </c>
      <c r="AI396" s="179">
        <f t="shared" ca="1" si="107"/>
        <v>1770550</v>
      </c>
      <c r="AK396" s="11">
        <f t="shared" si="105"/>
        <v>10800</v>
      </c>
      <c r="AL396" s="10">
        <v>10800</v>
      </c>
      <c r="AM396" s="11">
        <f t="shared" si="101"/>
        <v>300</v>
      </c>
      <c r="AN396" s="10">
        <v>300</v>
      </c>
      <c r="AO396" s="11">
        <f t="shared" si="101"/>
        <v>0</v>
      </c>
      <c r="AP396" s="10">
        <v>0</v>
      </c>
      <c r="AQ396" s="56">
        <f t="shared" si="106"/>
        <v>2</v>
      </c>
      <c r="AS396" s="11">
        <f ca="1">IFERROR(OFFSET(ITEM_RES!$A$1,MATCH(AT396,ITEM_RES!$J:$J,0)-1,0),0)</f>
        <v>211010501</v>
      </c>
      <c r="AT396" s="10" t="s">
        <v>422</v>
      </c>
      <c r="AU396" s="11">
        <v>370000</v>
      </c>
      <c r="AX396" s="11">
        <f ca="1">IFERROR(OFFSET(ITEM_RES!$A$1,MATCH(AY396,ITEM_RES!$J:$J,0)-1,0),0)</f>
        <v>211020101</v>
      </c>
      <c r="AY396" s="10" t="s">
        <v>441</v>
      </c>
      <c r="AZ396" s="11">
        <v>370000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98"/>
        <v>111090013</v>
      </c>
      <c r="B397" s="13">
        <v>11</v>
      </c>
      <c r="C397" s="12">
        <f t="shared" si="99"/>
        <v>1</v>
      </c>
      <c r="D397" s="13">
        <v>9</v>
      </c>
      <c r="E397" s="13">
        <v>0</v>
      </c>
      <c r="F397" s="12">
        <f t="shared" si="100"/>
        <v>13</v>
      </c>
      <c r="H397" s="9">
        <v>1</v>
      </c>
      <c r="I397" s="9">
        <v>13</v>
      </c>
      <c r="K397" s="9" t="s">
        <v>369</v>
      </c>
      <c r="M397" s="9">
        <v>1</v>
      </c>
      <c r="N397" s="9">
        <v>15</v>
      </c>
      <c r="O397" s="9" t="s">
        <v>1145</v>
      </c>
      <c r="S397" s="9" t="s">
        <v>698</v>
      </c>
      <c r="V397" s="9">
        <f ca="1">IFERROR(OFFSET(ITEM_RES!$A$5,MATCH(BUILDING!U397,ITEM_RES!$J$5:$J$229,0)-1,0),0)</f>
        <v>0</v>
      </c>
      <c r="X397" s="84" t="s">
        <v>538</v>
      </c>
      <c r="Y397" s="9">
        <f ca="1">IFERROR(OFFSET(ITEM_RES!$A$5,MATCH(BUILDING!X397,ITEM_RES!$J$5:$J$229,0)-1,0),0)</f>
        <v>211020201</v>
      </c>
      <c r="AA397" s="9" t="s">
        <v>516</v>
      </c>
      <c r="AB397" s="9">
        <v>13</v>
      </c>
      <c r="AD397" s="11">
        <f ca="1">IFERROR(OFFSET(MANOR_LEVEL!$B$1,MATCH(AE397-1,MANOR_LEVEL!$A:$A,0)-1,0),0)</f>
        <v>1170750</v>
      </c>
      <c r="AE397" s="56">
        <v>10</v>
      </c>
      <c r="AG397" s="56">
        <f t="shared" ca="1" si="103"/>
        <v>1860350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1860350</v>
      </c>
      <c r="AI397" s="179">
        <f t="shared" ca="1" si="107"/>
        <v>2970650</v>
      </c>
      <c r="AK397" s="11">
        <f t="shared" si="105"/>
        <v>12600</v>
      </c>
      <c r="AL397" s="10">
        <v>12600</v>
      </c>
      <c r="AM397" s="11">
        <f t="shared" si="101"/>
        <v>350</v>
      </c>
      <c r="AN397" s="10">
        <v>350</v>
      </c>
      <c r="AO397" s="11">
        <f t="shared" si="101"/>
        <v>0</v>
      </c>
      <c r="AP397" s="10">
        <v>0</v>
      </c>
      <c r="AQ397" s="56">
        <f t="shared" si="106"/>
        <v>2</v>
      </c>
      <c r="AS397" s="11">
        <f ca="1">IFERROR(OFFSET(ITEM_RES!$A$1,MATCH(AT397,ITEM_RES!$J:$J,0)-1,0),0)</f>
        <v>211010501</v>
      </c>
      <c r="AT397" s="10" t="s">
        <v>422</v>
      </c>
      <c r="AU397" s="11">
        <v>620000</v>
      </c>
      <c r="AX397" s="11">
        <f ca="1">IFERROR(OFFSET(ITEM_RES!$A$1,MATCH(AY397,ITEM_RES!$J:$J,0)-1,0),0)</f>
        <v>211020101</v>
      </c>
      <c r="AY397" s="10" t="s">
        <v>441</v>
      </c>
      <c r="AZ397" s="11">
        <v>620000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98"/>
        <v>111090014</v>
      </c>
      <c r="B398" s="13">
        <v>11</v>
      </c>
      <c r="C398" s="12">
        <f t="shared" si="99"/>
        <v>1</v>
      </c>
      <c r="D398" s="13">
        <v>9</v>
      </c>
      <c r="E398" s="13">
        <v>0</v>
      </c>
      <c r="F398" s="12">
        <f t="shared" si="100"/>
        <v>14</v>
      </c>
      <c r="H398" s="9">
        <v>1</v>
      </c>
      <c r="I398" s="9">
        <v>14</v>
      </c>
      <c r="K398" s="9" t="s">
        <v>369</v>
      </c>
      <c r="M398" s="9">
        <v>1</v>
      </c>
      <c r="N398" s="9">
        <v>15</v>
      </c>
      <c r="O398" s="9" t="s">
        <v>1145</v>
      </c>
      <c r="S398" s="9" t="s">
        <v>698</v>
      </c>
      <c r="V398" s="9">
        <f ca="1">IFERROR(OFFSET(ITEM_RES!$A$5,MATCH(BUILDING!U398,ITEM_RES!$J$5:$J$229,0)-1,0),0)</f>
        <v>0</v>
      </c>
      <c r="X398" s="84" t="s">
        <v>538</v>
      </c>
      <c r="Y398" s="9">
        <f ca="1">IFERROR(OFFSET(ITEM_RES!$A$5,MATCH(BUILDING!X398,ITEM_RES!$J$5:$J$229,0)-1,0),0)</f>
        <v>211020201</v>
      </c>
      <c r="AA398" s="9" t="s">
        <v>516</v>
      </c>
      <c r="AB398" s="9">
        <v>14</v>
      </c>
      <c r="AD398" s="11">
        <f ca="1">IFERROR(OFFSET(MANOR_LEVEL!$B$1,MATCH(AE398-1,MANOR_LEVEL!$A:$A,0)-1,0),0)</f>
        <v>1956000</v>
      </c>
      <c r="AE398" s="56">
        <v>11</v>
      </c>
      <c r="AG398" s="56">
        <f t="shared" ca="1" si="103"/>
        <v>2910450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2910450</v>
      </c>
      <c r="AI398" s="179">
        <f t="shared" ca="1" si="107"/>
        <v>4770800</v>
      </c>
      <c r="AK398" s="11">
        <f t="shared" si="105"/>
        <v>14400</v>
      </c>
      <c r="AL398" s="10">
        <v>14400</v>
      </c>
      <c r="AM398" s="11">
        <f t="shared" si="101"/>
        <v>450</v>
      </c>
      <c r="AN398" s="10">
        <v>450</v>
      </c>
      <c r="AO398" s="11">
        <f t="shared" si="101"/>
        <v>0</v>
      </c>
      <c r="AP398" s="10">
        <v>0</v>
      </c>
      <c r="AQ398" s="56">
        <f t="shared" si="106"/>
        <v>2</v>
      </c>
      <c r="AS398" s="11">
        <f ca="1">IFERROR(OFFSET(ITEM_RES!$A$1,MATCH(AT398,ITEM_RES!$J:$J,0)-1,0),0)</f>
        <v>211010501</v>
      </c>
      <c r="AT398" s="10" t="s">
        <v>422</v>
      </c>
      <c r="AU398" s="11">
        <v>970000</v>
      </c>
      <c r="AX398" s="11">
        <f ca="1">IFERROR(OFFSET(ITEM_RES!$A$1,MATCH(AY398,ITEM_RES!$J:$J,0)-1,0),0)</f>
        <v>211020101</v>
      </c>
      <c r="AY398" s="10" t="s">
        <v>441</v>
      </c>
      <c r="AZ398" s="11">
        <v>970000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98"/>
        <v>111090015</v>
      </c>
      <c r="B399" s="13">
        <v>11</v>
      </c>
      <c r="C399" s="12">
        <f t="shared" si="99"/>
        <v>1</v>
      </c>
      <c r="D399" s="13">
        <v>9</v>
      </c>
      <c r="E399" s="13">
        <v>0</v>
      </c>
      <c r="F399" s="12">
        <f t="shared" si="100"/>
        <v>15</v>
      </c>
      <c r="H399" s="9">
        <v>1</v>
      </c>
      <c r="I399" s="9">
        <v>15</v>
      </c>
      <c r="K399" s="9" t="s">
        <v>369</v>
      </c>
      <c r="M399" s="9">
        <v>1</v>
      </c>
      <c r="N399" s="9">
        <v>15</v>
      </c>
      <c r="O399" s="9" t="s">
        <v>1145</v>
      </c>
      <c r="S399" s="9" t="s">
        <v>698</v>
      </c>
      <c r="V399" s="9">
        <f ca="1">IFERROR(OFFSET(ITEM_RES!$A$5,MATCH(BUILDING!U399,ITEM_RES!$J$5:$J$229,0)-1,0),0)</f>
        <v>0</v>
      </c>
      <c r="X399" s="84" t="s">
        <v>538</v>
      </c>
      <c r="Y399" s="9">
        <f ca="1">IFERROR(OFFSET(ITEM_RES!$A$5,MATCH(BUILDING!X399,ITEM_RES!$J$5:$J$229,0)-1,0),0)</f>
        <v>211020201</v>
      </c>
      <c r="AA399" s="9" t="s">
        <v>516</v>
      </c>
      <c r="AB399" s="9">
        <v>15</v>
      </c>
      <c r="AD399" s="11">
        <f ca="1">IFERROR(OFFSET(MANOR_LEVEL!$B$1,MATCH(AE399-1,MANOR_LEVEL!$A:$A,0)-1,0),0)</f>
        <v>3961500</v>
      </c>
      <c r="AE399" s="56">
        <v>12</v>
      </c>
      <c r="AG399" s="56">
        <f t="shared" ca="1" si="103"/>
        <v>6510550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6510550</v>
      </c>
      <c r="AI399" s="179">
        <f t="shared" ca="1" si="107"/>
        <v>9421000</v>
      </c>
      <c r="AK399" s="11">
        <f t="shared" si="105"/>
        <v>16200</v>
      </c>
      <c r="AL399" s="10">
        <v>16200</v>
      </c>
      <c r="AM399" s="11">
        <f t="shared" si="101"/>
        <v>550</v>
      </c>
      <c r="AN399" s="10">
        <v>550</v>
      </c>
      <c r="AO399" s="11">
        <f t="shared" si="101"/>
        <v>0</v>
      </c>
      <c r="AP399" s="10">
        <v>0</v>
      </c>
      <c r="AQ399" s="56">
        <f t="shared" si="106"/>
        <v>2</v>
      </c>
      <c r="AS399" s="11">
        <f ca="1">IFERROR(OFFSET(ITEM_RES!$A$1,MATCH(AT399,ITEM_RES!$J:$J,0)-1,0),0)</f>
        <v>211010601</v>
      </c>
      <c r="AT399" s="10" t="s">
        <v>436</v>
      </c>
      <c r="AU399" s="11">
        <v>2100000</v>
      </c>
      <c r="AX399" s="11">
        <f ca="1">IFERROR(OFFSET(ITEM_RES!$A$1,MATCH(AY399,ITEM_RES!$J:$J,0)-1,0),0)</f>
        <v>211020101</v>
      </c>
      <c r="AY399" s="10" t="s">
        <v>441</v>
      </c>
      <c r="AZ399" s="11">
        <v>2100000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98"/>
        <v>111090016</v>
      </c>
      <c r="B400" s="13">
        <v>11</v>
      </c>
      <c r="C400" s="12">
        <f t="shared" si="99"/>
        <v>1</v>
      </c>
      <c r="D400" s="13">
        <v>9</v>
      </c>
      <c r="E400" s="13">
        <v>0</v>
      </c>
      <c r="F400" s="12">
        <f t="shared" si="100"/>
        <v>16</v>
      </c>
      <c r="H400" s="9">
        <v>1</v>
      </c>
      <c r="I400" s="9">
        <v>16</v>
      </c>
      <c r="K400" s="9" t="s">
        <v>369</v>
      </c>
      <c r="M400" s="9">
        <v>0</v>
      </c>
      <c r="N400" s="9">
        <v>15</v>
      </c>
      <c r="O400" s="9" t="s">
        <v>1145</v>
      </c>
      <c r="S400" s="9" t="s">
        <v>698</v>
      </c>
      <c r="V400" s="9">
        <f ca="1">IFERROR(OFFSET(ITEM_RES!$A$5,MATCH(BUILDING!U400,ITEM_RES!$J$5:$J$229,0)-1,0),0)</f>
        <v>0</v>
      </c>
      <c r="X400" s="84" t="s">
        <v>538</v>
      </c>
      <c r="Y400" s="9">
        <f ca="1">IFERROR(OFFSET(ITEM_RES!$A$5,MATCH(BUILDING!X400,ITEM_RES!$J$5:$J$229,0)-1,0),0)</f>
        <v>211020201</v>
      </c>
      <c r="AA400" s="9" t="s">
        <v>516</v>
      </c>
      <c r="AB400" s="9">
        <v>16</v>
      </c>
      <c r="AD400" s="11">
        <f ca="1">IFERROR(OFFSET(MANOR_LEVEL!$B$1,MATCH(AE400-1,MANOR_LEVEL!$A:$A,0)-1,0),0)</f>
        <v>7772100</v>
      </c>
      <c r="AE400" s="56">
        <v>13</v>
      </c>
      <c r="AG400" s="56">
        <f t="shared" ca="1" si="103"/>
        <v>13330700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13330700</v>
      </c>
      <c r="AI400" s="179">
        <f t="shared" ca="1" si="107"/>
        <v>19841250</v>
      </c>
      <c r="AK400" s="11">
        <f t="shared" si="105"/>
        <v>18000</v>
      </c>
      <c r="AL400" s="10">
        <v>18000</v>
      </c>
      <c r="AM400" s="11">
        <f t="shared" si="101"/>
        <v>700</v>
      </c>
      <c r="AN400" s="10">
        <v>700</v>
      </c>
      <c r="AO400" s="11">
        <f t="shared" si="101"/>
        <v>0</v>
      </c>
      <c r="AP400" s="10">
        <v>0</v>
      </c>
      <c r="AQ400" s="56">
        <f t="shared" si="106"/>
        <v>2</v>
      </c>
      <c r="AS400" s="11">
        <f ca="1">IFERROR(OFFSET(ITEM_RES!$A$1,MATCH(AT400,ITEM_RES!$J:$J,0)-1,0),0)</f>
        <v>211010601</v>
      </c>
      <c r="AT400" s="10" t="s">
        <v>436</v>
      </c>
      <c r="AU400" s="11">
        <v>4300000</v>
      </c>
      <c r="AX400" s="11">
        <f ca="1">IFERROR(OFFSET(ITEM_RES!$A$1,MATCH(AY400,ITEM_RES!$J:$J,0)-1,0),0)</f>
        <v>211020101</v>
      </c>
      <c r="AY400" s="10" t="s">
        <v>441</v>
      </c>
      <c r="AZ400" s="11">
        <v>4300000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98"/>
        <v>111090017</v>
      </c>
      <c r="B401" s="13">
        <v>11</v>
      </c>
      <c r="C401" s="12">
        <f t="shared" si="99"/>
        <v>1</v>
      </c>
      <c r="D401" s="13">
        <v>9</v>
      </c>
      <c r="E401" s="13">
        <v>0</v>
      </c>
      <c r="F401" s="12">
        <f t="shared" si="100"/>
        <v>17</v>
      </c>
      <c r="H401" s="9">
        <v>1</v>
      </c>
      <c r="I401" s="9">
        <v>17</v>
      </c>
      <c r="K401" s="9" t="s">
        <v>369</v>
      </c>
      <c r="M401" s="9">
        <v>0</v>
      </c>
      <c r="N401" s="9">
        <v>15</v>
      </c>
      <c r="O401" s="9" t="s">
        <v>1145</v>
      </c>
      <c r="S401" s="9" t="s">
        <v>698</v>
      </c>
      <c r="V401" s="9">
        <f ca="1">IFERROR(OFFSET(ITEM_RES!$A$5,MATCH(BUILDING!U401,ITEM_RES!$J$5:$J$229,0)-1,0),0)</f>
        <v>0</v>
      </c>
      <c r="X401" s="84" t="s">
        <v>538</v>
      </c>
      <c r="Y401" s="9">
        <f ca="1">IFERROR(OFFSET(ITEM_RES!$A$5,MATCH(BUILDING!X401,ITEM_RES!$J$5:$J$229,0)-1,0),0)</f>
        <v>211020201</v>
      </c>
      <c r="AA401" s="9" t="s">
        <v>516</v>
      </c>
      <c r="AB401" s="9">
        <v>17</v>
      </c>
      <c r="AD401" s="11">
        <f ca="1">IFERROR(OFFSET(MANOR_LEVEL!$B$1,MATCH(AE401-1,MANOR_LEVEL!$A:$A,0)-1,0),0)</f>
        <v>13022450</v>
      </c>
      <c r="AE401" s="56">
        <v>14</v>
      </c>
      <c r="AG401" s="56">
        <f t="shared" ca="1" si="103"/>
        <v>24800850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24800850</v>
      </c>
      <c r="AI401" s="179">
        <f t="shared" ca="1" si="107"/>
        <v>38131550</v>
      </c>
      <c r="AK401" s="11">
        <f t="shared" si="105"/>
        <v>19800</v>
      </c>
      <c r="AL401" s="10">
        <v>19800</v>
      </c>
      <c r="AM401" s="11">
        <f t="shared" si="101"/>
        <v>850</v>
      </c>
      <c r="AN401" s="10">
        <v>850</v>
      </c>
      <c r="AO401" s="11">
        <f t="shared" si="101"/>
        <v>0</v>
      </c>
      <c r="AP401" s="10">
        <v>0</v>
      </c>
      <c r="AQ401" s="56">
        <f t="shared" si="106"/>
        <v>2</v>
      </c>
      <c r="AS401" s="11">
        <f ca="1">IFERROR(OFFSET(ITEM_RES!$A$1,MATCH(AT401,ITEM_RES!$J:$J,0)-1,0),0)</f>
        <v>211010601</v>
      </c>
      <c r="AT401" s="10" t="s">
        <v>436</v>
      </c>
      <c r="AU401" s="11">
        <v>8000000</v>
      </c>
      <c r="AX401" s="11">
        <f ca="1">IFERROR(OFFSET(ITEM_RES!$A$1,MATCH(AY401,ITEM_RES!$J:$J,0)-1,0),0)</f>
        <v>211020101</v>
      </c>
      <c r="AY401" s="10" t="s">
        <v>441</v>
      </c>
      <c r="AZ401" s="11">
        <v>8000000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98"/>
        <v>111090018</v>
      </c>
      <c r="B402" s="13">
        <v>11</v>
      </c>
      <c r="C402" s="12">
        <f t="shared" si="99"/>
        <v>1</v>
      </c>
      <c r="D402" s="13">
        <v>9</v>
      </c>
      <c r="E402" s="13">
        <v>0</v>
      </c>
      <c r="F402" s="12">
        <f t="shared" si="100"/>
        <v>18</v>
      </c>
      <c r="H402" s="9">
        <v>1</v>
      </c>
      <c r="I402" s="9">
        <v>18</v>
      </c>
      <c r="K402" s="9" t="s">
        <v>369</v>
      </c>
      <c r="M402" s="9">
        <v>0</v>
      </c>
      <c r="N402" s="9">
        <v>15</v>
      </c>
      <c r="O402" s="9" t="s">
        <v>1145</v>
      </c>
      <c r="S402" s="9" t="s">
        <v>698</v>
      </c>
      <c r="V402" s="9">
        <f ca="1">IFERROR(OFFSET(ITEM_RES!$A$5,MATCH(BUILDING!U402,ITEM_RES!$J$5:$J$229,0)-1,0),0)</f>
        <v>0</v>
      </c>
      <c r="X402" s="84" t="s">
        <v>538</v>
      </c>
      <c r="Y402" s="9">
        <f ca="1">IFERROR(OFFSET(ITEM_RES!$A$5,MATCH(BUILDING!X402,ITEM_RES!$J$5:$J$229,0)-1,0),0)</f>
        <v>211020201</v>
      </c>
      <c r="AA402" s="9" t="s">
        <v>516</v>
      </c>
      <c r="AB402" s="9">
        <v>18</v>
      </c>
      <c r="AD402" s="11">
        <f ca="1">IFERROR(OFFSET(MANOR_LEVEL!$B$1,MATCH(AE402-1,MANOR_LEVEL!$A:$A,0)-1,0),0)</f>
        <v>23283600</v>
      </c>
      <c r="AE402" s="56">
        <v>15</v>
      </c>
      <c r="AG402" s="56">
        <f t="shared" ca="1" si="103"/>
        <v>40301050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40301050</v>
      </c>
      <c r="AI402" s="179">
        <f t="shared" ca="1" si="107"/>
        <v>65101900</v>
      </c>
      <c r="AK402" s="11">
        <f t="shared" si="105"/>
        <v>21600</v>
      </c>
      <c r="AL402" s="10">
        <v>21600</v>
      </c>
      <c r="AM402" s="11">
        <f t="shared" si="101"/>
        <v>1050</v>
      </c>
      <c r="AN402" s="10">
        <v>1050</v>
      </c>
      <c r="AO402" s="11">
        <f t="shared" si="101"/>
        <v>0</v>
      </c>
      <c r="AP402" s="10">
        <v>0</v>
      </c>
      <c r="AQ402" s="56">
        <f t="shared" si="106"/>
        <v>2</v>
      </c>
      <c r="AS402" s="11">
        <f ca="1">IFERROR(OFFSET(ITEM_RES!$A$1,MATCH(AT402,ITEM_RES!$J:$J,0)-1,0),0)</f>
        <v>211010601</v>
      </c>
      <c r="AT402" s="10" t="s">
        <v>436</v>
      </c>
      <c r="AU402" s="11">
        <v>13000000</v>
      </c>
      <c r="AX402" s="11">
        <f ca="1">IFERROR(OFFSET(ITEM_RES!$A$1,MATCH(AY402,ITEM_RES!$J:$J,0)-1,0),0)</f>
        <v>211020101</v>
      </c>
      <c r="AY402" s="10" t="s">
        <v>441</v>
      </c>
      <c r="AZ402" s="11">
        <v>13000000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98"/>
        <v>111090019</v>
      </c>
      <c r="B403" s="13">
        <v>11</v>
      </c>
      <c r="C403" s="12">
        <f t="shared" si="99"/>
        <v>1</v>
      </c>
      <c r="D403" s="13">
        <v>9</v>
      </c>
      <c r="E403" s="13">
        <v>0</v>
      </c>
      <c r="F403" s="12">
        <f t="shared" si="100"/>
        <v>19</v>
      </c>
      <c r="H403" s="9">
        <v>1</v>
      </c>
      <c r="I403" s="9">
        <v>19</v>
      </c>
      <c r="K403" s="9" t="s">
        <v>369</v>
      </c>
      <c r="M403" s="9">
        <v>0</v>
      </c>
      <c r="N403" s="9">
        <v>15</v>
      </c>
      <c r="O403" s="9" t="s">
        <v>1145</v>
      </c>
      <c r="S403" s="9" t="s">
        <v>698</v>
      </c>
      <c r="V403" s="9">
        <f ca="1">IFERROR(OFFSET(ITEM_RES!$A$5,MATCH(BUILDING!U403,ITEM_RES!$J$5:$J$229,0)-1,0),0)</f>
        <v>0</v>
      </c>
      <c r="X403" s="84" t="s">
        <v>538</v>
      </c>
      <c r="Y403" s="9">
        <f ca="1">IFERROR(OFFSET(ITEM_RES!$A$5,MATCH(BUILDING!X403,ITEM_RES!$J$5:$J$229,0)-1,0),0)</f>
        <v>211020201</v>
      </c>
      <c r="AA403" s="9" t="s">
        <v>516</v>
      </c>
      <c r="AB403" s="9">
        <v>19</v>
      </c>
      <c r="AD403" s="11">
        <f ca="1">IFERROR(OFFSET(MANOR_LEVEL!$B$1,MATCH(AE403-1,MANOR_LEVEL!$A:$A,0)-1,0),0)</f>
        <v>50404400</v>
      </c>
      <c r="AE403" s="56">
        <v>16</v>
      </c>
      <c r="AG403" s="56">
        <f t="shared" ca="1" si="103"/>
        <v>62001250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62001250</v>
      </c>
      <c r="AI403" s="179">
        <f t="shared" ca="1" si="107"/>
        <v>102302300</v>
      </c>
      <c r="AK403" s="11">
        <f t="shared" si="105"/>
        <v>23400</v>
      </c>
      <c r="AL403" s="10">
        <v>23400</v>
      </c>
      <c r="AM403" s="11">
        <f t="shared" si="101"/>
        <v>1250</v>
      </c>
      <c r="AN403" s="10">
        <v>1250</v>
      </c>
      <c r="AO403" s="11">
        <f t="shared" si="101"/>
        <v>0</v>
      </c>
      <c r="AP403" s="10">
        <v>0</v>
      </c>
      <c r="AQ403" s="56">
        <f t="shared" si="106"/>
        <v>2</v>
      </c>
      <c r="AS403" s="11">
        <f ca="1">IFERROR(OFFSET(ITEM_RES!$A$1,MATCH(AT403,ITEM_RES!$J:$J,0)-1,0),0)</f>
        <v>211010601</v>
      </c>
      <c r="AT403" s="10" t="s">
        <v>436</v>
      </c>
      <c r="AU403" s="11">
        <v>20000000</v>
      </c>
      <c r="AX403" s="11">
        <f ca="1">IFERROR(OFFSET(ITEM_RES!$A$1,MATCH(AY403,ITEM_RES!$J:$J,0)-1,0),0)</f>
        <v>211020101</v>
      </c>
      <c r="AY403" s="10" t="s">
        <v>441</v>
      </c>
      <c r="AZ403" s="11">
        <v>20000000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98"/>
        <v>111090020</v>
      </c>
      <c r="B404" s="13">
        <v>11</v>
      </c>
      <c r="C404" s="12">
        <f t="shared" si="99"/>
        <v>1</v>
      </c>
      <c r="D404" s="13">
        <v>9</v>
      </c>
      <c r="E404" s="13">
        <v>0</v>
      </c>
      <c r="F404" s="12">
        <f t="shared" si="100"/>
        <v>20</v>
      </c>
      <c r="H404" s="9">
        <v>1</v>
      </c>
      <c r="I404" s="9">
        <v>20</v>
      </c>
      <c r="K404" s="9" t="s">
        <v>369</v>
      </c>
      <c r="M404" s="9">
        <v>0</v>
      </c>
      <c r="N404" s="9">
        <v>15</v>
      </c>
      <c r="O404" s="9" t="s">
        <v>1145</v>
      </c>
      <c r="S404" s="9" t="s">
        <v>698</v>
      </c>
      <c r="V404" s="9">
        <f ca="1">IFERROR(OFFSET(ITEM_RES!$A$5,MATCH(BUILDING!U404,ITEM_RES!$J$5:$J$229,0)-1,0),0)</f>
        <v>0</v>
      </c>
      <c r="X404" s="84" t="s">
        <v>538</v>
      </c>
      <c r="Y404" s="9">
        <f ca="1">IFERROR(OFFSET(ITEM_RES!$A$5,MATCH(BUILDING!X404,ITEM_RES!$J$5:$J$229,0)-1,0),0)</f>
        <v>211020201</v>
      </c>
      <c r="AA404" s="9" t="s">
        <v>516</v>
      </c>
      <c r="AB404" s="9">
        <v>20</v>
      </c>
      <c r="AD404" s="11">
        <f ca="1">IFERROR(OFFSET(MANOR_LEVEL!$B$1,MATCH(AE404-1,MANOR_LEVEL!$A:$A,0)-1,0),0)</f>
        <v>119976300</v>
      </c>
      <c r="AE404" s="56">
        <v>17</v>
      </c>
      <c r="AG404" s="56">
        <f t="shared" ca="1" si="103"/>
        <v>99201500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99201500</v>
      </c>
      <c r="AI404" s="179">
        <f t="shared" ca="1" si="107"/>
        <v>161202750</v>
      </c>
      <c r="AK404" s="11">
        <f t="shared" si="105"/>
        <v>25200</v>
      </c>
      <c r="AL404" s="10">
        <v>25200</v>
      </c>
      <c r="AM404" s="11">
        <f t="shared" si="101"/>
        <v>1500</v>
      </c>
      <c r="AN404" s="10">
        <v>1500</v>
      </c>
      <c r="AO404" s="11">
        <f t="shared" si="101"/>
        <v>0</v>
      </c>
      <c r="AP404" s="10">
        <v>0</v>
      </c>
      <c r="AQ404" s="56">
        <f t="shared" si="106"/>
        <v>2</v>
      </c>
      <c r="AS404" s="11">
        <f ca="1">IFERROR(OFFSET(ITEM_RES!$A$1,MATCH(AT404,ITEM_RES!$J:$J,0)-1,0),0)</f>
        <v>211010601</v>
      </c>
      <c r="AT404" s="10" t="s">
        <v>436</v>
      </c>
      <c r="AU404" s="11">
        <v>32000000</v>
      </c>
      <c r="AX404" s="11">
        <f ca="1">IFERROR(OFFSET(ITEM_RES!$A$1,MATCH(AY404,ITEM_RES!$J:$J,0)-1,0),0)</f>
        <v>211020101</v>
      </c>
      <c r="AY404" s="10" t="s">
        <v>441</v>
      </c>
      <c r="AZ404" s="11">
        <v>32000000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08">B405*10000000+C405*1000000+D405*10000+E405*100+F405</f>
        <v>112060001</v>
      </c>
      <c r="B405" s="20">
        <v>11</v>
      </c>
      <c r="C405" s="19">
        <f t="shared" ref="C405:C448" si="109">H405</f>
        <v>2</v>
      </c>
      <c r="D405" s="20">
        <v>6</v>
      </c>
      <c r="E405" s="20">
        <v>0</v>
      </c>
      <c r="F405" s="19">
        <f t="shared" ref="F405:F448" si="110">I405</f>
        <v>1</v>
      </c>
      <c r="G405" s="78"/>
      <c r="H405" s="16">
        <v>2</v>
      </c>
      <c r="I405" s="16">
        <v>1</v>
      </c>
      <c r="J405" s="78"/>
      <c r="K405" s="16" t="s">
        <v>417</v>
      </c>
      <c r="L405" s="16">
        <v>7</v>
      </c>
      <c r="M405" s="16">
        <v>1</v>
      </c>
      <c r="N405" s="16">
        <v>15</v>
      </c>
      <c r="O405" s="16" t="s">
        <v>1034</v>
      </c>
      <c r="P405" s="17"/>
      <c r="Q405" s="17"/>
      <c r="R405" s="18"/>
      <c r="S405" s="16" t="s">
        <v>697</v>
      </c>
      <c r="T405" s="78"/>
      <c r="U405" s="86" t="s">
        <v>544</v>
      </c>
      <c r="V405" s="16">
        <f ca="1">IFERROR(OFFSET(ITEM_RES!$A$5,MATCH(BUILDING!U405,ITEM_RES!$J$5:$J$229,0)-1,0),0)</f>
        <v>211020401</v>
      </c>
      <c r="W405" s="18">
        <v>1</v>
      </c>
      <c r="X405" s="86" t="s">
        <v>539</v>
      </c>
      <c r="Y405" s="16">
        <f ca="1">IFERROR(OFFSET(ITEM_RES!$A$5,MATCH(BUILDING!X405,ITEM_RES!$J$5:$J$229,0)-1,0),0)</f>
        <v>211020501</v>
      </c>
      <c r="Z405" s="78"/>
      <c r="AA405" s="16" t="s">
        <v>517</v>
      </c>
      <c r="AB405" s="16">
        <v>1</v>
      </c>
      <c r="AC405" s="78"/>
      <c r="AD405" s="18">
        <f ca="1">IFERROR(OFFSET(MANOR_LEVEL!$B$1,MATCH(AE405-1,MANOR_LEVEL!$A:$A,0)-1,0),0)</f>
        <v>1170750</v>
      </c>
      <c r="AE405" s="57">
        <v>10</v>
      </c>
      <c r="AF405" s="78"/>
      <c r="AG405" s="57">
        <f t="shared" ca="1" si="103"/>
        <v>1605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1605</v>
      </c>
      <c r="AI405" s="181">
        <f ca="1">AG405</f>
        <v>1605</v>
      </c>
      <c r="AJ405" s="78"/>
      <c r="AK405" s="18">
        <f t="shared" si="105"/>
        <v>5</v>
      </c>
      <c r="AL405" s="17">
        <v>5</v>
      </c>
      <c r="AM405" s="18">
        <f t="shared" ref="AM405:AO449" si="111">ROUND(AN405,0)</f>
        <v>5</v>
      </c>
      <c r="AN405" s="17">
        <v>5</v>
      </c>
      <c r="AO405" s="18">
        <v>50</v>
      </c>
      <c r="AP405" s="17">
        <v>0</v>
      </c>
      <c r="AQ405" s="57">
        <f t="shared" si="106"/>
        <v>3</v>
      </c>
      <c r="AR405" s="18"/>
      <c r="AS405" s="18">
        <f ca="1">IFERROR(OFFSET(ITEM_RES!$A$1,MATCH(AT405,ITEM_RES!$J:$J,0)-1,0),0)</f>
        <v>211020401</v>
      </c>
      <c r="AT405" s="17" t="s">
        <v>430</v>
      </c>
      <c r="AU405" s="18">
        <v>50</v>
      </c>
      <c r="AV405" s="17"/>
      <c r="AW405" s="18"/>
      <c r="AX405" s="18">
        <f ca="1">IFERROR(OFFSET(ITEM_RES!$A$1,MATCH(AY405,ITEM_RES!$J:$J,0)-1,0),0)</f>
        <v>211020801</v>
      </c>
      <c r="AY405" s="17" t="s">
        <v>431</v>
      </c>
      <c r="AZ405" s="18">
        <v>50</v>
      </c>
      <c r="BA405" s="17"/>
      <c r="BB405" s="18"/>
      <c r="BC405" s="18">
        <f ca="1">IFERROR(OFFSET(ITEM_RES!$A$1,MATCH(BD405,ITEM_RES!$J:$J,0)-1,0),0)</f>
        <v>213010101</v>
      </c>
      <c r="BD405" s="17" t="s">
        <v>445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08"/>
        <v>112060002</v>
      </c>
      <c r="B406" s="13">
        <v>11</v>
      </c>
      <c r="C406" s="12">
        <f t="shared" si="109"/>
        <v>2</v>
      </c>
      <c r="D406" s="13">
        <v>6</v>
      </c>
      <c r="E406" s="13">
        <v>0</v>
      </c>
      <c r="F406" s="12">
        <f t="shared" si="110"/>
        <v>2</v>
      </c>
      <c r="H406" s="9">
        <v>2</v>
      </c>
      <c r="I406" s="9">
        <v>2</v>
      </c>
      <c r="K406" s="9" t="s">
        <v>417</v>
      </c>
      <c r="M406" s="9">
        <v>1</v>
      </c>
      <c r="N406" s="9">
        <v>15</v>
      </c>
      <c r="O406" s="9" t="s">
        <v>1034</v>
      </c>
      <c r="S406" s="9" t="s">
        <v>697</v>
      </c>
      <c r="U406" s="84" t="s">
        <v>544</v>
      </c>
      <c r="V406" s="9">
        <f ca="1">IFERROR(OFFSET(ITEM_RES!$A$5,MATCH(BUILDING!U406,ITEM_RES!$J$5:$J$229,0)-1,0),0)</f>
        <v>211020401</v>
      </c>
      <c r="W406" s="11">
        <v>1</v>
      </c>
      <c r="X406" s="84" t="s">
        <v>539</v>
      </c>
      <c r="Y406" s="9">
        <f ca="1">IFERROR(OFFSET(ITEM_RES!$A$5,MATCH(BUILDING!X406,ITEM_RES!$J$5:$J$229,0)-1,0),0)</f>
        <v>211020501</v>
      </c>
      <c r="AA406" s="9" t="s">
        <v>517</v>
      </c>
      <c r="AB406" s="9">
        <v>2</v>
      </c>
      <c r="AD406" s="11">
        <f ca="1">IFERROR(OFFSET(MANOR_LEVEL!$B$1,MATCH(AE406-1,MANOR_LEVEL!$A:$A,0)-1,0),0)</f>
        <v>1170750</v>
      </c>
      <c r="AE406" s="56">
        <v>10</v>
      </c>
      <c r="AG406" s="56">
        <f t="shared" ca="1" si="103"/>
        <v>1210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1210</v>
      </c>
      <c r="AI406" s="179">
        <f ca="1">AG405+AG406</f>
        <v>2815</v>
      </c>
      <c r="AK406" s="11">
        <f t="shared" si="105"/>
        <v>10</v>
      </c>
      <c r="AL406" s="10">
        <v>10</v>
      </c>
      <c r="AM406" s="11">
        <f t="shared" si="111"/>
        <v>10</v>
      </c>
      <c r="AN406" s="10">
        <v>10</v>
      </c>
      <c r="AO406" s="11">
        <v>100</v>
      </c>
      <c r="AP406" s="10">
        <v>0</v>
      </c>
      <c r="AQ406" s="56">
        <f t="shared" si="106"/>
        <v>2</v>
      </c>
      <c r="AS406" s="11">
        <f ca="1">IFERROR(OFFSET(ITEM_RES!$A$1,MATCH(AT406,ITEM_RES!$J:$J,0)-1,0),0)</f>
        <v>211020401</v>
      </c>
      <c r="AT406" s="10" t="s">
        <v>430</v>
      </c>
      <c r="AU406" s="11">
        <v>100</v>
      </c>
      <c r="AX406" s="11">
        <f ca="1">IFERROR(OFFSET(ITEM_RES!$A$1,MATCH(AY406,ITEM_RES!$J:$J,0)-1,0),0)</f>
        <v>211020801</v>
      </c>
      <c r="AY406" s="10" t="s">
        <v>431</v>
      </c>
      <c r="AZ406" s="11">
        <v>100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08"/>
        <v>112060003</v>
      </c>
      <c r="B407" s="13">
        <v>11</v>
      </c>
      <c r="C407" s="12">
        <f t="shared" si="109"/>
        <v>2</v>
      </c>
      <c r="D407" s="13">
        <v>6</v>
      </c>
      <c r="E407" s="13">
        <v>0</v>
      </c>
      <c r="F407" s="12">
        <f t="shared" si="110"/>
        <v>3</v>
      </c>
      <c r="H407" s="9">
        <v>2</v>
      </c>
      <c r="I407" s="9">
        <v>3</v>
      </c>
      <c r="K407" s="9" t="s">
        <v>417</v>
      </c>
      <c r="M407" s="9">
        <v>1</v>
      </c>
      <c r="N407" s="9">
        <v>15</v>
      </c>
      <c r="O407" s="9" t="s">
        <v>1034</v>
      </c>
      <c r="S407" s="9" t="s">
        <v>697</v>
      </c>
      <c r="U407" s="84" t="s">
        <v>544</v>
      </c>
      <c r="V407" s="9">
        <f ca="1">IFERROR(OFFSET(ITEM_RES!$A$5,MATCH(BUILDING!U407,ITEM_RES!$J$5:$J$229,0)-1,0),0)</f>
        <v>211020401</v>
      </c>
      <c r="W407" s="11">
        <v>1</v>
      </c>
      <c r="X407" s="84" t="s">
        <v>539</v>
      </c>
      <c r="Y407" s="9">
        <f ca="1">IFERROR(OFFSET(ITEM_RES!$A$5,MATCH(BUILDING!X407,ITEM_RES!$J$5:$J$229,0)-1,0),0)</f>
        <v>211020501</v>
      </c>
      <c r="AA407" s="9" t="s">
        <v>517</v>
      </c>
      <c r="AB407" s="9">
        <v>3</v>
      </c>
      <c r="AD407" s="11">
        <f ca="1">IFERROR(OFFSET(MANOR_LEVEL!$B$1,MATCH(AE407-1,MANOR_LEVEL!$A:$A,0)-1,0),0)</f>
        <v>1170750</v>
      </c>
      <c r="AE407" s="56">
        <v>10</v>
      </c>
      <c r="AG407" s="56">
        <f t="shared" ca="1" si="103"/>
        <v>1815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1815</v>
      </c>
      <c r="AI407" s="179">
        <f t="shared" ref="AI407:AI424" ca="1" si="112">AG406+AG407</f>
        <v>3025</v>
      </c>
      <c r="AK407" s="11">
        <f t="shared" si="105"/>
        <v>30</v>
      </c>
      <c r="AL407" s="10">
        <v>30</v>
      </c>
      <c r="AM407" s="11">
        <f t="shared" si="111"/>
        <v>15</v>
      </c>
      <c r="AN407" s="10">
        <v>15</v>
      </c>
      <c r="AO407" s="11">
        <v>150</v>
      </c>
      <c r="AP407" s="10">
        <v>0</v>
      </c>
      <c r="AQ407" s="56">
        <f t="shared" si="106"/>
        <v>2</v>
      </c>
      <c r="AS407" s="11">
        <f ca="1">IFERROR(OFFSET(ITEM_RES!$A$1,MATCH(AT407,ITEM_RES!$J:$J,0)-1,0),0)</f>
        <v>211020401</v>
      </c>
      <c r="AT407" s="10" t="s">
        <v>430</v>
      </c>
      <c r="AU407" s="11">
        <v>150</v>
      </c>
      <c r="AX407" s="11">
        <f ca="1">IFERROR(OFFSET(ITEM_RES!$A$1,MATCH(AY407,ITEM_RES!$J:$J,0)-1,0),0)</f>
        <v>211020801</v>
      </c>
      <c r="AY407" s="10" t="s">
        <v>431</v>
      </c>
      <c r="AZ407" s="11">
        <v>150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08"/>
        <v>112060004</v>
      </c>
      <c r="B408" s="13">
        <v>11</v>
      </c>
      <c r="C408" s="12">
        <f t="shared" si="109"/>
        <v>2</v>
      </c>
      <c r="D408" s="13">
        <v>6</v>
      </c>
      <c r="E408" s="13">
        <v>0</v>
      </c>
      <c r="F408" s="12">
        <f t="shared" si="110"/>
        <v>4</v>
      </c>
      <c r="H408" s="9">
        <v>2</v>
      </c>
      <c r="I408" s="9">
        <v>4</v>
      </c>
      <c r="K408" s="9" t="s">
        <v>417</v>
      </c>
      <c r="M408" s="9">
        <v>1</v>
      </c>
      <c r="N408" s="9">
        <v>15</v>
      </c>
      <c r="O408" s="9" t="s">
        <v>1034</v>
      </c>
      <c r="S408" s="9" t="s">
        <v>697</v>
      </c>
      <c r="U408" s="84" t="s">
        <v>544</v>
      </c>
      <c r="V408" s="9">
        <f ca="1">IFERROR(OFFSET(ITEM_RES!$A$5,MATCH(BUILDING!U408,ITEM_RES!$J$5:$J$229,0)-1,0),0)</f>
        <v>211020401</v>
      </c>
      <c r="W408" s="11">
        <v>1</v>
      </c>
      <c r="X408" s="84" t="s">
        <v>539</v>
      </c>
      <c r="Y408" s="9">
        <f ca="1">IFERROR(OFFSET(ITEM_RES!$A$5,MATCH(BUILDING!X408,ITEM_RES!$J$5:$J$229,0)-1,0),0)</f>
        <v>211020501</v>
      </c>
      <c r="AA408" s="9" t="s">
        <v>517</v>
      </c>
      <c r="AB408" s="9">
        <v>4</v>
      </c>
      <c r="AD408" s="11">
        <f ca="1">IFERROR(OFFSET(MANOR_LEVEL!$B$1,MATCH(AE408-1,MANOR_LEVEL!$A:$A,0)-1,0),0)</f>
        <v>1170750</v>
      </c>
      <c r="AE408" s="56">
        <v>10</v>
      </c>
      <c r="AG408" s="56">
        <f t="shared" ca="1" si="103"/>
        <v>7225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7225</v>
      </c>
      <c r="AI408" s="179">
        <f t="shared" ca="1" si="112"/>
        <v>9040</v>
      </c>
      <c r="AK408" s="11">
        <f t="shared" si="105"/>
        <v>300</v>
      </c>
      <c r="AL408" s="10">
        <v>300</v>
      </c>
      <c r="AM408" s="11">
        <f t="shared" si="111"/>
        <v>25</v>
      </c>
      <c r="AN408" s="10">
        <v>25</v>
      </c>
      <c r="AO408" s="11">
        <v>600</v>
      </c>
      <c r="AP408" s="10">
        <v>0</v>
      </c>
      <c r="AQ408" s="56">
        <f t="shared" si="106"/>
        <v>2</v>
      </c>
      <c r="AS408" s="11">
        <f ca="1">IFERROR(OFFSET(ITEM_RES!$A$1,MATCH(AT408,ITEM_RES!$J:$J,0)-1,0),0)</f>
        <v>211020401</v>
      </c>
      <c r="AT408" s="10" t="s">
        <v>430</v>
      </c>
      <c r="AU408" s="11">
        <v>600</v>
      </c>
      <c r="AX408" s="11">
        <f ca="1">IFERROR(OFFSET(ITEM_RES!$A$1,MATCH(AY408,ITEM_RES!$J:$J,0)-1,0),0)</f>
        <v>211020801</v>
      </c>
      <c r="AY408" s="10" t="s">
        <v>431</v>
      </c>
      <c r="AZ408" s="11">
        <v>600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08"/>
        <v>112060005</v>
      </c>
      <c r="B409" s="13">
        <v>11</v>
      </c>
      <c r="C409" s="12">
        <f t="shared" si="109"/>
        <v>2</v>
      </c>
      <c r="D409" s="13">
        <v>6</v>
      </c>
      <c r="E409" s="13">
        <v>0</v>
      </c>
      <c r="F409" s="12">
        <f t="shared" si="110"/>
        <v>5</v>
      </c>
      <c r="H409" s="9">
        <v>2</v>
      </c>
      <c r="I409" s="9">
        <v>5</v>
      </c>
      <c r="K409" s="9" t="s">
        <v>417</v>
      </c>
      <c r="M409" s="9">
        <v>1</v>
      </c>
      <c r="N409" s="9">
        <v>15</v>
      </c>
      <c r="O409" s="9" t="s">
        <v>1034</v>
      </c>
      <c r="S409" s="9" t="s">
        <v>697</v>
      </c>
      <c r="U409" s="84" t="s">
        <v>544</v>
      </c>
      <c r="V409" s="9">
        <f ca="1">IFERROR(OFFSET(ITEM_RES!$A$5,MATCH(BUILDING!U409,ITEM_RES!$J$5:$J$229,0)-1,0),0)</f>
        <v>211020401</v>
      </c>
      <c r="W409" s="11">
        <v>1</v>
      </c>
      <c r="X409" s="84" t="s">
        <v>539</v>
      </c>
      <c r="Y409" s="9">
        <f ca="1">IFERROR(OFFSET(ITEM_RES!$A$5,MATCH(BUILDING!X409,ITEM_RES!$J$5:$J$229,0)-1,0),0)</f>
        <v>211020501</v>
      </c>
      <c r="AA409" s="9" t="s">
        <v>517</v>
      </c>
      <c r="AB409" s="9">
        <v>5</v>
      </c>
      <c r="AD409" s="11">
        <f ca="1">IFERROR(OFFSET(MANOR_LEVEL!$B$1,MATCH(AE409-1,MANOR_LEVEL!$A:$A,0)-1,0),0)</f>
        <v>1170750</v>
      </c>
      <c r="AE409" s="56">
        <v>10</v>
      </c>
      <c r="AG409" s="56">
        <f t="shared" ca="1" si="103"/>
        <v>32440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32440</v>
      </c>
      <c r="AI409" s="179">
        <f t="shared" ca="1" si="112"/>
        <v>39665</v>
      </c>
      <c r="AK409" s="11">
        <f t="shared" si="105"/>
        <v>600</v>
      </c>
      <c r="AL409" s="10">
        <v>600</v>
      </c>
      <c r="AM409" s="11">
        <f t="shared" si="111"/>
        <v>40</v>
      </c>
      <c r="AN409" s="10">
        <v>40</v>
      </c>
      <c r="AO409" s="11">
        <v>2700</v>
      </c>
      <c r="AP409" s="10">
        <v>0</v>
      </c>
      <c r="AQ409" s="56">
        <f t="shared" si="106"/>
        <v>2</v>
      </c>
      <c r="AS409" s="11">
        <f ca="1">IFERROR(OFFSET(ITEM_RES!$A$1,MATCH(AT409,ITEM_RES!$J:$J,0)-1,0),0)</f>
        <v>211020401</v>
      </c>
      <c r="AT409" s="10" t="s">
        <v>430</v>
      </c>
      <c r="AU409" s="11">
        <v>2700</v>
      </c>
      <c r="AX409" s="11">
        <f ca="1">IFERROR(OFFSET(ITEM_RES!$A$1,MATCH(AY409,ITEM_RES!$J:$J,0)-1,0),0)</f>
        <v>211020801</v>
      </c>
      <c r="AY409" s="10" t="s">
        <v>431</v>
      </c>
      <c r="AZ409" s="11">
        <v>2700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08"/>
        <v>112060006</v>
      </c>
      <c r="B410" s="13">
        <v>11</v>
      </c>
      <c r="C410" s="12">
        <f t="shared" si="109"/>
        <v>2</v>
      </c>
      <c r="D410" s="13">
        <v>6</v>
      </c>
      <c r="E410" s="13">
        <v>0</v>
      </c>
      <c r="F410" s="12">
        <f t="shared" si="110"/>
        <v>6</v>
      </c>
      <c r="H410" s="9">
        <v>2</v>
      </c>
      <c r="I410" s="9">
        <v>6</v>
      </c>
      <c r="K410" s="9" t="s">
        <v>417</v>
      </c>
      <c r="M410" s="9">
        <v>1</v>
      </c>
      <c r="N410" s="9">
        <v>15</v>
      </c>
      <c r="O410" s="9" t="s">
        <v>1034</v>
      </c>
      <c r="S410" s="9" t="s">
        <v>697</v>
      </c>
      <c r="U410" s="84" t="s">
        <v>544</v>
      </c>
      <c r="V410" s="9">
        <f ca="1">IFERROR(OFFSET(ITEM_RES!$A$5,MATCH(BUILDING!U410,ITEM_RES!$J$5:$J$229,0)-1,0),0)</f>
        <v>211020401</v>
      </c>
      <c r="W410" s="11">
        <v>1</v>
      </c>
      <c r="X410" s="84" t="s">
        <v>539</v>
      </c>
      <c r="Y410" s="9">
        <f ca="1">IFERROR(OFFSET(ITEM_RES!$A$5,MATCH(BUILDING!X410,ITEM_RES!$J$5:$J$229,0)-1,0),0)</f>
        <v>211020501</v>
      </c>
      <c r="AA410" s="9" t="s">
        <v>517</v>
      </c>
      <c r="AB410" s="9">
        <v>6</v>
      </c>
      <c r="AD410" s="11">
        <f ca="1">IFERROR(OFFSET(MANOR_LEVEL!$B$1,MATCH(AE410-1,MANOR_LEVEL!$A:$A,0)-1,0),0)</f>
        <v>1170750</v>
      </c>
      <c r="AE410" s="56">
        <v>10</v>
      </c>
      <c r="AG410" s="56">
        <f t="shared" ca="1" si="103"/>
        <v>113050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113050</v>
      </c>
      <c r="AI410" s="179">
        <f t="shared" ca="1" si="112"/>
        <v>145490</v>
      </c>
      <c r="AK410" s="11">
        <f t="shared" si="105"/>
        <v>1200</v>
      </c>
      <c r="AL410" s="10">
        <v>1200</v>
      </c>
      <c r="AM410" s="11">
        <f t="shared" si="111"/>
        <v>50</v>
      </c>
      <c r="AN410" s="10">
        <v>50</v>
      </c>
      <c r="AO410" s="11">
        <v>9000</v>
      </c>
      <c r="AP410" s="10">
        <v>0</v>
      </c>
      <c r="AQ410" s="56">
        <f t="shared" si="106"/>
        <v>3</v>
      </c>
      <c r="AS410" s="11">
        <f ca="1">IFERROR(OFFSET(ITEM_RES!$A$1,MATCH(AT410,ITEM_RES!$J:$J,0)-1,0),0)</f>
        <v>211020401</v>
      </c>
      <c r="AT410" s="10" t="s">
        <v>430</v>
      </c>
      <c r="AU410" s="11">
        <v>9000</v>
      </c>
      <c r="AX410" s="11">
        <f ca="1">IFERROR(OFFSET(ITEM_RES!$A$1,MATCH(AY410,ITEM_RES!$J:$J,0)-1,0),0)</f>
        <v>211020801</v>
      </c>
      <c r="AY410" s="10" t="s">
        <v>431</v>
      </c>
      <c r="AZ410" s="11">
        <v>9000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462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08"/>
        <v>112060007</v>
      </c>
      <c r="B411" s="13">
        <v>11</v>
      </c>
      <c r="C411" s="12">
        <f t="shared" si="109"/>
        <v>2</v>
      </c>
      <c r="D411" s="13">
        <v>6</v>
      </c>
      <c r="E411" s="13">
        <v>0</v>
      </c>
      <c r="F411" s="12">
        <f t="shared" si="110"/>
        <v>7</v>
      </c>
      <c r="H411" s="9">
        <v>2</v>
      </c>
      <c r="I411" s="9">
        <v>7</v>
      </c>
      <c r="K411" s="9" t="s">
        <v>417</v>
      </c>
      <c r="M411" s="9">
        <v>1</v>
      </c>
      <c r="N411" s="9">
        <v>15</v>
      </c>
      <c r="O411" s="9" t="s">
        <v>1034</v>
      </c>
      <c r="S411" s="9" t="s">
        <v>697</v>
      </c>
      <c r="U411" s="84" t="s">
        <v>544</v>
      </c>
      <c r="V411" s="9">
        <f ca="1">IFERROR(OFFSET(ITEM_RES!$A$5,MATCH(BUILDING!U411,ITEM_RES!$J$5:$J$229,0)-1,0),0)</f>
        <v>211020401</v>
      </c>
      <c r="W411" s="11">
        <v>1</v>
      </c>
      <c r="X411" s="84" t="s">
        <v>539</v>
      </c>
      <c r="Y411" s="9">
        <f ca="1">IFERROR(OFFSET(ITEM_RES!$A$5,MATCH(BUILDING!X411,ITEM_RES!$J$5:$J$229,0)-1,0),0)</f>
        <v>211020501</v>
      </c>
      <c r="AA411" s="9" t="s">
        <v>517</v>
      </c>
      <c r="AB411" s="9">
        <v>7</v>
      </c>
      <c r="AD411" s="11">
        <f ca="1">IFERROR(OFFSET(MANOR_LEVEL!$B$1,MATCH(AE411-1,MANOR_LEVEL!$A:$A,0)-1,0),0)</f>
        <v>1956000</v>
      </c>
      <c r="AE411" s="56">
        <v>11</v>
      </c>
      <c r="AG411" s="56">
        <f t="shared" ca="1" si="103"/>
        <v>240100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240100</v>
      </c>
      <c r="AI411" s="179">
        <f t="shared" ca="1" si="112"/>
        <v>353150</v>
      </c>
      <c r="AK411" s="11">
        <f t="shared" si="105"/>
        <v>1800</v>
      </c>
      <c r="AL411" s="10">
        <v>1800</v>
      </c>
      <c r="AM411" s="11">
        <f t="shared" si="111"/>
        <v>100</v>
      </c>
      <c r="AN411" s="10">
        <v>100</v>
      </c>
      <c r="AO411" s="11">
        <v>20000</v>
      </c>
      <c r="AP411" s="10">
        <v>0</v>
      </c>
      <c r="AQ411" s="56">
        <f t="shared" si="106"/>
        <v>2</v>
      </c>
      <c r="AS411" s="11">
        <f ca="1">IFERROR(OFFSET(ITEM_RES!$A$1,MATCH(AT411,ITEM_RES!$J:$J,0)-1,0),0)</f>
        <v>211020401</v>
      </c>
      <c r="AT411" s="10" t="s">
        <v>430</v>
      </c>
      <c r="AU411" s="11">
        <v>20000</v>
      </c>
      <c r="AX411" s="11">
        <f ca="1">IFERROR(OFFSET(ITEM_RES!$A$1,MATCH(AY411,ITEM_RES!$J:$J,0)-1,0),0)</f>
        <v>211020801</v>
      </c>
      <c r="AY411" s="10" t="s">
        <v>431</v>
      </c>
      <c r="AZ411" s="11">
        <v>20000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08"/>
        <v>112060008</v>
      </c>
      <c r="B412" s="13">
        <v>11</v>
      </c>
      <c r="C412" s="12">
        <f t="shared" si="109"/>
        <v>2</v>
      </c>
      <c r="D412" s="13">
        <v>6</v>
      </c>
      <c r="E412" s="13">
        <v>0</v>
      </c>
      <c r="F412" s="12">
        <f t="shared" si="110"/>
        <v>8</v>
      </c>
      <c r="H412" s="9">
        <v>2</v>
      </c>
      <c r="I412" s="9">
        <v>8</v>
      </c>
      <c r="K412" s="9" t="s">
        <v>417</v>
      </c>
      <c r="M412" s="9">
        <v>1</v>
      </c>
      <c r="N412" s="9">
        <v>15</v>
      </c>
      <c r="O412" s="9" t="s">
        <v>1034</v>
      </c>
      <c r="S412" s="9" t="s">
        <v>697</v>
      </c>
      <c r="U412" s="84" t="s">
        <v>544</v>
      </c>
      <c r="V412" s="9">
        <f ca="1">IFERROR(OFFSET(ITEM_RES!$A$5,MATCH(BUILDING!U412,ITEM_RES!$J$5:$J$229,0)-1,0),0)</f>
        <v>211020401</v>
      </c>
      <c r="W412" s="11">
        <v>1</v>
      </c>
      <c r="X412" s="84" t="s">
        <v>539</v>
      </c>
      <c r="Y412" s="9">
        <f ca="1">IFERROR(OFFSET(ITEM_RES!$A$5,MATCH(BUILDING!X412,ITEM_RES!$J$5:$J$229,0)-1,0),0)</f>
        <v>211020501</v>
      </c>
      <c r="AA412" s="9" t="s">
        <v>517</v>
      </c>
      <c r="AB412" s="9">
        <v>8</v>
      </c>
      <c r="AD412" s="11">
        <f ca="1">IFERROR(OFFSET(MANOR_LEVEL!$B$1,MATCH(AE412-1,MANOR_LEVEL!$A:$A,0)-1,0),0)</f>
        <v>3961500</v>
      </c>
      <c r="AE412" s="56">
        <v>12</v>
      </c>
      <c r="AG412" s="56">
        <f t="shared" ca="1" si="103"/>
        <v>504100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504100</v>
      </c>
      <c r="AI412" s="179">
        <f t="shared" ca="1" si="112"/>
        <v>744200</v>
      </c>
      <c r="AK412" s="11">
        <f t="shared" si="105"/>
        <v>3600</v>
      </c>
      <c r="AL412" s="10">
        <v>3600</v>
      </c>
      <c r="AM412" s="11">
        <f t="shared" si="111"/>
        <v>100</v>
      </c>
      <c r="AN412" s="10">
        <v>100</v>
      </c>
      <c r="AO412" s="11">
        <v>42000</v>
      </c>
      <c r="AP412" s="10">
        <v>0</v>
      </c>
      <c r="AQ412" s="56">
        <f t="shared" si="106"/>
        <v>2</v>
      </c>
      <c r="AS412" s="11">
        <f ca="1">IFERROR(OFFSET(ITEM_RES!$A$1,MATCH(AT412,ITEM_RES!$J:$J,0)-1,0),0)</f>
        <v>211020401</v>
      </c>
      <c r="AT412" s="10" t="s">
        <v>430</v>
      </c>
      <c r="AU412" s="11">
        <v>42000</v>
      </c>
      <c r="AX412" s="11">
        <f ca="1">IFERROR(OFFSET(ITEM_RES!$A$1,MATCH(AY412,ITEM_RES!$J:$J,0)-1,0),0)</f>
        <v>211020801</v>
      </c>
      <c r="AY412" s="10" t="s">
        <v>431</v>
      </c>
      <c r="AZ412" s="11">
        <v>42000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08"/>
        <v>112060009</v>
      </c>
      <c r="B413" s="13">
        <v>11</v>
      </c>
      <c r="C413" s="12">
        <f t="shared" si="109"/>
        <v>2</v>
      </c>
      <c r="D413" s="13">
        <v>6</v>
      </c>
      <c r="E413" s="13">
        <v>0</v>
      </c>
      <c r="F413" s="12">
        <f t="shared" si="110"/>
        <v>9</v>
      </c>
      <c r="H413" s="9">
        <v>2</v>
      </c>
      <c r="I413" s="9">
        <v>9</v>
      </c>
      <c r="K413" s="9" t="s">
        <v>417</v>
      </c>
      <c r="M413" s="9">
        <v>1</v>
      </c>
      <c r="N413" s="9">
        <v>15</v>
      </c>
      <c r="O413" s="9" t="s">
        <v>1034</v>
      </c>
      <c r="S413" s="9" t="s">
        <v>697</v>
      </c>
      <c r="U413" s="84" t="s">
        <v>544</v>
      </c>
      <c r="V413" s="9">
        <f ca="1">IFERROR(OFFSET(ITEM_RES!$A$5,MATCH(BUILDING!U413,ITEM_RES!$J$5:$J$229,0)-1,0),0)</f>
        <v>211020401</v>
      </c>
      <c r="W413" s="11">
        <v>1</v>
      </c>
      <c r="X413" s="84" t="s">
        <v>539</v>
      </c>
      <c r="Y413" s="9">
        <f ca="1">IFERROR(OFFSET(ITEM_RES!$A$5,MATCH(BUILDING!X413,ITEM_RES!$J$5:$J$229,0)-1,0),0)</f>
        <v>211020501</v>
      </c>
      <c r="AA413" s="9" t="s">
        <v>517</v>
      </c>
      <c r="AB413" s="9">
        <v>9</v>
      </c>
      <c r="AD413" s="11">
        <f ca="1">IFERROR(OFFSET(MANOR_LEVEL!$B$1,MATCH(AE413-1,MANOR_LEVEL!$A:$A,0)-1,0),0)</f>
        <v>7772100</v>
      </c>
      <c r="AE413" s="56">
        <v>13</v>
      </c>
      <c r="AG413" s="56">
        <f t="shared" ca="1" si="103"/>
        <v>936150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936150</v>
      </c>
      <c r="AI413" s="179">
        <f t="shared" ca="1" si="112"/>
        <v>1440250</v>
      </c>
      <c r="AK413" s="11">
        <f t="shared" si="105"/>
        <v>5400</v>
      </c>
      <c r="AL413" s="10">
        <v>5400</v>
      </c>
      <c r="AM413" s="11">
        <f t="shared" si="111"/>
        <v>150</v>
      </c>
      <c r="AN413" s="10">
        <v>150</v>
      </c>
      <c r="AO413" s="11">
        <v>78000</v>
      </c>
      <c r="AP413" s="10">
        <v>0</v>
      </c>
      <c r="AQ413" s="56">
        <f t="shared" si="106"/>
        <v>2</v>
      </c>
      <c r="AS413" s="11">
        <f ca="1">IFERROR(OFFSET(ITEM_RES!$A$1,MATCH(AT413,ITEM_RES!$J:$J,0)-1,0),0)</f>
        <v>211020401</v>
      </c>
      <c r="AT413" s="10" t="s">
        <v>430</v>
      </c>
      <c r="AU413" s="11">
        <v>78000</v>
      </c>
      <c r="AX413" s="11">
        <f ca="1">IFERROR(OFFSET(ITEM_RES!$A$1,MATCH(AY413,ITEM_RES!$J:$J,0)-1,0),0)</f>
        <v>211020801</v>
      </c>
      <c r="AY413" s="10" t="s">
        <v>431</v>
      </c>
      <c r="AZ413" s="11">
        <v>78000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08"/>
        <v>112060010</v>
      </c>
      <c r="B414" s="13">
        <v>11</v>
      </c>
      <c r="C414" s="12">
        <f t="shared" si="109"/>
        <v>2</v>
      </c>
      <c r="D414" s="13">
        <v>6</v>
      </c>
      <c r="E414" s="13">
        <v>0</v>
      </c>
      <c r="F414" s="12">
        <f t="shared" si="110"/>
        <v>10</v>
      </c>
      <c r="H414" s="9">
        <v>2</v>
      </c>
      <c r="I414" s="9">
        <v>10</v>
      </c>
      <c r="K414" s="9" t="s">
        <v>417</v>
      </c>
      <c r="M414" s="9">
        <v>1</v>
      </c>
      <c r="N414" s="9">
        <v>15</v>
      </c>
      <c r="O414" s="9" t="s">
        <v>1034</v>
      </c>
      <c r="S414" s="9" t="s">
        <v>697</v>
      </c>
      <c r="U414" s="84" t="s">
        <v>544</v>
      </c>
      <c r="V414" s="9">
        <f ca="1">IFERROR(OFFSET(ITEM_RES!$A$5,MATCH(BUILDING!U414,ITEM_RES!$J$5:$J$229,0)-1,0),0)</f>
        <v>211020401</v>
      </c>
      <c r="W414" s="11">
        <v>1</v>
      </c>
      <c r="X414" s="84" t="s">
        <v>539</v>
      </c>
      <c r="Y414" s="9">
        <f ca="1">IFERROR(OFFSET(ITEM_RES!$A$5,MATCH(BUILDING!X414,ITEM_RES!$J$5:$J$229,0)-1,0),0)</f>
        <v>211020501</v>
      </c>
      <c r="AA414" s="9" t="s">
        <v>517</v>
      </c>
      <c r="AB414" s="9">
        <v>10</v>
      </c>
      <c r="AD414" s="11">
        <f ca="1">IFERROR(OFFSET(MANOR_LEVEL!$B$1,MATCH(AE414-1,MANOR_LEVEL!$A:$A,0)-1,0),0)</f>
        <v>7772100</v>
      </c>
      <c r="AE414" s="56">
        <v>13</v>
      </c>
      <c r="AG414" s="56">
        <f t="shared" ca="1" si="103"/>
        <v>1560200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1560200</v>
      </c>
      <c r="AI414" s="179">
        <f t="shared" ca="1" si="112"/>
        <v>2496350</v>
      </c>
      <c r="AK414" s="11">
        <f t="shared" si="105"/>
        <v>7200</v>
      </c>
      <c r="AL414" s="10">
        <v>7200</v>
      </c>
      <c r="AM414" s="11">
        <f t="shared" si="111"/>
        <v>200</v>
      </c>
      <c r="AN414" s="10">
        <v>200</v>
      </c>
      <c r="AO414" s="11">
        <v>130000</v>
      </c>
      <c r="AP414" s="10">
        <v>0</v>
      </c>
      <c r="AQ414" s="56">
        <f t="shared" si="106"/>
        <v>2</v>
      </c>
      <c r="AS414" s="11">
        <f ca="1">IFERROR(OFFSET(ITEM_RES!$A$1,MATCH(AT414,ITEM_RES!$J:$J,0)-1,0),0)</f>
        <v>211020401</v>
      </c>
      <c r="AT414" s="10" t="s">
        <v>430</v>
      </c>
      <c r="AU414" s="11">
        <v>130000</v>
      </c>
      <c r="AX414" s="11">
        <f ca="1">IFERROR(OFFSET(ITEM_RES!$A$1,MATCH(AY414,ITEM_RES!$J:$J,0)-1,0),0)</f>
        <v>211020801</v>
      </c>
      <c r="AY414" s="10" t="s">
        <v>431</v>
      </c>
      <c r="AZ414" s="11">
        <v>130000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08"/>
        <v>112060011</v>
      </c>
      <c r="B415" s="13">
        <v>11</v>
      </c>
      <c r="C415" s="12">
        <f t="shared" si="109"/>
        <v>2</v>
      </c>
      <c r="D415" s="13">
        <v>6</v>
      </c>
      <c r="E415" s="13">
        <v>0</v>
      </c>
      <c r="F415" s="12">
        <f t="shared" si="110"/>
        <v>11</v>
      </c>
      <c r="H415" s="9">
        <v>2</v>
      </c>
      <c r="I415" s="9">
        <v>11</v>
      </c>
      <c r="K415" s="9" t="s">
        <v>417</v>
      </c>
      <c r="M415" s="9">
        <v>1</v>
      </c>
      <c r="N415" s="9">
        <v>15</v>
      </c>
      <c r="O415" s="9" t="s">
        <v>1034</v>
      </c>
      <c r="S415" s="9" t="s">
        <v>697</v>
      </c>
      <c r="U415" s="84" t="s">
        <v>544</v>
      </c>
      <c r="V415" s="9">
        <f ca="1">IFERROR(OFFSET(ITEM_RES!$A$5,MATCH(BUILDING!U415,ITEM_RES!$J$5:$J$229,0)-1,0),0)</f>
        <v>211020401</v>
      </c>
      <c r="W415" s="11">
        <v>1</v>
      </c>
      <c r="X415" s="84" t="s">
        <v>539</v>
      </c>
      <c r="Y415" s="9">
        <f ca="1">IFERROR(OFFSET(ITEM_RES!$A$5,MATCH(BUILDING!X415,ITEM_RES!$J$5:$J$229,0)-1,0),0)</f>
        <v>211020501</v>
      </c>
      <c r="AA415" s="9" t="s">
        <v>517</v>
      </c>
      <c r="AB415" s="9">
        <v>11</v>
      </c>
      <c r="AD415" s="11">
        <f ca="1">IFERROR(OFFSET(MANOR_LEVEL!$B$1,MATCH(AE415-1,MANOR_LEVEL!$A:$A,0)-1,0),0)</f>
        <v>13022450</v>
      </c>
      <c r="AE415" s="56">
        <v>14</v>
      </c>
      <c r="AG415" s="56">
        <f t="shared" ca="1" si="103"/>
        <v>2640250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2640250</v>
      </c>
      <c r="AI415" s="179">
        <f t="shared" ca="1" si="112"/>
        <v>4200450</v>
      </c>
      <c r="AK415" s="11">
        <f t="shared" si="105"/>
        <v>9000</v>
      </c>
      <c r="AL415" s="10">
        <v>9000</v>
      </c>
      <c r="AM415" s="11">
        <f t="shared" si="111"/>
        <v>250</v>
      </c>
      <c r="AN415" s="10">
        <v>250</v>
      </c>
      <c r="AO415" s="11">
        <v>220000</v>
      </c>
      <c r="AP415" s="10">
        <v>0</v>
      </c>
      <c r="AQ415" s="56">
        <f t="shared" si="106"/>
        <v>2</v>
      </c>
      <c r="AS415" s="11">
        <f ca="1">IFERROR(OFFSET(ITEM_RES!$A$1,MATCH(AT415,ITEM_RES!$J:$J,0)-1,0),0)</f>
        <v>211020401</v>
      </c>
      <c r="AT415" s="10" t="s">
        <v>430</v>
      </c>
      <c r="AU415" s="11">
        <v>220000</v>
      </c>
      <c r="AX415" s="11">
        <f ca="1">IFERROR(OFFSET(ITEM_RES!$A$1,MATCH(AY415,ITEM_RES!$J:$J,0)-1,0),0)</f>
        <v>211020801</v>
      </c>
      <c r="AY415" s="10" t="s">
        <v>431</v>
      </c>
      <c r="AZ415" s="11">
        <v>220000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08"/>
        <v>112060012</v>
      </c>
      <c r="B416" s="13">
        <v>11</v>
      </c>
      <c r="C416" s="12">
        <f t="shared" si="109"/>
        <v>2</v>
      </c>
      <c r="D416" s="13">
        <v>6</v>
      </c>
      <c r="E416" s="13">
        <v>0</v>
      </c>
      <c r="F416" s="12">
        <f t="shared" si="110"/>
        <v>12</v>
      </c>
      <c r="H416" s="9">
        <v>2</v>
      </c>
      <c r="I416" s="9">
        <v>12</v>
      </c>
      <c r="K416" s="9" t="s">
        <v>417</v>
      </c>
      <c r="M416" s="9">
        <v>1</v>
      </c>
      <c r="N416" s="9">
        <v>15</v>
      </c>
      <c r="O416" s="9" t="s">
        <v>1034</v>
      </c>
      <c r="S416" s="9" t="s">
        <v>697</v>
      </c>
      <c r="U416" s="84" t="s">
        <v>544</v>
      </c>
      <c r="V416" s="9">
        <f ca="1">IFERROR(OFFSET(ITEM_RES!$A$5,MATCH(BUILDING!U416,ITEM_RES!$J$5:$J$229,0)-1,0),0)</f>
        <v>211020401</v>
      </c>
      <c r="W416" s="11">
        <v>1</v>
      </c>
      <c r="X416" s="84" t="s">
        <v>539</v>
      </c>
      <c r="Y416" s="9">
        <f ca="1">IFERROR(OFFSET(ITEM_RES!$A$5,MATCH(BUILDING!X416,ITEM_RES!$J$5:$J$229,0)-1,0),0)</f>
        <v>211020501</v>
      </c>
      <c r="AA416" s="9" t="s">
        <v>517</v>
      </c>
      <c r="AB416" s="9">
        <v>12</v>
      </c>
      <c r="AD416" s="11">
        <f ca="1">IFERROR(OFFSET(MANOR_LEVEL!$B$1,MATCH(AE416-1,MANOR_LEVEL!$A:$A,0)-1,0),0)</f>
        <v>23283600</v>
      </c>
      <c r="AE416" s="56">
        <v>15</v>
      </c>
      <c r="AG416" s="56">
        <f t="shared" ca="1" si="103"/>
        <v>4440300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4440300</v>
      </c>
      <c r="AI416" s="179">
        <f t="shared" ca="1" si="112"/>
        <v>7080550</v>
      </c>
      <c r="AK416" s="11">
        <f t="shared" si="105"/>
        <v>10800</v>
      </c>
      <c r="AL416" s="10">
        <v>10800</v>
      </c>
      <c r="AM416" s="11">
        <f t="shared" si="111"/>
        <v>300</v>
      </c>
      <c r="AN416" s="10">
        <v>300</v>
      </c>
      <c r="AO416" s="11">
        <v>370000</v>
      </c>
      <c r="AP416" s="10">
        <v>0</v>
      </c>
      <c r="AQ416" s="56">
        <f t="shared" si="106"/>
        <v>2</v>
      </c>
      <c r="AS416" s="11">
        <f ca="1">IFERROR(OFFSET(ITEM_RES!$A$1,MATCH(AT416,ITEM_RES!$J:$J,0)-1,0),0)</f>
        <v>211020401</v>
      </c>
      <c r="AT416" s="10" t="s">
        <v>430</v>
      </c>
      <c r="AU416" s="11">
        <v>370000</v>
      </c>
      <c r="AX416" s="11">
        <f ca="1">IFERROR(OFFSET(ITEM_RES!$A$1,MATCH(AY416,ITEM_RES!$J:$J,0)-1,0),0)</f>
        <v>211020801</v>
      </c>
      <c r="AY416" s="10" t="s">
        <v>431</v>
      </c>
      <c r="AZ416" s="11">
        <v>370000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08"/>
        <v>112060013</v>
      </c>
      <c r="B417" s="13">
        <v>11</v>
      </c>
      <c r="C417" s="12">
        <f t="shared" si="109"/>
        <v>2</v>
      </c>
      <c r="D417" s="13">
        <v>6</v>
      </c>
      <c r="E417" s="13">
        <v>0</v>
      </c>
      <c r="F417" s="12">
        <f t="shared" si="110"/>
        <v>13</v>
      </c>
      <c r="H417" s="9">
        <v>2</v>
      </c>
      <c r="I417" s="9">
        <v>13</v>
      </c>
      <c r="K417" s="9" t="s">
        <v>417</v>
      </c>
      <c r="M417" s="9">
        <v>1</v>
      </c>
      <c r="N417" s="9">
        <v>15</v>
      </c>
      <c r="O417" s="9" t="s">
        <v>1034</v>
      </c>
      <c r="S417" s="9" t="s">
        <v>697</v>
      </c>
      <c r="U417" s="84" t="s">
        <v>544</v>
      </c>
      <c r="V417" s="9">
        <f ca="1">IFERROR(OFFSET(ITEM_RES!$A$5,MATCH(BUILDING!U417,ITEM_RES!$J$5:$J$229,0)-1,0),0)</f>
        <v>211020401</v>
      </c>
      <c r="W417" s="11">
        <v>1</v>
      </c>
      <c r="X417" s="84" t="s">
        <v>539</v>
      </c>
      <c r="Y417" s="9">
        <f ca="1">IFERROR(OFFSET(ITEM_RES!$A$5,MATCH(BUILDING!X417,ITEM_RES!$J$5:$J$229,0)-1,0),0)</f>
        <v>211020501</v>
      </c>
      <c r="AA417" s="9" t="s">
        <v>517</v>
      </c>
      <c r="AB417" s="9">
        <v>13</v>
      </c>
      <c r="AD417" s="11">
        <f ca="1">IFERROR(OFFSET(MANOR_LEVEL!$B$1,MATCH(AE417-1,MANOR_LEVEL!$A:$A,0)-1,0),0)</f>
        <v>50404400</v>
      </c>
      <c r="AE417" s="56">
        <v>16</v>
      </c>
      <c r="AG417" s="56">
        <f t="shared" ca="1" si="103"/>
        <v>7440350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7440350</v>
      </c>
      <c r="AI417" s="179">
        <f t="shared" ca="1" si="112"/>
        <v>11880650</v>
      </c>
      <c r="AK417" s="11">
        <f t="shared" si="105"/>
        <v>12600</v>
      </c>
      <c r="AL417" s="10">
        <v>12600</v>
      </c>
      <c r="AM417" s="11">
        <f t="shared" si="111"/>
        <v>350</v>
      </c>
      <c r="AN417" s="10">
        <v>350</v>
      </c>
      <c r="AO417" s="11">
        <v>620000</v>
      </c>
      <c r="AP417" s="10">
        <v>0</v>
      </c>
      <c r="AQ417" s="56">
        <f t="shared" si="106"/>
        <v>2</v>
      </c>
      <c r="AS417" s="11">
        <f ca="1">IFERROR(OFFSET(ITEM_RES!$A$1,MATCH(AT417,ITEM_RES!$J:$J,0)-1,0),0)</f>
        <v>211020401</v>
      </c>
      <c r="AT417" s="10" t="s">
        <v>430</v>
      </c>
      <c r="AU417" s="11">
        <v>620000</v>
      </c>
      <c r="AX417" s="11">
        <f ca="1">IFERROR(OFFSET(ITEM_RES!$A$1,MATCH(AY417,ITEM_RES!$J:$J,0)-1,0),0)</f>
        <v>211020801</v>
      </c>
      <c r="AY417" s="10" t="s">
        <v>431</v>
      </c>
      <c r="AZ417" s="11">
        <v>620000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08"/>
        <v>112060014</v>
      </c>
      <c r="B418" s="13">
        <v>11</v>
      </c>
      <c r="C418" s="12">
        <f t="shared" si="109"/>
        <v>2</v>
      </c>
      <c r="D418" s="13">
        <v>6</v>
      </c>
      <c r="E418" s="13">
        <v>0</v>
      </c>
      <c r="F418" s="12">
        <f t="shared" si="110"/>
        <v>14</v>
      </c>
      <c r="H418" s="9">
        <v>2</v>
      </c>
      <c r="I418" s="9">
        <v>14</v>
      </c>
      <c r="K418" s="9" t="s">
        <v>417</v>
      </c>
      <c r="M418" s="9">
        <v>1</v>
      </c>
      <c r="N418" s="9">
        <v>15</v>
      </c>
      <c r="O418" s="9" t="s">
        <v>1034</v>
      </c>
      <c r="S418" s="9" t="s">
        <v>697</v>
      </c>
      <c r="U418" s="84" t="s">
        <v>544</v>
      </c>
      <c r="V418" s="9">
        <f ca="1">IFERROR(OFFSET(ITEM_RES!$A$5,MATCH(BUILDING!U418,ITEM_RES!$J$5:$J$229,0)-1,0),0)</f>
        <v>211020401</v>
      </c>
      <c r="W418" s="11">
        <v>1</v>
      </c>
      <c r="X418" s="84" t="s">
        <v>539</v>
      </c>
      <c r="Y418" s="9">
        <f ca="1">IFERROR(OFFSET(ITEM_RES!$A$5,MATCH(BUILDING!X418,ITEM_RES!$J$5:$J$229,0)-1,0),0)</f>
        <v>211020501</v>
      </c>
      <c r="AA418" s="9" t="s">
        <v>517</v>
      </c>
      <c r="AB418" s="9">
        <v>14</v>
      </c>
      <c r="AD418" s="11">
        <f ca="1">IFERROR(OFFSET(MANOR_LEVEL!$B$1,MATCH(AE418-1,MANOR_LEVEL!$A:$A,0)-1,0),0)</f>
        <v>119976300</v>
      </c>
      <c r="AE418" s="56">
        <v>17</v>
      </c>
      <c r="AG418" s="56">
        <f t="shared" ca="1" si="103"/>
        <v>11640450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11640450</v>
      </c>
      <c r="AI418" s="179">
        <f t="shared" ca="1" si="112"/>
        <v>19080800</v>
      </c>
      <c r="AK418" s="11">
        <f t="shared" si="105"/>
        <v>14400</v>
      </c>
      <c r="AL418" s="10">
        <v>14400</v>
      </c>
      <c r="AM418" s="11">
        <f t="shared" si="111"/>
        <v>450</v>
      </c>
      <c r="AN418" s="10">
        <v>450</v>
      </c>
      <c r="AO418" s="11">
        <v>970000</v>
      </c>
      <c r="AP418" s="10">
        <v>0</v>
      </c>
      <c r="AQ418" s="56">
        <f t="shared" si="106"/>
        <v>2</v>
      </c>
      <c r="AS418" s="11">
        <f ca="1">IFERROR(OFFSET(ITEM_RES!$A$1,MATCH(AT418,ITEM_RES!$J:$J,0)-1,0),0)</f>
        <v>211020401</v>
      </c>
      <c r="AT418" s="10" t="s">
        <v>430</v>
      </c>
      <c r="AU418" s="11">
        <v>970000</v>
      </c>
      <c r="AX418" s="11">
        <f ca="1">IFERROR(OFFSET(ITEM_RES!$A$1,MATCH(AY418,ITEM_RES!$J:$J,0)-1,0),0)</f>
        <v>211020801</v>
      </c>
      <c r="AY418" s="10" t="s">
        <v>431</v>
      </c>
      <c r="AZ418" s="11">
        <v>970000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08"/>
        <v>112060015</v>
      </c>
      <c r="B419" s="13">
        <v>11</v>
      </c>
      <c r="C419" s="12">
        <f t="shared" si="109"/>
        <v>2</v>
      </c>
      <c r="D419" s="13">
        <v>6</v>
      </c>
      <c r="E419" s="13">
        <v>0</v>
      </c>
      <c r="F419" s="12">
        <f t="shared" si="110"/>
        <v>15</v>
      </c>
      <c r="H419" s="9">
        <v>2</v>
      </c>
      <c r="I419" s="9">
        <v>15</v>
      </c>
      <c r="K419" s="9" t="s">
        <v>417</v>
      </c>
      <c r="M419" s="9">
        <v>1</v>
      </c>
      <c r="N419" s="9">
        <v>15</v>
      </c>
      <c r="O419" s="9" t="s">
        <v>1034</v>
      </c>
      <c r="S419" s="9" t="s">
        <v>697</v>
      </c>
      <c r="U419" s="84" t="s">
        <v>544</v>
      </c>
      <c r="V419" s="9">
        <f ca="1">IFERROR(OFFSET(ITEM_RES!$A$5,MATCH(BUILDING!U419,ITEM_RES!$J$5:$J$229,0)-1,0),0)</f>
        <v>211020401</v>
      </c>
      <c r="W419" s="11">
        <v>1</v>
      </c>
      <c r="X419" s="84" t="s">
        <v>539</v>
      </c>
      <c r="Y419" s="9">
        <f ca="1">IFERROR(OFFSET(ITEM_RES!$A$5,MATCH(BUILDING!X419,ITEM_RES!$J$5:$J$229,0)-1,0),0)</f>
        <v>211020501</v>
      </c>
      <c r="AA419" s="9" t="s">
        <v>517</v>
      </c>
      <c r="AB419" s="9">
        <v>15</v>
      </c>
      <c r="AD419" s="11">
        <f ca="1">IFERROR(OFFSET(MANOR_LEVEL!$B$1,MATCH(AE419-1,MANOR_LEVEL!$A:$A,0)-1,0),0)</f>
        <v>223207650</v>
      </c>
      <c r="AE419" s="56">
        <v>18</v>
      </c>
      <c r="AG419" s="56">
        <f t="shared" ca="1" si="103"/>
        <v>25620550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25620550</v>
      </c>
      <c r="AI419" s="179">
        <f t="shared" ca="1" si="112"/>
        <v>37261000</v>
      </c>
      <c r="AK419" s="11">
        <f t="shared" si="105"/>
        <v>16200</v>
      </c>
      <c r="AL419" s="10">
        <v>16200</v>
      </c>
      <c r="AM419" s="11">
        <f t="shared" si="111"/>
        <v>550</v>
      </c>
      <c r="AN419" s="10">
        <v>550</v>
      </c>
      <c r="AO419" s="11">
        <v>2100000</v>
      </c>
      <c r="AP419" s="10">
        <v>0</v>
      </c>
      <c r="AQ419" s="56">
        <f t="shared" si="106"/>
        <v>2</v>
      </c>
      <c r="AS419" s="11">
        <f ca="1">IFERROR(OFFSET(ITEM_RES!$A$1,MATCH(AT419,ITEM_RES!$J:$J,0)-1,0),0)</f>
        <v>211020501</v>
      </c>
      <c r="AT419" s="10" t="s">
        <v>428</v>
      </c>
      <c r="AU419" s="11">
        <v>2100000</v>
      </c>
      <c r="AX419" s="11">
        <f ca="1">IFERROR(OFFSET(ITEM_RES!$A$1,MATCH(AY419,ITEM_RES!$J:$J,0)-1,0),0)</f>
        <v>211020801</v>
      </c>
      <c r="AY419" s="10" t="s">
        <v>431</v>
      </c>
      <c r="AZ419" s="11">
        <v>2100000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08"/>
        <v>112060016</v>
      </c>
      <c r="B420" s="13">
        <v>11</v>
      </c>
      <c r="C420" s="12">
        <f t="shared" si="109"/>
        <v>2</v>
      </c>
      <c r="D420" s="13">
        <v>6</v>
      </c>
      <c r="E420" s="13">
        <v>0</v>
      </c>
      <c r="F420" s="12">
        <f t="shared" si="110"/>
        <v>16</v>
      </c>
      <c r="H420" s="9">
        <v>2</v>
      </c>
      <c r="I420" s="9">
        <v>16</v>
      </c>
      <c r="K420" s="9" t="s">
        <v>417</v>
      </c>
      <c r="M420" s="9">
        <v>0</v>
      </c>
      <c r="N420" s="9">
        <v>15</v>
      </c>
      <c r="O420" s="9" t="s">
        <v>1034</v>
      </c>
      <c r="S420" s="9" t="s">
        <v>697</v>
      </c>
      <c r="U420" s="84" t="s">
        <v>544</v>
      </c>
      <c r="V420" s="9">
        <f ca="1">IFERROR(OFFSET(ITEM_RES!$A$5,MATCH(BUILDING!U420,ITEM_RES!$J$5:$J$229,0)-1,0),0)</f>
        <v>211020401</v>
      </c>
      <c r="W420" s="11">
        <v>1</v>
      </c>
      <c r="X420" s="84" t="s">
        <v>539</v>
      </c>
      <c r="Y420" s="9">
        <f ca="1">IFERROR(OFFSET(ITEM_RES!$A$5,MATCH(BUILDING!X420,ITEM_RES!$J$5:$J$229,0)-1,0),0)</f>
        <v>211020501</v>
      </c>
      <c r="AA420" s="9" t="s">
        <v>517</v>
      </c>
      <c r="AB420" s="9">
        <v>16</v>
      </c>
      <c r="AD420" s="11">
        <f ca="1">IFERROR(OFFSET(MANOR_LEVEL!$B$1,MATCH(AE420-1,MANOR_LEVEL!$A:$A,0)-1,0),0)</f>
        <v>223207650</v>
      </c>
      <c r="AE420" s="56">
        <v>18</v>
      </c>
      <c r="AG420" s="56">
        <f t="shared" ca="1" si="103"/>
        <v>52460700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52460700</v>
      </c>
      <c r="AI420" s="179">
        <f t="shared" ca="1" si="112"/>
        <v>78081250</v>
      </c>
      <c r="AK420" s="11">
        <f t="shared" si="105"/>
        <v>18000</v>
      </c>
      <c r="AL420" s="10">
        <v>18000</v>
      </c>
      <c r="AM420" s="11">
        <f t="shared" si="111"/>
        <v>700</v>
      </c>
      <c r="AN420" s="10">
        <v>700</v>
      </c>
      <c r="AO420" s="11">
        <v>4300000</v>
      </c>
      <c r="AP420" s="10">
        <v>0</v>
      </c>
      <c r="AQ420" s="56">
        <f t="shared" si="106"/>
        <v>2</v>
      </c>
      <c r="AS420" s="11">
        <f ca="1">IFERROR(OFFSET(ITEM_RES!$A$1,MATCH(AT420,ITEM_RES!$J:$J,0)-1,0),0)</f>
        <v>211020501</v>
      </c>
      <c r="AT420" s="10" t="s">
        <v>428</v>
      </c>
      <c r="AU420" s="11">
        <v>4300000</v>
      </c>
      <c r="AX420" s="11">
        <f ca="1">IFERROR(OFFSET(ITEM_RES!$A$1,MATCH(AY420,ITEM_RES!$J:$J,0)-1,0),0)</f>
        <v>211020801</v>
      </c>
      <c r="AY420" s="10" t="s">
        <v>431</v>
      </c>
      <c r="AZ420" s="11">
        <v>4300000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08"/>
        <v>112060017</v>
      </c>
      <c r="B421" s="13">
        <v>11</v>
      </c>
      <c r="C421" s="12">
        <f t="shared" si="109"/>
        <v>2</v>
      </c>
      <c r="D421" s="13">
        <v>6</v>
      </c>
      <c r="E421" s="13">
        <v>0</v>
      </c>
      <c r="F421" s="12">
        <f t="shared" si="110"/>
        <v>17</v>
      </c>
      <c r="H421" s="9">
        <v>2</v>
      </c>
      <c r="I421" s="9">
        <v>17</v>
      </c>
      <c r="K421" s="9" t="s">
        <v>417</v>
      </c>
      <c r="M421" s="9">
        <v>0</v>
      </c>
      <c r="N421" s="9">
        <v>15</v>
      </c>
      <c r="O421" s="9" t="s">
        <v>1034</v>
      </c>
      <c r="S421" s="9" t="s">
        <v>697</v>
      </c>
      <c r="U421" s="84" t="s">
        <v>544</v>
      </c>
      <c r="V421" s="9">
        <f ca="1">IFERROR(OFFSET(ITEM_RES!$A$5,MATCH(BUILDING!U421,ITEM_RES!$J$5:$J$229,0)-1,0),0)</f>
        <v>211020401</v>
      </c>
      <c r="W421" s="11">
        <v>1</v>
      </c>
      <c r="X421" s="84" t="s">
        <v>539</v>
      </c>
      <c r="Y421" s="9">
        <f ca="1">IFERROR(OFFSET(ITEM_RES!$A$5,MATCH(BUILDING!X421,ITEM_RES!$J$5:$J$229,0)-1,0),0)</f>
        <v>211020501</v>
      </c>
      <c r="AA421" s="9" t="s">
        <v>517</v>
      </c>
      <c r="AB421" s="9">
        <v>17</v>
      </c>
      <c r="AD421" s="11">
        <f ca="1">IFERROR(OFFSET(MANOR_LEVEL!$B$1,MATCH(AE421-1,MANOR_LEVEL!$A:$A,0)-1,0),0)</f>
        <v>223207650</v>
      </c>
      <c r="AE421" s="56">
        <v>18</v>
      </c>
      <c r="AG421" s="56">
        <f t="shared" ca="1" si="103"/>
        <v>97600850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97600850</v>
      </c>
      <c r="AI421" s="179">
        <f t="shared" ca="1" si="112"/>
        <v>150061550</v>
      </c>
      <c r="AK421" s="11">
        <f t="shared" si="105"/>
        <v>19800</v>
      </c>
      <c r="AL421" s="10">
        <v>19800</v>
      </c>
      <c r="AM421" s="11">
        <f t="shared" si="111"/>
        <v>850</v>
      </c>
      <c r="AN421" s="10">
        <v>850</v>
      </c>
      <c r="AO421" s="11">
        <v>8000000</v>
      </c>
      <c r="AP421" s="10">
        <v>0</v>
      </c>
      <c r="AQ421" s="56">
        <f t="shared" si="106"/>
        <v>2</v>
      </c>
      <c r="AS421" s="11">
        <f ca="1">IFERROR(OFFSET(ITEM_RES!$A$1,MATCH(AT421,ITEM_RES!$J:$J,0)-1,0),0)</f>
        <v>211020501</v>
      </c>
      <c r="AT421" s="10" t="s">
        <v>428</v>
      </c>
      <c r="AU421" s="11">
        <v>8000000</v>
      </c>
      <c r="AX421" s="11">
        <f ca="1">IFERROR(OFFSET(ITEM_RES!$A$1,MATCH(AY421,ITEM_RES!$J:$J,0)-1,0),0)</f>
        <v>211020801</v>
      </c>
      <c r="AY421" s="10" t="s">
        <v>431</v>
      </c>
      <c r="AZ421" s="11">
        <v>8000000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08"/>
        <v>112060018</v>
      </c>
      <c r="B422" s="13">
        <v>11</v>
      </c>
      <c r="C422" s="12">
        <f t="shared" si="109"/>
        <v>2</v>
      </c>
      <c r="D422" s="13">
        <v>6</v>
      </c>
      <c r="E422" s="13">
        <v>0</v>
      </c>
      <c r="F422" s="12">
        <f t="shared" si="110"/>
        <v>18</v>
      </c>
      <c r="H422" s="9">
        <v>2</v>
      </c>
      <c r="I422" s="9">
        <v>18</v>
      </c>
      <c r="K422" s="9" t="s">
        <v>417</v>
      </c>
      <c r="M422" s="9">
        <v>0</v>
      </c>
      <c r="N422" s="9">
        <v>15</v>
      </c>
      <c r="O422" s="9" t="s">
        <v>1034</v>
      </c>
      <c r="S422" s="9" t="s">
        <v>697</v>
      </c>
      <c r="U422" s="84" t="s">
        <v>544</v>
      </c>
      <c r="V422" s="9">
        <f ca="1">IFERROR(OFFSET(ITEM_RES!$A$5,MATCH(BUILDING!U422,ITEM_RES!$J$5:$J$229,0)-1,0),0)</f>
        <v>211020401</v>
      </c>
      <c r="W422" s="11">
        <v>1</v>
      </c>
      <c r="X422" s="84" t="s">
        <v>539</v>
      </c>
      <c r="Y422" s="9">
        <f ca="1">IFERROR(OFFSET(ITEM_RES!$A$5,MATCH(BUILDING!X422,ITEM_RES!$J$5:$J$229,0)-1,0),0)</f>
        <v>211020501</v>
      </c>
      <c r="AA422" s="9" t="s">
        <v>517</v>
      </c>
      <c r="AB422" s="9">
        <v>18</v>
      </c>
      <c r="AD422" s="11">
        <f ca="1">IFERROR(OFFSET(MANOR_LEVEL!$B$1,MATCH(AE422-1,MANOR_LEVEL!$A:$A,0)-1,0),0)</f>
        <v>223207650</v>
      </c>
      <c r="AE422" s="56">
        <v>18</v>
      </c>
      <c r="AG422" s="56">
        <f t="shared" ca="1" si="103"/>
        <v>158601050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158601050</v>
      </c>
      <c r="AI422" s="179">
        <f t="shared" ca="1" si="112"/>
        <v>256201900</v>
      </c>
      <c r="AK422" s="11">
        <f t="shared" si="105"/>
        <v>21600</v>
      </c>
      <c r="AL422" s="10">
        <v>21600</v>
      </c>
      <c r="AM422" s="11">
        <f t="shared" si="111"/>
        <v>1050</v>
      </c>
      <c r="AN422" s="10">
        <v>1050</v>
      </c>
      <c r="AO422" s="11">
        <v>13000000</v>
      </c>
      <c r="AP422" s="10">
        <v>0</v>
      </c>
      <c r="AQ422" s="56">
        <f t="shared" si="106"/>
        <v>2</v>
      </c>
      <c r="AS422" s="11">
        <f ca="1">IFERROR(OFFSET(ITEM_RES!$A$1,MATCH(AT422,ITEM_RES!$J:$J,0)-1,0),0)</f>
        <v>211020501</v>
      </c>
      <c r="AT422" s="10" t="s">
        <v>428</v>
      </c>
      <c r="AU422" s="11">
        <v>13000000</v>
      </c>
      <c r="AX422" s="11">
        <f ca="1">IFERROR(OFFSET(ITEM_RES!$A$1,MATCH(AY422,ITEM_RES!$J:$J,0)-1,0),0)</f>
        <v>211020801</v>
      </c>
      <c r="AY422" s="10" t="s">
        <v>431</v>
      </c>
      <c r="AZ422" s="11">
        <v>13000000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08"/>
        <v>112060019</v>
      </c>
      <c r="B423" s="13">
        <v>11</v>
      </c>
      <c r="C423" s="12">
        <f t="shared" si="109"/>
        <v>2</v>
      </c>
      <c r="D423" s="13">
        <v>6</v>
      </c>
      <c r="E423" s="13">
        <v>0</v>
      </c>
      <c r="F423" s="12">
        <f t="shared" si="110"/>
        <v>19</v>
      </c>
      <c r="H423" s="9">
        <v>2</v>
      </c>
      <c r="I423" s="9">
        <v>19</v>
      </c>
      <c r="K423" s="9" t="s">
        <v>417</v>
      </c>
      <c r="M423" s="9">
        <v>0</v>
      </c>
      <c r="N423" s="9">
        <v>15</v>
      </c>
      <c r="O423" s="9" t="s">
        <v>1034</v>
      </c>
      <c r="S423" s="9" t="s">
        <v>697</v>
      </c>
      <c r="U423" s="84" t="s">
        <v>544</v>
      </c>
      <c r="V423" s="9">
        <f ca="1">IFERROR(OFFSET(ITEM_RES!$A$5,MATCH(BUILDING!U423,ITEM_RES!$J$5:$J$229,0)-1,0),0)</f>
        <v>211020401</v>
      </c>
      <c r="W423" s="11">
        <v>1</v>
      </c>
      <c r="X423" s="84" t="s">
        <v>539</v>
      </c>
      <c r="Y423" s="9">
        <f ca="1">IFERROR(OFFSET(ITEM_RES!$A$5,MATCH(BUILDING!X423,ITEM_RES!$J$5:$J$229,0)-1,0),0)</f>
        <v>211020501</v>
      </c>
      <c r="AA423" s="9" t="s">
        <v>517</v>
      </c>
      <c r="AB423" s="9">
        <v>19</v>
      </c>
      <c r="AD423" s="11">
        <f ca="1">IFERROR(OFFSET(MANOR_LEVEL!$B$1,MATCH(AE423-1,MANOR_LEVEL!$A:$A,0)-1,0),0)</f>
        <v>223207650</v>
      </c>
      <c r="AE423" s="56">
        <v>18</v>
      </c>
      <c r="AG423" s="56">
        <f t="shared" ca="1" si="103"/>
        <v>244001250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244001250</v>
      </c>
      <c r="AI423" s="179">
        <f t="shared" ca="1" si="112"/>
        <v>402602300</v>
      </c>
      <c r="AK423" s="11">
        <f t="shared" si="105"/>
        <v>23400</v>
      </c>
      <c r="AL423" s="10">
        <v>23400</v>
      </c>
      <c r="AM423" s="11">
        <f t="shared" si="111"/>
        <v>1250</v>
      </c>
      <c r="AN423" s="10">
        <v>1250</v>
      </c>
      <c r="AO423" s="11">
        <v>20000000</v>
      </c>
      <c r="AP423" s="10">
        <v>0</v>
      </c>
      <c r="AQ423" s="56">
        <f t="shared" si="106"/>
        <v>2</v>
      </c>
      <c r="AS423" s="11">
        <f ca="1">IFERROR(OFFSET(ITEM_RES!$A$1,MATCH(AT423,ITEM_RES!$J:$J,0)-1,0),0)</f>
        <v>211020501</v>
      </c>
      <c r="AT423" s="10" t="s">
        <v>428</v>
      </c>
      <c r="AU423" s="11">
        <v>20000000</v>
      </c>
      <c r="AX423" s="11">
        <f ca="1">IFERROR(OFFSET(ITEM_RES!$A$1,MATCH(AY423,ITEM_RES!$J:$J,0)-1,0),0)</f>
        <v>211020801</v>
      </c>
      <c r="AY423" s="10" t="s">
        <v>431</v>
      </c>
      <c r="AZ423" s="11">
        <v>20000000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08"/>
        <v>112060020</v>
      </c>
      <c r="B424" s="13">
        <v>11</v>
      </c>
      <c r="C424" s="12">
        <f t="shared" si="109"/>
        <v>2</v>
      </c>
      <c r="D424" s="13">
        <v>6</v>
      </c>
      <c r="E424" s="13">
        <v>0</v>
      </c>
      <c r="F424" s="12">
        <f t="shared" si="110"/>
        <v>20</v>
      </c>
      <c r="H424" s="9">
        <v>2</v>
      </c>
      <c r="I424" s="9">
        <v>20</v>
      </c>
      <c r="K424" s="9" t="s">
        <v>417</v>
      </c>
      <c r="M424" s="9">
        <v>0</v>
      </c>
      <c r="N424" s="9">
        <v>15</v>
      </c>
      <c r="O424" s="9" t="s">
        <v>1034</v>
      </c>
      <c r="S424" s="9" t="s">
        <v>697</v>
      </c>
      <c r="U424" s="84" t="s">
        <v>544</v>
      </c>
      <c r="V424" s="9">
        <f ca="1">IFERROR(OFFSET(ITEM_RES!$A$5,MATCH(BUILDING!U424,ITEM_RES!$J$5:$J$229,0)-1,0),0)</f>
        <v>211020401</v>
      </c>
      <c r="W424" s="11">
        <v>1</v>
      </c>
      <c r="X424" s="84" t="s">
        <v>539</v>
      </c>
      <c r="Y424" s="9">
        <f ca="1">IFERROR(OFFSET(ITEM_RES!$A$5,MATCH(BUILDING!X424,ITEM_RES!$J$5:$J$229,0)-1,0),0)</f>
        <v>211020501</v>
      </c>
      <c r="AA424" s="9" t="s">
        <v>517</v>
      </c>
      <c r="AB424" s="9">
        <v>20</v>
      </c>
      <c r="AD424" s="11">
        <f ca="1">IFERROR(OFFSET(MANOR_LEVEL!$B$1,MATCH(AE424-1,MANOR_LEVEL!$A:$A,0)-1,0),0)</f>
        <v>223207650</v>
      </c>
      <c r="AE424" s="56">
        <v>18</v>
      </c>
      <c r="AG424" s="56">
        <f t="shared" ca="1" si="103"/>
        <v>390401500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390401500</v>
      </c>
      <c r="AI424" s="179">
        <f t="shared" ca="1" si="112"/>
        <v>634402750</v>
      </c>
      <c r="AK424" s="11">
        <f t="shared" si="105"/>
        <v>25200</v>
      </c>
      <c r="AL424" s="10">
        <v>25200</v>
      </c>
      <c r="AM424" s="11">
        <f t="shared" si="111"/>
        <v>1500</v>
      </c>
      <c r="AN424" s="10">
        <v>1500</v>
      </c>
      <c r="AO424" s="11">
        <v>32000000</v>
      </c>
      <c r="AP424" s="10">
        <v>0</v>
      </c>
      <c r="AQ424" s="56">
        <f t="shared" si="106"/>
        <v>2</v>
      </c>
      <c r="AS424" s="11">
        <f ca="1">IFERROR(OFFSET(ITEM_RES!$A$1,MATCH(AT424,ITEM_RES!$J:$J,0)-1,0),0)</f>
        <v>211020501</v>
      </c>
      <c r="AT424" s="10" t="s">
        <v>428</v>
      </c>
      <c r="AU424" s="11">
        <v>32000000</v>
      </c>
      <c r="AX424" s="11">
        <f ca="1">IFERROR(OFFSET(ITEM_RES!$A$1,MATCH(AY424,ITEM_RES!$J:$J,0)-1,0),0)</f>
        <v>211020801</v>
      </c>
      <c r="AY424" s="10" t="s">
        <v>431</v>
      </c>
      <c r="AZ424" s="11">
        <v>32000000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08"/>
        <v>112070001</v>
      </c>
      <c r="B425" s="20">
        <v>11</v>
      </c>
      <c r="C425" s="19">
        <f t="shared" si="109"/>
        <v>2</v>
      </c>
      <c r="D425" s="20">
        <v>7</v>
      </c>
      <c r="E425" s="20">
        <v>0</v>
      </c>
      <c r="F425" s="19">
        <f t="shared" si="110"/>
        <v>1</v>
      </c>
      <c r="G425" s="78"/>
      <c r="H425" s="16">
        <v>2</v>
      </c>
      <c r="I425" s="16">
        <v>1</v>
      </c>
      <c r="J425" s="78"/>
      <c r="K425" s="16" t="s">
        <v>523</v>
      </c>
      <c r="L425" s="16">
        <v>3</v>
      </c>
      <c r="M425" s="16">
        <v>1</v>
      </c>
      <c r="N425" s="16">
        <v>15</v>
      </c>
      <c r="O425" s="16" t="s">
        <v>1146</v>
      </c>
      <c r="P425" s="17"/>
      <c r="Q425" s="17"/>
      <c r="R425" s="18"/>
      <c r="S425" s="16" t="s">
        <v>693</v>
      </c>
      <c r="T425" s="78"/>
      <c r="U425" s="86" t="s">
        <v>538</v>
      </c>
      <c r="V425" s="16">
        <f ca="1">IFERROR(OFFSET(ITEM_RES!$A$5,MATCH(BUILDING!U425,ITEM_RES!$J$5:$J$229,0)-1,0),0)</f>
        <v>211020201</v>
      </c>
      <c r="W425" s="18">
        <v>1</v>
      </c>
      <c r="X425" s="86" t="s">
        <v>540</v>
      </c>
      <c r="Y425" s="16">
        <f ca="1">IFERROR(OFFSET(ITEM_RES!$A$5,MATCH(BUILDING!X425,ITEM_RES!$J$5:$J$229,0)-1,0),0)</f>
        <v>211020301</v>
      </c>
      <c r="Z425" s="78"/>
      <c r="AA425" s="16" t="s">
        <v>518</v>
      </c>
      <c r="AB425" s="16">
        <v>1</v>
      </c>
      <c r="AC425" s="78"/>
      <c r="AD425" s="18">
        <f ca="1">IFERROR(OFFSET(MANOR_LEVEL!$B$1,MATCH(AE425-1,MANOR_LEVEL!$A:$A,0)-1,0),0)</f>
        <v>108200</v>
      </c>
      <c r="AE425" s="57">
        <v>7</v>
      </c>
      <c r="AF425" s="78"/>
      <c r="AG425" s="57">
        <f t="shared" ca="1" si="103"/>
        <v>1105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1105</v>
      </c>
      <c r="AI425" s="181">
        <f ca="1">AG425</f>
        <v>1105</v>
      </c>
      <c r="AJ425" s="78"/>
      <c r="AK425" s="18">
        <f t="shared" si="105"/>
        <v>5</v>
      </c>
      <c r="AL425" s="17">
        <v>5</v>
      </c>
      <c r="AM425" s="18">
        <f t="shared" si="111"/>
        <v>5</v>
      </c>
      <c r="AN425" s="17">
        <v>5</v>
      </c>
      <c r="AO425" s="18">
        <f t="shared" ref="AO425:AO431" si="113">ROUND(AP425,0)</f>
        <v>0</v>
      </c>
      <c r="AP425" s="17">
        <v>0</v>
      </c>
      <c r="AQ425" s="57">
        <f t="shared" si="106"/>
        <v>3</v>
      </c>
      <c r="AR425" s="18"/>
      <c r="AS425" s="18">
        <f ca="1">IFERROR(OFFSET(ITEM_RES!$A$1,MATCH(AT425,ITEM_RES!$J:$J,0)-1,0),0)</f>
        <v>211020201</v>
      </c>
      <c r="AT425" s="17" t="s">
        <v>425</v>
      </c>
      <c r="AU425" s="18">
        <v>50</v>
      </c>
      <c r="AV425" s="17"/>
      <c r="AW425" s="18"/>
      <c r="AX425" s="18">
        <f ca="1">IFERROR(OFFSET(ITEM_RES!$A$1,MATCH(AY425,ITEM_RES!$J:$J,0)-1,0),0)</f>
        <v>211020401</v>
      </c>
      <c r="AY425" s="17" t="s">
        <v>430</v>
      </c>
      <c r="AZ425" s="18">
        <v>50</v>
      </c>
      <c r="BA425" s="17"/>
      <c r="BB425" s="18"/>
      <c r="BC425" s="18">
        <f ca="1">IFERROR(OFFSET(ITEM_RES!$A$1,MATCH(BD425,ITEM_RES!$J:$J,0)-1,0),0)</f>
        <v>213010101</v>
      </c>
      <c r="BD425" s="17" t="s">
        <v>445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08"/>
        <v>112070002</v>
      </c>
      <c r="B426" s="13">
        <v>11</v>
      </c>
      <c r="C426" s="12">
        <f t="shared" si="109"/>
        <v>2</v>
      </c>
      <c r="D426" s="13">
        <v>7</v>
      </c>
      <c r="E426" s="13">
        <v>0</v>
      </c>
      <c r="F426" s="12">
        <f t="shared" si="110"/>
        <v>2</v>
      </c>
      <c r="H426" s="9">
        <v>2</v>
      </c>
      <c r="I426" s="9">
        <v>2</v>
      </c>
      <c r="K426" s="9" t="s">
        <v>363</v>
      </c>
      <c r="M426" s="9">
        <v>1</v>
      </c>
      <c r="N426" s="9">
        <v>15</v>
      </c>
      <c r="O426" s="9" t="s">
        <v>1146</v>
      </c>
      <c r="S426" s="9" t="s">
        <v>693</v>
      </c>
      <c r="U426" s="84" t="s">
        <v>538</v>
      </c>
      <c r="V426" s="9">
        <f ca="1">IFERROR(OFFSET(ITEM_RES!$A$5,MATCH(BUILDING!U426,ITEM_RES!$J$5:$J$229,0)-1,0),0)</f>
        <v>211020201</v>
      </c>
      <c r="W426" s="11">
        <v>1</v>
      </c>
      <c r="X426" s="84" t="s">
        <v>540</v>
      </c>
      <c r="Y426" s="9">
        <f ca="1">IFERROR(OFFSET(ITEM_RES!$A$5,MATCH(BUILDING!X426,ITEM_RES!$J$5:$J$229,0)-1,0),0)</f>
        <v>211020301</v>
      </c>
      <c r="AA426" s="9" t="s">
        <v>518</v>
      </c>
      <c r="AB426" s="9">
        <v>2</v>
      </c>
      <c r="AD426" s="11">
        <f ca="1">IFERROR(OFFSET(MANOR_LEVEL!$B$1,MATCH(AE426-1,MANOR_LEVEL!$A:$A,0)-1,0),0)</f>
        <v>240400</v>
      </c>
      <c r="AE426" s="56">
        <v>8</v>
      </c>
      <c r="AG426" s="56">
        <f t="shared" ca="1" si="103"/>
        <v>210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210</v>
      </c>
      <c r="AI426" s="179">
        <f ca="1">AG425+AG426</f>
        <v>1315</v>
      </c>
      <c r="AK426" s="11">
        <f t="shared" si="105"/>
        <v>10</v>
      </c>
      <c r="AL426" s="10">
        <v>10</v>
      </c>
      <c r="AM426" s="11">
        <f t="shared" si="111"/>
        <v>10</v>
      </c>
      <c r="AN426" s="10">
        <v>10</v>
      </c>
      <c r="AO426" s="11">
        <f t="shared" si="113"/>
        <v>0</v>
      </c>
      <c r="AP426" s="10">
        <v>0</v>
      </c>
      <c r="AQ426" s="56">
        <f t="shared" si="106"/>
        <v>2</v>
      </c>
      <c r="AS426" s="11">
        <f ca="1">IFERROR(OFFSET(ITEM_RES!$A$1,MATCH(AT426,ITEM_RES!$J:$J,0)-1,0),0)</f>
        <v>211020201</v>
      </c>
      <c r="AT426" s="10" t="s">
        <v>425</v>
      </c>
      <c r="AU426" s="11">
        <v>100</v>
      </c>
      <c r="AX426" s="11">
        <f ca="1">IFERROR(OFFSET(ITEM_RES!$A$1,MATCH(AY426,ITEM_RES!$J:$J,0)-1,0),0)</f>
        <v>211020401</v>
      </c>
      <c r="AY426" s="10" t="s">
        <v>430</v>
      </c>
      <c r="AZ426" s="11">
        <v>100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08"/>
        <v>112070003</v>
      </c>
      <c r="B427" s="13">
        <v>11</v>
      </c>
      <c r="C427" s="12">
        <f t="shared" si="109"/>
        <v>2</v>
      </c>
      <c r="D427" s="13">
        <v>7</v>
      </c>
      <c r="E427" s="13">
        <v>0</v>
      </c>
      <c r="F427" s="12">
        <f t="shared" si="110"/>
        <v>3</v>
      </c>
      <c r="H427" s="9">
        <v>2</v>
      </c>
      <c r="I427" s="9">
        <v>3</v>
      </c>
      <c r="K427" s="9" t="s">
        <v>363</v>
      </c>
      <c r="M427" s="9">
        <v>1</v>
      </c>
      <c r="N427" s="9">
        <v>15</v>
      </c>
      <c r="O427" s="9" t="s">
        <v>1147</v>
      </c>
      <c r="S427" s="9" t="s">
        <v>693</v>
      </c>
      <c r="U427" s="84" t="s">
        <v>538</v>
      </c>
      <c r="V427" s="9">
        <f ca="1">IFERROR(OFFSET(ITEM_RES!$A$5,MATCH(BUILDING!U427,ITEM_RES!$J$5:$J$229,0)-1,0),0)</f>
        <v>211020201</v>
      </c>
      <c r="W427" s="11">
        <v>1</v>
      </c>
      <c r="X427" s="84" t="s">
        <v>540</v>
      </c>
      <c r="Y427" s="9">
        <f ca="1">IFERROR(OFFSET(ITEM_RES!$A$5,MATCH(BUILDING!X427,ITEM_RES!$J$5:$J$229,0)-1,0),0)</f>
        <v>211020301</v>
      </c>
      <c r="AA427" s="9" t="s">
        <v>518</v>
      </c>
      <c r="AB427" s="9">
        <v>3</v>
      </c>
      <c r="AD427" s="11">
        <f ca="1">IFERROR(OFFSET(MANOR_LEVEL!$B$1,MATCH(AE427-1,MANOR_LEVEL!$A:$A,0)-1,0),0)</f>
        <v>630500</v>
      </c>
      <c r="AE427" s="56">
        <v>9</v>
      </c>
      <c r="AG427" s="56">
        <f t="shared" ca="1" si="103"/>
        <v>315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315</v>
      </c>
      <c r="AI427" s="179">
        <f t="shared" ref="AI427:AI444" ca="1" si="114">AG426+AG427</f>
        <v>525</v>
      </c>
      <c r="AK427" s="11">
        <f t="shared" si="105"/>
        <v>30</v>
      </c>
      <c r="AL427" s="10">
        <v>30</v>
      </c>
      <c r="AM427" s="11">
        <f t="shared" si="111"/>
        <v>15</v>
      </c>
      <c r="AN427" s="10">
        <v>15</v>
      </c>
      <c r="AO427" s="11">
        <f t="shared" si="113"/>
        <v>0</v>
      </c>
      <c r="AP427" s="10">
        <v>0</v>
      </c>
      <c r="AQ427" s="56">
        <f t="shared" si="106"/>
        <v>2</v>
      </c>
      <c r="AS427" s="11">
        <f ca="1">IFERROR(OFFSET(ITEM_RES!$A$1,MATCH(AT427,ITEM_RES!$J:$J,0)-1,0),0)</f>
        <v>211020201</v>
      </c>
      <c r="AT427" s="10" t="s">
        <v>425</v>
      </c>
      <c r="AU427" s="11">
        <v>150</v>
      </c>
      <c r="AX427" s="11">
        <f ca="1">IFERROR(OFFSET(ITEM_RES!$A$1,MATCH(AY427,ITEM_RES!$J:$J,0)-1,0),0)</f>
        <v>211020401</v>
      </c>
      <c r="AY427" s="10" t="s">
        <v>430</v>
      </c>
      <c r="AZ427" s="11">
        <v>150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08"/>
        <v>112070004</v>
      </c>
      <c r="B428" s="13">
        <v>11</v>
      </c>
      <c r="C428" s="12">
        <f t="shared" si="109"/>
        <v>2</v>
      </c>
      <c r="D428" s="13">
        <v>7</v>
      </c>
      <c r="E428" s="13">
        <v>0</v>
      </c>
      <c r="F428" s="12">
        <f t="shared" si="110"/>
        <v>4</v>
      </c>
      <c r="H428" s="9">
        <v>2</v>
      </c>
      <c r="I428" s="9">
        <v>4</v>
      </c>
      <c r="K428" s="9" t="s">
        <v>363</v>
      </c>
      <c r="M428" s="9">
        <v>1</v>
      </c>
      <c r="N428" s="9">
        <v>15</v>
      </c>
      <c r="O428" s="9" t="s">
        <v>1148</v>
      </c>
      <c r="S428" s="9" t="s">
        <v>693</v>
      </c>
      <c r="U428" s="84" t="s">
        <v>538</v>
      </c>
      <c r="V428" s="9">
        <f ca="1">IFERROR(OFFSET(ITEM_RES!$A$5,MATCH(BUILDING!U428,ITEM_RES!$J$5:$J$229,0)-1,0),0)</f>
        <v>211020201</v>
      </c>
      <c r="W428" s="11">
        <v>1</v>
      </c>
      <c r="X428" s="84" t="s">
        <v>540</v>
      </c>
      <c r="Y428" s="9">
        <f ca="1">IFERROR(OFFSET(ITEM_RES!$A$5,MATCH(BUILDING!X428,ITEM_RES!$J$5:$J$229,0)-1,0),0)</f>
        <v>211020301</v>
      </c>
      <c r="AA428" s="9" t="s">
        <v>518</v>
      </c>
      <c r="AB428" s="9">
        <v>4</v>
      </c>
      <c r="AD428" s="11">
        <f ca="1">IFERROR(OFFSET(MANOR_LEVEL!$B$1,MATCH(AE428-1,MANOR_LEVEL!$A:$A,0)-1,0),0)</f>
        <v>630500</v>
      </c>
      <c r="AE428" s="56">
        <v>9</v>
      </c>
      <c r="AG428" s="56">
        <f t="shared" ca="1" si="103"/>
        <v>1225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1225</v>
      </c>
      <c r="AI428" s="179">
        <f t="shared" ca="1" si="114"/>
        <v>1540</v>
      </c>
      <c r="AK428" s="11">
        <f t="shared" si="105"/>
        <v>300</v>
      </c>
      <c r="AL428" s="10">
        <v>300</v>
      </c>
      <c r="AM428" s="11">
        <f t="shared" si="111"/>
        <v>25</v>
      </c>
      <c r="AN428" s="10">
        <v>25</v>
      </c>
      <c r="AO428" s="11">
        <f t="shared" si="113"/>
        <v>0</v>
      </c>
      <c r="AP428" s="10">
        <v>0</v>
      </c>
      <c r="AQ428" s="56">
        <f t="shared" si="106"/>
        <v>2</v>
      </c>
      <c r="AS428" s="11">
        <f ca="1">IFERROR(OFFSET(ITEM_RES!$A$1,MATCH(AT428,ITEM_RES!$J:$J,0)-1,0),0)</f>
        <v>211020201</v>
      </c>
      <c r="AT428" s="10" t="s">
        <v>425</v>
      </c>
      <c r="AU428" s="11">
        <v>600</v>
      </c>
      <c r="AX428" s="11">
        <f ca="1">IFERROR(OFFSET(ITEM_RES!$A$1,MATCH(AY428,ITEM_RES!$J:$J,0)-1,0),0)</f>
        <v>211020401</v>
      </c>
      <c r="AY428" s="10" t="s">
        <v>430</v>
      </c>
      <c r="AZ428" s="11">
        <v>600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08"/>
        <v>112070005</v>
      </c>
      <c r="B429" s="13">
        <v>11</v>
      </c>
      <c r="C429" s="12">
        <f t="shared" si="109"/>
        <v>2</v>
      </c>
      <c r="D429" s="13">
        <v>7</v>
      </c>
      <c r="E429" s="13">
        <v>0</v>
      </c>
      <c r="F429" s="12">
        <f t="shared" si="110"/>
        <v>5</v>
      </c>
      <c r="H429" s="9">
        <v>2</v>
      </c>
      <c r="I429" s="9">
        <v>5</v>
      </c>
      <c r="K429" s="9" t="s">
        <v>363</v>
      </c>
      <c r="M429" s="9">
        <v>1</v>
      </c>
      <c r="N429" s="9">
        <v>15</v>
      </c>
      <c r="O429" s="9" t="s">
        <v>1149</v>
      </c>
      <c r="S429" s="9" t="s">
        <v>693</v>
      </c>
      <c r="U429" s="84" t="s">
        <v>538</v>
      </c>
      <c r="V429" s="9">
        <f ca="1">IFERROR(OFFSET(ITEM_RES!$A$5,MATCH(BUILDING!U429,ITEM_RES!$J$5:$J$229,0)-1,0),0)</f>
        <v>211020201</v>
      </c>
      <c r="W429" s="11">
        <v>1</v>
      </c>
      <c r="X429" s="84" t="s">
        <v>540</v>
      </c>
      <c r="Y429" s="9">
        <f ca="1">IFERROR(OFFSET(ITEM_RES!$A$5,MATCH(BUILDING!X429,ITEM_RES!$J$5:$J$229,0)-1,0),0)</f>
        <v>211020301</v>
      </c>
      <c r="AA429" s="9" t="s">
        <v>518</v>
      </c>
      <c r="AB429" s="9">
        <v>5</v>
      </c>
      <c r="AD429" s="11">
        <f ca="1">IFERROR(OFFSET(MANOR_LEVEL!$B$1,MATCH(AE429-1,MANOR_LEVEL!$A:$A,0)-1,0),0)</f>
        <v>1170750</v>
      </c>
      <c r="AE429" s="56">
        <v>10</v>
      </c>
      <c r="AG429" s="56">
        <f t="shared" ca="1" si="103"/>
        <v>5440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5440</v>
      </c>
      <c r="AI429" s="179">
        <f t="shared" ca="1" si="114"/>
        <v>6665</v>
      </c>
      <c r="AK429" s="11">
        <f t="shared" ref="AK429:AK492" si="115">ROUND(AL429,0)</f>
        <v>600</v>
      </c>
      <c r="AL429" s="10">
        <v>600</v>
      </c>
      <c r="AM429" s="11">
        <f t="shared" si="111"/>
        <v>40</v>
      </c>
      <c r="AN429" s="10">
        <v>40</v>
      </c>
      <c r="AO429" s="11">
        <f t="shared" si="113"/>
        <v>0</v>
      </c>
      <c r="AP429" s="10">
        <v>0</v>
      </c>
      <c r="AQ429" s="56">
        <f t="shared" si="106"/>
        <v>2</v>
      </c>
      <c r="AS429" s="11">
        <f ca="1">IFERROR(OFFSET(ITEM_RES!$A$1,MATCH(AT429,ITEM_RES!$J:$J,0)-1,0),0)</f>
        <v>211020201</v>
      </c>
      <c r="AT429" s="10" t="s">
        <v>425</v>
      </c>
      <c r="AU429" s="11">
        <v>2700</v>
      </c>
      <c r="AX429" s="11">
        <f ca="1">IFERROR(OFFSET(ITEM_RES!$A$1,MATCH(AY429,ITEM_RES!$J:$J,0)-1,0),0)</f>
        <v>211020401</v>
      </c>
      <c r="AY429" s="10" t="s">
        <v>430</v>
      </c>
      <c r="AZ429" s="11">
        <v>2700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08"/>
        <v>112070006</v>
      </c>
      <c r="B430" s="13">
        <v>11</v>
      </c>
      <c r="C430" s="12">
        <f t="shared" si="109"/>
        <v>2</v>
      </c>
      <c r="D430" s="13">
        <v>7</v>
      </c>
      <c r="E430" s="13">
        <v>0</v>
      </c>
      <c r="F430" s="12">
        <f t="shared" si="110"/>
        <v>6</v>
      </c>
      <c r="H430" s="9">
        <v>2</v>
      </c>
      <c r="I430" s="9">
        <v>6</v>
      </c>
      <c r="K430" s="9" t="s">
        <v>363</v>
      </c>
      <c r="M430" s="9">
        <v>1</v>
      </c>
      <c r="N430" s="9">
        <v>15</v>
      </c>
      <c r="O430" s="9" t="s">
        <v>1150</v>
      </c>
      <c r="S430" s="9" t="s">
        <v>693</v>
      </c>
      <c r="U430" s="84" t="s">
        <v>538</v>
      </c>
      <c r="V430" s="9">
        <f ca="1">IFERROR(OFFSET(ITEM_RES!$A$5,MATCH(BUILDING!U430,ITEM_RES!$J$5:$J$229,0)-1,0),0)</f>
        <v>211020201</v>
      </c>
      <c r="W430" s="11">
        <v>1</v>
      </c>
      <c r="X430" s="84" t="s">
        <v>540</v>
      </c>
      <c r="Y430" s="9">
        <f ca="1">IFERROR(OFFSET(ITEM_RES!$A$5,MATCH(BUILDING!X430,ITEM_RES!$J$5:$J$229,0)-1,0),0)</f>
        <v>211020301</v>
      </c>
      <c r="AA430" s="9" t="s">
        <v>518</v>
      </c>
      <c r="AB430" s="9">
        <v>6</v>
      </c>
      <c r="AD430" s="11">
        <f ca="1">IFERROR(OFFSET(MANOR_LEVEL!$B$1,MATCH(AE430-1,MANOR_LEVEL!$A:$A,0)-1,0),0)</f>
        <v>1170750</v>
      </c>
      <c r="AE430" s="56">
        <v>10</v>
      </c>
      <c r="AG430" s="56">
        <f t="shared" ref="AG430:AG493" ca="1" si="116">ROUND(AH430,0)</f>
        <v>18050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18050</v>
      </c>
      <c r="AI430" s="179">
        <f t="shared" ca="1" si="114"/>
        <v>23490</v>
      </c>
      <c r="AK430" s="11">
        <f t="shared" si="115"/>
        <v>1200</v>
      </c>
      <c r="AL430" s="10">
        <v>1200</v>
      </c>
      <c r="AM430" s="11">
        <f t="shared" si="111"/>
        <v>50</v>
      </c>
      <c r="AN430" s="10">
        <v>50</v>
      </c>
      <c r="AO430" s="11">
        <f t="shared" si="113"/>
        <v>0</v>
      </c>
      <c r="AP430" s="10">
        <v>0</v>
      </c>
      <c r="AQ430" s="56">
        <f t="shared" ref="AQ430:AQ493" si="117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425</v>
      </c>
      <c r="AU430" s="11">
        <v>9000</v>
      </c>
      <c r="AX430" s="11">
        <f ca="1">IFERROR(OFFSET(ITEM_RES!$A$1,MATCH(AY430,ITEM_RES!$J:$J,0)-1,0),0)</f>
        <v>211020401</v>
      </c>
      <c r="AY430" s="10" t="s">
        <v>430</v>
      </c>
      <c r="AZ430" s="11">
        <v>9000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08"/>
        <v>112070007</v>
      </c>
      <c r="B431" s="13">
        <v>11</v>
      </c>
      <c r="C431" s="12">
        <f t="shared" si="109"/>
        <v>2</v>
      </c>
      <c r="D431" s="13">
        <v>7</v>
      </c>
      <c r="E431" s="13">
        <v>0</v>
      </c>
      <c r="F431" s="12">
        <f t="shared" si="110"/>
        <v>7</v>
      </c>
      <c r="H431" s="9">
        <v>2</v>
      </c>
      <c r="I431" s="9">
        <v>7</v>
      </c>
      <c r="K431" s="9" t="s">
        <v>363</v>
      </c>
      <c r="M431" s="9">
        <v>1</v>
      </c>
      <c r="N431" s="9">
        <v>15</v>
      </c>
      <c r="O431" s="9" t="s">
        <v>1151</v>
      </c>
      <c r="S431" s="9" t="s">
        <v>693</v>
      </c>
      <c r="U431" s="84" t="s">
        <v>538</v>
      </c>
      <c r="V431" s="9">
        <f ca="1">IFERROR(OFFSET(ITEM_RES!$A$5,MATCH(BUILDING!U431,ITEM_RES!$J$5:$J$229,0)-1,0),0)</f>
        <v>211020201</v>
      </c>
      <c r="W431" s="11">
        <v>1</v>
      </c>
      <c r="X431" s="84" t="s">
        <v>540</v>
      </c>
      <c r="Y431" s="9">
        <f ca="1">IFERROR(OFFSET(ITEM_RES!$A$5,MATCH(BUILDING!X431,ITEM_RES!$J$5:$J$229,0)-1,0),0)</f>
        <v>211020301</v>
      </c>
      <c r="AA431" s="9" t="s">
        <v>518</v>
      </c>
      <c r="AB431" s="9">
        <v>7</v>
      </c>
      <c r="AD431" s="11">
        <f ca="1">IFERROR(OFFSET(MANOR_LEVEL!$B$1,MATCH(AE431-1,MANOR_LEVEL!$A:$A,0)-1,0),0)</f>
        <v>1956000</v>
      </c>
      <c r="AE431" s="56">
        <v>11</v>
      </c>
      <c r="AG431" s="56">
        <f t="shared" ca="1" si="116"/>
        <v>40100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40100</v>
      </c>
      <c r="AI431" s="179">
        <f t="shared" ca="1" si="114"/>
        <v>58150</v>
      </c>
      <c r="AK431" s="11">
        <f t="shared" si="115"/>
        <v>1800</v>
      </c>
      <c r="AL431" s="10">
        <v>1800</v>
      </c>
      <c r="AM431" s="11">
        <f t="shared" si="111"/>
        <v>100</v>
      </c>
      <c r="AN431" s="10">
        <v>100</v>
      </c>
      <c r="AO431" s="11">
        <f t="shared" si="113"/>
        <v>0</v>
      </c>
      <c r="AP431" s="10">
        <v>0</v>
      </c>
      <c r="AQ431" s="56">
        <f t="shared" si="117"/>
        <v>2</v>
      </c>
      <c r="AS431" s="11">
        <f ca="1">IFERROR(OFFSET(ITEM_RES!$A$1,MATCH(AT431,ITEM_RES!$J:$J,0)-1,0),0)</f>
        <v>211020201</v>
      </c>
      <c r="AT431" s="10" t="s">
        <v>425</v>
      </c>
      <c r="AU431" s="11">
        <v>20000</v>
      </c>
      <c r="AX431" s="11">
        <f ca="1">IFERROR(OFFSET(ITEM_RES!$A$1,MATCH(AY431,ITEM_RES!$J:$J,0)-1,0),0)</f>
        <v>211020401</v>
      </c>
      <c r="AY431" s="10" t="s">
        <v>430</v>
      </c>
      <c r="AZ431" s="11">
        <v>20000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08"/>
        <v>112070008</v>
      </c>
      <c r="B432" s="13">
        <v>11</v>
      </c>
      <c r="C432" s="12">
        <f t="shared" si="109"/>
        <v>2</v>
      </c>
      <c r="D432" s="13">
        <v>7</v>
      </c>
      <c r="E432" s="13">
        <v>0</v>
      </c>
      <c r="F432" s="12">
        <f t="shared" si="110"/>
        <v>8</v>
      </c>
      <c r="H432" s="9">
        <v>2</v>
      </c>
      <c r="I432" s="9">
        <v>8</v>
      </c>
      <c r="K432" s="9" t="s">
        <v>363</v>
      </c>
      <c r="M432" s="9">
        <v>1</v>
      </c>
      <c r="N432" s="9">
        <v>15</v>
      </c>
      <c r="O432" s="9" t="s">
        <v>1151</v>
      </c>
      <c r="S432" s="9" t="s">
        <v>693</v>
      </c>
      <c r="U432" s="84" t="s">
        <v>538</v>
      </c>
      <c r="V432" s="9">
        <f ca="1">IFERROR(OFFSET(ITEM_RES!$A$5,MATCH(BUILDING!U432,ITEM_RES!$J$5:$J$229,0)-1,0),0)</f>
        <v>211020201</v>
      </c>
      <c r="W432" s="11">
        <v>1</v>
      </c>
      <c r="X432" s="84" t="s">
        <v>540</v>
      </c>
      <c r="Y432" s="9">
        <f ca="1">IFERROR(OFFSET(ITEM_RES!$A$5,MATCH(BUILDING!X432,ITEM_RES!$J$5:$J$229,0)-1,0),0)</f>
        <v>211020301</v>
      </c>
      <c r="AA432" s="9" t="s">
        <v>518</v>
      </c>
      <c r="AB432" s="9">
        <v>8</v>
      </c>
      <c r="AD432" s="11">
        <f ca="1">IFERROR(OFFSET(MANOR_LEVEL!$B$1,MATCH(AE432-1,MANOR_LEVEL!$A:$A,0)-1,0),0)</f>
        <v>3961500</v>
      </c>
      <c r="AE432" s="56">
        <v>12</v>
      </c>
      <c r="AG432" s="56">
        <f t="shared" ca="1" si="116"/>
        <v>84600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84600</v>
      </c>
      <c r="AI432" s="179">
        <f t="shared" ca="1" si="114"/>
        <v>124700</v>
      </c>
      <c r="AK432" s="11">
        <f t="shared" si="115"/>
        <v>3600</v>
      </c>
      <c r="AL432" s="10">
        <v>3600</v>
      </c>
      <c r="AM432" s="11">
        <f t="shared" si="111"/>
        <v>100</v>
      </c>
      <c r="AN432" s="10">
        <v>100</v>
      </c>
      <c r="AO432" s="11">
        <v>500</v>
      </c>
      <c r="AP432" s="10">
        <v>0</v>
      </c>
      <c r="AQ432" s="56">
        <f t="shared" si="117"/>
        <v>2</v>
      </c>
      <c r="AS432" s="11">
        <f ca="1">IFERROR(OFFSET(ITEM_RES!$A$1,MATCH(AT432,ITEM_RES!$J:$J,0)-1,0),0)</f>
        <v>211020201</v>
      </c>
      <c r="AT432" s="10" t="s">
        <v>425</v>
      </c>
      <c r="AU432" s="11">
        <v>42000</v>
      </c>
      <c r="AX432" s="11">
        <f ca="1">IFERROR(OFFSET(ITEM_RES!$A$1,MATCH(AY432,ITEM_RES!$J:$J,0)-1,0),0)</f>
        <v>211020401</v>
      </c>
      <c r="AY432" s="10" t="s">
        <v>430</v>
      </c>
      <c r="AZ432" s="11">
        <v>42000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08"/>
        <v>112070009</v>
      </c>
      <c r="B433" s="13">
        <v>11</v>
      </c>
      <c r="C433" s="12">
        <f t="shared" si="109"/>
        <v>2</v>
      </c>
      <c r="D433" s="13">
        <v>7</v>
      </c>
      <c r="E433" s="13">
        <v>0</v>
      </c>
      <c r="F433" s="12">
        <f t="shared" si="110"/>
        <v>9</v>
      </c>
      <c r="H433" s="9">
        <v>2</v>
      </c>
      <c r="I433" s="9">
        <v>9</v>
      </c>
      <c r="K433" s="9" t="s">
        <v>363</v>
      </c>
      <c r="M433" s="9">
        <v>1</v>
      </c>
      <c r="N433" s="9">
        <v>15</v>
      </c>
      <c r="O433" s="9" t="s">
        <v>1151</v>
      </c>
      <c r="S433" s="9" t="s">
        <v>693</v>
      </c>
      <c r="U433" s="84" t="s">
        <v>538</v>
      </c>
      <c r="V433" s="9">
        <f ca="1">IFERROR(OFFSET(ITEM_RES!$A$5,MATCH(BUILDING!U433,ITEM_RES!$J$5:$J$229,0)-1,0),0)</f>
        <v>211020201</v>
      </c>
      <c r="W433" s="11">
        <v>1</v>
      </c>
      <c r="X433" s="84" t="s">
        <v>540</v>
      </c>
      <c r="Y433" s="9">
        <f ca="1">IFERROR(OFFSET(ITEM_RES!$A$5,MATCH(BUILDING!X433,ITEM_RES!$J$5:$J$229,0)-1,0),0)</f>
        <v>211020301</v>
      </c>
      <c r="AA433" s="9" t="s">
        <v>518</v>
      </c>
      <c r="AB433" s="9">
        <v>9</v>
      </c>
      <c r="AD433" s="11">
        <f ca="1">IFERROR(OFFSET(MANOR_LEVEL!$B$1,MATCH(AE433-1,MANOR_LEVEL!$A:$A,0)-1,0),0)</f>
        <v>7772100</v>
      </c>
      <c r="AE433" s="56">
        <v>13</v>
      </c>
      <c r="AG433" s="56">
        <f t="shared" ca="1" si="116"/>
        <v>162150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162150</v>
      </c>
      <c r="AI433" s="179">
        <f t="shared" ca="1" si="114"/>
        <v>246750</v>
      </c>
      <c r="AK433" s="11">
        <f t="shared" si="115"/>
        <v>5400</v>
      </c>
      <c r="AL433" s="10">
        <v>5400</v>
      </c>
      <c r="AM433" s="11">
        <f t="shared" si="111"/>
        <v>150</v>
      </c>
      <c r="AN433" s="10">
        <v>150</v>
      </c>
      <c r="AO433" s="11">
        <v>6000</v>
      </c>
      <c r="AP433" s="10">
        <v>0</v>
      </c>
      <c r="AQ433" s="56">
        <f t="shared" si="117"/>
        <v>2</v>
      </c>
      <c r="AS433" s="11">
        <f ca="1">IFERROR(OFFSET(ITEM_RES!$A$1,MATCH(AT433,ITEM_RES!$J:$J,0)-1,0),0)</f>
        <v>211020201</v>
      </c>
      <c r="AT433" s="10" t="s">
        <v>425</v>
      </c>
      <c r="AU433" s="11">
        <v>78000</v>
      </c>
      <c r="AX433" s="11">
        <f ca="1">IFERROR(OFFSET(ITEM_RES!$A$1,MATCH(AY433,ITEM_RES!$J:$J,0)-1,0),0)</f>
        <v>211020401</v>
      </c>
      <c r="AY433" s="10" t="s">
        <v>430</v>
      </c>
      <c r="AZ433" s="11">
        <v>78000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08"/>
        <v>112070010</v>
      </c>
      <c r="B434" s="13">
        <v>11</v>
      </c>
      <c r="C434" s="12">
        <f t="shared" si="109"/>
        <v>2</v>
      </c>
      <c r="D434" s="13">
        <v>7</v>
      </c>
      <c r="E434" s="13">
        <v>0</v>
      </c>
      <c r="F434" s="12">
        <f t="shared" si="110"/>
        <v>10</v>
      </c>
      <c r="H434" s="9">
        <v>2</v>
      </c>
      <c r="I434" s="9">
        <v>10</v>
      </c>
      <c r="K434" s="9" t="s">
        <v>363</v>
      </c>
      <c r="M434" s="9">
        <v>1</v>
      </c>
      <c r="N434" s="9">
        <v>15</v>
      </c>
      <c r="O434" s="9" t="s">
        <v>1151</v>
      </c>
      <c r="S434" s="9" t="s">
        <v>693</v>
      </c>
      <c r="U434" s="84" t="s">
        <v>538</v>
      </c>
      <c r="V434" s="9">
        <f ca="1">IFERROR(OFFSET(ITEM_RES!$A$5,MATCH(BUILDING!U434,ITEM_RES!$J$5:$J$229,0)-1,0),0)</f>
        <v>211020201</v>
      </c>
      <c r="W434" s="11">
        <v>1</v>
      </c>
      <c r="X434" s="84" t="s">
        <v>540</v>
      </c>
      <c r="Y434" s="9">
        <f ca="1">IFERROR(OFFSET(ITEM_RES!$A$5,MATCH(BUILDING!X434,ITEM_RES!$J$5:$J$229,0)-1,0),0)</f>
        <v>211020301</v>
      </c>
      <c r="AA434" s="9" t="s">
        <v>518</v>
      </c>
      <c r="AB434" s="9">
        <v>10</v>
      </c>
      <c r="AD434" s="11">
        <f ca="1">IFERROR(OFFSET(MANOR_LEVEL!$B$1,MATCH(AE434-1,MANOR_LEVEL!$A:$A,0)-1,0),0)</f>
        <v>7772100</v>
      </c>
      <c r="AE434" s="56">
        <v>13</v>
      </c>
      <c r="AG434" s="56">
        <f t="shared" ca="1" si="116"/>
        <v>299200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299200</v>
      </c>
      <c r="AI434" s="179">
        <f t="shared" ca="1" si="114"/>
        <v>461350</v>
      </c>
      <c r="AK434" s="11">
        <f t="shared" si="115"/>
        <v>7200</v>
      </c>
      <c r="AL434" s="10">
        <v>7200</v>
      </c>
      <c r="AM434" s="11">
        <f t="shared" si="111"/>
        <v>200</v>
      </c>
      <c r="AN434" s="10">
        <v>200</v>
      </c>
      <c r="AO434" s="11">
        <v>39000</v>
      </c>
      <c r="AP434" s="10">
        <v>0</v>
      </c>
      <c r="AQ434" s="56">
        <f t="shared" si="117"/>
        <v>2</v>
      </c>
      <c r="AS434" s="11">
        <f ca="1">IFERROR(OFFSET(ITEM_RES!$A$1,MATCH(AT434,ITEM_RES!$J:$J,0)-1,0),0)</f>
        <v>211020201</v>
      </c>
      <c r="AT434" s="10" t="s">
        <v>425</v>
      </c>
      <c r="AU434" s="11">
        <v>130000</v>
      </c>
      <c r="AX434" s="11">
        <f ca="1">IFERROR(OFFSET(ITEM_RES!$A$1,MATCH(AY434,ITEM_RES!$J:$J,0)-1,0),0)</f>
        <v>211020401</v>
      </c>
      <c r="AY434" s="10" t="s">
        <v>430</v>
      </c>
      <c r="AZ434" s="11">
        <v>130000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08"/>
        <v>112070011</v>
      </c>
      <c r="B435" s="13">
        <v>11</v>
      </c>
      <c r="C435" s="12">
        <f t="shared" si="109"/>
        <v>2</v>
      </c>
      <c r="D435" s="13">
        <v>7</v>
      </c>
      <c r="E435" s="13">
        <v>0</v>
      </c>
      <c r="F435" s="12">
        <f t="shared" si="110"/>
        <v>11</v>
      </c>
      <c r="H435" s="9">
        <v>2</v>
      </c>
      <c r="I435" s="9">
        <v>11</v>
      </c>
      <c r="K435" s="9" t="s">
        <v>363</v>
      </c>
      <c r="M435" s="9">
        <v>1</v>
      </c>
      <c r="N435" s="9">
        <v>15</v>
      </c>
      <c r="O435" s="9" t="s">
        <v>1151</v>
      </c>
      <c r="S435" s="9" t="s">
        <v>693</v>
      </c>
      <c r="U435" s="84" t="s">
        <v>538</v>
      </c>
      <c r="V435" s="9">
        <f ca="1">IFERROR(OFFSET(ITEM_RES!$A$5,MATCH(BUILDING!U435,ITEM_RES!$J$5:$J$229,0)-1,0),0)</f>
        <v>211020201</v>
      </c>
      <c r="W435" s="11">
        <v>1</v>
      </c>
      <c r="X435" s="84" t="s">
        <v>540</v>
      </c>
      <c r="Y435" s="9">
        <f ca="1">IFERROR(OFFSET(ITEM_RES!$A$5,MATCH(BUILDING!X435,ITEM_RES!$J$5:$J$229,0)-1,0),0)</f>
        <v>211020301</v>
      </c>
      <c r="AA435" s="9" t="s">
        <v>518</v>
      </c>
      <c r="AB435" s="9">
        <v>11</v>
      </c>
      <c r="AD435" s="11">
        <f ca="1">IFERROR(OFFSET(MANOR_LEVEL!$B$1,MATCH(AE435-1,MANOR_LEVEL!$A:$A,0)-1,0),0)</f>
        <v>13022450</v>
      </c>
      <c r="AE435" s="56">
        <v>14</v>
      </c>
      <c r="AG435" s="56">
        <f t="shared" ca="1" si="116"/>
        <v>508250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508250</v>
      </c>
      <c r="AI435" s="179">
        <f t="shared" ca="1" si="114"/>
        <v>807450</v>
      </c>
      <c r="AK435" s="11">
        <f t="shared" si="115"/>
        <v>9000</v>
      </c>
      <c r="AL435" s="10">
        <v>9000</v>
      </c>
      <c r="AM435" s="11">
        <f t="shared" si="111"/>
        <v>250</v>
      </c>
      <c r="AN435" s="10">
        <v>250</v>
      </c>
      <c r="AO435" s="11">
        <v>65000</v>
      </c>
      <c r="AP435" s="10">
        <v>0</v>
      </c>
      <c r="AQ435" s="56">
        <f t="shared" si="117"/>
        <v>3</v>
      </c>
      <c r="AS435" s="11">
        <f ca="1">IFERROR(OFFSET(ITEM_RES!$A$1,MATCH(AT435,ITEM_RES!$J:$J,0)-1,0),0)</f>
        <v>211020201</v>
      </c>
      <c r="AT435" s="10" t="s">
        <v>425</v>
      </c>
      <c r="AU435" s="11">
        <v>220000</v>
      </c>
      <c r="AX435" s="11">
        <f ca="1">IFERROR(OFFSET(ITEM_RES!$A$1,MATCH(AY435,ITEM_RES!$J:$J,0)-1,0),0)</f>
        <v>211020401</v>
      </c>
      <c r="AY435" s="10" t="s">
        <v>430</v>
      </c>
      <c r="AZ435" s="11">
        <v>220000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460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08"/>
        <v>112070012</v>
      </c>
      <c r="B436" s="13">
        <v>11</v>
      </c>
      <c r="C436" s="12">
        <f t="shared" si="109"/>
        <v>2</v>
      </c>
      <c r="D436" s="13">
        <v>7</v>
      </c>
      <c r="E436" s="13">
        <v>0</v>
      </c>
      <c r="F436" s="12">
        <f t="shared" si="110"/>
        <v>12</v>
      </c>
      <c r="H436" s="9">
        <v>2</v>
      </c>
      <c r="I436" s="9">
        <v>12</v>
      </c>
      <c r="K436" s="9" t="s">
        <v>363</v>
      </c>
      <c r="M436" s="9">
        <v>1</v>
      </c>
      <c r="N436" s="9">
        <v>15</v>
      </c>
      <c r="O436" s="9" t="s">
        <v>1151</v>
      </c>
      <c r="S436" s="9" t="s">
        <v>693</v>
      </c>
      <c r="U436" s="84" t="s">
        <v>538</v>
      </c>
      <c r="V436" s="9">
        <f ca="1">IFERROR(OFFSET(ITEM_RES!$A$5,MATCH(BUILDING!U436,ITEM_RES!$J$5:$J$229,0)-1,0),0)</f>
        <v>211020201</v>
      </c>
      <c r="W436" s="11">
        <v>1</v>
      </c>
      <c r="X436" s="84" t="s">
        <v>540</v>
      </c>
      <c r="Y436" s="9">
        <f ca="1">IFERROR(OFFSET(ITEM_RES!$A$5,MATCH(BUILDING!X436,ITEM_RES!$J$5:$J$229,0)-1,0),0)</f>
        <v>211020301</v>
      </c>
      <c r="AA436" s="9" t="s">
        <v>518</v>
      </c>
      <c r="AB436" s="9">
        <v>12</v>
      </c>
      <c r="AD436" s="11">
        <f ca="1">IFERROR(OFFSET(MANOR_LEVEL!$B$1,MATCH(AE436-1,MANOR_LEVEL!$A:$A,0)-1,0),0)</f>
        <v>23283600</v>
      </c>
      <c r="AE436" s="56">
        <v>15</v>
      </c>
      <c r="AG436" s="56">
        <f t="shared" ca="1" si="116"/>
        <v>850300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850300</v>
      </c>
      <c r="AI436" s="179">
        <f t="shared" ca="1" si="114"/>
        <v>1358550</v>
      </c>
      <c r="AK436" s="11">
        <f t="shared" si="115"/>
        <v>10800</v>
      </c>
      <c r="AL436" s="10">
        <v>10800</v>
      </c>
      <c r="AM436" s="11">
        <f t="shared" si="111"/>
        <v>300</v>
      </c>
      <c r="AN436" s="10">
        <v>300</v>
      </c>
      <c r="AO436" s="11">
        <v>110000</v>
      </c>
      <c r="AP436" s="10">
        <v>0</v>
      </c>
      <c r="AQ436" s="56">
        <f t="shared" si="117"/>
        <v>2</v>
      </c>
      <c r="AS436" s="11">
        <f ca="1">IFERROR(OFFSET(ITEM_RES!$A$1,MATCH(AT436,ITEM_RES!$J:$J,0)-1,0),0)</f>
        <v>211020201</v>
      </c>
      <c r="AT436" s="10" t="s">
        <v>425</v>
      </c>
      <c r="AU436" s="11">
        <v>370000</v>
      </c>
      <c r="AX436" s="11">
        <f ca="1">IFERROR(OFFSET(ITEM_RES!$A$1,MATCH(AY436,ITEM_RES!$J:$J,0)-1,0),0)</f>
        <v>211020401</v>
      </c>
      <c r="AY436" s="10" t="s">
        <v>430</v>
      </c>
      <c r="AZ436" s="11">
        <v>370000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08"/>
        <v>112070013</v>
      </c>
      <c r="B437" s="13">
        <v>11</v>
      </c>
      <c r="C437" s="12">
        <f t="shared" si="109"/>
        <v>2</v>
      </c>
      <c r="D437" s="13">
        <v>7</v>
      </c>
      <c r="E437" s="13">
        <v>0</v>
      </c>
      <c r="F437" s="12">
        <f t="shared" si="110"/>
        <v>13</v>
      </c>
      <c r="H437" s="9">
        <v>2</v>
      </c>
      <c r="I437" s="9">
        <v>13</v>
      </c>
      <c r="K437" s="9" t="s">
        <v>363</v>
      </c>
      <c r="M437" s="9">
        <v>1</v>
      </c>
      <c r="N437" s="9">
        <v>15</v>
      </c>
      <c r="O437" s="9" t="s">
        <v>1151</v>
      </c>
      <c r="S437" s="9" t="s">
        <v>693</v>
      </c>
      <c r="U437" s="84" t="s">
        <v>538</v>
      </c>
      <c r="V437" s="9">
        <f ca="1">IFERROR(OFFSET(ITEM_RES!$A$5,MATCH(BUILDING!U437,ITEM_RES!$J$5:$J$229,0)-1,0),0)</f>
        <v>211020201</v>
      </c>
      <c r="W437" s="11">
        <v>1</v>
      </c>
      <c r="X437" s="84" t="s">
        <v>540</v>
      </c>
      <c r="Y437" s="9">
        <f ca="1">IFERROR(OFFSET(ITEM_RES!$A$5,MATCH(BUILDING!X437,ITEM_RES!$J$5:$J$229,0)-1,0),0)</f>
        <v>211020301</v>
      </c>
      <c r="AA437" s="9" t="s">
        <v>518</v>
      </c>
      <c r="AB437" s="9">
        <v>13</v>
      </c>
      <c r="AD437" s="11">
        <f ca="1">IFERROR(OFFSET(MANOR_LEVEL!$B$1,MATCH(AE437-1,MANOR_LEVEL!$A:$A,0)-1,0),0)</f>
        <v>50404400</v>
      </c>
      <c r="AE437" s="56">
        <v>16</v>
      </c>
      <c r="AG437" s="56">
        <f t="shared" ca="1" si="116"/>
        <v>1425350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1425350</v>
      </c>
      <c r="AI437" s="179">
        <f t="shared" ca="1" si="114"/>
        <v>2275650</v>
      </c>
      <c r="AK437" s="11">
        <f t="shared" si="115"/>
        <v>12600</v>
      </c>
      <c r="AL437" s="10">
        <v>12600</v>
      </c>
      <c r="AM437" s="11">
        <f t="shared" si="111"/>
        <v>350</v>
      </c>
      <c r="AN437" s="10">
        <v>350</v>
      </c>
      <c r="AO437" s="11">
        <v>185000</v>
      </c>
      <c r="AP437" s="10">
        <v>0</v>
      </c>
      <c r="AQ437" s="56">
        <f t="shared" si="117"/>
        <v>2</v>
      </c>
      <c r="AS437" s="11">
        <f ca="1">IFERROR(OFFSET(ITEM_RES!$A$1,MATCH(AT437,ITEM_RES!$J:$J,0)-1,0),0)</f>
        <v>211020201</v>
      </c>
      <c r="AT437" s="10" t="s">
        <v>425</v>
      </c>
      <c r="AU437" s="11">
        <v>620000</v>
      </c>
      <c r="AX437" s="11">
        <f ca="1">IFERROR(OFFSET(ITEM_RES!$A$1,MATCH(AY437,ITEM_RES!$J:$J,0)-1,0),0)</f>
        <v>211020401</v>
      </c>
      <c r="AY437" s="10" t="s">
        <v>430</v>
      </c>
      <c r="AZ437" s="11">
        <v>620000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08"/>
        <v>112070014</v>
      </c>
      <c r="B438" s="13">
        <v>11</v>
      </c>
      <c r="C438" s="12">
        <f t="shared" si="109"/>
        <v>2</v>
      </c>
      <c r="D438" s="13">
        <v>7</v>
      </c>
      <c r="E438" s="13">
        <v>0</v>
      </c>
      <c r="F438" s="12">
        <f t="shared" si="110"/>
        <v>14</v>
      </c>
      <c r="H438" s="9">
        <v>2</v>
      </c>
      <c r="I438" s="9">
        <v>14</v>
      </c>
      <c r="K438" s="9" t="s">
        <v>363</v>
      </c>
      <c r="M438" s="9">
        <v>1</v>
      </c>
      <c r="N438" s="9">
        <v>15</v>
      </c>
      <c r="O438" s="9" t="s">
        <v>1151</v>
      </c>
      <c r="S438" s="9" t="s">
        <v>693</v>
      </c>
      <c r="U438" s="84" t="s">
        <v>538</v>
      </c>
      <c r="V438" s="9">
        <f ca="1">IFERROR(OFFSET(ITEM_RES!$A$5,MATCH(BUILDING!U438,ITEM_RES!$J$5:$J$229,0)-1,0),0)</f>
        <v>211020201</v>
      </c>
      <c r="W438" s="11">
        <v>1</v>
      </c>
      <c r="X438" s="84" t="s">
        <v>540</v>
      </c>
      <c r="Y438" s="9">
        <f ca="1">IFERROR(OFFSET(ITEM_RES!$A$5,MATCH(BUILDING!X438,ITEM_RES!$J$5:$J$229,0)-1,0),0)</f>
        <v>211020301</v>
      </c>
      <c r="AA438" s="9" t="s">
        <v>518</v>
      </c>
      <c r="AB438" s="9">
        <v>14</v>
      </c>
      <c r="AD438" s="11">
        <f ca="1">IFERROR(OFFSET(MANOR_LEVEL!$B$1,MATCH(AE438-1,MANOR_LEVEL!$A:$A,0)-1,0),0)</f>
        <v>119976300</v>
      </c>
      <c r="AE438" s="56">
        <v>17</v>
      </c>
      <c r="AG438" s="56">
        <f t="shared" ca="1" si="116"/>
        <v>2444450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2444450</v>
      </c>
      <c r="AI438" s="179">
        <f t="shared" ca="1" si="114"/>
        <v>3869800</v>
      </c>
      <c r="AK438" s="11">
        <f t="shared" si="115"/>
        <v>14400</v>
      </c>
      <c r="AL438" s="10">
        <v>14400</v>
      </c>
      <c r="AM438" s="11">
        <f t="shared" si="111"/>
        <v>450</v>
      </c>
      <c r="AN438" s="10">
        <v>450</v>
      </c>
      <c r="AO438" s="11">
        <v>310000</v>
      </c>
      <c r="AP438" s="10">
        <v>0</v>
      </c>
      <c r="AQ438" s="56">
        <f t="shared" si="117"/>
        <v>2</v>
      </c>
      <c r="AS438" s="11">
        <f ca="1">IFERROR(OFFSET(ITEM_RES!$A$1,MATCH(AT438,ITEM_RES!$J:$J,0)-1,0),0)</f>
        <v>211020301</v>
      </c>
      <c r="AT438" s="10" t="s">
        <v>1083</v>
      </c>
      <c r="AU438" s="11">
        <v>970000</v>
      </c>
      <c r="AX438" s="11">
        <f ca="1">IFERROR(OFFSET(ITEM_RES!$A$1,MATCH(AY438,ITEM_RES!$J:$J,0)-1,0),0)</f>
        <v>211020401</v>
      </c>
      <c r="AY438" s="10" t="s">
        <v>430</v>
      </c>
      <c r="AZ438" s="11">
        <v>970000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08"/>
        <v>112070015</v>
      </c>
      <c r="B439" s="13">
        <v>11</v>
      </c>
      <c r="C439" s="12">
        <f t="shared" si="109"/>
        <v>2</v>
      </c>
      <c r="D439" s="13">
        <v>7</v>
      </c>
      <c r="E439" s="13">
        <v>0</v>
      </c>
      <c r="F439" s="12">
        <f t="shared" si="110"/>
        <v>15</v>
      </c>
      <c r="H439" s="9">
        <v>2</v>
      </c>
      <c r="I439" s="9">
        <v>15</v>
      </c>
      <c r="K439" s="9" t="s">
        <v>363</v>
      </c>
      <c r="M439" s="9">
        <v>1</v>
      </c>
      <c r="N439" s="9">
        <v>15</v>
      </c>
      <c r="O439" s="9" t="s">
        <v>1151</v>
      </c>
      <c r="S439" s="9" t="s">
        <v>693</v>
      </c>
      <c r="U439" s="84" t="s">
        <v>538</v>
      </c>
      <c r="V439" s="9">
        <f ca="1">IFERROR(OFFSET(ITEM_RES!$A$5,MATCH(BUILDING!U439,ITEM_RES!$J$5:$J$229,0)-1,0),0)</f>
        <v>211020201</v>
      </c>
      <c r="W439" s="11">
        <v>1</v>
      </c>
      <c r="X439" s="84" t="s">
        <v>540</v>
      </c>
      <c r="Y439" s="9">
        <f ca="1">IFERROR(OFFSET(ITEM_RES!$A$5,MATCH(BUILDING!X439,ITEM_RES!$J$5:$J$229,0)-1,0),0)</f>
        <v>211020301</v>
      </c>
      <c r="AA439" s="9" t="s">
        <v>518</v>
      </c>
      <c r="AB439" s="9">
        <v>15</v>
      </c>
      <c r="AD439" s="11">
        <f ca="1">IFERROR(OFFSET(MANOR_LEVEL!$B$1,MATCH(AE439-1,MANOR_LEVEL!$A:$A,0)-1,0),0)</f>
        <v>223207650</v>
      </c>
      <c r="AE439" s="56">
        <v>18</v>
      </c>
      <c r="AG439" s="56">
        <f t="shared" ca="1" si="116"/>
        <v>5525550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5525550</v>
      </c>
      <c r="AI439" s="179">
        <f t="shared" ca="1" si="114"/>
        <v>7970000</v>
      </c>
      <c r="AK439" s="11">
        <f t="shared" si="115"/>
        <v>16200</v>
      </c>
      <c r="AL439" s="10">
        <v>16200</v>
      </c>
      <c r="AM439" s="11">
        <f t="shared" si="111"/>
        <v>550</v>
      </c>
      <c r="AN439" s="10">
        <v>550</v>
      </c>
      <c r="AO439" s="11">
        <v>485000</v>
      </c>
      <c r="AP439" s="10">
        <v>0</v>
      </c>
      <c r="AQ439" s="56">
        <f t="shared" si="117"/>
        <v>2</v>
      </c>
      <c r="AS439" s="11">
        <f ca="1">IFERROR(OFFSET(ITEM_RES!$A$1,MATCH(AT439,ITEM_RES!$J:$J,0)-1,0),0)</f>
        <v>211020301</v>
      </c>
      <c r="AT439" s="10" t="s">
        <v>1083</v>
      </c>
      <c r="AU439" s="11">
        <v>2100000</v>
      </c>
      <c r="AX439" s="11">
        <f ca="1">IFERROR(OFFSET(ITEM_RES!$A$1,MATCH(AY439,ITEM_RES!$J:$J,0)-1,0),0)</f>
        <v>211020501</v>
      </c>
      <c r="AY439" s="10" t="s">
        <v>420</v>
      </c>
      <c r="AZ439" s="11">
        <v>2100000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08"/>
        <v>112070016</v>
      </c>
      <c r="B440" s="13">
        <v>11</v>
      </c>
      <c r="C440" s="12">
        <f t="shared" si="109"/>
        <v>2</v>
      </c>
      <c r="D440" s="13">
        <v>7</v>
      </c>
      <c r="E440" s="13">
        <v>0</v>
      </c>
      <c r="F440" s="12">
        <f t="shared" si="110"/>
        <v>16</v>
      </c>
      <c r="H440" s="9">
        <v>2</v>
      </c>
      <c r="I440" s="9">
        <v>16</v>
      </c>
      <c r="K440" s="9" t="s">
        <v>363</v>
      </c>
      <c r="M440" s="9">
        <v>0</v>
      </c>
      <c r="N440" s="9">
        <v>15</v>
      </c>
      <c r="O440" s="9" t="s">
        <v>1151</v>
      </c>
      <c r="S440" s="9" t="s">
        <v>693</v>
      </c>
      <c r="U440" s="84" t="s">
        <v>538</v>
      </c>
      <c r="V440" s="9">
        <f ca="1">IFERROR(OFFSET(ITEM_RES!$A$5,MATCH(BUILDING!U440,ITEM_RES!$J$5:$J$229,0)-1,0),0)</f>
        <v>211020201</v>
      </c>
      <c r="W440" s="11">
        <v>1</v>
      </c>
      <c r="X440" s="84" t="s">
        <v>540</v>
      </c>
      <c r="Y440" s="9">
        <f ca="1">IFERROR(OFFSET(ITEM_RES!$A$5,MATCH(BUILDING!X440,ITEM_RES!$J$5:$J$229,0)-1,0),0)</f>
        <v>211020301</v>
      </c>
      <c r="AA440" s="9" t="s">
        <v>518</v>
      </c>
      <c r="AB440" s="9">
        <v>16</v>
      </c>
      <c r="AD440" s="11">
        <f ca="1">IFERROR(OFFSET(MANOR_LEVEL!$B$1,MATCH(AE440-1,MANOR_LEVEL!$A:$A,0)-1,0),0)</f>
        <v>223207650</v>
      </c>
      <c r="AE440" s="56">
        <v>18</v>
      </c>
      <c r="AG440" s="56">
        <f t="shared" ca="1" si="116"/>
        <v>11370700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11370700</v>
      </c>
      <c r="AI440" s="179">
        <f t="shared" ca="1" si="114"/>
        <v>16896250</v>
      </c>
      <c r="AK440" s="11">
        <f t="shared" si="115"/>
        <v>18000</v>
      </c>
      <c r="AL440" s="10">
        <v>18000</v>
      </c>
      <c r="AM440" s="11">
        <f t="shared" si="111"/>
        <v>700</v>
      </c>
      <c r="AN440" s="10">
        <v>700</v>
      </c>
      <c r="AO440" s="11">
        <v>1050000</v>
      </c>
      <c r="AP440" s="10">
        <v>0</v>
      </c>
      <c r="AQ440" s="56">
        <f t="shared" si="117"/>
        <v>2</v>
      </c>
      <c r="AS440" s="11">
        <f ca="1">IFERROR(OFFSET(ITEM_RES!$A$1,MATCH(AT440,ITEM_RES!$J:$J,0)-1,0),0)</f>
        <v>211020301</v>
      </c>
      <c r="AT440" s="10" t="s">
        <v>1083</v>
      </c>
      <c r="AU440" s="11">
        <v>4300000</v>
      </c>
      <c r="AX440" s="11">
        <f ca="1">IFERROR(OFFSET(ITEM_RES!$A$1,MATCH(AY440,ITEM_RES!$J:$J,0)-1,0),0)</f>
        <v>211020501</v>
      </c>
      <c r="AY440" s="10" t="s">
        <v>420</v>
      </c>
      <c r="AZ440" s="11">
        <v>4300000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08"/>
        <v>112070017</v>
      </c>
      <c r="B441" s="13">
        <v>11</v>
      </c>
      <c r="C441" s="12">
        <f t="shared" si="109"/>
        <v>2</v>
      </c>
      <c r="D441" s="13">
        <v>7</v>
      </c>
      <c r="E441" s="13">
        <v>0</v>
      </c>
      <c r="F441" s="12">
        <f t="shared" si="110"/>
        <v>17</v>
      </c>
      <c r="H441" s="9">
        <v>2</v>
      </c>
      <c r="I441" s="9">
        <v>17</v>
      </c>
      <c r="K441" s="9" t="s">
        <v>363</v>
      </c>
      <c r="M441" s="9">
        <v>0</v>
      </c>
      <c r="N441" s="9">
        <v>15</v>
      </c>
      <c r="O441" s="9" t="s">
        <v>1151</v>
      </c>
      <c r="S441" s="9" t="s">
        <v>693</v>
      </c>
      <c r="U441" s="84" t="s">
        <v>538</v>
      </c>
      <c r="V441" s="9">
        <f ca="1">IFERROR(OFFSET(ITEM_RES!$A$5,MATCH(BUILDING!U441,ITEM_RES!$J$5:$J$229,0)-1,0),0)</f>
        <v>211020201</v>
      </c>
      <c r="W441" s="11">
        <v>1</v>
      </c>
      <c r="X441" s="84" t="s">
        <v>540</v>
      </c>
      <c r="Y441" s="9">
        <f ca="1">IFERROR(OFFSET(ITEM_RES!$A$5,MATCH(BUILDING!X441,ITEM_RES!$J$5:$J$229,0)-1,0),0)</f>
        <v>211020301</v>
      </c>
      <c r="AA441" s="9" t="s">
        <v>518</v>
      </c>
      <c r="AB441" s="9">
        <v>17</v>
      </c>
      <c r="AD441" s="11">
        <f ca="1">IFERROR(OFFSET(MANOR_LEVEL!$B$1,MATCH(AE441-1,MANOR_LEVEL!$A:$A,0)-1,0),0)</f>
        <v>223207650</v>
      </c>
      <c r="AE441" s="56">
        <v>18</v>
      </c>
      <c r="AG441" s="56">
        <f t="shared" ca="1" si="116"/>
        <v>21350850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21350850</v>
      </c>
      <c r="AI441" s="179">
        <f t="shared" ca="1" si="114"/>
        <v>32721550</v>
      </c>
      <c r="AK441" s="11">
        <f t="shared" si="115"/>
        <v>19800</v>
      </c>
      <c r="AL441" s="10">
        <v>19800</v>
      </c>
      <c r="AM441" s="11">
        <f t="shared" si="111"/>
        <v>850</v>
      </c>
      <c r="AN441" s="10">
        <v>850</v>
      </c>
      <c r="AO441" s="11">
        <v>2150000</v>
      </c>
      <c r="AP441" s="10">
        <v>0</v>
      </c>
      <c r="AQ441" s="56">
        <f t="shared" si="117"/>
        <v>2</v>
      </c>
      <c r="AS441" s="11">
        <f ca="1">IFERROR(OFFSET(ITEM_RES!$A$1,MATCH(AT441,ITEM_RES!$J:$J,0)-1,0),0)</f>
        <v>211020301</v>
      </c>
      <c r="AT441" s="10" t="s">
        <v>1083</v>
      </c>
      <c r="AU441" s="11">
        <v>8000000</v>
      </c>
      <c r="AX441" s="11">
        <f ca="1">IFERROR(OFFSET(ITEM_RES!$A$1,MATCH(AY441,ITEM_RES!$J:$J,0)-1,0),0)</f>
        <v>211020501</v>
      </c>
      <c r="AY441" s="10" t="s">
        <v>420</v>
      </c>
      <c r="AZ441" s="11">
        <v>8000000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08"/>
        <v>112070018</v>
      </c>
      <c r="B442" s="13">
        <v>11</v>
      </c>
      <c r="C442" s="12">
        <f t="shared" si="109"/>
        <v>2</v>
      </c>
      <c r="D442" s="13">
        <v>7</v>
      </c>
      <c r="E442" s="13">
        <v>0</v>
      </c>
      <c r="F442" s="12">
        <f t="shared" si="110"/>
        <v>18</v>
      </c>
      <c r="H442" s="9">
        <v>2</v>
      </c>
      <c r="I442" s="9">
        <v>18</v>
      </c>
      <c r="K442" s="9" t="s">
        <v>363</v>
      </c>
      <c r="M442" s="9">
        <v>0</v>
      </c>
      <c r="N442" s="9">
        <v>15</v>
      </c>
      <c r="O442" s="9" t="s">
        <v>1151</v>
      </c>
      <c r="S442" s="9" t="s">
        <v>693</v>
      </c>
      <c r="U442" s="84" t="s">
        <v>538</v>
      </c>
      <c r="V442" s="9">
        <f ca="1">IFERROR(OFFSET(ITEM_RES!$A$5,MATCH(BUILDING!U442,ITEM_RES!$J$5:$J$229,0)-1,0),0)</f>
        <v>211020201</v>
      </c>
      <c r="W442" s="11">
        <v>1</v>
      </c>
      <c r="X442" s="84" t="s">
        <v>540</v>
      </c>
      <c r="Y442" s="9">
        <f ca="1">IFERROR(OFFSET(ITEM_RES!$A$5,MATCH(BUILDING!X442,ITEM_RES!$J$5:$J$229,0)-1,0),0)</f>
        <v>211020301</v>
      </c>
      <c r="AA442" s="9" t="s">
        <v>518</v>
      </c>
      <c r="AB442" s="9">
        <v>18</v>
      </c>
      <c r="AD442" s="11">
        <f ca="1">IFERROR(OFFSET(MANOR_LEVEL!$B$1,MATCH(AE442-1,MANOR_LEVEL!$A:$A,0)-1,0),0)</f>
        <v>223207650</v>
      </c>
      <c r="AE442" s="56">
        <v>18</v>
      </c>
      <c r="AG442" s="56">
        <f t="shared" ca="1" si="116"/>
        <v>35201050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35201050</v>
      </c>
      <c r="AI442" s="179">
        <f t="shared" ca="1" si="114"/>
        <v>56551900</v>
      </c>
      <c r="AK442" s="11">
        <f t="shared" si="115"/>
        <v>21600</v>
      </c>
      <c r="AL442" s="10">
        <v>21600</v>
      </c>
      <c r="AM442" s="11">
        <f t="shared" si="111"/>
        <v>1050</v>
      </c>
      <c r="AN442" s="10">
        <v>1050</v>
      </c>
      <c r="AO442" s="11">
        <v>4000000</v>
      </c>
      <c r="AP442" s="10">
        <v>0</v>
      </c>
      <c r="AQ442" s="56">
        <f t="shared" si="117"/>
        <v>2</v>
      </c>
      <c r="AS442" s="11">
        <f ca="1">IFERROR(OFFSET(ITEM_RES!$A$1,MATCH(AT442,ITEM_RES!$J:$J,0)-1,0),0)</f>
        <v>211020301</v>
      </c>
      <c r="AT442" s="10" t="s">
        <v>1083</v>
      </c>
      <c r="AU442" s="11">
        <v>13000000</v>
      </c>
      <c r="AX442" s="11">
        <f ca="1">IFERROR(OFFSET(ITEM_RES!$A$1,MATCH(AY442,ITEM_RES!$J:$J,0)-1,0),0)</f>
        <v>211020501</v>
      </c>
      <c r="AY442" s="10" t="s">
        <v>420</v>
      </c>
      <c r="AZ442" s="11">
        <v>13000000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08"/>
        <v>112070019</v>
      </c>
      <c r="B443" s="13">
        <v>11</v>
      </c>
      <c r="C443" s="12">
        <f t="shared" si="109"/>
        <v>2</v>
      </c>
      <c r="D443" s="13">
        <v>7</v>
      </c>
      <c r="E443" s="13">
        <v>0</v>
      </c>
      <c r="F443" s="12">
        <f t="shared" si="110"/>
        <v>19</v>
      </c>
      <c r="H443" s="9">
        <v>2</v>
      </c>
      <c r="I443" s="9">
        <v>19</v>
      </c>
      <c r="K443" s="9" t="s">
        <v>363</v>
      </c>
      <c r="M443" s="9">
        <v>0</v>
      </c>
      <c r="N443" s="9">
        <v>15</v>
      </c>
      <c r="O443" s="9" t="s">
        <v>1151</v>
      </c>
      <c r="S443" s="9" t="s">
        <v>693</v>
      </c>
      <c r="U443" s="84" t="s">
        <v>538</v>
      </c>
      <c r="V443" s="9">
        <f ca="1">IFERROR(OFFSET(ITEM_RES!$A$5,MATCH(BUILDING!U443,ITEM_RES!$J$5:$J$229,0)-1,0),0)</f>
        <v>211020201</v>
      </c>
      <c r="W443" s="11">
        <v>1</v>
      </c>
      <c r="X443" s="84" t="s">
        <v>540</v>
      </c>
      <c r="Y443" s="9">
        <f ca="1">IFERROR(OFFSET(ITEM_RES!$A$5,MATCH(BUILDING!X443,ITEM_RES!$J$5:$J$229,0)-1,0),0)</f>
        <v>211020301</v>
      </c>
      <c r="AA443" s="9" t="s">
        <v>518</v>
      </c>
      <c r="AB443" s="9">
        <v>19</v>
      </c>
      <c r="AD443" s="11">
        <f ca="1">IFERROR(OFFSET(MANOR_LEVEL!$B$1,MATCH(AE443-1,MANOR_LEVEL!$A:$A,0)-1,0),0)</f>
        <v>223207650</v>
      </c>
      <c r="AE443" s="56">
        <v>18</v>
      </c>
      <c r="AG443" s="56">
        <f t="shared" ca="1" si="116"/>
        <v>54501250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54501250</v>
      </c>
      <c r="AI443" s="179">
        <f t="shared" ca="1" si="114"/>
        <v>89702300</v>
      </c>
      <c r="AK443" s="11">
        <f t="shared" si="115"/>
        <v>23400</v>
      </c>
      <c r="AL443" s="10">
        <v>23400</v>
      </c>
      <c r="AM443" s="11">
        <f t="shared" si="111"/>
        <v>1250</v>
      </c>
      <c r="AN443" s="10">
        <v>1250</v>
      </c>
      <c r="AO443" s="11">
        <v>6500000</v>
      </c>
      <c r="AP443" s="10">
        <v>0</v>
      </c>
      <c r="AQ443" s="56">
        <f t="shared" si="117"/>
        <v>2</v>
      </c>
      <c r="AS443" s="11">
        <f ca="1">IFERROR(OFFSET(ITEM_RES!$A$1,MATCH(AT443,ITEM_RES!$J:$J,0)-1,0),0)</f>
        <v>211020301</v>
      </c>
      <c r="AT443" s="10" t="s">
        <v>1083</v>
      </c>
      <c r="AU443" s="11">
        <v>20000000</v>
      </c>
      <c r="AX443" s="11">
        <f ca="1">IFERROR(OFFSET(ITEM_RES!$A$1,MATCH(AY443,ITEM_RES!$J:$J,0)-1,0),0)</f>
        <v>211020501</v>
      </c>
      <c r="AY443" s="10" t="s">
        <v>420</v>
      </c>
      <c r="AZ443" s="11">
        <v>20000000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08"/>
        <v>112070020</v>
      </c>
      <c r="B444" s="13">
        <v>11</v>
      </c>
      <c r="C444" s="12">
        <f t="shared" si="109"/>
        <v>2</v>
      </c>
      <c r="D444" s="13">
        <v>7</v>
      </c>
      <c r="E444" s="13">
        <v>0</v>
      </c>
      <c r="F444" s="12">
        <f t="shared" si="110"/>
        <v>20</v>
      </c>
      <c r="H444" s="9">
        <v>2</v>
      </c>
      <c r="I444" s="9">
        <v>20</v>
      </c>
      <c r="K444" s="9" t="s">
        <v>363</v>
      </c>
      <c r="M444" s="9">
        <v>0</v>
      </c>
      <c r="N444" s="9">
        <v>15</v>
      </c>
      <c r="O444" s="9" t="s">
        <v>1151</v>
      </c>
      <c r="S444" s="9" t="s">
        <v>693</v>
      </c>
      <c r="U444" s="84" t="s">
        <v>538</v>
      </c>
      <c r="V444" s="9">
        <f ca="1">IFERROR(OFFSET(ITEM_RES!$A$5,MATCH(BUILDING!U444,ITEM_RES!$J$5:$J$229,0)-1,0),0)</f>
        <v>211020201</v>
      </c>
      <c r="W444" s="11">
        <v>1</v>
      </c>
      <c r="X444" s="84" t="s">
        <v>540</v>
      </c>
      <c r="Y444" s="9">
        <f ca="1">IFERROR(OFFSET(ITEM_RES!$A$5,MATCH(BUILDING!X444,ITEM_RES!$J$5:$J$229,0)-1,0),0)</f>
        <v>211020301</v>
      </c>
      <c r="AA444" s="9" t="s">
        <v>518</v>
      </c>
      <c r="AB444" s="9">
        <v>20</v>
      </c>
      <c r="AD444" s="11">
        <f ca="1">IFERROR(OFFSET(MANOR_LEVEL!$B$1,MATCH(AE444-1,MANOR_LEVEL!$A:$A,0)-1,0),0)</f>
        <v>223207650</v>
      </c>
      <c r="AE444" s="56">
        <v>18</v>
      </c>
      <c r="AG444" s="56">
        <f t="shared" ca="1" si="116"/>
        <v>86801500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86801500</v>
      </c>
      <c r="AI444" s="179">
        <f t="shared" ca="1" si="114"/>
        <v>141302750</v>
      </c>
      <c r="AK444" s="11">
        <f t="shared" si="115"/>
        <v>25200</v>
      </c>
      <c r="AL444" s="10">
        <v>25200</v>
      </c>
      <c r="AM444" s="11">
        <f t="shared" si="111"/>
        <v>1500</v>
      </c>
      <c r="AN444" s="10">
        <v>1500</v>
      </c>
      <c r="AO444" s="11">
        <v>10000000</v>
      </c>
      <c r="AP444" s="10">
        <v>0</v>
      </c>
      <c r="AQ444" s="56">
        <f t="shared" si="117"/>
        <v>2</v>
      </c>
      <c r="AS444" s="11">
        <f ca="1">IFERROR(OFFSET(ITEM_RES!$A$1,MATCH(AT444,ITEM_RES!$J:$J,0)-1,0),0)</f>
        <v>211020301</v>
      </c>
      <c r="AT444" s="10" t="s">
        <v>1083</v>
      </c>
      <c r="AU444" s="11">
        <v>32000000</v>
      </c>
      <c r="AX444" s="11">
        <f ca="1">IFERROR(OFFSET(ITEM_RES!$A$1,MATCH(AY444,ITEM_RES!$J:$J,0)-1,0),0)</f>
        <v>211020501</v>
      </c>
      <c r="AY444" s="10" t="s">
        <v>420</v>
      </c>
      <c r="AZ444" s="11">
        <v>32000000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08"/>
        <v>114010001</v>
      </c>
      <c r="B445" s="20">
        <v>11</v>
      </c>
      <c r="C445" s="19">
        <f t="shared" si="109"/>
        <v>4</v>
      </c>
      <c r="D445" s="20">
        <v>1</v>
      </c>
      <c r="E445" s="20">
        <v>0</v>
      </c>
      <c r="F445" s="19">
        <f t="shared" si="110"/>
        <v>1</v>
      </c>
      <c r="G445" s="78"/>
      <c r="H445" s="16">
        <v>4</v>
      </c>
      <c r="I445" s="16">
        <v>1</v>
      </c>
      <c r="J445" s="78"/>
      <c r="K445" s="16" t="s">
        <v>432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694</v>
      </c>
      <c r="T445" s="78"/>
      <c r="U445" s="86"/>
      <c r="V445" s="16">
        <f ca="1">IFERROR(OFFSET(ITEM_RES!$A$5,MATCH(BUILDING!U445,ITEM_RES!$J$5:$J$229,0)-1,0),0)</f>
        <v>0</v>
      </c>
      <c r="W445" s="18"/>
      <c r="X445" s="86"/>
      <c r="Y445" s="16">
        <f ca="1">IFERROR(OFFSET(ITEM_RES!$A$5,MATCH(BUILDING!X445,ITEM_RES!$J$5:$J$229,0)-1,0),0)</f>
        <v>0</v>
      </c>
      <c r="Z445" s="78"/>
      <c r="AA445" s="16" t="s">
        <v>519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16"/>
        <v>1055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1055</v>
      </c>
      <c r="AI445" s="181">
        <f ca="1">AG445</f>
        <v>1055</v>
      </c>
      <c r="AJ445" s="78"/>
      <c r="AK445" s="18">
        <f t="shared" si="115"/>
        <v>5</v>
      </c>
      <c r="AL445" s="17">
        <v>5</v>
      </c>
      <c r="AM445" s="18">
        <f t="shared" si="111"/>
        <v>5</v>
      </c>
      <c r="AN445" s="17">
        <v>5</v>
      </c>
      <c r="AO445" s="18">
        <f t="shared" si="111"/>
        <v>0</v>
      </c>
      <c r="AP445" s="17">
        <v>0</v>
      </c>
      <c r="AQ445" s="57">
        <f t="shared" si="117"/>
        <v>2</v>
      </c>
      <c r="AR445" s="18"/>
      <c r="AS445" s="18">
        <f ca="1">IFERROR(OFFSET(ITEM_RES!$A$1,MATCH(AT445,ITEM_RES!$J:$J,0)-1,0),0)</f>
        <v>211020401</v>
      </c>
      <c r="AT445" s="17" t="s">
        <v>430</v>
      </c>
      <c r="AU445" s="18">
        <v>50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445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08"/>
        <v>114010002</v>
      </c>
      <c r="B446" s="13">
        <v>11</v>
      </c>
      <c r="C446" s="12">
        <f t="shared" si="109"/>
        <v>4</v>
      </c>
      <c r="D446" s="13">
        <v>1</v>
      </c>
      <c r="E446" s="13">
        <v>0</v>
      </c>
      <c r="F446" s="12">
        <f t="shared" si="110"/>
        <v>2</v>
      </c>
      <c r="H446" s="9">
        <v>4</v>
      </c>
      <c r="I446" s="9">
        <v>2</v>
      </c>
      <c r="K446" s="9" t="s">
        <v>432</v>
      </c>
      <c r="M446" s="9">
        <v>1</v>
      </c>
      <c r="N446" s="9">
        <v>15</v>
      </c>
      <c r="O446" s="141"/>
      <c r="S446" s="9" t="s">
        <v>694</v>
      </c>
      <c r="V446" s="9">
        <f ca="1">IFERROR(OFFSET(ITEM_RES!$A$5,MATCH(BUILDING!U446,ITEM_RES!$J$5:$J$229,0)-1,0),0)</f>
        <v>0</v>
      </c>
      <c r="Y446" s="9">
        <f ca="1">IFERROR(OFFSET(ITEM_RES!$A$5,MATCH(BUILDING!X446,ITEM_RES!$J$5:$J$229,0)-1,0),0)</f>
        <v>0</v>
      </c>
      <c r="AA446" s="9" t="s">
        <v>519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16"/>
        <v>110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110</v>
      </c>
      <c r="AI446" s="179">
        <f ca="1">AG445+AG446</f>
        <v>1165</v>
      </c>
      <c r="AK446" s="11">
        <f t="shared" si="115"/>
        <v>10</v>
      </c>
      <c r="AL446" s="10">
        <v>10</v>
      </c>
      <c r="AM446" s="11">
        <f t="shared" si="111"/>
        <v>10</v>
      </c>
      <c r="AN446" s="10">
        <v>10</v>
      </c>
      <c r="AO446" s="11">
        <f t="shared" si="111"/>
        <v>0</v>
      </c>
      <c r="AP446" s="10">
        <v>0</v>
      </c>
      <c r="AQ446" s="56">
        <f t="shared" si="117"/>
        <v>1</v>
      </c>
      <c r="AS446" s="11">
        <f ca="1">IFERROR(OFFSET(ITEM_RES!$A$1,MATCH(AT446,ITEM_RES!$J:$J,0)-1,0),0)</f>
        <v>211020401</v>
      </c>
      <c r="AT446" s="10" t="s">
        <v>430</v>
      </c>
      <c r="AU446" s="11">
        <v>100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08"/>
        <v>114010003</v>
      </c>
      <c r="B447" s="13">
        <v>11</v>
      </c>
      <c r="C447" s="12">
        <f t="shared" si="109"/>
        <v>4</v>
      </c>
      <c r="D447" s="13">
        <v>1</v>
      </c>
      <c r="E447" s="13">
        <v>0</v>
      </c>
      <c r="F447" s="12">
        <f t="shared" si="110"/>
        <v>3</v>
      </c>
      <c r="H447" s="9">
        <v>4</v>
      </c>
      <c r="I447" s="9">
        <v>3</v>
      </c>
      <c r="K447" s="9" t="s">
        <v>432</v>
      </c>
      <c r="M447" s="9">
        <v>1</v>
      </c>
      <c r="N447" s="9">
        <v>15</v>
      </c>
      <c r="O447" s="141"/>
      <c r="S447" s="9" t="s">
        <v>694</v>
      </c>
      <c r="V447" s="9">
        <f ca="1">IFERROR(OFFSET(ITEM_RES!$A$5,MATCH(BUILDING!U447,ITEM_RES!$J$5:$J$229,0)-1,0),0)</f>
        <v>0</v>
      </c>
      <c r="Y447" s="9">
        <f ca="1">IFERROR(OFFSET(ITEM_RES!$A$5,MATCH(BUILDING!X447,ITEM_RES!$J$5:$J$229,0)-1,0),0)</f>
        <v>0</v>
      </c>
      <c r="AA447" s="9" t="s">
        <v>519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16"/>
        <v>165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165</v>
      </c>
      <c r="AI447" s="179">
        <f t="shared" ref="AI447:AI464" ca="1" si="118">AG446+AG447</f>
        <v>275</v>
      </c>
      <c r="AK447" s="11">
        <f t="shared" si="115"/>
        <v>30</v>
      </c>
      <c r="AL447" s="10">
        <v>30</v>
      </c>
      <c r="AM447" s="11">
        <f t="shared" si="111"/>
        <v>15</v>
      </c>
      <c r="AN447" s="10">
        <v>15</v>
      </c>
      <c r="AO447" s="11">
        <f t="shared" si="111"/>
        <v>0</v>
      </c>
      <c r="AP447" s="10">
        <v>0</v>
      </c>
      <c r="AQ447" s="56">
        <f t="shared" si="117"/>
        <v>1</v>
      </c>
      <c r="AS447" s="11">
        <f ca="1">IFERROR(OFFSET(ITEM_RES!$A$1,MATCH(AT447,ITEM_RES!$J:$J,0)-1,0),0)</f>
        <v>211020401</v>
      </c>
      <c r="AT447" s="10" t="s">
        <v>430</v>
      </c>
      <c r="AU447" s="11">
        <v>150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08"/>
        <v>114010004</v>
      </c>
      <c r="B448" s="13">
        <v>11</v>
      </c>
      <c r="C448" s="12">
        <f t="shared" si="109"/>
        <v>4</v>
      </c>
      <c r="D448" s="13">
        <v>1</v>
      </c>
      <c r="E448" s="13">
        <v>0</v>
      </c>
      <c r="F448" s="12">
        <f t="shared" si="110"/>
        <v>4</v>
      </c>
      <c r="H448" s="9">
        <v>4</v>
      </c>
      <c r="I448" s="9">
        <v>4</v>
      </c>
      <c r="K448" s="9" t="s">
        <v>432</v>
      </c>
      <c r="M448" s="9">
        <v>1</v>
      </c>
      <c r="N448" s="9">
        <v>15</v>
      </c>
      <c r="O448" s="141"/>
      <c r="S448" s="9" t="s">
        <v>694</v>
      </c>
      <c r="V448" s="9">
        <f ca="1">IFERROR(OFFSET(ITEM_RES!$A$5,MATCH(BUILDING!U448,ITEM_RES!$J$5:$J$229,0)-1,0),0)</f>
        <v>0</v>
      </c>
      <c r="Y448" s="9">
        <f ca="1">IFERROR(OFFSET(ITEM_RES!$A$5,MATCH(BUILDING!X448,ITEM_RES!$J$5:$J$229,0)-1,0),0)</f>
        <v>0</v>
      </c>
      <c r="AA448" s="9" t="s">
        <v>519</v>
      </c>
      <c r="AB448" s="9">
        <v>4</v>
      </c>
      <c r="AD448" s="11">
        <f ca="1">IFERROR(OFFSET(MANOR_LEVEL!$B$1,MATCH(AE448-1,MANOR_LEVEL!$A:$A,0)-1,0),0)</f>
        <v>100</v>
      </c>
      <c r="AE448" s="56">
        <v>2</v>
      </c>
      <c r="AG448" s="56">
        <f t="shared" ca="1" si="116"/>
        <v>625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625</v>
      </c>
      <c r="AI448" s="179">
        <f t="shared" ca="1" si="118"/>
        <v>790</v>
      </c>
      <c r="AK448" s="11">
        <f t="shared" si="115"/>
        <v>300</v>
      </c>
      <c r="AL448" s="10">
        <v>300</v>
      </c>
      <c r="AM448" s="11">
        <f t="shared" si="111"/>
        <v>25</v>
      </c>
      <c r="AN448" s="10">
        <v>25</v>
      </c>
      <c r="AO448" s="11">
        <f t="shared" si="111"/>
        <v>0</v>
      </c>
      <c r="AP448" s="10">
        <v>0</v>
      </c>
      <c r="AQ448" s="56">
        <f t="shared" si="117"/>
        <v>1</v>
      </c>
      <c r="AS448" s="11">
        <f ca="1">IFERROR(OFFSET(ITEM_RES!$A$1,MATCH(AT448,ITEM_RES!$J:$J,0)-1,0),0)</f>
        <v>211020401</v>
      </c>
      <c r="AT448" s="10" t="s">
        <v>430</v>
      </c>
      <c r="AU448" s="11">
        <v>600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19">B449*10000000+C449*1000000+D449*10000+E449*100+F449</f>
        <v>114010005</v>
      </c>
      <c r="B449" s="13">
        <v>11</v>
      </c>
      <c r="C449" s="12">
        <f t="shared" ref="C449:C512" si="120">H449</f>
        <v>4</v>
      </c>
      <c r="D449" s="13">
        <v>1</v>
      </c>
      <c r="E449" s="13">
        <v>0</v>
      </c>
      <c r="F449" s="12">
        <f t="shared" ref="F449:F512" si="121">I449</f>
        <v>5</v>
      </c>
      <c r="H449" s="9">
        <v>4</v>
      </c>
      <c r="I449" s="9">
        <v>5</v>
      </c>
      <c r="K449" s="9" t="s">
        <v>432</v>
      </c>
      <c r="M449" s="9">
        <v>1</v>
      </c>
      <c r="N449" s="9">
        <v>15</v>
      </c>
      <c r="O449" s="141"/>
      <c r="S449" s="9" t="s">
        <v>694</v>
      </c>
      <c r="V449" s="9">
        <f ca="1">IFERROR(OFFSET(ITEM_RES!$A$5,MATCH(BUILDING!U449,ITEM_RES!$J$5:$J$229,0)-1,0),0)</f>
        <v>0</v>
      </c>
      <c r="Y449" s="9">
        <f ca="1">IFERROR(OFFSET(ITEM_RES!$A$5,MATCH(BUILDING!X449,ITEM_RES!$J$5:$J$229,0)-1,0),0)</f>
        <v>0</v>
      </c>
      <c r="AA449" s="9" t="s">
        <v>519</v>
      </c>
      <c r="AB449" s="9">
        <v>5</v>
      </c>
      <c r="AD449" s="11">
        <f ca="1">IFERROR(OFFSET(MANOR_LEVEL!$B$1,MATCH(AE449-1,MANOR_LEVEL!$A:$A,0)-1,0),0)</f>
        <v>100</v>
      </c>
      <c r="AE449" s="56">
        <v>2</v>
      </c>
      <c r="AG449" s="56">
        <f t="shared" ca="1" si="116"/>
        <v>2740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2740</v>
      </c>
      <c r="AI449" s="179">
        <f t="shared" ca="1" si="118"/>
        <v>3365</v>
      </c>
      <c r="AK449" s="11">
        <f t="shared" si="115"/>
        <v>600</v>
      </c>
      <c r="AL449" s="10">
        <v>600</v>
      </c>
      <c r="AM449" s="11">
        <f t="shared" si="111"/>
        <v>40</v>
      </c>
      <c r="AN449" s="10">
        <v>40</v>
      </c>
      <c r="AO449" s="11">
        <f t="shared" si="111"/>
        <v>0</v>
      </c>
      <c r="AP449" s="10">
        <v>0</v>
      </c>
      <c r="AQ449" s="56">
        <f t="shared" si="117"/>
        <v>1</v>
      </c>
      <c r="AS449" s="11">
        <f ca="1">IFERROR(OFFSET(ITEM_RES!$A$1,MATCH(AT449,ITEM_RES!$J:$J,0)-1,0),0)</f>
        <v>211020401</v>
      </c>
      <c r="AT449" s="10" t="s">
        <v>430</v>
      </c>
      <c r="AU449" s="11">
        <v>2700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19"/>
        <v>114010006</v>
      </c>
      <c r="B450" s="13">
        <v>11</v>
      </c>
      <c r="C450" s="12">
        <f t="shared" si="120"/>
        <v>4</v>
      </c>
      <c r="D450" s="13">
        <v>1</v>
      </c>
      <c r="E450" s="13">
        <v>0</v>
      </c>
      <c r="F450" s="12">
        <f t="shared" si="121"/>
        <v>6</v>
      </c>
      <c r="H450" s="9">
        <v>4</v>
      </c>
      <c r="I450" s="9">
        <v>6</v>
      </c>
      <c r="K450" s="9" t="s">
        <v>432</v>
      </c>
      <c r="M450" s="9">
        <v>1</v>
      </c>
      <c r="N450" s="9">
        <v>15</v>
      </c>
      <c r="O450" s="141"/>
      <c r="S450" s="9" t="s">
        <v>694</v>
      </c>
      <c r="V450" s="9">
        <f ca="1">IFERROR(OFFSET(ITEM_RES!$A$5,MATCH(BUILDING!U450,ITEM_RES!$J$5:$J$229,0)-1,0),0)</f>
        <v>0</v>
      </c>
      <c r="Y450" s="9">
        <f ca="1">IFERROR(OFFSET(ITEM_RES!$A$5,MATCH(BUILDING!X450,ITEM_RES!$J$5:$J$229,0)-1,0),0)</f>
        <v>0</v>
      </c>
      <c r="AA450" s="9" t="s">
        <v>519</v>
      </c>
      <c r="AB450" s="9">
        <v>6</v>
      </c>
      <c r="AD450" s="11">
        <f ca="1">IFERROR(OFFSET(MANOR_LEVEL!$B$1,MATCH(AE450-1,MANOR_LEVEL!$A:$A,0)-1,0),0)</f>
        <v>100</v>
      </c>
      <c r="AE450" s="56">
        <v>2</v>
      </c>
      <c r="AG450" s="56">
        <f t="shared" ca="1" si="116"/>
        <v>9050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9050</v>
      </c>
      <c r="AI450" s="179">
        <f t="shared" ca="1" si="118"/>
        <v>11790</v>
      </c>
      <c r="AK450" s="11">
        <f t="shared" si="115"/>
        <v>1200</v>
      </c>
      <c r="AL450" s="10">
        <v>1200</v>
      </c>
      <c r="AM450" s="11">
        <f t="shared" ref="AM450:AO513" si="122">ROUND(AN450,0)</f>
        <v>50</v>
      </c>
      <c r="AN450" s="10">
        <v>50</v>
      </c>
      <c r="AO450" s="11">
        <f t="shared" si="122"/>
        <v>0</v>
      </c>
      <c r="AP450" s="10">
        <v>0</v>
      </c>
      <c r="AQ450" s="56">
        <f t="shared" si="117"/>
        <v>1</v>
      </c>
      <c r="AS450" s="11">
        <f ca="1">IFERROR(OFFSET(ITEM_RES!$A$1,MATCH(AT450,ITEM_RES!$J:$J,0)-1,0),0)</f>
        <v>211020401</v>
      </c>
      <c r="AT450" s="10" t="s">
        <v>430</v>
      </c>
      <c r="AU450" s="11">
        <v>9000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19"/>
        <v>114010007</v>
      </c>
      <c r="B451" s="13">
        <v>11</v>
      </c>
      <c r="C451" s="12">
        <f t="shared" si="120"/>
        <v>4</v>
      </c>
      <c r="D451" s="13">
        <v>1</v>
      </c>
      <c r="E451" s="13">
        <v>0</v>
      </c>
      <c r="F451" s="12">
        <f t="shared" si="121"/>
        <v>7</v>
      </c>
      <c r="H451" s="9">
        <v>4</v>
      </c>
      <c r="I451" s="9">
        <v>7</v>
      </c>
      <c r="K451" s="9" t="s">
        <v>432</v>
      </c>
      <c r="M451" s="9">
        <v>1</v>
      </c>
      <c r="N451" s="9">
        <v>15</v>
      </c>
      <c r="O451" s="141"/>
      <c r="S451" s="9" t="s">
        <v>694</v>
      </c>
      <c r="V451" s="9">
        <f ca="1">IFERROR(OFFSET(ITEM_RES!$A$5,MATCH(BUILDING!U451,ITEM_RES!$J$5:$J$229,0)-1,0),0)</f>
        <v>0</v>
      </c>
      <c r="Y451" s="9">
        <f ca="1">IFERROR(OFFSET(ITEM_RES!$A$5,MATCH(BUILDING!X451,ITEM_RES!$J$5:$J$229,0)-1,0),0)</f>
        <v>0</v>
      </c>
      <c r="AA451" s="9" t="s">
        <v>519</v>
      </c>
      <c r="AB451" s="9">
        <v>7</v>
      </c>
      <c r="AD451" s="11">
        <f ca="1">IFERROR(OFFSET(MANOR_LEVEL!$B$1,MATCH(AE451-1,MANOR_LEVEL!$A:$A,0)-1,0),0)</f>
        <v>100</v>
      </c>
      <c r="AE451" s="56">
        <v>2</v>
      </c>
      <c r="AG451" s="56">
        <f t="shared" ca="1" si="116"/>
        <v>20100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20100</v>
      </c>
      <c r="AI451" s="179">
        <f t="shared" ca="1" si="118"/>
        <v>29150</v>
      </c>
      <c r="AK451" s="11">
        <f t="shared" si="115"/>
        <v>1800</v>
      </c>
      <c r="AL451" s="10">
        <v>1800</v>
      </c>
      <c r="AM451" s="11">
        <f t="shared" si="122"/>
        <v>100</v>
      </c>
      <c r="AN451" s="10">
        <v>100</v>
      </c>
      <c r="AO451" s="11">
        <f t="shared" si="122"/>
        <v>0</v>
      </c>
      <c r="AP451" s="10">
        <v>0</v>
      </c>
      <c r="AQ451" s="56">
        <f t="shared" si="117"/>
        <v>1</v>
      </c>
      <c r="AS451" s="11">
        <f ca="1">IFERROR(OFFSET(ITEM_RES!$A$1,MATCH(AT451,ITEM_RES!$J:$J,0)-1,0),0)</f>
        <v>211020401</v>
      </c>
      <c r="AT451" s="10" t="s">
        <v>430</v>
      </c>
      <c r="AU451" s="11">
        <v>20000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19"/>
        <v>114010008</v>
      </c>
      <c r="B452" s="13">
        <v>11</v>
      </c>
      <c r="C452" s="12">
        <f t="shared" si="120"/>
        <v>4</v>
      </c>
      <c r="D452" s="13">
        <v>1</v>
      </c>
      <c r="E452" s="13">
        <v>0</v>
      </c>
      <c r="F452" s="12">
        <f t="shared" si="121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141"/>
      <c r="S452" s="9" t="s">
        <v>695</v>
      </c>
      <c r="V452" s="9">
        <f ca="1">IFERROR(OFFSET(ITEM_RES!$A$5,MATCH(BUILDING!U452,ITEM_RES!$J$5:$J$229,0)-1,0),0)</f>
        <v>0</v>
      </c>
      <c r="Y452" s="9">
        <f ca="1">IFERROR(OFFSET(ITEM_RES!$A$5,MATCH(BUILDING!X452,ITEM_RES!$J$5:$J$229,0)-1,0),0)</f>
        <v>0</v>
      </c>
      <c r="AA452" s="9" t="s">
        <v>519</v>
      </c>
      <c r="AB452" s="9">
        <v>8</v>
      </c>
      <c r="AD452" s="11">
        <f ca="1">IFERROR(OFFSET(MANOR_LEVEL!$B$1,MATCH(AE452-1,MANOR_LEVEL!$A:$A,0)-1,0),0)</f>
        <v>310</v>
      </c>
      <c r="AE452" s="56">
        <v>3</v>
      </c>
      <c r="AG452" s="56">
        <f t="shared" ca="1" si="116"/>
        <v>50500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50500</v>
      </c>
      <c r="AI452" s="179">
        <f t="shared" ca="1" si="118"/>
        <v>70600</v>
      </c>
      <c r="AK452" s="11">
        <f t="shared" si="115"/>
        <v>3600</v>
      </c>
      <c r="AL452" s="10">
        <v>3600</v>
      </c>
      <c r="AM452" s="11">
        <f t="shared" si="122"/>
        <v>100</v>
      </c>
      <c r="AN452" s="10">
        <v>100</v>
      </c>
      <c r="AO452" s="11">
        <f t="shared" si="122"/>
        <v>0</v>
      </c>
      <c r="AP452" s="10">
        <v>0</v>
      </c>
      <c r="AQ452" s="56">
        <f t="shared" si="117"/>
        <v>1</v>
      </c>
      <c r="AS452" s="11">
        <f ca="1">IFERROR(OFFSET(ITEM_RES!$A$1,MATCH(AT452,ITEM_RES!$J:$J,0)-1,0),0)</f>
        <v>211020501</v>
      </c>
      <c r="AT452" s="10" t="s">
        <v>428</v>
      </c>
      <c r="AU452" s="11">
        <v>42000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19"/>
        <v>114010009</v>
      </c>
      <c r="B453" s="13">
        <v>11</v>
      </c>
      <c r="C453" s="12">
        <f t="shared" si="120"/>
        <v>4</v>
      </c>
      <c r="D453" s="13">
        <v>1</v>
      </c>
      <c r="E453" s="13">
        <v>0</v>
      </c>
      <c r="F453" s="12">
        <f t="shared" si="121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141"/>
      <c r="S453" s="9" t="s">
        <v>695</v>
      </c>
      <c r="V453" s="9">
        <f ca="1">IFERROR(OFFSET(ITEM_RES!$A$5,MATCH(BUILDING!U453,ITEM_RES!$J$5:$J$229,0)-1,0),0)</f>
        <v>0</v>
      </c>
      <c r="Y453" s="9">
        <f ca="1">IFERROR(OFFSET(ITEM_RES!$A$5,MATCH(BUILDING!X453,ITEM_RES!$J$5:$J$229,0)-1,0),0)</f>
        <v>0</v>
      </c>
      <c r="AA453" s="9" t="s">
        <v>519</v>
      </c>
      <c r="AB453" s="9">
        <v>9</v>
      </c>
      <c r="AD453" s="11">
        <f ca="1">IFERROR(OFFSET(MANOR_LEVEL!$B$1,MATCH(AE453-1,MANOR_LEVEL!$A:$A,0)-1,0),0)</f>
        <v>310</v>
      </c>
      <c r="AE453" s="56">
        <v>3</v>
      </c>
      <c r="AG453" s="56">
        <f t="shared" ca="1" si="116"/>
        <v>93750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93750</v>
      </c>
      <c r="AI453" s="179">
        <f t="shared" ca="1" si="118"/>
        <v>144250</v>
      </c>
      <c r="AK453" s="11">
        <f t="shared" si="115"/>
        <v>5400</v>
      </c>
      <c r="AL453" s="10">
        <v>5400</v>
      </c>
      <c r="AM453" s="11">
        <f t="shared" si="122"/>
        <v>150</v>
      </c>
      <c r="AN453" s="10">
        <v>150</v>
      </c>
      <c r="AO453" s="11">
        <f t="shared" si="122"/>
        <v>0</v>
      </c>
      <c r="AP453" s="10">
        <v>0</v>
      </c>
      <c r="AQ453" s="56">
        <f t="shared" si="117"/>
        <v>1</v>
      </c>
      <c r="AS453" s="11">
        <f ca="1">IFERROR(OFFSET(ITEM_RES!$A$1,MATCH(AT453,ITEM_RES!$J:$J,0)-1,0),0)</f>
        <v>211020501</v>
      </c>
      <c r="AT453" s="10" t="s">
        <v>428</v>
      </c>
      <c r="AU453" s="11">
        <v>78000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19"/>
        <v>114010010</v>
      </c>
      <c r="B454" s="13">
        <v>11</v>
      </c>
      <c r="C454" s="12">
        <f t="shared" si="120"/>
        <v>4</v>
      </c>
      <c r="D454" s="13">
        <v>1</v>
      </c>
      <c r="E454" s="13">
        <v>0</v>
      </c>
      <c r="F454" s="12">
        <f t="shared" si="121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141"/>
      <c r="S454" s="9" t="s">
        <v>695</v>
      </c>
      <c r="V454" s="9">
        <f ca="1">IFERROR(OFFSET(ITEM_RES!$A$5,MATCH(BUILDING!U454,ITEM_RES!$J$5:$J$229,0)-1,0),0)</f>
        <v>0</v>
      </c>
      <c r="Y454" s="9">
        <f ca="1">IFERROR(OFFSET(ITEM_RES!$A$5,MATCH(BUILDING!X454,ITEM_RES!$J$5:$J$229,0)-1,0),0)</f>
        <v>0</v>
      </c>
      <c r="AA454" s="9" t="s">
        <v>519</v>
      </c>
      <c r="AB454" s="9">
        <v>10</v>
      </c>
      <c r="AD454" s="11">
        <f ca="1">IFERROR(OFFSET(MANOR_LEVEL!$B$1,MATCH(AE454-1,MANOR_LEVEL!$A:$A,0)-1,0),0)</f>
        <v>310</v>
      </c>
      <c r="AE454" s="56">
        <v>3</v>
      </c>
      <c r="AG454" s="56">
        <f t="shared" ca="1" si="116"/>
        <v>156200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156200</v>
      </c>
      <c r="AI454" s="179">
        <f t="shared" ca="1" si="118"/>
        <v>249950</v>
      </c>
      <c r="AK454" s="11">
        <f t="shared" si="115"/>
        <v>7200</v>
      </c>
      <c r="AL454" s="10">
        <v>7200</v>
      </c>
      <c r="AM454" s="11">
        <f t="shared" si="122"/>
        <v>200</v>
      </c>
      <c r="AN454" s="10">
        <v>200</v>
      </c>
      <c r="AO454" s="11">
        <f t="shared" si="122"/>
        <v>0</v>
      </c>
      <c r="AP454" s="10">
        <v>0</v>
      </c>
      <c r="AQ454" s="56">
        <f t="shared" si="117"/>
        <v>1</v>
      </c>
      <c r="AS454" s="11">
        <f ca="1">IFERROR(OFFSET(ITEM_RES!$A$1,MATCH(AT454,ITEM_RES!$J:$J,0)-1,0),0)</f>
        <v>211020501</v>
      </c>
      <c r="AT454" s="10" t="s">
        <v>428</v>
      </c>
      <c r="AU454" s="11">
        <v>130000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19"/>
        <v>114010011</v>
      </c>
      <c r="B455" s="13">
        <v>11</v>
      </c>
      <c r="C455" s="12">
        <f t="shared" si="120"/>
        <v>4</v>
      </c>
      <c r="D455" s="13">
        <v>1</v>
      </c>
      <c r="E455" s="13">
        <v>0</v>
      </c>
      <c r="F455" s="12">
        <f t="shared" si="121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141"/>
      <c r="S455" s="9" t="s">
        <v>695</v>
      </c>
      <c r="V455" s="9">
        <f ca="1">IFERROR(OFFSET(ITEM_RES!$A$5,MATCH(BUILDING!U455,ITEM_RES!$J$5:$J$229,0)-1,0),0)</f>
        <v>0</v>
      </c>
      <c r="Y455" s="9">
        <f ca="1">IFERROR(OFFSET(ITEM_RES!$A$5,MATCH(BUILDING!X455,ITEM_RES!$J$5:$J$229,0)-1,0),0)</f>
        <v>0</v>
      </c>
      <c r="AA455" s="9" t="s">
        <v>519</v>
      </c>
      <c r="AB455" s="9">
        <v>11</v>
      </c>
      <c r="AD455" s="11">
        <f ca="1">IFERROR(OFFSET(MANOR_LEVEL!$B$1,MATCH(AE455-1,MANOR_LEVEL!$A:$A,0)-1,0),0)</f>
        <v>310</v>
      </c>
      <c r="AE455" s="56">
        <v>3</v>
      </c>
      <c r="AG455" s="56">
        <f t="shared" ca="1" si="116"/>
        <v>264250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264250</v>
      </c>
      <c r="AI455" s="179">
        <f t="shared" ca="1" si="118"/>
        <v>420450</v>
      </c>
      <c r="AK455" s="11">
        <f t="shared" si="115"/>
        <v>9000</v>
      </c>
      <c r="AL455" s="10">
        <v>9000</v>
      </c>
      <c r="AM455" s="11">
        <f t="shared" si="122"/>
        <v>250</v>
      </c>
      <c r="AN455" s="10">
        <v>250</v>
      </c>
      <c r="AO455" s="11">
        <f t="shared" si="122"/>
        <v>0</v>
      </c>
      <c r="AP455" s="10">
        <v>0</v>
      </c>
      <c r="AQ455" s="56">
        <f t="shared" si="117"/>
        <v>1</v>
      </c>
      <c r="AS455" s="11">
        <f ca="1">IFERROR(OFFSET(ITEM_RES!$A$1,MATCH(AT455,ITEM_RES!$J:$J,0)-1,0),0)</f>
        <v>211020501</v>
      </c>
      <c r="AT455" s="10" t="s">
        <v>428</v>
      </c>
      <c r="AU455" s="11">
        <v>220000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19"/>
        <v>114010012</v>
      </c>
      <c r="B456" s="13">
        <v>11</v>
      </c>
      <c r="C456" s="12">
        <f t="shared" si="120"/>
        <v>4</v>
      </c>
      <c r="D456" s="13">
        <v>1</v>
      </c>
      <c r="E456" s="13">
        <v>0</v>
      </c>
      <c r="F456" s="12">
        <f t="shared" si="121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141"/>
      <c r="S456" s="9" t="s">
        <v>695</v>
      </c>
      <c r="V456" s="9">
        <f ca="1">IFERROR(OFFSET(ITEM_RES!$A$5,MATCH(BUILDING!U456,ITEM_RES!$J$5:$J$229,0)-1,0),0)</f>
        <v>0</v>
      </c>
      <c r="Y456" s="9">
        <f ca="1">IFERROR(OFFSET(ITEM_RES!$A$5,MATCH(BUILDING!X456,ITEM_RES!$J$5:$J$229,0)-1,0),0)</f>
        <v>0</v>
      </c>
      <c r="AA456" s="9" t="s">
        <v>519</v>
      </c>
      <c r="AB456" s="9">
        <v>12</v>
      </c>
      <c r="AD456" s="11">
        <f ca="1">IFERROR(OFFSET(MANOR_LEVEL!$B$1,MATCH(AE456-1,MANOR_LEVEL!$A:$A,0)-1,0),0)</f>
        <v>930</v>
      </c>
      <c r="AE456" s="56">
        <v>4</v>
      </c>
      <c r="AG456" s="56">
        <f t="shared" ca="1" si="116"/>
        <v>444300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444300</v>
      </c>
      <c r="AI456" s="179">
        <f t="shared" ca="1" si="118"/>
        <v>708550</v>
      </c>
      <c r="AK456" s="11">
        <f t="shared" si="115"/>
        <v>10800</v>
      </c>
      <c r="AL456" s="10">
        <v>10800</v>
      </c>
      <c r="AM456" s="11">
        <f t="shared" si="122"/>
        <v>300</v>
      </c>
      <c r="AN456" s="10">
        <v>300</v>
      </c>
      <c r="AO456" s="11">
        <f t="shared" si="122"/>
        <v>0</v>
      </c>
      <c r="AP456" s="10">
        <v>0</v>
      </c>
      <c r="AQ456" s="56">
        <f t="shared" si="117"/>
        <v>1</v>
      </c>
      <c r="AS456" s="11">
        <f ca="1">IFERROR(OFFSET(ITEM_RES!$A$1,MATCH(AT456,ITEM_RES!$J:$J,0)-1,0),0)</f>
        <v>211020501</v>
      </c>
      <c r="AT456" s="10" t="s">
        <v>428</v>
      </c>
      <c r="AU456" s="11">
        <v>370000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19"/>
        <v>114010013</v>
      </c>
      <c r="B457" s="13">
        <v>11</v>
      </c>
      <c r="C457" s="12">
        <f t="shared" si="120"/>
        <v>4</v>
      </c>
      <c r="D457" s="13">
        <v>1</v>
      </c>
      <c r="E457" s="13">
        <v>0</v>
      </c>
      <c r="F457" s="12">
        <f t="shared" si="121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141"/>
      <c r="S457" s="9" t="s">
        <v>695</v>
      </c>
      <c r="V457" s="9">
        <f ca="1">IFERROR(OFFSET(ITEM_RES!$A$5,MATCH(BUILDING!U457,ITEM_RES!$J$5:$J$229,0)-1,0),0)</f>
        <v>0</v>
      </c>
      <c r="Y457" s="9">
        <f ca="1">IFERROR(OFFSET(ITEM_RES!$A$5,MATCH(BUILDING!X457,ITEM_RES!$J$5:$J$229,0)-1,0),0)</f>
        <v>0</v>
      </c>
      <c r="AA457" s="9" t="s">
        <v>519</v>
      </c>
      <c r="AB457" s="9">
        <v>13</v>
      </c>
      <c r="AD457" s="11">
        <f ca="1">IFERROR(OFFSET(MANOR_LEVEL!$B$1,MATCH(AE457-1,MANOR_LEVEL!$A:$A,0)-1,0),0)</f>
        <v>930</v>
      </c>
      <c r="AE457" s="56">
        <v>4</v>
      </c>
      <c r="AG457" s="56">
        <f t="shared" ca="1" si="116"/>
        <v>749350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749350</v>
      </c>
      <c r="AI457" s="179">
        <f t="shared" ca="1" si="118"/>
        <v>1193650</v>
      </c>
      <c r="AK457" s="11">
        <f t="shared" si="115"/>
        <v>12600</v>
      </c>
      <c r="AL457" s="10">
        <v>12600</v>
      </c>
      <c r="AM457" s="11">
        <f t="shared" si="122"/>
        <v>350</v>
      </c>
      <c r="AN457" s="10">
        <v>350</v>
      </c>
      <c r="AO457" s="11">
        <f t="shared" si="122"/>
        <v>0</v>
      </c>
      <c r="AP457" s="10">
        <v>0</v>
      </c>
      <c r="AQ457" s="56">
        <f t="shared" si="117"/>
        <v>2</v>
      </c>
      <c r="AS457" s="11">
        <f ca="1">IFERROR(OFFSET(ITEM_RES!$A$1,MATCH(AT457,ITEM_RES!$J:$J,0)-1,0),0)</f>
        <v>211020501</v>
      </c>
      <c r="AT457" s="10" t="s">
        <v>428</v>
      </c>
      <c r="AU457" s="11">
        <v>620000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463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19"/>
        <v>114010014</v>
      </c>
      <c r="B458" s="13">
        <v>11</v>
      </c>
      <c r="C458" s="12">
        <f t="shared" si="120"/>
        <v>4</v>
      </c>
      <c r="D458" s="13">
        <v>1</v>
      </c>
      <c r="E458" s="13">
        <v>0</v>
      </c>
      <c r="F458" s="12">
        <f t="shared" si="121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141"/>
      <c r="S458" s="9" t="s">
        <v>695</v>
      </c>
      <c r="V458" s="9">
        <f ca="1">IFERROR(OFFSET(ITEM_RES!$A$5,MATCH(BUILDING!U458,ITEM_RES!$J$5:$J$229,0)-1,0),0)</f>
        <v>0</v>
      </c>
      <c r="Y458" s="9">
        <f ca="1">IFERROR(OFFSET(ITEM_RES!$A$5,MATCH(BUILDING!X458,ITEM_RES!$J$5:$J$229,0)-1,0),0)</f>
        <v>0</v>
      </c>
      <c r="AA458" s="9" t="s">
        <v>519</v>
      </c>
      <c r="AB458" s="9">
        <v>14</v>
      </c>
      <c r="AD458" s="11">
        <f ca="1">IFERROR(OFFSET(MANOR_LEVEL!$B$1,MATCH(AE458-1,MANOR_LEVEL!$A:$A,0)-1,0),0)</f>
        <v>930</v>
      </c>
      <c r="AE458" s="56">
        <v>4</v>
      </c>
      <c r="AG458" s="56">
        <f t="shared" ca="1" si="116"/>
        <v>1164450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1164450</v>
      </c>
      <c r="AI458" s="179">
        <f t="shared" ca="1" si="118"/>
        <v>1913800</v>
      </c>
      <c r="AK458" s="11">
        <f t="shared" si="115"/>
        <v>14400</v>
      </c>
      <c r="AL458" s="10">
        <v>14400</v>
      </c>
      <c r="AM458" s="11">
        <f t="shared" si="122"/>
        <v>450</v>
      </c>
      <c r="AN458" s="10">
        <v>450</v>
      </c>
      <c r="AO458" s="11">
        <f t="shared" si="122"/>
        <v>0</v>
      </c>
      <c r="AP458" s="10">
        <v>0</v>
      </c>
      <c r="AQ458" s="56">
        <f t="shared" si="117"/>
        <v>1</v>
      </c>
      <c r="AS458" s="11">
        <f ca="1">IFERROR(OFFSET(ITEM_RES!$A$1,MATCH(AT458,ITEM_RES!$J:$J,0)-1,0),0)</f>
        <v>211020501</v>
      </c>
      <c r="AT458" s="10" t="s">
        <v>428</v>
      </c>
      <c r="AU458" s="11">
        <v>970000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19"/>
        <v>114010015</v>
      </c>
      <c r="B459" s="13">
        <v>11</v>
      </c>
      <c r="C459" s="12">
        <f t="shared" si="120"/>
        <v>4</v>
      </c>
      <c r="D459" s="13">
        <v>1</v>
      </c>
      <c r="E459" s="13">
        <v>0</v>
      </c>
      <c r="F459" s="12">
        <f t="shared" si="121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141"/>
      <c r="S459" s="9" t="s">
        <v>695</v>
      </c>
      <c r="V459" s="9">
        <f ca="1">IFERROR(OFFSET(ITEM_RES!$A$5,MATCH(BUILDING!U459,ITEM_RES!$J$5:$J$229,0)-1,0),0)</f>
        <v>0</v>
      </c>
      <c r="Y459" s="9">
        <f ca="1">IFERROR(OFFSET(ITEM_RES!$A$5,MATCH(BUILDING!X459,ITEM_RES!$J$5:$J$229,0)-1,0),0)</f>
        <v>0</v>
      </c>
      <c r="AA459" s="9" t="s">
        <v>519</v>
      </c>
      <c r="AB459" s="9">
        <v>15</v>
      </c>
      <c r="AD459" s="11">
        <f ca="1">IFERROR(OFFSET(MANOR_LEVEL!$B$1,MATCH(AE459-1,MANOR_LEVEL!$A:$A,0)-1,0),0)</f>
        <v>5475</v>
      </c>
      <c r="AE459" s="56">
        <v>5</v>
      </c>
      <c r="AG459" s="56">
        <f t="shared" ca="1" si="116"/>
        <v>2520550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2520550</v>
      </c>
      <c r="AI459" s="179">
        <f t="shared" ca="1" si="118"/>
        <v>3685000</v>
      </c>
      <c r="AK459" s="11">
        <f t="shared" si="115"/>
        <v>16200</v>
      </c>
      <c r="AL459" s="10">
        <v>16200</v>
      </c>
      <c r="AM459" s="11">
        <f t="shared" si="122"/>
        <v>550</v>
      </c>
      <c r="AN459" s="10">
        <v>550</v>
      </c>
      <c r="AO459" s="11">
        <f t="shared" si="122"/>
        <v>0</v>
      </c>
      <c r="AP459" s="10">
        <v>0</v>
      </c>
      <c r="AQ459" s="56">
        <f t="shared" si="117"/>
        <v>1</v>
      </c>
      <c r="AS459" s="11">
        <f ca="1">IFERROR(OFFSET(ITEM_RES!$A$1,MATCH(AT459,ITEM_RES!$J:$J,0)-1,0),0)</f>
        <v>211020501</v>
      </c>
      <c r="AT459" s="10" t="s">
        <v>428</v>
      </c>
      <c r="AU459" s="11">
        <v>2100000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19"/>
        <v>114010016</v>
      </c>
      <c r="B460" s="13">
        <v>11</v>
      </c>
      <c r="C460" s="12">
        <f t="shared" si="120"/>
        <v>4</v>
      </c>
      <c r="D460" s="13">
        <v>1</v>
      </c>
      <c r="E460" s="13">
        <v>0</v>
      </c>
      <c r="F460" s="12">
        <f t="shared" si="121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141"/>
      <c r="S460" s="9" t="s">
        <v>695</v>
      </c>
      <c r="V460" s="9">
        <f ca="1">IFERROR(OFFSET(ITEM_RES!$A$5,MATCH(BUILDING!U460,ITEM_RES!$J$5:$J$229,0)-1,0),0)</f>
        <v>0</v>
      </c>
      <c r="Y460" s="9">
        <f ca="1">IFERROR(OFFSET(ITEM_RES!$A$5,MATCH(BUILDING!X460,ITEM_RES!$J$5:$J$229,0)-1,0),0)</f>
        <v>0</v>
      </c>
      <c r="AA460" s="9" t="s">
        <v>519</v>
      </c>
      <c r="AB460" s="9">
        <v>16</v>
      </c>
      <c r="AD460" s="11">
        <f ca="1">IFERROR(OFFSET(MANOR_LEVEL!$B$1,MATCH(AE460-1,MANOR_LEVEL!$A:$A,0)-1,0),0)</f>
        <v>5475</v>
      </c>
      <c r="AE460" s="56">
        <v>5</v>
      </c>
      <c r="AG460" s="56">
        <f t="shared" ca="1" si="116"/>
        <v>5160700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5160700</v>
      </c>
      <c r="AI460" s="179">
        <f t="shared" ca="1" si="118"/>
        <v>7681250</v>
      </c>
      <c r="AK460" s="11">
        <f t="shared" si="115"/>
        <v>18000</v>
      </c>
      <c r="AL460" s="10">
        <v>18000</v>
      </c>
      <c r="AM460" s="11">
        <f t="shared" si="122"/>
        <v>700</v>
      </c>
      <c r="AN460" s="10">
        <v>700</v>
      </c>
      <c r="AO460" s="11">
        <f t="shared" si="122"/>
        <v>0</v>
      </c>
      <c r="AP460" s="10">
        <v>0</v>
      </c>
      <c r="AQ460" s="56">
        <f t="shared" si="117"/>
        <v>1</v>
      </c>
      <c r="AS460" s="11">
        <f ca="1">IFERROR(OFFSET(ITEM_RES!$A$1,MATCH(AT460,ITEM_RES!$J:$J,0)-1,0),0)</f>
        <v>211020501</v>
      </c>
      <c r="AT460" s="10" t="s">
        <v>428</v>
      </c>
      <c r="AU460" s="11">
        <v>4300000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19"/>
        <v>114010017</v>
      </c>
      <c r="B461" s="13">
        <v>11</v>
      </c>
      <c r="C461" s="12">
        <f t="shared" si="120"/>
        <v>4</v>
      </c>
      <c r="D461" s="13">
        <v>1</v>
      </c>
      <c r="E461" s="13">
        <v>0</v>
      </c>
      <c r="F461" s="12">
        <f t="shared" si="121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141"/>
      <c r="S461" s="9" t="s">
        <v>695</v>
      </c>
      <c r="V461" s="9">
        <f ca="1">IFERROR(OFFSET(ITEM_RES!$A$5,MATCH(BUILDING!U461,ITEM_RES!$J$5:$J$229,0)-1,0),0)</f>
        <v>0</v>
      </c>
      <c r="Y461" s="9">
        <f ca="1">IFERROR(OFFSET(ITEM_RES!$A$5,MATCH(BUILDING!X461,ITEM_RES!$J$5:$J$229,0)-1,0),0)</f>
        <v>0</v>
      </c>
      <c r="AA461" s="9" t="s">
        <v>519</v>
      </c>
      <c r="AB461" s="9">
        <v>17</v>
      </c>
      <c r="AD461" s="11">
        <f ca="1">IFERROR(OFFSET(MANOR_LEVEL!$B$1,MATCH(AE461-1,MANOR_LEVEL!$A:$A,0)-1,0),0)</f>
        <v>32560</v>
      </c>
      <c r="AE461" s="56">
        <v>6</v>
      </c>
      <c r="AG461" s="56">
        <f t="shared" ca="1" si="116"/>
        <v>9600850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9600850</v>
      </c>
      <c r="AI461" s="179">
        <f t="shared" ca="1" si="118"/>
        <v>14761550</v>
      </c>
      <c r="AK461" s="11">
        <f t="shared" si="115"/>
        <v>19800</v>
      </c>
      <c r="AL461" s="10">
        <v>19800</v>
      </c>
      <c r="AM461" s="11">
        <f t="shared" si="122"/>
        <v>850</v>
      </c>
      <c r="AN461" s="10">
        <v>850</v>
      </c>
      <c r="AO461" s="11">
        <f t="shared" si="122"/>
        <v>0</v>
      </c>
      <c r="AP461" s="10">
        <v>0</v>
      </c>
      <c r="AQ461" s="56">
        <f t="shared" si="117"/>
        <v>1</v>
      </c>
      <c r="AS461" s="11">
        <f ca="1">IFERROR(OFFSET(ITEM_RES!$A$1,MATCH(AT461,ITEM_RES!$J:$J,0)-1,0),0)</f>
        <v>211020501</v>
      </c>
      <c r="AT461" s="10" t="s">
        <v>428</v>
      </c>
      <c r="AU461" s="11">
        <v>8000000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19"/>
        <v>114010018</v>
      </c>
      <c r="B462" s="13">
        <v>11</v>
      </c>
      <c r="C462" s="12">
        <f t="shared" si="120"/>
        <v>4</v>
      </c>
      <c r="D462" s="13">
        <v>1</v>
      </c>
      <c r="E462" s="13">
        <v>0</v>
      </c>
      <c r="F462" s="12">
        <f t="shared" si="121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141"/>
      <c r="S462" s="9" t="s">
        <v>695</v>
      </c>
      <c r="V462" s="9">
        <f ca="1">IFERROR(OFFSET(ITEM_RES!$A$5,MATCH(BUILDING!U462,ITEM_RES!$J$5:$J$229,0)-1,0),0)</f>
        <v>0</v>
      </c>
      <c r="Y462" s="9">
        <f ca="1">IFERROR(OFFSET(ITEM_RES!$A$5,MATCH(BUILDING!X462,ITEM_RES!$J$5:$J$229,0)-1,0),0)</f>
        <v>0</v>
      </c>
      <c r="AA462" s="9" t="s">
        <v>519</v>
      </c>
      <c r="AB462" s="9">
        <v>18</v>
      </c>
      <c r="AD462" s="11">
        <f ca="1">IFERROR(OFFSET(MANOR_LEVEL!$B$1,MATCH(AE462-1,MANOR_LEVEL!$A:$A,0)-1,0),0)</f>
        <v>108200</v>
      </c>
      <c r="AE462" s="56">
        <v>7</v>
      </c>
      <c r="AG462" s="56">
        <f t="shared" ca="1" si="116"/>
        <v>15601050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15601050</v>
      </c>
      <c r="AI462" s="179">
        <f t="shared" ca="1" si="118"/>
        <v>25201900</v>
      </c>
      <c r="AK462" s="11">
        <f t="shared" si="115"/>
        <v>21600</v>
      </c>
      <c r="AL462" s="10">
        <v>21600</v>
      </c>
      <c r="AM462" s="11">
        <f t="shared" si="122"/>
        <v>1050</v>
      </c>
      <c r="AN462" s="10">
        <v>1050</v>
      </c>
      <c r="AO462" s="11">
        <f t="shared" si="122"/>
        <v>0</v>
      </c>
      <c r="AP462" s="10">
        <v>0</v>
      </c>
      <c r="AQ462" s="56">
        <f t="shared" si="117"/>
        <v>1</v>
      </c>
      <c r="AS462" s="11">
        <f ca="1">IFERROR(OFFSET(ITEM_RES!$A$1,MATCH(AT462,ITEM_RES!$J:$J,0)-1,0),0)</f>
        <v>211020501</v>
      </c>
      <c r="AT462" s="10" t="s">
        <v>428</v>
      </c>
      <c r="AU462" s="11">
        <v>13000000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19"/>
        <v>114010019</v>
      </c>
      <c r="B463" s="13">
        <v>11</v>
      </c>
      <c r="C463" s="12">
        <f t="shared" si="120"/>
        <v>4</v>
      </c>
      <c r="D463" s="13">
        <v>1</v>
      </c>
      <c r="E463" s="13">
        <v>0</v>
      </c>
      <c r="F463" s="12">
        <f t="shared" si="121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141"/>
      <c r="S463" s="9" t="s">
        <v>695</v>
      </c>
      <c r="V463" s="9">
        <f ca="1">IFERROR(OFFSET(ITEM_RES!$A$5,MATCH(BUILDING!U463,ITEM_RES!$J$5:$J$229,0)-1,0),0)</f>
        <v>0</v>
      </c>
      <c r="Y463" s="9">
        <f ca="1">IFERROR(OFFSET(ITEM_RES!$A$5,MATCH(BUILDING!X463,ITEM_RES!$J$5:$J$229,0)-1,0),0)</f>
        <v>0</v>
      </c>
      <c r="AA463" s="9" t="s">
        <v>519</v>
      </c>
      <c r="AB463" s="9">
        <v>19</v>
      </c>
      <c r="AD463" s="11">
        <f ca="1">IFERROR(OFFSET(MANOR_LEVEL!$B$1,MATCH(AE463-1,MANOR_LEVEL!$A:$A,0)-1,0),0)</f>
        <v>108200</v>
      </c>
      <c r="AE463" s="56">
        <v>7</v>
      </c>
      <c r="AG463" s="56">
        <f t="shared" ca="1" si="116"/>
        <v>24001250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24001250</v>
      </c>
      <c r="AI463" s="179">
        <f t="shared" ca="1" si="118"/>
        <v>39602300</v>
      </c>
      <c r="AK463" s="11">
        <f t="shared" si="115"/>
        <v>23400</v>
      </c>
      <c r="AL463" s="10">
        <v>23400</v>
      </c>
      <c r="AM463" s="11">
        <f t="shared" si="122"/>
        <v>1250</v>
      </c>
      <c r="AN463" s="10">
        <v>1250</v>
      </c>
      <c r="AO463" s="11">
        <f t="shared" si="122"/>
        <v>0</v>
      </c>
      <c r="AP463" s="10">
        <v>0</v>
      </c>
      <c r="AQ463" s="56">
        <f t="shared" si="117"/>
        <v>1</v>
      </c>
      <c r="AS463" s="11">
        <f ca="1">IFERROR(OFFSET(ITEM_RES!$A$1,MATCH(AT463,ITEM_RES!$J:$J,0)-1,0),0)</f>
        <v>211020501</v>
      </c>
      <c r="AT463" s="10" t="s">
        <v>428</v>
      </c>
      <c r="AU463" s="11">
        <v>20000000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19"/>
        <v>114010020</v>
      </c>
      <c r="B464" s="13">
        <v>11</v>
      </c>
      <c r="C464" s="12">
        <f t="shared" si="120"/>
        <v>4</v>
      </c>
      <c r="D464" s="13">
        <v>1</v>
      </c>
      <c r="E464" s="13">
        <v>0</v>
      </c>
      <c r="F464" s="12">
        <f t="shared" si="121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141"/>
      <c r="S464" s="9" t="s">
        <v>695</v>
      </c>
      <c r="V464" s="9">
        <f ca="1">IFERROR(OFFSET(ITEM_RES!$A$5,MATCH(BUILDING!U464,ITEM_RES!$J$5:$J$229,0)-1,0),0)</f>
        <v>0</v>
      </c>
      <c r="Y464" s="9">
        <f ca="1">IFERROR(OFFSET(ITEM_RES!$A$5,MATCH(BUILDING!X464,ITEM_RES!$J$5:$J$229,0)-1,0),0)</f>
        <v>0</v>
      </c>
      <c r="AA464" s="9" t="s">
        <v>519</v>
      </c>
      <c r="AB464" s="9">
        <v>20</v>
      </c>
      <c r="AD464" s="11">
        <f ca="1">IFERROR(OFFSET(MANOR_LEVEL!$B$1,MATCH(AE464-1,MANOR_LEVEL!$A:$A,0)-1,0),0)</f>
        <v>108200</v>
      </c>
      <c r="AE464" s="56">
        <v>7</v>
      </c>
      <c r="AG464" s="56">
        <f t="shared" ca="1" si="116"/>
        <v>38401500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38401500</v>
      </c>
      <c r="AI464" s="179">
        <f t="shared" ca="1" si="118"/>
        <v>62402750</v>
      </c>
      <c r="AK464" s="11">
        <f t="shared" si="115"/>
        <v>25200</v>
      </c>
      <c r="AL464" s="10">
        <v>25200</v>
      </c>
      <c r="AM464" s="11">
        <f t="shared" si="122"/>
        <v>1500</v>
      </c>
      <c r="AN464" s="10">
        <v>1500</v>
      </c>
      <c r="AO464" s="11">
        <f t="shared" si="122"/>
        <v>0</v>
      </c>
      <c r="AP464" s="10">
        <v>0</v>
      </c>
      <c r="AQ464" s="56">
        <f t="shared" si="117"/>
        <v>1</v>
      </c>
      <c r="AS464" s="11">
        <f ca="1">IFERROR(OFFSET(ITEM_RES!$A$1,MATCH(AT464,ITEM_RES!$J:$J,0)-1,0),0)</f>
        <v>211020501</v>
      </c>
      <c r="AT464" s="10" t="s">
        <v>428</v>
      </c>
      <c r="AU464" s="11">
        <v>32000000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19"/>
        <v>114020001</v>
      </c>
      <c r="B465" s="20">
        <v>11</v>
      </c>
      <c r="C465" s="19">
        <f t="shared" si="120"/>
        <v>4</v>
      </c>
      <c r="D465" s="20">
        <v>2</v>
      </c>
      <c r="E465" s="20">
        <v>0</v>
      </c>
      <c r="F465" s="19">
        <f t="shared" si="121"/>
        <v>1</v>
      </c>
      <c r="G465" s="78"/>
      <c r="H465" s="16">
        <v>4</v>
      </c>
      <c r="I465" s="16">
        <v>1</v>
      </c>
      <c r="J465" s="78"/>
      <c r="K465" s="16" t="s">
        <v>373</v>
      </c>
      <c r="L465" s="16">
        <v>1</v>
      </c>
      <c r="M465" s="16">
        <v>1</v>
      </c>
      <c r="N465" s="16">
        <v>15</v>
      </c>
      <c r="O465" s="16" t="s">
        <v>1154</v>
      </c>
      <c r="P465" s="17"/>
      <c r="Q465" s="17"/>
      <c r="R465" s="18"/>
      <c r="S465" s="16" t="s">
        <v>696</v>
      </c>
      <c r="T465" s="78"/>
      <c r="U465" s="86"/>
      <c r="V465" s="16">
        <f ca="1">IFERROR(OFFSET(ITEM_RES!$A$5,MATCH(BUILDING!U465,ITEM_RES!$J$5:$J$229,0)-1,0),0)</f>
        <v>0</v>
      </c>
      <c r="W465" s="18"/>
      <c r="X465" s="86"/>
      <c r="Y465" s="16">
        <f ca="1">IFERROR(OFFSET(ITEM_RES!$A$5,MATCH(BUILDING!X465,ITEM_RES!$J$5:$J$229,0)-1,0),0)</f>
        <v>0</v>
      </c>
      <c r="Z465" s="78"/>
      <c r="AA465" s="16" t="s">
        <v>520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16"/>
        <v>1280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1280</v>
      </c>
      <c r="AI465" s="181">
        <f ca="1">AG465</f>
        <v>1280</v>
      </c>
      <c r="AJ465" s="78"/>
      <c r="AK465" s="18">
        <f t="shared" si="115"/>
        <v>5</v>
      </c>
      <c r="AL465" s="17">
        <v>5</v>
      </c>
      <c r="AM465" s="18">
        <f t="shared" si="122"/>
        <v>5</v>
      </c>
      <c r="AN465" s="17">
        <v>5</v>
      </c>
      <c r="AO465" s="18">
        <f t="shared" si="122"/>
        <v>0</v>
      </c>
      <c r="AP465" s="17">
        <v>0</v>
      </c>
      <c r="AQ465" s="57">
        <f t="shared" si="117"/>
        <v>3</v>
      </c>
      <c r="AR465" s="18"/>
      <c r="AS465" s="18">
        <f ca="1">IFERROR(OFFSET(ITEM_RES!$A$1,MATCH(AT465,ITEM_RES!$J:$J,0)-1,0),0)</f>
        <v>211020801</v>
      </c>
      <c r="AT465" s="17" t="s">
        <v>431</v>
      </c>
      <c r="AU465" s="18">
        <v>25</v>
      </c>
      <c r="AV465" s="17"/>
      <c r="AW465" s="18"/>
      <c r="AX465" s="18">
        <f ca="1">IFERROR(OFFSET(ITEM_RES!$A$1,MATCH(AY465,ITEM_RES!$J:$J,0)-1,0),0)</f>
        <v>211020401</v>
      </c>
      <c r="AY465" s="17" t="s">
        <v>1078</v>
      </c>
      <c r="AZ465" s="18">
        <v>25</v>
      </c>
      <c r="BA465" s="17"/>
      <c r="BB465" s="18"/>
      <c r="BC465" s="18">
        <f ca="1">IFERROR(OFFSET(ITEM_RES!$A$1,MATCH(BD465,ITEM_RES!$J:$J,0)-1,0),0)</f>
        <v>213010101</v>
      </c>
      <c r="BD465" s="17" t="s">
        <v>445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19"/>
        <v>114020002</v>
      </c>
      <c r="B466" s="13">
        <v>11</v>
      </c>
      <c r="C466" s="12">
        <f t="shared" si="120"/>
        <v>4</v>
      </c>
      <c r="D466" s="13">
        <v>2</v>
      </c>
      <c r="E466" s="13">
        <v>0</v>
      </c>
      <c r="F466" s="12">
        <f t="shared" si="121"/>
        <v>2</v>
      </c>
      <c r="H466" s="9">
        <v>4</v>
      </c>
      <c r="I466" s="9">
        <v>2</v>
      </c>
      <c r="K466" s="9" t="s">
        <v>373</v>
      </c>
      <c r="M466" s="9">
        <v>1</v>
      </c>
      <c r="N466" s="9">
        <v>15</v>
      </c>
      <c r="O466" s="9" t="s">
        <v>1152</v>
      </c>
      <c r="S466" s="9" t="s">
        <v>696</v>
      </c>
      <c r="V466" s="9">
        <f ca="1">IFERROR(OFFSET(ITEM_RES!$A$5,MATCH(BUILDING!U466,ITEM_RES!$J$5:$J$229,0)-1,0),0)</f>
        <v>0</v>
      </c>
      <c r="Y466" s="9">
        <f ca="1">IFERROR(OFFSET(ITEM_RES!$A$5,MATCH(BUILDING!X466,ITEM_RES!$J$5:$J$229,0)-1,0),0)</f>
        <v>0</v>
      </c>
      <c r="AA466" s="9" t="s">
        <v>520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16"/>
        <v>560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560</v>
      </c>
      <c r="AI466" s="179">
        <f ca="1">AG465+AG466</f>
        <v>1840</v>
      </c>
      <c r="AK466" s="11">
        <f t="shared" si="115"/>
        <v>10</v>
      </c>
      <c r="AL466" s="10">
        <v>10</v>
      </c>
      <c r="AM466" s="11">
        <f t="shared" si="122"/>
        <v>10</v>
      </c>
      <c r="AN466" s="10">
        <v>10</v>
      </c>
      <c r="AO466" s="11">
        <f t="shared" si="122"/>
        <v>0</v>
      </c>
      <c r="AP466" s="10">
        <v>0</v>
      </c>
      <c r="AQ466" s="56">
        <f t="shared" si="117"/>
        <v>2</v>
      </c>
      <c r="AS466" s="11">
        <f ca="1">IFERROR(OFFSET(ITEM_RES!$A$1,MATCH(AT466,ITEM_RES!$J:$J,0)-1,0),0)</f>
        <v>211020801</v>
      </c>
      <c r="AT466" s="10" t="s">
        <v>431</v>
      </c>
      <c r="AU466" s="11">
        <v>50</v>
      </c>
      <c r="AX466" s="11">
        <f ca="1">IFERROR(OFFSET(ITEM_RES!$A$1,MATCH(AY466,ITEM_RES!$J:$J,0)-1,0),0)</f>
        <v>211020401</v>
      </c>
      <c r="AY466" s="10" t="s">
        <v>1078</v>
      </c>
      <c r="AZ466" s="11">
        <v>50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19"/>
        <v>114020003</v>
      </c>
      <c r="B467" s="13">
        <v>11</v>
      </c>
      <c r="C467" s="12">
        <f t="shared" si="120"/>
        <v>4</v>
      </c>
      <c r="D467" s="13">
        <v>2</v>
      </c>
      <c r="E467" s="13">
        <v>0</v>
      </c>
      <c r="F467" s="12">
        <f t="shared" si="121"/>
        <v>3</v>
      </c>
      <c r="H467" s="9">
        <v>4</v>
      </c>
      <c r="I467" s="9">
        <v>3</v>
      </c>
      <c r="K467" s="9" t="s">
        <v>373</v>
      </c>
      <c r="M467" s="9">
        <v>1</v>
      </c>
      <c r="N467" s="9">
        <v>15</v>
      </c>
      <c r="O467" s="9" t="s">
        <v>1153</v>
      </c>
      <c r="S467" s="9" t="s">
        <v>696</v>
      </c>
      <c r="V467" s="9">
        <f ca="1">IFERROR(OFFSET(ITEM_RES!$A$5,MATCH(BUILDING!U467,ITEM_RES!$J$5:$J$229,0)-1,0),0)</f>
        <v>0</v>
      </c>
      <c r="Y467" s="9">
        <f ca="1">IFERROR(OFFSET(ITEM_RES!$A$5,MATCH(BUILDING!X467,ITEM_RES!$J$5:$J$229,0)-1,0),0)</f>
        <v>0</v>
      </c>
      <c r="AA467" s="9" t="s">
        <v>520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16"/>
        <v>840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840</v>
      </c>
      <c r="AI467" s="179">
        <f t="shared" ref="AI467:AI484" ca="1" si="123">AG466+AG467</f>
        <v>1400</v>
      </c>
      <c r="AK467" s="11">
        <f t="shared" si="115"/>
        <v>30</v>
      </c>
      <c r="AL467" s="10">
        <v>30</v>
      </c>
      <c r="AM467" s="11">
        <f t="shared" si="122"/>
        <v>15</v>
      </c>
      <c r="AN467" s="10">
        <v>15</v>
      </c>
      <c r="AO467" s="11">
        <f t="shared" si="122"/>
        <v>0</v>
      </c>
      <c r="AP467" s="10">
        <v>0</v>
      </c>
      <c r="AQ467" s="56">
        <f t="shared" si="117"/>
        <v>2</v>
      </c>
      <c r="AS467" s="11">
        <f ca="1">IFERROR(OFFSET(ITEM_RES!$A$1,MATCH(AT467,ITEM_RES!$J:$J,0)-1,0),0)</f>
        <v>211020801</v>
      </c>
      <c r="AT467" s="10" t="s">
        <v>431</v>
      </c>
      <c r="AU467" s="11">
        <v>75</v>
      </c>
      <c r="AX467" s="11">
        <f ca="1">IFERROR(OFFSET(ITEM_RES!$A$1,MATCH(AY467,ITEM_RES!$J:$J,0)-1,0),0)</f>
        <v>211020401</v>
      </c>
      <c r="AY467" s="10" t="s">
        <v>1078</v>
      </c>
      <c r="AZ467" s="11">
        <v>75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19"/>
        <v>114020004</v>
      </c>
      <c r="B468" s="13">
        <v>11</v>
      </c>
      <c r="C468" s="12">
        <f t="shared" si="120"/>
        <v>4</v>
      </c>
      <c r="D468" s="13">
        <v>2</v>
      </c>
      <c r="E468" s="13">
        <v>0</v>
      </c>
      <c r="F468" s="12">
        <f t="shared" si="121"/>
        <v>4</v>
      </c>
      <c r="H468" s="9">
        <v>4</v>
      </c>
      <c r="I468" s="9">
        <v>4</v>
      </c>
      <c r="K468" s="9" t="s">
        <v>373</v>
      </c>
      <c r="M468" s="9">
        <v>1</v>
      </c>
      <c r="N468" s="9">
        <v>15</v>
      </c>
      <c r="O468" s="9" t="s">
        <v>1153</v>
      </c>
      <c r="S468" s="9" t="s">
        <v>696</v>
      </c>
      <c r="V468" s="9">
        <f ca="1">IFERROR(OFFSET(ITEM_RES!$A$5,MATCH(BUILDING!U468,ITEM_RES!$J$5:$J$229,0)-1,0),0)</f>
        <v>0</v>
      </c>
      <c r="Y468" s="9">
        <f ca="1">IFERROR(OFFSET(ITEM_RES!$A$5,MATCH(BUILDING!X468,ITEM_RES!$J$5:$J$229,0)-1,0),0)</f>
        <v>0</v>
      </c>
      <c r="AA468" s="9" t="s">
        <v>520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16"/>
        <v>3325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3325</v>
      </c>
      <c r="AI468" s="179">
        <f t="shared" ca="1" si="123"/>
        <v>4165</v>
      </c>
      <c r="AK468" s="11">
        <f t="shared" si="115"/>
        <v>300</v>
      </c>
      <c r="AL468" s="10">
        <v>300</v>
      </c>
      <c r="AM468" s="11">
        <f t="shared" si="122"/>
        <v>25</v>
      </c>
      <c r="AN468" s="10">
        <v>25</v>
      </c>
      <c r="AO468" s="11">
        <f t="shared" si="122"/>
        <v>0</v>
      </c>
      <c r="AP468" s="10">
        <v>0</v>
      </c>
      <c r="AQ468" s="56">
        <f t="shared" si="117"/>
        <v>2</v>
      </c>
      <c r="AS468" s="11">
        <f ca="1">IFERROR(OFFSET(ITEM_RES!$A$1,MATCH(AT468,ITEM_RES!$J:$J,0)-1,0),0)</f>
        <v>211020801</v>
      </c>
      <c r="AT468" s="10" t="s">
        <v>431</v>
      </c>
      <c r="AU468" s="11">
        <v>300</v>
      </c>
      <c r="AX468" s="11">
        <f ca="1">IFERROR(OFFSET(ITEM_RES!$A$1,MATCH(AY468,ITEM_RES!$J:$J,0)-1,0),0)</f>
        <v>211020401</v>
      </c>
      <c r="AY468" s="10" t="s">
        <v>1078</v>
      </c>
      <c r="AZ468" s="11">
        <v>300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19"/>
        <v>114020005</v>
      </c>
      <c r="B469" s="13">
        <v>11</v>
      </c>
      <c r="C469" s="12">
        <f t="shared" si="120"/>
        <v>4</v>
      </c>
      <c r="D469" s="13">
        <v>2</v>
      </c>
      <c r="E469" s="13">
        <v>0</v>
      </c>
      <c r="F469" s="12">
        <f t="shared" si="121"/>
        <v>5</v>
      </c>
      <c r="H469" s="9">
        <v>4</v>
      </c>
      <c r="I469" s="9">
        <v>5</v>
      </c>
      <c r="K469" s="9" t="s">
        <v>373</v>
      </c>
      <c r="M469" s="9">
        <v>1</v>
      </c>
      <c r="N469" s="9">
        <v>15</v>
      </c>
      <c r="O469" s="9" t="s">
        <v>1155</v>
      </c>
      <c r="S469" s="9" t="s">
        <v>696</v>
      </c>
      <c r="V469" s="9">
        <f ca="1">IFERROR(OFFSET(ITEM_RES!$A$5,MATCH(BUILDING!U469,ITEM_RES!$J$5:$J$229,0)-1,0),0)</f>
        <v>0</v>
      </c>
      <c r="Y469" s="9">
        <f ca="1">IFERROR(OFFSET(ITEM_RES!$A$5,MATCH(BUILDING!X469,ITEM_RES!$J$5:$J$229,0)-1,0),0)</f>
        <v>0</v>
      </c>
      <c r="AA469" s="9" t="s">
        <v>520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16"/>
        <v>14890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14890</v>
      </c>
      <c r="AI469" s="179">
        <f t="shared" ca="1" si="123"/>
        <v>18215</v>
      </c>
      <c r="AK469" s="11">
        <f t="shared" si="115"/>
        <v>600</v>
      </c>
      <c r="AL469" s="10">
        <v>600</v>
      </c>
      <c r="AM469" s="11">
        <f t="shared" si="122"/>
        <v>40</v>
      </c>
      <c r="AN469" s="10">
        <v>40</v>
      </c>
      <c r="AO469" s="11">
        <f t="shared" si="122"/>
        <v>0</v>
      </c>
      <c r="AP469" s="10">
        <v>0</v>
      </c>
      <c r="AQ469" s="56">
        <f t="shared" si="117"/>
        <v>2</v>
      </c>
      <c r="AS469" s="11">
        <f ca="1">IFERROR(OFFSET(ITEM_RES!$A$1,MATCH(AT469,ITEM_RES!$J:$J,0)-1,0),0)</f>
        <v>211020801</v>
      </c>
      <c r="AT469" s="10" t="s">
        <v>431</v>
      </c>
      <c r="AU469" s="11">
        <v>1350</v>
      </c>
      <c r="AX469" s="11">
        <f ca="1">IFERROR(OFFSET(ITEM_RES!$A$1,MATCH(AY469,ITEM_RES!$J:$J,0)-1,0),0)</f>
        <v>211020401</v>
      </c>
      <c r="AY469" s="10" t="s">
        <v>1078</v>
      </c>
      <c r="AZ469" s="11">
        <v>1350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19"/>
        <v>114020006</v>
      </c>
      <c r="B470" s="13">
        <v>11</v>
      </c>
      <c r="C470" s="12">
        <f t="shared" si="120"/>
        <v>4</v>
      </c>
      <c r="D470" s="13">
        <v>2</v>
      </c>
      <c r="E470" s="13">
        <v>0</v>
      </c>
      <c r="F470" s="12">
        <f t="shared" si="121"/>
        <v>6</v>
      </c>
      <c r="H470" s="9">
        <v>4</v>
      </c>
      <c r="I470" s="9">
        <v>6</v>
      </c>
      <c r="K470" s="9" t="s">
        <v>373</v>
      </c>
      <c r="M470" s="9">
        <v>1</v>
      </c>
      <c r="N470" s="9">
        <v>15</v>
      </c>
      <c r="O470" s="9" t="s">
        <v>1155</v>
      </c>
      <c r="S470" s="9" t="s">
        <v>696</v>
      </c>
      <c r="V470" s="9">
        <f ca="1">IFERROR(OFFSET(ITEM_RES!$A$5,MATCH(BUILDING!U470,ITEM_RES!$J$5:$J$229,0)-1,0),0)</f>
        <v>0</v>
      </c>
      <c r="Y470" s="9">
        <f ca="1">IFERROR(OFFSET(ITEM_RES!$A$5,MATCH(BUILDING!X470,ITEM_RES!$J$5:$J$229,0)-1,0),0)</f>
        <v>0</v>
      </c>
      <c r="AA470" s="9" t="s">
        <v>520</v>
      </c>
      <c r="AB470" s="9">
        <v>6</v>
      </c>
      <c r="AD470" s="11">
        <f ca="1">IFERROR(OFFSET(MANOR_LEVEL!$B$1,MATCH(AE470-1,MANOR_LEVEL!$A:$A,0)-1,0),0)</f>
        <v>310</v>
      </c>
      <c r="AE470" s="56">
        <v>3</v>
      </c>
      <c r="AG470" s="56">
        <f t="shared" ca="1" si="116"/>
        <v>49550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49550</v>
      </c>
      <c r="AI470" s="179">
        <f t="shared" ca="1" si="123"/>
        <v>64440</v>
      </c>
      <c r="AK470" s="11">
        <f t="shared" si="115"/>
        <v>1200</v>
      </c>
      <c r="AL470" s="10">
        <v>1200</v>
      </c>
      <c r="AM470" s="11">
        <f t="shared" si="122"/>
        <v>50</v>
      </c>
      <c r="AN470" s="10">
        <v>50</v>
      </c>
      <c r="AO470" s="11">
        <f t="shared" si="122"/>
        <v>0</v>
      </c>
      <c r="AP470" s="10">
        <v>0</v>
      </c>
      <c r="AQ470" s="56">
        <f t="shared" si="117"/>
        <v>2</v>
      </c>
      <c r="AS470" s="11">
        <f ca="1">IFERROR(OFFSET(ITEM_RES!$A$1,MATCH(AT470,ITEM_RES!$J:$J,0)-1,0),0)</f>
        <v>211020801</v>
      </c>
      <c r="AT470" s="10" t="s">
        <v>439</v>
      </c>
      <c r="AU470" s="11">
        <v>4500</v>
      </c>
      <c r="AX470" s="11">
        <f ca="1">IFERROR(OFFSET(ITEM_RES!$A$1,MATCH(AY470,ITEM_RES!$J:$J,0)-1,0),0)</f>
        <v>211020401</v>
      </c>
      <c r="AY470" s="10" t="s">
        <v>1078</v>
      </c>
      <c r="AZ470" s="11">
        <v>4500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19"/>
        <v>114020007</v>
      </c>
      <c r="B471" s="13">
        <v>11</v>
      </c>
      <c r="C471" s="12">
        <f t="shared" si="120"/>
        <v>4</v>
      </c>
      <c r="D471" s="13">
        <v>2</v>
      </c>
      <c r="E471" s="13">
        <v>0</v>
      </c>
      <c r="F471" s="12">
        <f t="shared" si="121"/>
        <v>7</v>
      </c>
      <c r="H471" s="9">
        <v>4</v>
      </c>
      <c r="I471" s="9">
        <v>7</v>
      </c>
      <c r="K471" s="9" t="s">
        <v>373</v>
      </c>
      <c r="M471" s="9">
        <v>1</v>
      </c>
      <c r="N471" s="9">
        <v>15</v>
      </c>
      <c r="O471" s="9" t="s">
        <v>1156</v>
      </c>
      <c r="S471" s="9" t="s">
        <v>696</v>
      </c>
      <c r="V471" s="9">
        <f ca="1">IFERROR(OFFSET(ITEM_RES!$A$5,MATCH(BUILDING!U471,ITEM_RES!$J$5:$J$229,0)-1,0),0)</f>
        <v>0</v>
      </c>
      <c r="Y471" s="9">
        <f ca="1">IFERROR(OFFSET(ITEM_RES!$A$5,MATCH(BUILDING!X471,ITEM_RES!$J$5:$J$229,0)-1,0),0)</f>
        <v>0</v>
      </c>
      <c r="AA471" s="9" t="s">
        <v>520</v>
      </c>
      <c r="AB471" s="9">
        <v>7</v>
      </c>
      <c r="AD471" s="11">
        <f ca="1">IFERROR(OFFSET(MANOR_LEVEL!$B$1,MATCH(AE471-1,MANOR_LEVEL!$A:$A,0)-1,0),0)</f>
        <v>930</v>
      </c>
      <c r="AE471" s="56">
        <v>4</v>
      </c>
      <c r="AG471" s="56">
        <f t="shared" ca="1" si="116"/>
        <v>110100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110100</v>
      </c>
      <c r="AI471" s="179">
        <f t="shared" ca="1" si="123"/>
        <v>159650</v>
      </c>
      <c r="AK471" s="11">
        <f t="shared" si="115"/>
        <v>1800</v>
      </c>
      <c r="AL471" s="10">
        <v>1800</v>
      </c>
      <c r="AM471" s="11">
        <f t="shared" si="122"/>
        <v>100</v>
      </c>
      <c r="AN471" s="10">
        <v>100</v>
      </c>
      <c r="AO471" s="11">
        <f t="shared" si="122"/>
        <v>0</v>
      </c>
      <c r="AP471" s="10">
        <v>0</v>
      </c>
      <c r="AQ471" s="56">
        <f t="shared" si="117"/>
        <v>2</v>
      </c>
      <c r="AS471" s="11">
        <f ca="1">IFERROR(OFFSET(ITEM_RES!$A$1,MATCH(AT471,ITEM_RES!$J:$J,0)-1,0),0)</f>
        <v>211020801</v>
      </c>
      <c r="AT471" s="10" t="s">
        <v>431</v>
      </c>
      <c r="AU471" s="11">
        <v>10000</v>
      </c>
      <c r="AX471" s="11">
        <f ca="1">IFERROR(OFFSET(ITEM_RES!$A$1,MATCH(AY471,ITEM_RES!$J:$J,0)-1,0),0)</f>
        <v>211020401</v>
      </c>
      <c r="AY471" s="10" t="s">
        <v>1078</v>
      </c>
      <c r="AZ471" s="11">
        <v>10000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19"/>
        <v>114020008</v>
      </c>
      <c r="B472" s="13">
        <v>11</v>
      </c>
      <c r="C472" s="12">
        <f t="shared" si="120"/>
        <v>4</v>
      </c>
      <c r="D472" s="13">
        <v>2</v>
      </c>
      <c r="E472" s="13">
        <v>0</v>
      </c>
      <c r="F472" s="12">
        <f t="shared" si="121"/>
        <v>8</v>
      </c>
      <c r="H472" s="9">
        <v>4</v>
      </c>
      <c r="I472" s="9">
        <v>8</v>
      </c>
      <c r="K472" s="9" t="s">
        <v>373</v>
      </c>
      <c r="M472" s="9">
        <v>1</v>
      </c>
      <c r="N472" s="9">
        <v>15</v>
      </c>
      <c r="O472" s="9" t="s">
        <v>1156</v>
      </c>
      <c r="S472" s="9" t="s">
        <v>696</v>
      </c>
      <c r="V472" s="9">
        <f ca="1">IFERROR(OFFSET(ITEM_RES!$A$5,MATCH(BUILDING!U472,ITEM_RES!$J$5:$J$229,0)-1,0),0)</f>
        <v>0</v>
      </c>
      <c r="Y472" s="9">
        <f ca="1">IFERROR(OFFSET(ITEM_RES!$A$5,MATCH(BUILDING!X472,ITEM_RES!$J$5:$J$229,0)-1,0),0)</f>
        <v>0</v>
      </c>
      <c r="AA472" s="9" t="s">
        <v>520</v>
      </c>
      <c r="AB472" s="9">
        <v>8</v>
      </c>
      <c r="AD472" s="11">
        <f ca="1">IFERROR(OFFSET(MANOR_LEVEL!$B$1,MATCH(AE472-1,MANOR_LEVEL!$A:$A,0)-1,0),0)</f>
        <v>5475</v>
      </c>
      <c r="AE472" s="56">
        <v>5</v>
      </c>
      <c r="AG472" s="56">
        <f t="shared" ca="1" si="116"/>
        <v>231100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231100</v>
      </c>
      <c r="AI472" s="179">
        <f t="shared" ca="1" si="123"/>
        <v>341200</v>
      </c>
      <c r="AK472" s="11">
        <f t="shared" si="115"/>
        <v>3600</v>
      </c>
      <c r="AL472" s="10">
        <v>3600</v>
      </c>
      <c r="AM472" s="11">
        <f t="shared" si="122"/>
        <v>100</v>
      </c>
      <c r="AN472" s="10">
        <v>100</v>
      </c>
      <c r="AO472" s="11">
        <v>0</v>
      </c>
      <c r="AP472" s="10">
        <v>0</v>
      </c>
      <c r="AQ472" s="56">
        <f t="shared" si="117"/>
        <v>2</v>
      </c>
      <c r="AS472" s="11">
        <f ca="1">IFERROR(OFFSET(ITEM_RES!$A$1,MATCH(AT472,ITEM_RES!$J:$J,0)-1,0),0)</f>
        <v>211020801</v>
      </c>
      <c r="AT472" s="10" t="s">
        <v>431</v>
      </c>
      <c r="AU472" s="11">
        <v>21000</v>
      </c>
      <c r="AX472" s="11">
        <f ca="1">IFERROR(OFFSET(ITEM_RES!$A$1,MATCH(AY472,ITEM_RES!$J:$J,0)-1,0),0)</f>
        <v>211020401</v>
      </c>
      <c r="AY472" s="10" t="s">
        <v>1078</v>
      </c>
      <c r="AZ472" s="11">
        <v>21000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19"/>
        <v>114020009</v>
      </c>
      <c r="B473" s="13">
        <v>11</v>
      </c>
      <c r="C473" s="12">
        <f t="shared" si="120"/>
        <v>4</v>
      </c>
      <c r="D473" s="13">
        <v>2</v>
      </c>
      <c r="E473" s="13">
        <v>0</v>
      </c>
      <c r="F473" s="12">
        <f t="shared" si="121"/>
        <v>9</v>
      </c>
      <c r="H473" s="9">
        <v>4</v>
      </c>
      <c r="I473" s="9">
        <v>9</v>
      </c>
      <c r="K473" s="9" t="s">
        <v>373</v>
      </c>
      <c r="M473" s="9">
        <v>1</v>
      </c>
      <c r="N473" s="9">
        <v>15</v>
      </c>
      <c r="O473" s="9" t="s">
        <v>1156</v>
      </c>
      <c r="S473" s="9" t="s">
        <v>696</v>
      </c>
      <c r="V473" s="9">
        <f ca="1">IFERROR(OFFSET(ITEM_RES!$A$5,MATCH(BUILDING!U473,ITEM_RES!$J$5:$J$229,0)-1,0),0)</f>
        <v>0</v>
      </c>
      <c r="Y473" s="9">
        <f ca="1">IFERROR(OFFSET(ITEM_RES!$A$5,MATCH(BUILDING!X473,ITEM_RES!$J$5:$J$229,0)-1,0),0)</f>
        <v>0</v>
      </c>
      <c r="AA473" s="9" t="s">
        <v>520</v>
      </c>
      <c r="AB473" s="9">
        <v>9</v>
      </c>
      <c r="AD473" s="11">
        <f ca="1">IFERROR(OFFSET(MANOR_LEVEL!$B$1,MATCH(AE473-1,MANOR_LEVEL!$A:$A,0)-1,0),0)</f>
        <v>32560</v>
      </c>
      <c r="AE473" s="56">
        <v>6</v>
      </c>
      <c r="AG473" s="56">
        <f t="shared" ca="1" si="116"/>
        <v>507150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507150</v>
      </c>
      <c r="AI473" s="179">
        <f t="shared" ca="1" si="123"/>
        <v>738250</v>
      </c>
      <c r="AK473" s="11">
        <f t="shared" si="115"/>
        <v>5400</v>
      </c>
      <c r="AL473" s="10">
        <v>5400</v>
      </c>
      <c r="AM473" s="11">
        <f t="shared" si="122"/>
        <v>150</v>
      </c>
      <c r="AN473" s="10">
        <v>150</v>
      </c>
      <c r="AO473" s="11">
        <v>0</v>
      </c>
      <c r="AP473" s="10">
        <v>0</v>
      </c>
      <c r="AQ473" s="56">
        <f t="shared" si="117"/>
        <v>2</v>
      </c>
      <c r="AS473" s="11">
        <f ca="1">IFERROR(OFFSET(ITEM_RES!$A$1,MATCH(AT473,ITEM_RES!$J:$J,0)-1,0),0)</f>
        <v>211020901</v>
      </c>
      <c r="AT473" s="10" t="s">
        <v>440</v>
      </c>
      <c r="AU473" s="11">
        <v>39000</v>
      </c>
      <c r="AX473" s="11">
        <f ca="1">IFERROR(OFFSET(ITEM_RES!$A$1,MATCH(AY473,ITEM_RES!$J:$J,0)-1,0),0)</f>
        <v>211020401</v>
      </c>
      <c r="AY473" s="10" t="s">
        <v>1078</v>
      </c>
      <c r="AZ473" s="11">
        <v>39000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19"/>
        <v>114020010</v>
      </c>
      <c r="B474" s="13">
        <v>11</v>
      </c>
      <c r="C474" s="12">
        <f t="shared" si="120"/>
        <v>4</v>
      </c>
      <c r="D474" s="13">
        <v>2</v>
      </c>
      <c r="E474" s="13">
        <v>0</v>
      </c>
      <c r="F474" s="12">
        <f t="shared" si="121"/>
        <v>10</v>
      </c>
      <c r="H474" s="9">
        <v>4</v>
      </c>
      <c r="I474" s="9">
        <v>10</v>
      </c>
      <c r="K474" s="9" t="s">
        <v>373</v>
      </c>
      <c r="M474" s="9">
        <v>1</v>
      </c>
      <c r="N474" s="9">
        <v>15</v>
      </c>
      <c r="O474" s="9" t="s">
        <v>1156</v>
      </c>
      <c r="S474" s="9" t="s">
        <v>696</v>
      </c>
      <c r="V474" s="9">
        <f ca="1">IFERROR(OFFSET(ITEM_RES!$A$5,MATCH(BUILDING!U474,ITEM_RES!$J$5:$J$229,0)-1,0),0)</f>
        <v>0</v>
      </c>
      <c r="Y474" s="9">
        <f ca="1">IFERROR(OFFSET(ITEM_RES!$A$5,MATCH(BUILDING!X474,ITEM_RES!$J$5:$J$229,0)-1,0),0)</f>
        <v>0</v>
      </c>
      <c r="AA474" s="9" t="s">
        <v>520</v>
      </c>
      <c r="AB474" s="9">
        <v>10</v>
      </c>
      <c r="AD474" s="11">
        <f ca="1">IFERROR(OFFSET(MANOR_LEVEL!$B$1,MATCH(AE474-1,MANOR_LEVEL!$A:$A,0)-1,0),0)</f>
        <v>108200</v>
      </c>
      <c r="AE474" s="56">
        <v>7</v>
      </c>
      <c r="AG474" s="56">
        <f t="shared" ca="1" si="116"/>
        <v>845700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845700</v>
      </c>
      <c r="AI474" s="179">
        <f t="shared" ca="1" si="123"/>
        <v>1352850</v>
      </c>
      <c r="AK474" s="11">
        <f t="shared" si="115"/>
        <v>7200</v>
      </c>
      <c r="AL474" s="10">
        <v>7200</v>
      </c>
      <c r="AM474" s="11">
        <f t="shared" si="122"/>
        <v>200</v>
      </c>
      <c r="AN474" s="10">
        <v>200</v>
      </c>
      <c r="AO474" s="11">
        <v>500</v>
      </c>
      <c r="AP474" s="10">
        <v>0</v>
      </c>
      <c r="AQ474" s="56">
        <f t="shared" si="117"/>
        <v>2</v>
      </c>
      <c r="AS474" s="11">
        <f ca="1">IFERROR(OFFSET(ITEM_RES!$A$1,MATCH(AT474,ITEM_RES!$J:$J,0)-1,0),0)</f>
        <v>211020901</v>
      </c>
      <c r="AT474" s="10" t="s">
        <v>440</v>
      </c>
      <c r="AU474" s="11">
        <v>65000</v>
      </c>
      <c r="AX474" s="11">
        <f ca="1">IFERROR(OFFSET(ITEM_RES!$A$1,MATCH(AY474,ITEM_RES!$J:$J,0)-1,0),0)</f>
        <v>211020401</v>
      </c>
      <c r="AY474" s="10" t="s">
        <v>1078</v>
      </c>
      <c r="AZ474" s="11">
        <v>65000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19"/>
        <v>114020011</v>
      </c>
      <c r="B475" s="13">
        <v>11</v>
      </c>
      <c r="C475" s="12">
        <f t="shared" si="120"/>
        <v>4</v>
      </c>
      <c r="D475" s="13">
        <v>2</v>
      </c>
      <c r="E475" s="13">
        <v>0</v>
      </c>
      <c r="F475" s="12">
        <f t="shared" si="121"/>
        <v>11</v>
      </c>
      <c r="H475" s="9">
        <v>4</v>
      </c>
      <c r="I475" s="9">
        <v>11</v>
      </c>
      <c r="K475" s="9" t="s">
        <v>373</v>
      </c>
      <c r="M475" s="9">
        <v>1</v>
      </c>
      <c r="N475" s="9">
        <v>15</v>
      </c>
      <c r="O475" s="9" t="s">
        <v>1156</v>
      </c>
      <c r="S475" s="9" t="s">
        <v>696</v>
      </c>
      <c r="V475" s="9">
        <f ca="1">IFERROR(OFFSET(ITEM_RES!$A$5,MATCH(BUILDING!U475,ITEM_RES!$J$5:$J$229,0)-1,0),0)</f>
        <v>0</v>
      </c>
      <c r="Y475" s="9">
        <f ca="1">IFERROR(OFFSET(ITEM_RES!$A$5,MATCH(BUILDING!X475,ITEM_RES!$J$5:$J$229,0)-1,0),0)</f>
        <v>0</v>
      </c>
      <c r="AA475" s="9" t="s">
        <v>520</v>
      </c>
      <c r="AB475" s="9">
        <v>11</v>
      </c>
      <c r="AD475" s="11">
        <f ca="1">IFERROR(OFFSET(MANOR_LEVEL!$B$1,MATCH(AE475-1,MANOR_LEVEL!$A:$A,0)-1,0),0)</f>
        <v>240400</v>
      </c>
      <c r="AE475" s="56">
        <v>8</v>
      </c>
      <c r="AG475" s="56">
        <f t="shared" ca="1" si="116"/>
        <v>1436250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1436250</v>
      </c>
      <c r="AI475" s="179">
        <f t="shared" ca="1" si="123"/>
        <v>2281950</v>
      </c>
      <c r="AK475" s="11">
        <f t="shared" si="115"/>
        <v>9000</v>
      </c>
      <c r="AL475" s="10">
        <v>9000</v>
      </c>
      <c r="AM475" s="11">
        <f t="shared" si="122"/>
        <v>250</v>
      </c>
      <c r="AN475" s="10">
        <v>250</v>
      </c>
      <c r="AO475" s="11">
        <v>6000</v>
      </c>
      <c r="AP475" s="10">
        <v>0</v>
      </c>
      <c r="AQ475" s="56">
        <f t="shared" si="117"/>
        <v>2</v>
      </c>
      <c r="AS475" s="11">
        <f ca="1">IFERROR(OFFSET(ITEM_RES!$A$1,MATCH(AT475,ITEM_RES!$J:$J,0)-1,0),0)</f>
        <v>211020901</v>
      </c>
      <c r="AT475" s="10" t="s">
        <v>440</v>
      </c>
      <c r="AU475" s="11">
        <v>110000</v>
      </c>
      <c r="AX475" s="11">
        <f ca="1">IFERROR(OFFSET(ITEM_RES!$A$1,MATCH(AY475,ITEM_RES!$J:$J,0)-1,0),0)</f>
        <v>211020401</v>
      </c>
      <c r="AY475" s="10" t="s">
        <v>1078</v>
      </c>
      <c r="AZ475" s="11">
        <v>110000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19"/>
        <v>114020012</v>
      </c>
      <c r="B476" s="13">
        <v>11</v>
      </c>
      <c r="C476" s="12">
        <f t="shared" si="120"/>
        <v>4</v>
      </c>
      <c r="D476" s="13">
        <v>2</v>
      </c>
      <c r="E476" s="13">
        <v>0</v>
      </c>
      <c r="F476" s="12">
        <f t="shared" si="121"/>
        <v>12</v>
      </c>
      <c r="H476" s="9">
        <v>4</v>
      </c>
      <c r="I476" s="9">
        <v>12</v>
      </c>
      <c r="K476" s="9" t="s">
        <v>373</v>
      </c>
      <c r="M476" s="9">
        <v>1</v>
      </c>
      <c r="N476" s="9">
        <v>15</v>
      </c>
      <c r="O476" s="9" t="s">
        <v>1156</v>
      </c>
      <c r="S476" s="9" t="s">
        <v>696</v>
      </c>
      <c r="V476" s="9">
        <f ca="1">IFERROR(OFFSET(ITEM_RES!$A$5,MATCH(BUILDING!U476,ITEM_RES!$J$5:$J$229,0)-1,0),0)</f>
        <v>0</v>
      </c>
      <c r="Y476" s="9">
        <f ca="1">IFERROR(OFFSET(ITEM_RES!$A$5,MATCH(BUILDING!X476,ITEM_RES!$J$5:$J$229,0)-1,0),0)</f>
        <v>0</v>
      </c>
      <c r="AA476" s="9" t="s">
        <v>520</v>
      </c>
      <c r="AB476" s="9">
        <v>12</v>
      </c>
      <c r="AD476" s="11">
        <f ca="1">IFERROR(OFFSET(MANOR_LEVEL!$B$1,MATCH(AE476-1,MANOR_LEVEL!$A:$A,0)-1,0),0)</f>
        <v>630500</v>
      </c>
      <c r="AE476" s="56">
        <v>9</v>
      </c>
      <c r="AG476" s="56">
        <f t="shared" ca="1" si="116"/>
        <v>2445300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2445300</v>
      </c>
      <c r="AI476" s="179">
        <f t="shared" ca="1" si="123"/>
        <v>3881550</v>
      </c>
      <c r="AK476" s="11">
        <f t="shared" si="115"/>
        <v>10800</v>
      </c>
      <c r="AL476" s="10">
        <v>10800</v>
      </c>
      <c r="AM476" s="11">
        <f t="shared" si="122"/>
        <v>300</v>
      </c>
      <c r="AN476" s="10">
        <v>300</v>
      </c>
      <c r="AO476" s="11">
        <v>39000</v>
      </c>
      <c r="AP476" s="10">
        <v>0</v>
      </c>
      <c r="AQ476" s="56">
        <f t="shared" si="117"/>
        <v>3</v>
      </c>
      <c r="AS476" s="11">
        <f ca="1">IFERROR(OFFSET(ITEM_RES!$A$1,MATCH(AT476,ITEM_RES!$J:$J,0)-1,0),0)</f>
        <v>211020901</v>
      </c>
      <c r="AT476" s="10" t="s">
        <v>440</v>
      </c>
      <c r="AU476" s="11">
        <v>185000</v>
      </c>
      <c r="AX476" s="11">
        <f ca="1">IFERROR(OFFSET(ITEM_RES!$A$1,MATCH(AY476,ITEM_RES!$J:$J,0)-1,0),0)</f>
        <v>211020401</v>
      </c>
      <c r="AY476" s="10" t="s">
        <v>1078</v>
      </c>
      <c r="AZ476" s="11">
        <v>185000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464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19"/>
        <v>114020013</v>
      </c>
      <c r="B477" s="13">
        <v>11</v>
      </c>
      <c r="C477" s="12">
        <f t="shared" si="120"/>
        <v>4</v>
      </c>
      <c r="D477" s="13">
        <v>2</v>
      </c>
      <c r="E477" s="13">
        <v>0</v>
      </c>
      <c r="F477" s="12">
        <f t="shared" si="121"/>
        <v>13</v>
      </c>
      <c r="H477" s="9">
        <v>4</v>
      </c>
      <c r="I477" s="9">
        <v>13</v>
      </c>
      <c r="K477" s="9" t="s">
        <v>373</v>
      </c>
      <c r="M477" s="9">
        <v>1</v>
      </c>
      <c r="N477" s="9">
        <v>15</v>
      </c>
      <c r="O477" s="9" t="s">
        <v>1156</v>
      </c>
      <c r="S477" s="9" t="s">
        <v>696</v>
      </c>
      <c r="V477" s="9">
        <f ca="1">IFERROR(OFFSET(ITEM_RES!$A$5,MATCH(BUILDING!U477,ITEM_RES!$J$5:$J$229,0)-1,0),0)</f>
        <v>0</v>
      </c>
      <c r="Y477" s="9">
        <f ca="1">IFERROR(OFFSET(ITEM_RES!$A$5,MATCH(BUILDING!X477,ITEM_RES!$J$5:$J$229,0)-1,0),0)</f>
        <v>0</v>
      </c>
      <c r="AA477" s="9" t="s">
        <v>520</v>
      </c>
      <c r="AB477" s="9">
        <v>13</v>
      </c>
      <c r="AD477" s="11">
        <f ca="1">IFERROR(OFFSET(MANOR_LEVEL!$B$1,MATCH(AE477-1,MANOR_LEVEL!$A:$A,0)-1,0),0)</f>
        <v>1170750</v>
      </c>
      <c r="AE477" s="56">
        <v>10</v>
      </c>
      <c r="AG477" s="56">
        <f t="shared" ca="1" si="116"/>
        <v>4215350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4215350</v>
      </c>
      <c r="AI477" s="179">
        <f t="shared" ca="1" si="123"/>
        <v>6660650</v>
      </c>
      <c r="AK477" s="11">
        <f t="shared" si="115"/>
        <v>12600</v>
      </c>
      <c r="AL477" s="10">
        <v>12600</v>
      </c>
      <c r="AM477" s="11">
        <f t="shared" si="122"/>
        <v>350</v>
      </c>
      <c r="AN477" s="10">
        <v>350</v>
      </c>
      <c r="AO477" s="11">
        <v>185000</v>
      </c>
      <c r="AP477" s="10">
        <v>0</v>
      </c>
      <c r="AQ477" s="56">
        <f t="shared" si="117"/>
        <v>2</v>
      </c>
      <c r="AS477" s="11">
        <f ca="1">IFERROR(OFFSET(ITEM_RES!$A$1,MATCH(AT477,ITEM_RES!$J:$J,0)-1,0),0)</f>
        <v>211020901</v>
      </c>
      <c r="AT477" s="10" t="s">
        <v>440</v>
      </c>
      <c r="AU477" s="11">
        <v>310000</v>
      </c>
      <c r="AX477" s="11">
        <f ca="1">IFERROR(OFFSET(ITEM_RES!$A$1,MATCH(AY477,ITEM_RES!$J:$J,0)-1,0),0)</f>
        <v>211020401</v>
      </c>
      <c r="AY477" s="10" t="s">
        <v>1078</v>
      </c>
      <c r="AZ477" s="11">
        <v>310000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19"/>
        <v>114020014</v>
      </c>
      <c r="B478" s="13">
        <v>11</v>
      </c>
      <c r="C478" s="12">
        <f t="shared" si="120"/>
        <v>4</v>
      </c>
      <c r="D478" s="13">
        <v>2</v>
      </c>
      <c r="E478" s="13">
        <v>0</v>
      </c>
      <c r="F478" s="12">
        <f t="shared" si="121"/>
        <v>14</v>
      </c>
      <c r="H478" s="9">
        <v>4</v>
      </c>
      <c r="I478" s="9">
        <v>14</v>
      </c>
      <c r="K478" s="9" t="s">
        <v>373</v>
      </c>
      <c r="M478" s="9">
        <v>1</v>
      </c>
      <c r="N478" s="9">
        <v>15</v>
      </c>
      <c r="O478" s="9" t="s">
        <v>1156</v>
      </c>
      <c r="S478" s="9" t="s">
        <v>696</v>
      </c>
      <c r="V478" s="9">
        <f ca="1">IFERROR(OFFSET(ITEM_RES!$A$5,MATCH(BUILDING!U478,ITEM_RES!$J$5:$J$229,0)-1,0),0)</f>
        <v>0</v>
      </c>
      <c r="Y478" s="9">
        <f ca="1">IFERROR(OFFSET(ITEM_RES!$A$5,MATCH(BUILDING!X478,ITEM_RES!$J$5:$J$229,0)-1,0),0)</f>
        <v>0</v>
      </c>
      <c r="AA478" s="9" t="s">
        <v>520</v>
      </c>
      <c r="AB478" s="9">
        <v>14</v>
      </c>
      <c r="AD478" s="11">
        <f ca="1">IFERROR(OFFSET(MANOR_LEVEL!$B$1,MATCH(AE478-1,MANOR_LEVEL!$A:$A,0)-1,0),0)</f>
        <v>1956000</v>
      </c>
      <c r="AE478" s="56">
        <v>11</v>
      </c>
      <c r="AG478" s="56">
        <f t="shared" ca="1" si="116"/>
        <v>6712450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6712450</v>
      </c>
      <c r="AI478" s="179">
        <f t="shared" ca="1" si="123"/>
        <v>10927800</v>
      </c>
      <c r="AK478" s="11">
        <f t="shared" si="115"/>
        <v>14400</v>
      </c>
      <c r="AL478" s="10">
        <v>14400</v>
      </c>
      <c r="AM478" s="11">
        <f t="shared" si="122"/>
        <v>450</v>
      </c>
      <c r="AN478" s="10">
        <v>450</v>
      </c>
      <c r="AO478" s="11">
        <v>310000</v>
      </c>
      <c r="AP478" s="10">
        <v>0</v>
      </c>
      <c r="AQ478" s="56">
        <f t="shared" si="117"/>
        <v>2</v>
      </c>
      <c r="AS478" s="11">
        <f ca="1">IFERROR(OFFSET(ITEM_RES!$A$1,MATCH(AT478,ITEM_RES!$J:$J,0)-1,0),0)</f>
        <v>211020901</v>
      </c>
      <c r="AT478" s="10" t="s">
        <v>440</v>
      </c>
      <c r="AU478" s="11">
        <v>485000</v>
      </c>
      <c r="AX478" s="11">
        <f ca="1">IFERROR(OFFSET(ITEM_RES!$A$1,MATCH(AY478,ITEM_RES!$J:$J,0)-1,0),0)</f>
        <v>211020501</v>
      </c>
      <c r="AY478" s="10" t="s">
        <v>1080</v>
      </c>
      <c r="AZ478" s="11">
        <v>485000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19"/>
        <v>114020015</v>
      </c>
      <c r="B479" s="13">
        <v>11</v>
      </c>
      <c r="C479" s="12">
        <f t="shared" si="120"/>
        <v>4</v>
      </c>
      <c r="D479" s="13">
        <v>2</v>
      </c>
      <c r="E479" s="13">
        <v>0</v>
      </c>
      <c r="F479" s="12">
        <f t="shared" si="121"/>
        <v>15</v>
      </c>
      <c r="H479" s="9">
        <v>4</v>
      </c>
      <c r="I479" s="9">
        <v>15</v>
      </c>
      <c r="K479" s="9" t="s">
        <v>373</v>
      </c>
      <c r="M479" s="9">
        <v>1</v>
      </c>
      <c r="N479" s="9">
        <v>15</v>
      </c>
      <c r="O479" s="9" t="s">
        <v>1156</v>
      </c>
      <c r="S479" s="9" t="s">
        <v>696</v>
      </c>
      <c r="V479" s="9">
        <f ca="1">IFERROR(OFFSET(ITEM_RES!$A$5,MATCH(BUILDING!U479,ITEM_RES!$J$5:$J$229,0)-1,0),0)</f>
        <v>0</v>
      </c>
      <c r="Y479" s="9">
        <f ca="1">IFERROR(OFFSET(ITEM_RES!$A$5,MATCH(BUILDING!X479,ITEM_RES!$J$5:$J$229,0)-1,0),0)</f>
        <v>0</v>
      </c>
      <c r="AA479" s="9" t="s">
        <v>520</v>
      </c>
      <c r="AB479" s="9">
        <v>15</v>
      </c>
      <c r="AD479" s="11">
        <f ca="1">IFERROR(OFFSET(MANOR_LEVEL!$B$1,MATCH(AE479-1,MANOR_LEVEL!$A:$A,0)-1,0),0)</f>
        <v>3961500</v>
      </c>
      <c r="AE479" s="56">
        <v>12</v>
      </c>
      <c r="AG479" s="56">
        <f t="shared" ca="1" si="116"/>
        <v>14345550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14345550</v>
      </c>
      <c r="AI479" s="179">
        <f t="shared" ca="1" si="123"/>
        <v>21058000</v>
      </c>
      <c r="AK479" s="11">
        <f t="shared" si="115"/>
        <v>16200</v>
      </c>
      <c r="AL479" s="10">
        <v>16200</v>
      </c>
      <c r="AM479" s="11">
        <f t="shared" si="122"/>
        <v>550</v>
      </c>
      <c r="AN479" s="10">
        <v>550</v>
      </c>
      <c r="AO479" s="11">
        <v>485000</v>
      </c>
      <c r="AP479" s="10">
        <v>0</v>
      </c>
      <c r="AQ479" s="56">
        <f t="shared" si="117"/>
        <v>2</v>
      </c>
      <c r="AS479" s="11">
        <f ca="1">IFERROR(OFFSET(ITEM_RES!$A$1,MATCH(AT479,ITEM_RES!$J:$J,0)-1,0),0)</f>
        <v>211020901</v>
      </c>
      <c r="AT479" s="10" t="s">
        <v>440</v>
      </c>
      <c r="AU479" s="11">
        <v>1050000</v>
      </c>
      <c r="AX479" s="11">
        <f ca="1">IFERROR(OFFSET(ITEM_RES!$A$1,MATCH(AY479,ITEM_RES!$J:$J,0)-1,0),0)</f>
        <v>211020501</v>
      </c>
      <c r="AY479" s="10" t="s">
        <v>1080</v>
      </c>
      <c r="AZ479" s="11">
        <v>1050000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19"/>
        <v>114020016</v>
      </c>
      <c r="B480" s="13">
        <v>11</v>
      </c>
      <c r="C480" s="12">
        <f t="shared" si="120"/>
        <v>4</v>
      </c>
      <c r="D480" s="13">
        <v>2</v>
      </c>
      <c r="E480" s="13">
        <v>0</v>
      </c>
      <c r="F480" s="12">
        <f t="shared" si="121"/>
        <v>16</v>
      </c>
      <c r="H480" s="9">
        <v>4</v>
      </c>
      <c r="I480" s="9">
        <v>16</v>
      </c>
      <c r="K480" s="9" t="s">
        <v>373</v>
      </c>
      <c r="M480" s="9">
        <v>0</v>
      </c>
      <c r="N480" s="9">
        <v>15</v>
      </c>
      <c r="O480" s="9" t="s">
        <v>1156</v>
      </c>
      <c r="S480" s="9" t="s">
        <v>696</v>
      </c>
      <c r="V480" s="9">
        <f ca="1">IFERROR(OFFSET(ITEM_RES!$A$5,MATCH(BUILDING!U480,ITEM_RES!$J$5:$J$229,0)-1,0),0)</f>
        <v>0</v>
      </c>
      <c r="Y480" s="9">
        <f ca="1">IFERROR(OFFSET(ITEM_RES!$A$5,MATCH(BUILDING!X480,ITEM_RES!$J$5:$J$229,0)-1,0),0)</f>
        <v>0</v>
      </c>
      <c r="AA480" s="9" t="s">
        <v>520</v>
      </c>
      <c r="AB480" s="9">
        <v>16</v>
      </c>
      <c r="AD480" s="11">
        <f ca="1">IFERROR(OFFSET(MANOR_LEVEL!$B$1,MATCH(AE480-1,MANOR_LEVEL!$A:$A,0)-1,0),0)</f>
        <v>7772100</v>
      </c>
      <c r="AE480" s="56">
        <v>13</v>
      </c>
      <c r="AG480" s="56">
        <f t="shared" ca="1" si="116"/>
        <v>29430700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29430700</v>
      </c>
      <c r="AI480" s="179">
        <f t="shared" ca="1" si="123"/>
        <v>43776250</v>
      </c>
      <c r="AK480" s="11">
        <f t="shared" si="115"/>
        <v>18000</v>
      </c>
      <c r="AL480" s="10">
        <v>18000</v>
      </c>
      <c r="AM480" s="11">
        <f t="shared" si="122"/>
        <v>700</v>
      </c>
      <c r="AN480" s="10">
        <v>700</v>
      </c>
      <c r="AO480" s="11">
        <v>1050000</v>
      </c>
      <c r="AP480" s="10">
        <v>0</v>
      </c>
      <c r="AQ480" s="56">
        <f t="shared" si="117"/>
        <v>2</v>
      </c>
      <c r="AS480" s="11">
        <f ca="1">IFERROR(OFFSET(ITEM_RES!$A$1,MATCH(AT480,ITEM_RES!$J:$J,0)-1,0),0)</f>
        <v>211020901</v>
      </c>
      <c r="AT480" s="10" t="s">
        <v>440</v>
      </c>
      <c r="AU480" s="11">
        <v>2150000</v>
      </c>
      <c r="AX480" s="11">
        <f ca="1">IFERROR(OFFSET(ITEM_RES!$A$1,MATCH(AY480,ITEM_RES!$J:$J,0)-1,0),0)</f>
        <v>211020501</v>
      </c>
      <c r="AY480" s="10" t="s">
        <v>1080</v>
      </c>
      <c r="AZ480" s="11">
        <v>2150000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19"/>
        <v>114020017</v>
      </c>
      <c r="B481" s="13">
        <v>11</v>
      </c>
      <c r="C481" s="12">
        <f t="shared" si="120"/>
        <v>4</v>
      </c>
      <c r="D481" s="13">
        <v>2</v>
      </c>
      <c r="E481" s="13">
        <v>0</v>
      </c>
      <c r="F481" s="12">
        <f t="shared" si="121"/>
        <v>17</v>
      </c>
      <c r="H481" s="9">
        <v>4</v>
      </c>
      <c r="I481" s="9">
        <v>17</v>
      </c>
      <c r="K481" s="9" t="s">
        <v>373</v>
      </c>
      <c r="M481" s="9">
        <v>0</v>
      </c>
      <c r="N481" s="9">
        <v>15</v>
      </c>
      <c r="O481" s="9" t="s">
        <v>1156</v>
      </c>
      <c r="S481" s="9" t="s">
        <v>696</v>
      </c>
      <c r="V481" s="9">
        <f ca="1">IFERROR(OFFSET(ITEM_RES!$A$5,MATCH(BUILDING!U481,ITEM_RES!$J$5:$J$229,0)-1,0),0)</f>
        <v>0</v>
      </c>
      <c r="Y481" s="9">
        <f ca="1">IFERROR(OFFSET(ITEM_RES!$A$5,MATCH(BUILDING!X481,ITEM_RES!$J$5:$J$229,0)-1,0),0)</f>
        <v>0</v>
      </c>
      <c r="AA481" s="9" t="s">
        <v>520</v>
      </c>
      <c r="AB481" s="9">
        <v>17</v>
      </c>
      <c r="AD481" s="11">
        <f ca="1">IFERROR(OFFSET(MANOR_LEVEL!$B$1,MATCH(AE481-1,MANOR_LEVEL!$A:$A,0)-1,0),0)</f>
        <v>13022450</v>
      </c>
      <c r="AE481" s="56">
        <v>14</v>
      </c>
      <c r="AG481" s="56">
        <f t="shared" ca="1" si="116"/>
        <v>54950850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54950850</v>
      </c>
      <c r="AI481" s="179">
        <f t="shared" ca="1" si="123"/>
        <v>84381550</v>
      </c>
      <c r="AK481" s="11">
        <f t="shared" si="115"/>
        <v>19800</v>
      </c>
      <c r="AL481" s="10">
        <v>19800</v>
      </c>
      <c r="AM481" s="11">
        <f t="shared" si="122"/>
        <v>850</v>
      </c>
      <c r="AN481" s="10">
        <v>850</v>
      </c>
      <c r="AO481" s="11">
        <v>2150000</v>
      </c>
      <c r="AP481" s="10">
        <v>0</v>
      </c>
      <c r="AQ481" s="56">
        <f t="shared" si="117"/>
        <v>2</v>
      </c>
      <c r="AS481" s="11">
        <f ca="1">IFERROR(OFFSET(ITEM_RES!$A$1,MATCH(AT481,ITEM_RES!$J:$J,0)-1,0),0)</f>
        <v>211020901</v>
      </c>
      <c r="AT481" s="10" t="s">
        <v>440</v>
      </c>
      <c r="AU481" s="11">
        <v>4000000</v>
      </c>
      <c r="AX481" s="11">
        <f ca="1">IFERROR(OFFSET(ITEM_RES!$A$1,MATCH(AY481,ITEM_RES!$J:$J,0)-1,0),0)</f>
        <v>211020501</v>
      </c>
      <c r="AY481" s="10" t="s">
        <v>1080</v>
      </c>
      <c r="AZ481" s="11">
        <v>4000000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19"/>
        <v>114020018</v>
      </c>
      <c r="B482" s="13">
        <v>11</v>
      </c>
      <c r="C482" s="12">
        <f t="shared" si="120"/>
        <v>4</v>
      </c>
      <c r="D482" s="13">
        <v>2</v>
      </c>
      <c r="E482" s="13">
        <v>0</v>
      </c>
      <c r="F482" s="12">
        <f t="shared" si="121"/>
        <v>18</v>
      </c>
      <c r="H482" s="9">
        <v>4</v>
      </c>
      <c r="I482" s="9">
        <v>18</v>
      </c>
      <c r="K482" s="9" t="s">
        <v>373</v>
      </c>
      <c r="M482" s="9">
        <v>0</v>
      </c>
      <c r="N482" s="9">
        <v>15</v>
      </c>
      <c r="O482" s="9" t="s">
        <v>1156</v>
      </c>
      <c r="S482" s="9" t="s">
        <v>696</v>
      </c>
      <c r="V482" s="9">
        <f ca="1">IFERROR(OFFSET(ITEM_RES!$A$5,MATCH(BUILDING!U482,ITEM_RES!$J$5:$J$229,0)-1,0),0)</f>
        <v>0</v>
      </c>
      <c r="Y482" s="9">
        <f ca="1">IFERROR(OFFSET(ITEM_RES!$A$5,MATCH(BUILDING!X482,ITEM_RES!$J$5:$J$229,0)-1,0),0)</f>
        <v>0</v>
      </c>
      <c r="AA482" s="9" t="s">
        <v>520</v>
      </c>
      <c r="AB482" s="9">
        <v>18</v>
      </c>
      <c r="AD482" s="11">
        <f ca="1">IFERROR(OFFSET(MANOR_LEVEL!$B$1,MATCH(AE482-1,MANOR_LEVEL!$A:$A,0)-1,0),0)</f>
        <v>23283600</v>
      </c>
      <c r="AE482" s="56">
        <v>15</v>
      </c>
      <c r="AG482" s="56">
        <f t="shared" ca="1" si="116"/>
        <v>89801050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89801050</v>
      </c>
      <c r="AI482" s="179">
        <f t="shared" ca="1" si="123"/>
        <v>144751900</v>
      </c>
      <c r="AK482" s="11">
        <f t="shared" si="115"/>
        <v>21600</v>
      </c>
      <c r="AL482" s="10">
        <v>21600</v>
      </c>
      <c r="AM482" s="11">
        <f t="shared" si="122"/>
        <v>1050</v>
      </c>
      <c r="AN482" s="10">
        <v>1050</v>
      </c>
      <c r="AO482" s="11">
        <v>4000000</v>
      </c>
      <c r="AP482" s="10">
        <v>0</v>
      </c>
      <c r="AQ482" s="56">
        <f t="shared" si="117"/>
        <v>2</v>
      </c>
      <c r="AS482" s="11">
        <f ca="1">IFERROR(OFFSET(ITEM_RES!$A$1,MATCH(AT482,ITEM_RES!$J:$J,0)-1,0),0)</f>
        <v>211020901</v>
      </c>
      <c r="AT482" s="10" t="s">
        <v>440</v>
      </c>
      <c r="AU482" s="11">
        <v>6500000</v>
      </c>
      <c r="AX482" s="11">
        <f ca="1">IFERROR(OFFSET(ITEM_RES!$A$1,MATCH(AY482,ITEM_RES!$J:$J,0)-1,0),0)</f>
        <v>211020501</v>
      </c>
      <c r="AY482" s="10" t="s">
        <v>1080</v>
      </c>
      <c r="AZ482" s="11">
        <v>6500000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19"/>
        <v>114020019</v>
      </c>
      <c r="B483" s="13">
        <v>11</v>
      </c>
      <c r="C483" s="12">
        <f t="shared" si="120"/>
        <v>4</v>
      </c>
      <c r="D483" s="13">
        <v>2</v>
      </c>
      <c r="E483" s="13">
        <v>0</v>
      </c>
      <c r="F483" s="12">
        <f t="shared" si="121"/>
        <v>19</v>
      </c>
      <c r="H483" s="9">
        <v>4</v>
      </c>
      <c r="I483" s="9">
        <v>19</v>
      </c>
      <c r="K483" s="9" t="s">
        <v>373</v>
      </c>
      <c r="M483" s="9">
        <v>0</v>
      </c>
      <c r="N483" s="9">
        <v>15</v>
      </c>
      <c r="O483" s="9" t="s">
        <v>1156</v>
      </c>
      <c r="S483" s="9" t="s">
        <v>696</v>
      </c>
      <c r="V483" s="9">
        <f ca="1">IFERROR(OFFSET(ITEM_RES!$A$5,MATCH(BUILDING!U483,ITEM_RES!$J$5:$J$229,0)-1,0),0)</f>
        <v>0</v>
      </c>
      <c r="Y483" s="9">
        <f ca="1">IFERROR(OFFSET(ITEM_RES!$A$5,MATCH(BUILDING!X483,ITEM_RES!$J$5:$J$229,0)-1,0),0)</f>
        <v>0</v>
      </c>
      <c r="AA483" s="9" t="s">
        <v>520</v>
      </c>
      <c r="AB483" s="9">
        <v>19</v>
      </c>
      <c r="AD483" s="11">
        <f ca="1">IFERROR(OFFSET(MANOR_LEVEL!$B$1,MATCH(AE483-1,MANOR_LEVEL!$A:$A,0)-1,0),0)</f>
        <v>50404400</v>
      </c>
      <c r="AE483" s="56">
        <v>16</v>
      </c>
      <c r="AG483" s="56">
        <f t="shared" ca="1" si="116"/>
        <v>138501250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138501250</v>
      </c>
      <c r="AI483" s="179">
        <f t="shared" ca="1" si="123"/>
        <v>228302300</v>
      </c>
      <c r="AK483" s="11">
        <f t="shared" si="115"/>
        <v>23400</v>
      </c>
      <c r="AL483" s="10">
        <v>23400</v>
      </c>
      <c r="AM483" s="11">
        <f t="shared" si="122"/>
        <v>1250</v>
      </c>
      <c r="AN483" s="10">
        <v>1250</v>
      </c>
      <c r="AO483" s="11">
        <v>6500000</v>
      </c>
      <c r="AP483" s="10">
        <v>0</v>
      </c>
      <c r="AQ483" s="56">
        <f t="shared" si="117"/>
        <v>2</v>
      </c>
      <c r="AS483" s="11">
        <f ca="1">IFERROR(OFFSET(ITEM_RES!$A$1,MATCH(AT483,ITEM_RES!$J:$J,0)-1,0),0)</f>
        <v>211020901</v>
      </c>
      <c r="AT483" s="10" t="s">
        <v>440</v>
      </c>
      <c r="AU483" s="11">
        <v>10000000</v>
      </c>
      <c r="AX483" s="11">
        <f ca="1">IFERROR(OFFSET(ITEM_RES!$A$1,MATCH(AY483,ITEM_RES!$J:$J,0)-1,0),0)</f>
        <v>211020501</v>
      </c>
      <c r="AY483" s="10" t="s">
        <v>1080</v>
      </c>
      <c r="AZ483" s="11">
        <v>10000000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19"/>
        <v>114020020</v>
      </c>
      <c r="B484" s="13">
        <v>11</v>
      </c>
      <c r="C484" s="12">
        <f t="shared" si="120"/>
        <v>4</v>
      </c>
      <c r="D484" s="13">
        <v>2</v>
      </c>
      <c r="E484" s="13">
        <v>0</v>
      </c>
      <c r="F484" s="12">
        <f t="shared" si="121"/>
        <v>20</v>
      </c>
      <c r="H484" s="9">
        <v>4</v>
      </c>
      <c r="I484" s="9">
        <v>20</v>
      </c>
      <c r="K484" s="9" t="s">
        <v>373</v>
      </c>
      <c r="M484" s="9">
        <v>0</v>
      </c>
      <c r="N484" s="9">
        <v>15</v>
      </c>
      <c r="O484" s="9" t="s">
        <v>1156</v>
      </c>
      <c r="S484" s="9" t="s">
        <v>696</v>
      </c>
      <c r="V484" s="9">
        <f ca="1">IFERROR(OFFSET(ITEM_RES!$A$5,MATCH(BUILDING!U484,ITEM_RES!$J$5:$J$229,0)-1,0),0)</f>
        <v>0</v>
      </c>
      <c r="Y484" s="9">
        <f ca="1">IFERROR(OFFSET(ITEM_RES!$A$5,MATCH(BUILDING!X484,ITEM_RES!$J$5:$J$229,0)-1,0),0)</f>
        <v>0</v>
      </c>
      <c r="AA484" s="9" t="s">
        <v>520</v>
      </c>
      <c r="AB484" s="9">
        <v>20</v>
      </c>
      <c r="AD484" s="11">
        <f ca="1">IFERROR(OFFSET(MANOR_LEVEL!$B$1,MATCH(AE484-1,MANOR_LEVEL!$A:$A,0)-1,0),0)</f>
        <v>119976300</v>
      </c>
      <c r="AE484" s="56">
        <v>17</v>
      </c>
      <c r="AG484" s="56">
        <f t="shared" ca="1" si="116"/>
        <v>221201500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221201500</v>
      </c>
      <c r="AI484" s="179">
        <f t="shared" ca="1" si="123"/>
        <v>359702750</v>
      </c>
      <c r="AK484" s="11">
        <f t="shared" si="115"/>
        <v>25200</v>
      </c>
      <c r="AL484" s="10">
        <v>25200</v>
      </c>
      <c r="AM484" s="11">
        <f t="shared" si="122"/>
        <v>1500</v>
      </c>
      <c r="AN484" s="10">
        <v>1500</v>
      </c>
      <c r="AO484" s="11">
        <v>10000000</v>
      </c>
      <c r="AP484" s="10">
        <v>0</v>
      </c>
      <c r="AQ484" s="56">
        <f t="shared" si="117"/>
        <v>2</v>
      </c>
      <c r="AS484" s="11">
        <f ca="1">IFERROR(OFFSET(ITEM_RES!$A$1,MATCH(AT484,ITEM_RES!$J:$J,0)-1,0),0)</f>
        <v>211020901</v>
      </c>
      <c r="AT484" s="10" t="s">
        <v>440</v>
      </c>
      <c r="AU484" s="11">
        <v>16000000</v>
      </c>
      <c r="AX484" s="11">
        <f ca="1">IFERROR(OFFSET(ITEM_RES!$A$1,MATCH(AY484,ITEM_RES!$J:$J,0)-1,0),0)</f>
        <v>211020501</v>
      </c>
      <c r="AY484" s="10" t="s">
        <v>1080</v>
      </c>
      <c r="AZ484" s="11">
        <v>16000000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19"/>
        <v>115010001</v>
      </c>
      <c r="B485" s="20">
        <v>11</v>
      </c>
      <c r="C485" s="19">
        <f t="shared" si="120"/>
        <v>5</v>
      </c>
      <c r="D485" s="20">
        <v>1</v>
      </c>
      <c r="E485" s="20">
        <v>0</v>
      </c>
      <c r="F485" s="19">
        <f t="shared" si="121"/>
        <v>1</v>
      </c>
      <c r="G485" s="78"/>
      <c r="H485" s="16">
        <v>5</v>
      </c>
      <c r="I485" s="16">
        <v>1</v>
      </c>
      <c r="J485" s="78"/>
      <c r="K485" s="16" t="s">
        <v>1016</v>
      </c>
      <c r="L485" s="16">
        <v>5</v>
      </c>
      <c r="M485" s="16">
        <v>1</v>
      </c>
      <c r="N485" s="16">
        <v>15</v>
      </c>
      <c r="O485" s="16" t="s">
        <v>1157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IFERROR(OFFSET(ITEM_RES!$A$5,MATCH(BUILDING!U485,ITEM_RES!$J$5:$J$229,0)-1,0),0)</f>
        <v>0</v>
      </c>
      <c r="W485" s="18"/>
      <c r="X485" s="86"/>
      <c r="Y485" s="16">
        <f ca="1">IFERROR(OFFSET(ITEM_RES!$A$5,MATCH(BUILDING!X485,ITEM_RES!$J$5:$J$229,0)-1,0),0)</f>
        <v>0</v>
      </c>
      <c r="Z485" s="78"/>
      <c r="AA485" s="16" t="s">
        <v>521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16"/>
        <v>2505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2505</v>
      </c>
      <c r="AI485" s="181">
        <f ca="1">AG485</f>
        <v>2505</v>
      </c>
      <c r="AJ485" s="78"/>
      <c r="AK485" s="18">
        <f t="shared" si="115"/>
        <v>5</v>
      </c>
      <c r="AL485" s="17">
        <v>5</v>
      </c>
      <c r="AM485" s="18">
        <f t="shared" si="122"/>
        <v>5</v>
      </c>
      <c r="AN485" s="17">
        <v>5</v>
      </c>
      <c r="AO485" s="18">
        <v>0</v>
      </c>
      <c r="AP485" s="17">
        <v>0</v>
      </c>
      <c r="AQ485" s="57">
        <f t="shared" si="117"/>
        <v>3</v>
      </c>
      <c r="AR485" s="18"/>
      <c r="AS485" s="18">
        <f ca="1">IFERROR(OFFSET(ITEM_RES!$A$1,MATCH(AT485,ITEM_RES!$J:$J,0)-1,0),0)</f>
        <v>211020801</v>
      </c>
      <c r="AT485" s="17" t="s">
        <v>431</v>
      </c>
      <c r="AU485" s="18">
        <v>50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445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467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19"/>
        <v>115010002</v>
      </c>
      <c r="B486" s="13">
        <v>11</v>
      </c>
      <c r="C486" s="12">
        <f t="shared" si="120"/>
        <v>5</v>
      </c>
      <c r="D486" s="13">
        <v>1</v>
      </c>
      <c r="E486" s="13">
        <v>0</v>
      </c>
      <c r="F486" s="12">
        <f t="shared" si="121"/>
        <v>2</v>
      </c>
      <c r="H486" s="9">
        <v>5</v>
      </c>
      <c r="I486" s="9">
        <v>2</v>
      </c>
      <c r="K486" s="9" t="s">
        <v>1016</v>
      </c>
      <c r="M486" s="9">
        <v>1</v>
      </c>
      <c r="N486" s="9">
        <v>15</v>
      </c>
      <c r="O486" s="9" t="s">
        <v>1158</v>
      </c>
      <c r="S486" s="9">
        <v>2222</v>
      </c>
      <c r="V486" s="9">
        <f ca="1">IFERROR(OFFSET(ITEM_RES!$A$5,MATCH(BUILDING!U486,ITEM_RES!$J$5:$J$229,0)-1,0),0)</f>
        <v>0</v>
      </c>
      <c r="Y486" s="9">
        <f ca="1">IFERROR(OFFSET(ITEM_RES!$A$5,MATCH(BUILDING!X486,ITEM_RES!$J$5:$J$229,0)-1,0),0)</f>
        <v>0</v>
      </c>
      <c r="AA486" s="9" t="s">
        <v>521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16"/>
        <v>1010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1010</v>
      </c>
      <c r="AI486" s="179">
        <f ca="1">AG485+AG486</f>
        <v>3515</v>
      </c>
      <c r="AK486" s="11">
        <f t="shared" si="115"/>
        <v>10</v>
      </c>
      <c r="AL486" s="10">
        <v>10</v>
      </c>
      <c r="AM486" s="11">
        <f t="shared" si="122"/>
        <v>10</v>
      </c>
      <c r="AN486" s="10">
        <v>10</v>
      </c>
      <c r="AO486" s="11">
        <v>0</v>
      </c>
      <c r="AP486" s="10">
        <v>0</v>
      </c>
      <c r="AQ486" s="56">
        <f t="shared" si="117"/>
        <v>1</v>
      </c>
      <c r="AS486" s="11">
        <f ca="1">IFERROR(OFFSET(ITEM_RES!$A$1,MATCH(AT486,ITEM_RES!$J:$J,0)-1,0),0)</f>
        <v>211020801</v>
      </c>
      <c r="AT486" s="10" t="s">
        <v>431</v>
      </c>
      <c r="AU486" s="11">
        <v>100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19"/>
        <v>115010003</v>
      </c>
      <c r="B487" s="13">
        <v>11</v>
      </c>
      <c r="C487" s="12">
        <f t="shared" si="120"/>
        <v>5</v>
      </c>
      <c r="D487" s="13">
        <v>1</v>
      </c>
      <c r="E487" s="13">
        <v>0</v>
      </c>
      <c r="F487" s="12">
        <f t="shared" si="121"/>
        <v>3</v>
      </c>
      <c r="H487" s="9">
        <v>5</v>
      </c>
      <c r="I487" s="9">
        <v>3</v>
      </c>
      <c r="K487" s="9" t="s">
        <v>364</v>
      </c>
      <c r="M487" s="9">
        <v>1</v>
      </c>
      <c r="N487" s="9">
        <v>15</v>
      </c>
      <c r="O487" s="9" t="s">
        <v>1159</v>
      </c>
      <c r="S487" s="9">
        <v>2222</v>
      </c>
      <c r="V487" s="9">
        <f ca="1">IFERROR(OFFSET(ITEM_RES!$A$5,MATCH(BUILDING!U487,ITEM_RES!$J$5:$J$229,0)-1,0),0)</f>
        <v>0</v>
      </c>
      <c r="Y487" s="9">
        <f ca="1">IFERROR(OFFSET(ITEM_RES!$A$5,MATCH(BUILDING!X487,ITEM_RES!$J$5:$J$229,0)-1,0),0)</f>
        <v>0</v>
      </c>
      <c r="AA487" s="9" t="s">
        <v>521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16"/>
        <v>1515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1515</v>
      </c>
      <c r="AI487" s="179">
        <f t="shared" ref="AI487:AI504" ca="1" si="124">AG486+AG487</f>
        <v>2525</v>
      </c>
      <c r="AK487" s="11">
        <f t="shared" si="115"/>
        <v>30</v>
      </c>
      <c r="AL487" s="10">
        <v>30</v>
      </c>
      <c r="AM487" s="11">
        <f t="shared" si="122"/>
        <v>15</v>
      </c>
      <c r="AN487" s="10">
        <v>15</v>
      </c>
      <c r="AO487" s="11">
        <v>0</v>
      </c>
      <c r="AP487" s="10">
        <v>0</v>
      </c>
      <c r="AQ487" s="56">
        <f t="shared" si="117"/>
        <v>1</v>
      </c>
      <c r="AS487" s="11">
        <f ca="1">IFERROR(OFFSET(ITEM_RES!$A$1,MATCH(AT487,ITEM_RES!$J:$J,0)-1,0),0)</f>
        <v>211020801</v>
      </c>
      <c r="AT487" s="10" t="s">
        <v>431</v>
      </c>
      <c r="AU487" s="11">
        <v>150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19"/>
        <v>115010004</v>
      </c>
      <c r="B488" s="13">
        <v>11</v>
      </c>
      <c r="C488" s="12">
        <f t="shared" si="120"/>
        <v>5</v>
      </c>
      <c r="D488" s="13">
        <v>1</v>
      </c>
      <c r="E488" s="13">
        <v>0</v>
      </c>
      <c r="F488" s="12">
        <f t="shared" si="121"/>
        <v>4</v>
      </c>
      <c r="H488" s="9">
        <v>5</v>
      </c>
      <c r="I488" s="9">
        <v>4</v>
      </c>
      <c r="K488" s="9" t="s">
        <v>364</v>
      </c>
      <c r="M488" s="9">
        <v>1</v>
      </c>
      <c r="N488" s="9">
        <v>15</v>
      </c>
      <c r="O488" s="9" t="s">
        <v>1159</v>
      </c>
      <c r="S488" s="9">
        <v>2222</v>
      </c>
      <c r="V488" s="9">
        <f ca="1">IFERROR(OFFSET(ITEM_RES!$A$5,MATCH(BUILDING!U488,ITEM_RES!$J$5:$J$229,0)-1,0),0)</f>
        <v>0</v>
      </c>
      <c r="Y488" s="9">
        <f ca="1">IFERROR(OFFSET(ITEM_RES!$A$5,MATCH(BUILDING!X488,ITEM_RES!$J$5:$J$229,0)-1,0),0)</f>
        <v>0</v>
      </c>
      <c r="AA488" s="9" t="s">
        <v>521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16"/>
        <v>6050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6050</v>
      </c>
      <c r="AI488" s="179">
        <f t="shared" ca="1" si="124"/>
        <v>7565</v>
      </c>
      <c r="AK488" s="11">
        <f t="shared" si="115"/>
        <v>300</v>
      </c>
      <c r="AL488" s="10">
        <v>300</v>
      </c>
      <c r="AM488" s="11">
        <f t="shared" si="122"/>
        <v>25</v>
      </c>
      <c r="AN488" s="10">
        <v>25</v>
      </c>
      <c r="AO488" s="11">
        <v>25</v>
      </c>
      <c r="AP488" s="10">
        <v>0</v>
      </c>
      <c r="AQ488" s="56">
        <f t="shared" si="117"/>
        <v>1</v>
      </c>
      <c r="AS488" s="11">
        <f ca="1">IFERROR(OFFSET(ITEM_RES!$A$1,MATCH(AT488,ITEM_RES!$J:$J,0)-1,0),0)</f>
        <v>211020801</v>
      </c>
      <c r="AT488" s="10" t="s">
        <v>431</v>
      </c>
      <c r="AU488" s="11">
        <v>600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19"/>
        <v>115010005</v>
      </c>
      <c r="B489" s="13">
        <v>11</v>
      </c>
      <c r="C489" s="12">
        <f t="shared" si="120"/>
        <v>5</v>
      </c>
      <c r="D489" s="13">
        <v>1</v>
      </c>
      <c r="E489" s="13">
        <v>0</v>
      </c>
      <c r="F489" s="12">
        <f t="shared" si="121"/>
        <v>5</v>
      </c>
      <c r="H489" s="9">
        <v>5</v>
      </c>
      <c r="I489" s="9">
        <v>5</v>
      </c>
      <c r="K489" s="9" t="s">
        <v>364</v>
      </c>
      <c r="M489" s="9">
        <v>1</v>
      </c>
      <c r="N489" s="9">
        <v>15</v>
      </c>
      <c r="O489" s="9" t="s">
        <v>1159</v>
      </c>
      <c r="S489" s="9">
        <v>2222</v>
      </c>
      <c r="V489" s="9">
        <f ca="1">IFERROR(OFFSET(ITEM_RES!$A$5,MATCH(BUILDING!U489,ITEM_RES!$J$5:$J$229,0)-1,0),0)</f>
        <v>0</v>
      </c>
      <c r="Y489" s="9">
        <f ca="1">IFERROR(OFFSET(ITEM_RES!$A$5,MATCH(BUILDING!X489,ITEM_RES!$J$5:$J$229,0)-1,0),0)</f>
        <v>0</v>
      </c>
      <c r="AA489" s="9" t="s">
        <v>521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16"/>
        <v>28390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28390</v>
      </c>
      <c r="AI489" s="179">
        <f t="shared" ca="1" si="124"/>
        <v>34440</v>
      </c>
      <c r="AK489" s="11">
        <f t="shared" si="115"/>
        <v>600</v>
      </c>
      <c r="AL489" s="10">
        <v>600</v>
      </c>
      <c r="AM489" s="11">
        <f t="shared" si="122"/>
        <v>40</v>
      </c>
      <c r="AN489" s="10">
        <v>40</v>
      </c>
      <c r="AO489" s="11">
        <v>1350</v>
      </c>
      <c r="AP489" s="10">
        <v>0</v>
      </c>
      <c r="AQ489" s="56">
        <f t="shared" si="117"/>
        <v>1</v>
      </c>
      <c r="AS489" s="11">
        <f ca="1">IFERROR(OFFSET(ITEM_RES!$A$1,MATCH(AT489,ITEM_RES!$J:$J,0)-1,0),0)</f>
        <v>211020801</v>
      </c>
      <c r="AT489" s="10" t="s">
        <v>431</v>
      </c>
      <c r="AU489" s="11">
        <v>2700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19"/>
        <v>115010006</v>
      </c>
      <c r="B490" s="13">
        <v>11</v>
      </c>
      <c r="C490" s="12">
        <f t="shared" si="120"/>
        <v>5</v>
      </c>
      <c r="D490" s="13">
        <v>1</v>
      </c>
      <c r="E490" s="13">
        <v>0</v>
      </c>
      <c r="F490" s="12">
        <f t="shared" si="121"/>
        <v>6</v>
      </c>
      <c r="H490" s="9">
        <v>5</v>
      </c>
      <c r="I490" s="9">
        <v>6</v>
      </c>
      <c r="K490" s="9" t="s">
        <v>364</v>
      </c>
      <c r="M490" s="9">
        <v>1</v>
      </c>
      <c r="N490" s="9">
        <v>15</v>
      </c>
      <c r="O490" s="9" t="s">
        <v>1159</v>
      </c>
      <c r="S490" s="9">
        <v>2222</v>
      </c>
      <c r="V490" s="9">
        <f ca="1">IFERROR(OFFSET(ITEM_RES!$A$5,MATCH(BUILDING!U490,ITEM_RES!$J$5:$J$229,0)-1,0),0)</f>
        <v>0</v>
      </c>
      <c r="Y490" s="9">
        <f ca="1">IFERROR(OFFSET(ITEM_RES!$A$5,MATCH(BUILDING!X490,ITEM_RES!$J$5:$J$229,0)-1,0),0)</f>
        <v>0</v>
      </c>
      <c r="AA490" s="9" t="s">
        <v>521</v>
      </c>
      <c r="AB490" s="9">
        <v>6</v>
      </c>
      <c r="AD490" s="11">
        <f ca="1">IFERROR(OFFSET(MANOR_LEVEL!$B$1,MATCH(AE490-1,MANOR_LEVEL!$A:$A,0)-1,0),0)</f>
        <v>310</v>
      </c>
      <c r="AE490" s="56">
        <v>3</v>
      </c>
      <c r="AG490" s="56">
        <f t="shared" ca="1" si="116"/>
        <v>94550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94550</v>
      </c>
      <c r="AI490" s="179">
        <f t="shared" ca="1" si="124"/>
        <v>122940</v>
      </c>
      <c r="AK490" s="11">
        <f t="shared" si="115"/>
        <v>1200</v>
      </c>
      <c r="AL490" s="10">
        <v>1200</v>
      </c>
      <c r="AM490" s="11">
        <f t="shared" si="122"/>
        <v>50</v>
      </c>
      <c r="AN490" s="10">
        <v>50</v>
      </c>
      <c r="AO490" s="11">
        <v>4500</v>
      </c>
      <c r="AP490" s="10">
        <v>0</v>
      </c>
      <c r="AQ490" s="56">
        <f t="shared" si="117"/>
        <v>1</v>
      </c>
      <c r="AS490" s="11">
        <f ca="1">IFERROR(OFFSET(ITEM_RES!$A$1,MATCH(AT490,ITEM_RES!$J:$J,0)-1,0),0)</f>
        <v>211020801</v>
      </c>
      <c r="AT490" s="10" t="s">
        <v>431</v>
      </c>
      <c r="AU490" s="11">
        <v>9000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19"/>
        <v>115010007</v>
      </c>
      <c r="B491" s="13">
        <v>11</v>
      </c>
      <c r="C491" s="12">
        <f t="shared" si="120"/>
        <v>5</v>
      </c>
      <c r="D491" s="13">
        <v>1</v>
      </c>
      <c r="E491" s="13">
        <v>0</v>
      </c>
      <c r="F491" s="12">
        <f t="shared" si="121"/>
        <v>7</v>
      </c>
      <c r="H491" s="9">
        <v>5</v>
      </c>
      <c r="I491" s="9">
        <v>7</v>
      </c>
      <c r="K491" s="9" t="s">
        <v>364</v>
      </c>
      <c r="M491" s="9">
        <v>1</v>
      </c>
      <c r="N491" s="9">
        <v>15</v>
      </c>
      <c r="O491" s="9" t="s">
        <v>1159</v>
      </c>
      <c r="S491" s="9">
        <v>2222</v>
      </c>
      <c r="V491" s="9">
        <f ca="1">IFERROR(OFFSET(ITEM_RES!$A$5,MATCH(BUILDING!U491,ITEM_RES!$J$5:$J$229,0)-1,0),0)</f>
        <v>0</v>
      </c>
      <c r="Y491" s="9">
        <f ca="1">IFERROR(OFFSET(ITEM_RES!$A$5,MATCH(BUILDING!X491,ITEM_RES!$J$5:$J$229,0)-1,0),0)</f>
        <v>0</v>
      </c>
      <c r="AA491" s="9" t="s">
        <v>521</v>
      </c>
      <c r="AB491" s="9">
        <v>7</v>
      </c>
      <c r="AD491" s="11">
        <f ca="1">IFERROR(OFFSET(MANOR_LEVEL!$B$1,MATCH(AE491-1,MANOR_LEVEL!$A:$A,0)-1,0),0)</f>
        <v>930</v>
      </c>
      <c r="AE491" s="56">
        <v>4</v>
      </c>
      <c r="AG491" s="56">
        <f t="shared" ca="1" si="116"/>
        <v>210100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210100</v>
      </c>
      <c r="AI491" s="179">
        <f t="shared" ca="1" si="124"/>
        <v>304650</v>
      </c>
      <c r="AK491" s="11">
        <f t="shared" si="115"/>
        <v>1800</v>
      </c>
      <c r="AL491" s="10">
        <v>1800</v>
      </c>
      <c r="AM491" s="11">
        <f t="shared" si="122"/>
        <v>100</v>
      </c>
      <c r="AN491" s="10">
        <v>100</v>
      </c>
      <c r="AO491" s="11">
        <v>10000</v>
      </c>
      <c r="AP491" s="10">
        <v>0</v>
      </c>
      <c r="AQ491" s="56">
        <f t="shared" si="117"/>
        <v>1</v>
      </c>
      <c r="AS491" s="11">
        <f ca="1">IFERROR(OFFSET(ITEM_RES!$A$1,MATCH(AT491,ITEM_RES!$J:$J,0)-1,0),0)</f>
        <v>211020801</v>
      </c>
      <c r="AT491" s="10" t="s">
        <v>431</v>
      </c>
      <c r="AU491" s="11">
        <v>20000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19"/>
        <v>115010008</v>
      </c>
      <c r="B492" s="13">
        <v>11</v>
      </c>
      <c r="C492" s="12">
        <f t="shared" si="120"/>
        <v>5</v>
      </c>
      <c r="D492" s="13">
        <v>1</v>
      </c>
      <c r="E492" s="13">
        <v>0</v>
      </c>
      <c r="F492" s="12">
        <f t="shared" si="121"/>
        <v>8</v>
      </c>
      <c r="H492" s="9">
        <v>5</v>
      </c>
      <c r="I492" s="9">
        <v>8</v>
      </c>
      <c r="K492" s="9" t="s">
        <v>364</v>
      </c>
      <c r="M492" s="9">
        <v>1</v>
      </c>
      <c r="N492" s="9">
        <v>15</v>
      </c>
      <c r="O492" s="9" t="s">
        <v>1159</v>
      </c>
      <c r="S492" s="9">
        <v>2222</v>
      </c>
      <c r="V492" s="9">
        <f ca="1">IFERROR(OFFSET(ITEM_RES!$A$5,MATCH(BUILDING!U492,ITEM_RES!$J$5:$J$229,0)-1,0),0)</f>
        <v>0</v>
      </c>
      <c r="Y492" s="9">
        <f ca="1">IFERROR(OFFSET(ITEM_RES!$A$5,MATCH(BUILDING!X492,ITEM_RES!$J$5:$J$229,0)-1,0),0)</f>
        <v>0</v>
      </c>
      <c r="AA492" s="9" t="s">
        <v>521</v>
      </c>
      <c r="AB492" s="9">
        <v>8</v>
      </c>
      <c r="AD492" s="11">
        <f ca="1">IFERROR(OFFSET(MANOR_LEVEL!$B$1,MATCH(AE492-1,MANOR_LEVEL!$A:$A,0)-1,0),0)</f>
        <v>5475</v>
      </c>
      <c r="AE492" s="56">
        <v>5</v>
      </c>
      <c r="AG492" s="56">
        <f t="shared" ca="1" si="116"/>
        <v>441100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441100</v>
      </c>
      <c r="AI492" s="179">
        <f t="shared" ca="1" si="124"/>
        <v>651200</v>
      </c>
      <c r="AK492" s="11">
        <f t="shared" si="115"/>
        <v>3600</v>
      </c>
      <c r="AL492" s="10">
        <v>3600</v>
      </c>
      <c r="AM492" s="11">
        <f t="shared" si="122"/>
        <v>100</v>
      </c>
      <c r="AN492" s="10">
        <v>100</v>
      </c>
      <c r="AO492" s="11">
        <v>21000</v>
      </c>
      <c r="AP492" s="10">
        <v>0</v>
      </c>
      <c r="AQ492" s="56">
        <f t="shared" si="117"/>
        <v>1</v>
      </c>
      <c r="AS492" s="11">
        <f ca="1">IFERROR(OFFSET(ITEM_RES!$A$1,MATCH(AT492,ITEM_RES!$J:$J,0)-1,0),0)</f>
        <v>211020801</v>
      </c>
      <c r="AT492" s="10" t="s">
        <v>431</v>
      </c>
      <c r="AU492" s="11">
        <v>42000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19"/>
        <v>115010009</v>
      </c>
      <c r="B493" s="13">
        <v>11</v>
      </c>
      <c r="C493" s="12">
        <f t="shared" si="120"/>
        <v>5</v>
      </c>
      <c r="D493" s="13">
        <v>1</v>
      </c>
      <c r="E493" s="13">
        <v>0</v>
      </c>
      <c r="F493" s="12">
        <f t="shared" si="121"/>
        <v>9</v>
      </c>
      <c r="H493" s="9">
        <v>5</v>
      </c>
      <c r="I493" s="9">
        <v>9</v>
      </c>
      <c r="K493" s="9" t="s">
        <v>364</v>
      </c>
      <c r="M493" s="9">
        <v>1</v>
      </c>
      <c r="N493" s="9">
        <v>15</v>
      </c>
      <c r="O493" s="9" t="s">
        <v>1160</v>
      </c>
      <c r="S493" s="9">
        <v>2222</v>
      </c>
      <c r="V493" s="9">
        <f ca="1">IFERROR(OFFSET(ITEM_RES!$A$5,MATCH(BUILDING!U493,ITEM_RES!$J$5:$J$229,0)-1,0),0)</f>
        <v>0</v>
      </c>
      <c r="Y493" s="9">
        <f ca="1">IFERROR(OFFSET(ITEM_RES!$A$5,MATCH(BUILDING!X493,ITEM_RES!$J$5:$J$229,0)-1,0),0)</f>
        <v>0</v>
      </c>
      <c r="AA493" s="9" t="s">
        <v>521</v>
      </c>
      <c r="AB493" s="9">
        <v>9</v>
      </c>
      <c r="AD493" s="11">
        <f ca="1">IFERROR(OFFSET(MANOR_LEVEL!$B$1,MATCH(AE493-1,MANOR_LEVEL!$A:$A,0)-1,0),0)</f>
        <v>32560</v>
      </c>
      <c r="AE493" s="56">
        <v>6</v>
      </c>
      <c r="AG493" s="56">
        <f t="shared" ca="1" si="116"/>
        <v>819150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819150</v>
      </c>
      <c r="AI493" s="179">
        <f t="shared" ca="1" si="124"/>
        <v>1260250</v>
      </c>
      <c r="AK493" s="11">
        <f t="shared" ref="AK493:AK524" si="125">ROUND(AL493,0)</f>
        <v>5400</v>
      </c>
      <c r="AL493" s="10">
        <v>5400</v>
      </c>
      <c r="AM493" s="11">
        <f t="shared" si="122"/>
        <v>150</v>
      </c>
      <c r="AN493" s="10">
        <v>150</v>
      </c>
      <c r="AO493" s="11">
        <v>39000</v>
      </c>
      <c r="AP493" s="10">
        <v>0</v>
      </c>
      <c r="AQ493" s="56">
        <f t="shared" si="117"/>
        <v>1</v>
      </c>
      <c r="AS493" s="11">
        <f ca="1">IFERROR(OFFSET(ITEM_RES!$A$1,MATCH(AT493,ITEM_RES!$J:$J,0)-1,0),0)</f>
        <v>211020801</v>
      </c>
      <c r="AT493" s="10" t="s">
        <v>431</v>
      </c>
      <c r="AU493" s="11">
        <v>78000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19"/>
        <v>115010010</v>
      </c>
      <c r="B494" s="13">
        <v>11</v>
      </c>
      <c r="C494" s="12">
        <f t="shared" si="120"/>
        <v>5</v>
      </c>
      <c r="D494" s="13">
        <v>1</v>
      </c>
      <c r="E494" s="13">
        <v>0</v>
      </c>
      <c r="F494" s="12">
        <f t="shared" si="121"/>
        <v>10</v>
      </c>
      <c r="H494" s="9">
        <v>5</v>
      </c>
      <c r="I494" s="9">
        <v>10</v>
      </c>
      <c r="K494" s="9" t="s">
        <v>364</v>
      </c>
      <c r="M494" s="9">
        <v>1</v>
      </c>
      <c r="N494" s="9">
        <v>15</v>
      </c>
      <c r="O494" s="9" t="s">
        <v>1160</v>
      </c>
      <c r="S494" s="9">
        <v>2222</v>
      </c>
      <c r="V494" s="9">
        <f ca="1">IFERROR(OFFSET(ITEM_RES!$A$5,MATCH(BUILDING!U494,ITEM_RES!$J$5:$J$229,0)-1,0),0)</f>
        <v>0</v>
      </c>
      <c r="Y494" s="9">
        <f ca="1">IFERROR(OFFSET(ITEM_RES!$A$5,MATCH(BUILDING!X494,ITEM_RES!$J$5:$J$229,0)-1,0),0)</f>
        <v>0</v>
      </c>
      <c r="AA494" s="9" t="s">
        <v>521</v>
      </c>
      <c r="AB494" s="9">
        <v>10</v>
      </c>
      <c r="AD494" s="11">
        <f ca="1">IFERROR(OFFSET(MANOR_LEVEL!$B$1,MATCH(AE494-1,MANOR_LEVEL!$A:$A,0)-1,0),0)</f>
        <v>108200</v>
      </c>
      <c r="AE494" s="56">
        <v>7</v>
      </c>
      <c r="AG494" s="56">
        <f t="shared" ref="AG494:AG524" ca="1" si="126">ROUND(AH494,0)</f>
        <v>1366200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1366200</v>
      </c>
      <c r="AI494" s="179">
        <f t="shared" ca="1" si="124"/>
        <v>2185350</v>
      </c>
      <c r="AK494" s="11">
        <f t="shared" si="125"/>
        <v>7200</v>
      </c>
      <c r="AL494" s="10">
        <v>7200</v>
      </c>
      <c r="AM494" s="11">
        <f t="shared" si="122"/>
        <v>200</v>
      </c>
      <c r="AN494" s="10">
        <v>200</v>
      </c>
      <c r="AO494" s="11">
        <v>65000</v>
      </c>
      <c r="AP494" s="10">
        <v>0</v>
      </c>
      <c r="AQ494" s="56">
        <f t="shared" ref="AQ494:AQ524" si="127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431</v>
      </c>
      <c r="AU494" s="11">
        <v>130000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468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19"/>
        <v>115010011</v>
      </c>
      <c r="B495" s="13">
        <v>11</v>
      </c>
      <c r="C495" s="12">
        <f t="shared" si="120"/>
        <v>5</v>
      </c>
      <c r="D495" s="13">
        <v>1</v>
      </c>
      <c r="E495" s="13">
        <v>0</v>
      </c>
      <c r="F495" s="12">
        <f t="shared" si="121"/>
        <v>11</v>
      </c>
      <c r="H495" s="9">
        <v>5</v>
      </c>
      <c r="I495" s="9">
        <v>11</v>
      </c>
      <c r="K495" s="9" t="s">
        <v>364</v>
      </c>
      <c r="M495" s="9">
        <v>1</v>
      </c>
      <c r="N495" s="9">
        <v>15</v>
      </c>
      <c r="O495" s="9" t="s">
        <v>1160</v>
      </c>
      <c r="S495" s="9">
        <v>2222</v>
      </c>
      <c r="V495" s="9">
        <f ca="1">IFERROR(OFFSET(ITEM_RES!$A$5,MATCH(BUILDING!U495,ITEM_RES!$J$5:$J$229,0)-1,0),0)</f>
        <v>0</v>
      </c>
      <c r="Y495" s="9">
        <f ca="1">IFERROR(OFFSET(ITEM_RES!$A$5,MATCH(BUILDING!X495,ITEM_RES!$J$5:$J$229,0)-1,0),0)</f>
        <v>0</v>
      </c>
      <c r="AA495" s="9" t="s">
        <v>521</v>
      </c>
      <c r="AB495" s="9">
        <v>11</v>
      </c>
      <c r="AD495" s="11">
        <f ca="1">IFERROR(OFFSET(MANOR_LEVEL!$B$1,MATCH(AE495-1,MANOR_LEVEL!$A:$A,0)-1,0),0)</f>
        <v>240400</v>
      </c>
      <c r="AE495" s="56">
        <v>8</v>
      </c>
      <c r="AG495" s="56">
        <f t="shared" ca="1" si="126"/>
        <v>2310250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2310250</v>
      </c>
      <c r="AI495" s="179">
        <f t="shared" ca="1" si="124"/>
        <v>3676450</v>
      </c>
      <c r="AK495" s="11">
        <f t="shared" si="125"/>
        <v>9000</v>
      </c>
      <c r="AL495" s="10">
        <v>9000</v>
      </c>
      <c r="AM495" s="11">
        <f t="shared" si="122"/>
        <v>250</v>
      </c>
      <c r="AN495" s="10">
        <v>250</v>
      </c>
      <c r="AO495" s="11">
        <v>110000</v>
      </c>
      <c r="AP495" s="10">
        <v>0</v>
      </c>
      <c r="AQ495" s="56">
        <f t="shared" si="127"/>
        <v>1</v>
      </c>
      <c r="AS495" s="11">
        <f ca="1">IFERROR(OFFSET(ITEM_RES!$A$1,MATCH(AT495,ITEM_RES!$J:$J,0)-1,0),0)</f>
        <v>211020801</v>
      </c>
      <c r="AT495" s="10" t="s">
        <v>431</v>
      </c>
      <c r="AU495" s="11">
        <v>220000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19"/>
        <v>115010012</v>
      </c>
      <c r="B496" s="13">
        <v>11</v>
      </c>
      <c r="C496" s="12">
        <f t="shared" si="120"/>
        <v>5</v>
      </c>
      <c r="D496" s="13">
        <v>1</v>
      </c>
      <c r="E496" s="13">
        <v>0</v>
      </c>
      <c r="F496" s="12">
        <f t="shared" si="121"/>
        <v>12</v>
      </c>
      <c r="H496" s="9">
        <v>5</v>
      </c>
      <c r="I496" s="9">
        <v>12</v>
      </c>
      <c r="K496" s="9" t="s">
        <v>364</v>
      </c>
      <c r="M496" s="9">
        <v>1</v>
      </c>
      <c r="N496" s="9">
        <v>15</v>
      </c>
      <c r="O496" s="9" t="s">
        <v>1160</v>
      </c>
      <c r="S496" s="9">
        <v>2222</v>
      </c>
      <c r="V496" s="9">
        <f ca="1">IFERROR(OFFSET(ITEM_RES!$A$5,MATCH(BUILDING!U496,ITEM_RES!$J$5:$J$229,0)-1,0),0)</f>
        <v>0</v>
      </c>
      <c r="Y496" s="9">
        <f ca="1">IFERROR(OFFSET(ITEM_RES!$A$5,MATCH(BUILDING!X496,ITEM_RES!$J$5:$J$229,0)-1,0),0)</f>
        <v>0</v>
      </c>
      <c r="AA496" s="9" t="s">
        <v>521</v>
      </c>
      <c r="AB496" s="9">
        <v>12</v>
      </c>
      <c r="AD496" s="11">
        <f ca="1">IFERROR(OFFSET(MANOR_LEVEL!$B$1,MATCH(AE496-1,MANOR_LEVEL!$A:$A,0)-1,0),0)</f>
        <v>630500</v>
      </c>
      <c r="AE496" s="56">
        <v>9</v>
      </c>
      <c r="AG496" s="56">
        <f t="shared" ca="1" si="126"/>
        <v>3885300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3885300</v>
      </c>
      <c r="AI496" s="179">
        <f t="shared" ca="1" si="124"/>
        <v>6195550</v>
      </c>
      <c r="AK496" s="11">
        <f t="shared" si="125"/>
        <v>10800</v>
      </c>
      <c r="AL496" s="10">
        <v>10800</v>
      </c>
      <c r="AM496" s="11">
        <f t="shared" si="122"/>
        <v>300</v>
      </c>
      <c r="AN496" s="10">
        <v>300</v>
      </c>
      <c r="AO496" s="11">
        <v>185000</v>
      </c>
      <c r="AP496" s="10">
        <v>0</v>
      </c>
      <c r="AQ496" s="56">
        <f t="shared" si="127"/>
        <v>1</v>
      </c>
      <c r="AS496" s="11">
        <f ca="1">IFERROR(OFFSET(ITEM_RES!$A$1,MATCH(AT496,ITEM_RES!$J:$J,0)-1,0),0)</f>
        <v>211020801</v>
      </c>
      <c r="AT496" s="10" t="s">
        <v>431</v>
      </c>
      <c r="AU496" s="11">
        <v>370000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19"/>
        <v>115010013</v>
      </c>
      <c r="B497" s="13">
        <v>11</v>
      </c>
      <c r="C497" s="12">
        <f t="shared" si="120"/>
        <v>5</v>
      </c>
      <c r="D497" s="13">
        <v>1</v>
      </c>
      <c r="E497" s="13">
        <v>0</v>
      </c>
      <c r="F497" s="12">
        <f t="shared" si="121"/>
        <v>13</v>
      </c>
      <c r="H497" s="9">
        <v>5</v>
      </c>
      <c r="I497" s="9">
        <v>13</v>
      </c>
      <c r="K497" s="9" t="s">
        <v>364</v>
      </c>
      <c r="M497" s="9">
        <v>1</v>
      </c>
      <c r="N497" s="9">
        <v>15</v>
      </c>
      <c r="O497" s="9" t="s">
        <v>1161</v>
      </c>
      <c r="S497" s="9">
        <v>2222</v>
      </c>
      <c r="V497" s="9">
        <f ca="1">IFERROR(OFFSET(ITEM_RES!$A$5,MATCH(BUILDING!U497,ITEM_RES!$J$5:$J$229,0)-1,0),0)</f>
        <v>0</v>
      </c>
      <c r="Y497" s="9">
        <f ca="1">IFERROR(OFFSET(ITEM_RES!$A$5,MATCH(BUILDING!X497,ITEM_RES!$J$5:$J$229,0)-1,0),0)</f>
        <v>0</v>
      </c>
      <c r="AA497" s="9" t="s">
        <v>521</v>
      </c>
      <c r="AB497" s="9">
        <v>13</v>
      </c>
      <c r="AD497" s="11">
        <f ca="1">IFERROR(OFFSET(MANOR_LEVEL!$B$1,MATCH(AE497-1,MANOR_LEVEL!$A:$A,0)-1,0),0)</f>
        <v>1170750</v>
      </c>
      <c r="AE497" s="56">
        <v>10</v>
      </c>
      <c r="AG497" s="56">
        <f t="shared" ca="1" si="126"/>
        <v>6510350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6510350</v>
      </c>
      <c r="AI497" s="179">
        <f t="shared" ca="1" si="124"/>
        <v>10395650</v>
      </c>
      <c r="AK497" s="11">
        <f t="shared" si="125"/>
        <v>12600</v>
      </c>
      <c r="AL497" s="10">
        <v>12600</v>
      </c>
      <c r="AM497" s="11">
        <f t="shared" si="122"/>
        <v>350</v>
      </c>
      <c r="AN497" s="10">
        <v>350</v>
      </c>
      <c r="AO497" s="11">
        <v>310000</v>
      </c>
      <c r="AP497" s="10">
        <v>0</v>
      </c>
      <c r="AQ497" s="56">
        <f t="shared" si="127"/>
        <v>1</v>
      </c>
      <c r="AS497" s="11">
        <f ca="1">IFERROR(OFFSET(ITEM_RES!$A$1,MATCH(AT497,ITEM_RES!$J:$J,0)-1,0),0)</f>
        <v>211020801</v>
      </c>
      <c r="AT497" s="10" t="s">
        <v>431</v>
      </c>
      <c r="AU497" s="11">
        <v>620000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19"/>
        <v>115010014</v>
      </c>
      <c r="B498" s="13">
        <v>11</v>
      </c>
      <c r="C498" s="12">
        <f t="shared" si="120"/>
        <v>5</v>
      </c>
      <c r="D498" s="13">
        <v>1</v>
      </c>
      <c r="E498" s="13">
        <v>0</v>
      </c>
      <c r="F498" s="12">
        <f t="shared" si="121"/>
        <v>14</v>
      </c>
      <c r="H498" s="9">
        <v>5</v>
      </c>
      <c r="I498" s="9">
        <v>14</v>
      </c>
      <c r="K498" s="9" t="s">
        <v>364</v>
      </c>
      <c r="M498" s="9">
        <v>1</v>
      </c>
      <c r="N498" s="9">
        <v>15</v>
      </c>
      <c r="O498" s="9" t="s">
        <v>1161</v>
      </c>
      <c r="S498" s="9">
        <v>2222</v>
      </c>
      <c r="V498" s="9">
        <f ca="1">IFERROR(OFFSET(ITEM_RES!$A$5,MATCH(BUILDING!U498,ITEM_RES!$J$5:$J$229,0)-1,0),0)</f>
        <v>0</v>
      </c>
      <c r="Y498" s="9">
        <f ca="1">IFERROR(OFFSET(ITEM_RES!$A$5,MATCH(BUILDING!X498,ITEM_RES!$J$5:$J$229,0)-1,0),0)</f>
        <v>0</v>
      </c>
      <c r="AA498" s="9" t="s">
        <v>521</v>
      </c>
      <c r="AB498" s="9">
        <v>14</v>
      </c>
      <c r="AD498" s="11">
        <f ca="1">IFERROR(OFFSET(MANOR_LEVEL!$B$1,MATCH(AE498-1,MANOR_LEVEL!$A:$A,0)-1,0),0)</f>
        <v>1956000</v>
      </c>
      <c r="AE498" s="56">
        <v>11</v>
      </c>
      <c r="AG498" s="56">
        <f t="shared" ca="1" si="126"/>
        <v>10185450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10185450</v>
      </c>
      <c r="AI498" s="179">
        <f t="shared" ca="1" si="124"/>
        <v>16695800</v>
      </c>
      <c r="AK498" s="11">
        <f t="shared" si="125"/>
        <v>14400</v>
      </c>
      <c r="AL498" s="10">
        <v>14400</v>
      </c>
      <c r="AM498" s="11">
        <f t="shared" si="122"/>
        <v>450</v>
      </c>
      <c r="AN498" s="10">
        <v>450</v>
      </c>
      <c r="AO498" s="11">
        <v>485000</v>
      </c>
      <c r="AP498" s="10">
        <v>0</v>
      </c>
      <c r="AQ498" s="56">
        <f t="shared" si="127"/>
        <v>1</v>
      </c>
      <c r="AS498" s="11">
        <f ca="1">IFERROR(OFFSET(ITEM_RES!$A$1,MATCH(AT498,ITEM_RES!$J:$J,0)-1,0),0)</f>
        <v>211020801</v>
      </c>
      <c r="AT498" s="10" t="s">
        <v>431</v>
      </c>
      <c r="AU498" s="11">
        <v>970000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19"/>
        <v>115010015</v>
      </c>
      <c r="B499" s="13">
        <v>11</v>
      </c>
      <c r="C499" s="12">
        <f t="shared" si="120"/>
        <v>5</v>
      </c>
      <c r="D499" s="13">
        <v>1</v>
      </c>
      <c r="E499" s="13">
        <v>0</v>
      </c>
      <c r="F499" s="12">
        <f t="shared" si="121"/>
        <v>15</v>
      </c>
      <c r="H499" s="9">
        <v>5</v>
      </c>
      <c r="I499" s="9">
        <v>15</v>
      </c>
      <c r="K499" s="9" t="s">
        <v>364</v>
      </c>
      <c r="M499" s="9">
        <v>1</v>
      </c>
      <c r="N499" s="9">
        <v>15</v>
      </c>
      <c r="O499" s="9" t="s">
        <v>1162</v>
      </c>
      <c r="S499" s="9">
        <v>2222</v>
      </c>
      <c r="V499" s="9">
        <f ca="1">IFERROR(OFFSET(ITEM_RES!$A$5,MATCH(BUILDING!U499,ITEM_RES!$J$5:$J$229,0)-1,0),0)</f>
        <v>0</v>
      </c>
      <c r="Y499" s="9">
        <f ca="1">IFERROR(OFFSET(ITEM_RES!$A$5,MATCH(BUILDING!X499,ITEM_RES!$J$5:$J$229,0)-1,0),0)</f>
        <v>0</v>
      </c>
      <c r="AA499" s="9" t="s">
        <v>521</v>
      </c>
      <c r="AB499" s="9">
        <v>15</v>
      </c>
      <c r="AD499" s="11">
        <f ca="1">IFERROR(OFFSET(MANOR_LEVEL!$B$1,MATCH(AE499-1,MANOR_LEVEL!$A:$A,0)-1,0),0)</f>
        <v>3961500</v>
      </c>
      <c r="AE499" s="56">
        <v>12</v>
      </c>
      <c r="AG499" s="56">
        <f t="shared" ca="1" si="126"/>
        <v>22050550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22050550</v>
      </c>
      <c r="AI499" s="179">
        <f t="shared" ca="1" si="124"/>
        <v>32236000</v>
      </c>
      <c r="AK499" s="11">
        <f t="shared" si="125"/>
        <v>16200</v>
      </c>
      <c r="AL499" s="10">
        <v>16200</v>
      </c>
      <c r="AM499" s="11">
        <f t="shared" si="122"/>
        <v>550</v>
      </c>
      <c r="AN499" s="10">
        <v>550</v>
      </c>
      <c r="AO499" s="11">
        <v>1050000</v>
      </c>
      <c r="AP499" s="10">
        <v>0</v>
      </c>
      <c r="AQ499" s="56">
        <f t="shared" si="127"/>
        <v>1</v>
      </c>
      <c r="AS499" s="11">
        <f ca="1">IFERROR(OFFSET(ITEM_RES!$A$1,MATCH(AT499,ITEM_RES!$J:$J,0)-1,0),0)</f>
        <v>211020801</v>
      </c>
      <c r="AT499" s="10" t="s">
        <v>431</v>
      </c>
      <c r="AU499" s="11">
        <v>2100000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19"/>
        <v>115010016</v>
      </c>
      <c r="B500" s="13">
        <v>11</v>
      </c>
      <c r="C500" s="12">
        <f t="shared" si="120"/>
        <v>5</v>
      </c>
      <c r="D500" s="13">
        <v>1</v>
      </c>
      <c r="E500" s="13">
        <v>0</v>
      </c>
      <c r="F500" s="12">
        <f t="shared" si="121"/>
        <v>16</v>
      </c>
      <c r="H500" s="9">
        <v>5</v>
      </c>
      <c r="I500" s="9">
        <v>16</v>
      </c>
      <c r="K500" s="9" t="s">
        <v>364</v>
      </c>
      <c r="M500" s="9">
        <v>0</v>
      </c>
      <c r="N500" s="9">
        <v>15</v>
      </c>
      <c r="O500" s="9" t="s">
        <v>1162</v>
      </c>
      <c r="S500" s="9">
        <v>2222</v>
      </c>
      <c r="V500" s="9">
        <f ca="1">IFERROR(OFFSET(ITEM_RES!$A$5,MATCH(BUILDING!U500,ITEM_RES!$J$5:$J$229,0)-1,0),0)</f>
        <v>0</v>
      </c>
      <c r="Y500" s="9">
        <f ca="1">IFERROR(OFFSET(ITEM_RES!$A$5,MATCH(BUILDING!X500,ITEM_RES!$J$5:$J$229,0)-1,0),0)</f>
        <v>0</v>
      </c>
      <c r="AA500" s="9" t="s">
        <v>521</v>
      </c>
      <c r="AB500" s="9">
        <v>16</v>
      </c>
      <c r="AD500" s="11">
        <f ca="1">IFERROR(OFFSET(MANOR_LEVEL!$B$1,MATCH(AE500-1,MANOR_LEVEL!$A:$A,0)-1,0),0)</f>
        <v>7772100</v>
      </c>
      <c r="AE500" s="56">
        <v>13</v>
      </c>
      <c r="AG500" s="56">
        <f t="shared" ca="1" si="126"/>
        <v>53750700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53750700</v>
      </c>
      <c r="AI500" s="179">
        <f t="shared" ca="1" si="124"/>
        <v>75801250</v>
      </c>
      <c r="AK500" s="11">
        <f t="shared" si="125"/>
        <v>18000</v>
      </c>
      <c r="AL500" s="10">
        <v>18000</v>
      </c>
      <c r="AM500" s="11">
        <f t="shared" si="122"/>
        <v>700</v>
      </c>
      <c r="AN500" s="10">
        <v>700</v>
      </c>
      <c r="AO500" s="11">
        <v>2150000</v>
      </c>
      <c r="AP500" s="10">
        <v>0</v>
      </c>
      <c r="AQ500" s="56">
        <f t="shared" si="127"/>
        <v>1</v>
      </c>
      <c r="AS500" s="11">
        <f ca="1">IFERROR(OFFSET(ITEM_RES!$A$1,MATCH(AT500,ITEM_RES!$J:$J,0)-1,0),0)</f>
        <v>211020901</v>
      </c>
      <c r="AT500" s="10" t="s">
        <v>437</v>
      </c>
      <c r="AU500" s="11">
        <v>4300000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19"/>
        <v>115010017</v>
      </c>
      <c r="B501" s="13">
        <v>11</v>
      </c>
      <c r="C501" s="12">
        <f t="shared" si="120"/>
        <v>5</v>
      </c>
      <c r="D501" s="13">
        <v>1</v>
      </c>
      <c r="E501" s="13">
        <v>0</v>
      </c>
      <c r="F501" s="12">
        <f t="shared" si="121"/>
        <v>17</v>
      </c>
      <c r="H501" s="9">
        <v>5</v>
      </c>
      <c r="I501" s="9">
        <v>17</v>
      </c>
      <c r="K501" s="9" t="s">
        <v>364</v>
      </c>
      <c r="M501" s="9">
        <v>0</v>
      </c>
      <c r="N501" s="9">
        <v>15</v>
      </c>
      <c r="O501" s="9" t="s">
        <v>1162</v>
      </c>
      <c r="S501" s="9">
        <v>2222</v>
      </c>
      <c r="V501" s="9">
        <f ca="1">IFERROR(OFFSET(ITEM_RES!$A$5,MATCH(BUILDING!U501,ITEM_RES!$J$5:$J$229,0)-1,0),0)</f>
        <v>0</v>
      </c>
      <c r="Y501" s="9">
        <f ca="1">IFERROR(OFFSET(ITEM_RES!$A$5,MATCH(BUILDING!X501,ITEM_RES!$J$5:$J$229,0)-1,0),0)</f>
        <v>0</v>
      </c>
      <c r="AA501" s="9" t="s">
        <v>521</v>
      </c>
      <c r="AB501" s="9">
        <v>17</v>
      </c>
      <c r="AD501" s="11">
        <f ca="1">IFERROR(OFFSET(MANOR_LEVEL!$B$1,MATCH(AE501-1,MANOR_LEVEL!$A:$A,0)-1,0),0)</f>
        <v>13022450</v>
      </c>
      <c r="AE501" s="56">
        <v>14</v>
      </c>
      <c r="AG501" s="56">
        <f t="shared" ca="1" si="126"/>
        <v>100000850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100000850</v>
      </c>
      <c r="AI501" s="179">
        <f t="shared" ca="1" si="124"/>
        <v>153751550</v>
      </c>
      <c r="AK501" s="11">
        <f t="shared" si="125"/>
        <v>19800</v>
      </c>
      <c r="AL501" s="10">
        <v>19800</v>
      </c>
      <c r="AM501" s="11">
        <f t="shared" si="122"/>
        <v>850</v>
      </c>
      <c r="AN501" s="10">
        <v>850</v>
      </c>
      <c r="AO501" s="11">
        <v>4000000</v>
      </c>
      <c r="AP501" s="10">
        <v>0</v>
      </c>
      <c r="AQ501" s="56">
        <f t="shared" si="127"/>
        <v>1</v>
      </c>
      <c r="AS501" s="11">
        <f ca="1">IFERROR(OFFSET(ITEM_RES!$A$1,MATCH(AT501,ITEM_RES!$J:$J,0)-1,0),0)</f>
        <v>211020901</v>
      </c>
      <c r="AT501" s="10" t="s">
        <v>437</v>
      </c>
      <c r="AU501" s="11">
        <v>8000000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19"/>
        <v>115010018</v>
      </c>
      <c r="B502" s="13">
        <v>11</v>
      </c>
      <c r="C502" s="12">
        <f t="shared" si="120"/>
        <v>5</v>
      </c>
      <c r="D502" s="13">
        <v>1</v>
      </c>
      <c r="E502" s="13">
        <v>0</v>
      </c>
      <c r="F502" s="12">
        <f t="shared" si="121"/>
        <v>18</v>
      </c>
      <c r="H502" s="9">
        <v>5</v>
      </c>
      <c r="I502" s="9">
        <v>18</v>
      </c>
      <c r="K502" s="9" t="s">
        <v>364</v>
      </c>
      <c r="M502" s="9">
        <v>0</v>
      </c>
      <c r="N502" s="9">
        <v>15</v>
      </c>
      <c r="O502" s="9" t="s">
        <v>1162</v>
      </c>
      <c r="S502" s="9">
        <v>2222</v>
      </c>
      <c r="V502" s="9">
        <f ca="1">IFERROR(OFFSET(ITEM_RES!$A$5,MATCH(BUILDING!U502,ITEM_RES!$J$5:$J$229,0)-1,0),0)</f>
        <v>0</v>
      </c>
      <c r="Y502" s="9">
        <f ca="1">IFERROR(OFFSET(ITEM_RES!$A$5,MATCH(BUILDING!X502,ITEM_RES!$J$5:$J$229,0)-1,0),0)</f>
        <v>0</v>
      </c>
      <c r="AA502" s="9" t="s">
        <v>521</v>
      </c>
      <c r="AB502" s="9">
        <v>18</v>
      </c>
      <c r="AD502" s="11">
        <f ca="1">IFERROR(OFFSET(MANOR_LEVEL!$B$1,MATCH(AE502-1,MANOR_LEVEL!$A:$A,0)-1,0),0)</f>
        <v>23283600</v>
      </c>
      <c r="AE502" s="56">
        <v>15</v>
      </c>
      <c r="AG502" s="56">
        <f t="shared" ca="1" si="126"/>
        <v>162501050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162501050</v>
      </c>
      <c r="AI502" s="179">
        <f t="shared" ca="1" si="124"/>
        <v>262501900</v>
      </c>
      <c r="AK502" s="11">
        <f t="shared" si="125"/>
        <v>21600</v>
      </c>
      <c r="AL502" s="10">
        <v>21600</v>
      </c>
      <c r="AM502" s="11">
        <f t="shared" si="122"/>
        <v>1050</v>
      </c>
      <c r="AN502" s="10">
        <v>1050</v>
      </c>
      <c r="AO502" s="11">
        <v>6500000</v>
      </c>
      <c r="AP502" s="10">
        <v>0</v>
      </c>
      <c r="AQ502" s="56">
        <f t="shared" si="127"/>
        <v>1</v>
      </c>
      <c r="AS502" s="11">
        <f ca="1">IFERROR(OFFSET(ITEM_RES!$A$1,MATCH(AT502,ITEM_RES!$J:$J,0)-1,0),0)</f>
        <v>211020901</v>
      </c>
      <c r="AT502" s="10" t="s">
        <v>437</v>
      </c>
      <c r="AU502" s="11">
        <v>13000000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19"/>
        <v>115010019</v>
      </c>
      <c r="B503" s="13">
        <v>11</v>
      </c>
      <c r="C503" s="12">
        <f t="shared" si="120"/>
        <v>5</v>
      </c>
      <c r="D503" s="13">
        <v>1</v>
      </c>
      <c r="E503" s="13">
        <v>0</v>
      </c>
      <c r="F503" s="12">
        <f t="shared" si="121"/>
        <v>19</v>
      </c>
      <c r="H503" s="9">
        <v>5</v>
      </c>
      <c r="I503" s="9">
        <v>19</v>
      </c>
      <c r="K503" s="9" t="s">
        <v>364</v>
      </c>
      <c r="M503" s="9">
        <v>0</v>
      </c>
      <c r="N503" s="9">
        <v>15</v>
      </c>
      <c r="O503" s="9" t="s">
        <v>1162</v>
      </c>
      <c r="S503" s="9">
        <v>2222</v>
      </c>
      <c r="V503" s="9">
        <f ca="1">IFERROR(OFFSET(ITEM_RES!$A$5,MATCH(BUILDING!U503,ITEM_RES!$J$5:$J$229,0)-1,0),0)</f>
        <v>0</v>
      </c>
      <c r="Y503" s="9">
        <f ca="1">IFERROR(OFFSET(ITEM_RES!$A$5,MATCH(BUILDING!X503,ITEM_RES!$J$5:$J$229,0)-1,0),0)</f>
        <v>0</v>
      </c>
      <c r="AA503" s="9" t="s">
        <v>521</v>
      </c>
      <c r="AB503" s="9">
        <v>19</v>
      </c>
      <c r="AD503" s="11">
        <f ca="1">IFERROR(OFFSET(MANOR_LEVEL!$B$1,MATCH(AE503-1,MANOR_LEVEL!$A:$A,0)-1,0),0)</f>
        <v>50404400</v>
      </c>
      <c r="AE503" s="56">
        <v>16</v>
      </c>
      <c r="AG503" s="56">
        <f t="shared" ca="1" si="126"/>
        <v>250001250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250001250</v>
      </c>
      <c r="AI503" s="179">
        <f t="shared" ca="1" si="124"/>
        <v>412502300</v>
      </c>
      <c r="AK503" s="11">
        <f t="shared" si="125"/>
        <v>23400</v>
      </c>
      <c r="AL503" s="10">
        <v>23400</v>
      </c>
      <c r="AM503" s="11">
        <f t="shared" si="122"/>
        <v>1250</v>
      </c>
      <c r="AN503" s="10">
        <v>1250</v>
      </c>
      <c r="AO503" s="11">
        <v>10000000</v>
      </c>
      <c r="AP503" s="10">
        <v>0</v>
      </c>
      <c r="AQ503" s="56">
        <f t="shared" si="127"/>
        <v>1</v>
      </c>
      <c r="AS503" s="11">
        <f ca="1">IFERROR(OFFSET(ITEM_RES!$A$1,MATCH(AT503,ITEM_RES!$J:$J,0)-1,0),0)</f>
        <v>211020901</v>
      </c>
      <c r="AT503" s="10" t="s">
        <v>437</v>
      </c>
      <c r="AU503" s="11">
        <v>20000000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19"/>
        <v>115010020</v>
      </c>
      <c r="B504" s="13">
        <v>11</v>
      </c>
      <c r="C504" s="12">
        <f t="shared" si="120"/>
        <v>5</v>
      </c>
      <c r="D504" s="13">
        <v>1</v>
      </c>
      <c r="E504" s="13">
        <v>0</v>
      </c>
      <c r="F504" s="12">
        <f t="shared" si="121"/>
        <v>20</v>
      </c>
      <c r="H504" s="9">
        <v>5</v>
      </c>
      <c r="I504" s="9">
        <v>20</v>
      </c>
      <c r="K504" s="9" t="s">
        <v>364</v>
      </c>
      <c r="M504" s="9">
        <v>0</v>
      </c>
      <c r="N504" s="9">
        <v>15</v>
      </c>
      <c r="O504" s="9" t="s">
        <v>1162</v>
      </c>
      <c r="S504" s="9">
        <v>2222</v>
      </c>
      <c r="V504" s="9">
        <f ca="1">IFERROR(OFFSET(ITEM_RES!$A$5,MATCH(BUILDING!U504,ITEM_RES!$J$5:$J$229,0)-1,0),0)</f>
        <v>0</v>
      </c>
      <c r="Y504" s="9">
        <f ca="1">IFERROR(OFFSET(ITEM_RES!$A$5,MATCH(BUILDING!X504,ITEM_RES!$J$5:$J$229,0)-1,0),0)</f>
        <v>0</v>
      </c>
      <c r="AA504" s="9" t="s">
        <v>521</v>
      </c>
      <c r="AB504" s="9">
        <v>20</v>
      </c>
      <c r="AD504" s="11">
        <f ca="1">IFERROR(OFFSET(MANOR_LEVEL!$B$1,MATCH(AE504-1,MANOR_LEVEL!$A:$A,0)-1,0),0)</f>
        <v>119976300</v>
      </c>
      <c r="AE504" s="56">
        <v>17</v>
      </c>
      <c r="AG504" s="56">
        <f t="shared" ca="1" si="126"/>
        <v>400001500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400001500</v>
      </c>
      <c r="AI504" s="179">
        <f t="shared" ca="1" si="124"/>
        <v>650002750</v>
      </c>
      <c r="AK504" s="11">
        <f t="shared" si="125"/>
        <v>25200</v>
      </c>
      <c r="AL504" s="10">
        <v>25200</v>
      </c>
      <c r="AM504" s="11">
        <f t="shared" si="122"/>
        <v>1500</v>
      </c>
      <c r="AN504" s="10">
        <v>1500</v>
      </c>
      <c r="AO504" s="11">
        <v>16000000</v>
      </c>
      <c r="AP504" s="10">
        <v>0</v>
      </c>
      <c r="AQ504" s="56">
        <f t="shared" si="127"/>
        <v>1</v>
      </c>
      <c r="AS504" s="11">
        <f ca="1">IFERROR(OFFSET(ITEM_RES!$A$1,MATCH(AT504,ITEM_RES!$J:$J,0)-1,0),0)</f>
        <v>211020901</v>
      </c>
      <c r="AT504" s="10" t="s">
        <v>437</v>
      </c>
      <c r="AU504" s="11">
        <v>32000000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19"/>
        <v>115020001</v>
      </c>
      <c r="B505" s="20">
        <v>11</v>
      </c>
      <c r="C505" s="19">
        <f t="shared" si="120"/>
        <v>5</v>
      </c>
      <c r="D505" s="20">
        <v>2</v>
      </c>
      <c r="E505" s="20">
        <v>0</v>
      </c>
      <c r="F505" s="19">
        <f t="shared" si="121"/>
        <v>1</v>
      </c>
      <c r="G505" s="78"/>
      <c r="H505" s="16">
        <v>5</v>
      </c>
      <c r="I505" s="16">
        <v>1</v>
      </c>
      <c r="J505" s="78"/>
      <c r="K505" s="16" t="s">
        <v>1017</v>
      </c>
      <c r="L505" s="16">
        <v>1</v>
      </c>
      <c r="M505" s="16">
        <v>1</v>
      </c>
      <c r="N505" s="16">
        <v>15</v>
      </c>
      <c r="O505" s="16" t="s">
        <v>1163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IFERROR(OFFSET(ITEM_RES!$A$5,MATCH(BUILDING!U505,ITEM_RES!$J$5:$J$229,0)-1,0),0)</f>
        <v>0</v>
      </c>
      <c r="W505" s="18"/>
      <c r="X505" s="86"/>
      <c r="Y505" s="16">
        <f ca="1">IFERROR(OFFSET(ITEM_RES!$A$5,MATCH(BUILDING!X505,ITEM_RES!$J$5:$J$229,0)-1,0),0)</f>
        <v>0</v>
      </c>
      <c r="Z505" s="78"/>
      <c r="AA505" s="16" t="s">
        <v>377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26"/>
        <v>2255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2255</v>
      </c>
      <c r="AI505" s="181">
        <f ca="1">AG505</f>
        <v>2255</v>
      </c>
      <c r="AJ505" s="78"/>
      <c r="AK505" s="18">
        <f t="shared" si="125"/>
        <v>5</v>
      </c>
      <c r="AL505" s="17">
        <v>5</v>
      </c>
      <c r="AM505" s="18">
        <f t="shared" si="122"/>
        <v>5</v>
      </c>
      <c r="AN505" s="17">
        <v>5</v>
      </c>
      <c r="AO505" s="18">
        <f t="shared" si="122"/>
        <v>0</v>
      </c>
      <c r="AP505" s="17">
        <v>0</v>
      </c>
      <c r="AQ505" s="57">
        <f t="shared" si="127"/>
        <v>3</v>
      </c>
      <c r="AR505" s="18"/>
      <c r="AS505" s="18">
        <f ca="1">IFERROR(OFFSET(ITEM_RES!$A$1,MATCH(AT505,ITEM_RES!$J:$J,0)-1,0),0)</f>
        <v>211020801</v>
      </c>
      <c r="AT505" s="17" t="s">
        <v>431</v>
      </c>
      <c r="AU505" s="18">
        <v>25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445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467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19"/>
        <v>115020002</v>
      </c>
      <c r="B506" s="13">
        <v>11</v>
      </c>
      <c r="C506" s="12">
        <f t="shared" si="120"/>
        <v>5</v>
      </c>
      <c r="D506" s="13">
        <v>2</v>
      </c>
      <c r="E506" s="13">
        <v>0</v>
      </c>
      <c r="F506" s="12">
        <f t="shared" si="121"/>
        <v>2</v>
      </c>
      <c r="H506" s="9">
        <v>5</v>
      </c>
      <c r="I506" s="9">
        <v>2</v>
      </c>
      <c r="K506" s="9" t="s">
        <v>1017</v>
      </c>
      <c r="M506" s="9">
        <v>1</v>
      </c>
      <c r="N506" s="9">
        <v>15</v>
      </c>
      <c r="O506" s="9" t="s">
        <v>1164</v>
      </c>
      <c r="S506" s="9">
        <v>3333</v>
      </c>
      <c r="V506" s="9">
        <f ca="1">IFERROR(OFFSET(ITEM_RES!$A$5,MATCH(BUILDING!U506,ITEM_RES!$J$5:$J$229,0)-1,0),0)</f>
        <v>0</v>
      </c>
      <c r="Y506" s="9">
        <f ca="1">IFERROR(OFFSET(ITEM_RES!$A$5,MATCH(BUILDING!X506,ITEM_RES!$J$5:$J$229,0)-1,0),0)</f>
        <v>0</v>
      </c>
      <c r="AA506" s="9" t="s">
        <v>376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26"/>
        <v>510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510</v>
      </c>
      <c r="AI506" s="179">
        <f ca="1">AG505+AG506</f>
        <v>2765</v>
      </c>
      <c r="AK506" s="11">
        <f t="shared" si="125"/>
        <v>10</v>
      </c>
      <c r="AL506" s="10">
        <v>10</v>
      </c>
      <c r="AM506" s="11">
        <f t="shared" si="122"/>
        <v>10</v>
      </c>
      <c r="AN506" s="10">
        <v>10</v>
      </c>
      <c r="AO506" s="11">
        <f t="shared" si="122"/>
        <v>0</v>
      </c>
      <c r="AP506" s="10">
        <v>0</v>
      </c>
      <c r="AQ506" s="56">
        <f t="shared" si="127"/>
        <v>1</v>
      </c>
      <c r="AS506" s="11">
        <f ca="1">IFERROR(OFFSET(ITEM_RES!$A$1,MATCH(AT506,ITEM_RES!$J:$J,0)-1,0),0)</f>
        <v>211020801</v>
      </c>
      <c r="AT506" s="10" t="s">
        <v>431</v>
      </c>
      <c r="AU506" s="11">
        <v>50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19"/>
        <v>115020003</v>
      </c>
      <c r="B507" s="13">
        <v>11</v>
      </c>
      <c r="C507" s="12">
        <f t="shared" si="120"/>
        <v>5</v>
      </c>
      <c r="D507" s="13">
        <v>2</v>
      </c>
      <c r="E507" s="13">
        <v>0</v>
      </c>
      <c r="F507" s="12">
        <f t="shared" si="121"/>
        <v>3</v>
      </c>
      <c r="H507" s="9">
        <v>5</v>
      </c>
      <c r="I507" s="9">
        <v>3</v>
      </c>
      <c r="K507" s="9" t="s">
        <v>1017</v>
      </c>
      <c r="M507" s="9">
        <v>1</v>
      </c>
      <c r="N507" s="9">
        <v>15</v>
      </c>
      <c r="O507" s="9" t="s">
        <v>1164</v>
      </c>
      <c r="S507" s="9">
        <v>3333</v>
      </c>
      <c r="V507" s="9">
        <f ca="1">IFERROR(OFFSET(ITEM_RES!$A$5,MATCH(BUILDING!U507,ITEM_RES!$J$5:$J$229,0)-1,0),0)</f>
        <v>0</v>
      </c>
      <c r="Y507" s="9">
        <f ca="1">IFERROR(OFFSET(ITEM_RES!$A$5,MATCH(BUILDING!X507,ITEM_RES!$J$5:$J$229,0)-1,0),0)</f>
        <v>0</v>
      </c>
      <c r="AA507" s="9" t="s">
        <v>375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26"/>
        <v>765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765</v>
      </c>
      <c r="AI507" s="179">
        <f t="shared" ref="AI507:AI524" ca="1" si="128">AG506+AG507</f>
        <v>1275</v>
      </c>
      <c r="AK507" s="11">
        <f t="shared" si="125"/>
        <v>30</v>
      </c>
      <c r="AL507" s="10">
        <v>30</v>
      </c>
      <c r="AM507" s="11">
        <f t="shared" si="122"/>
        <v>15</v>
      </c>
      <c r="AN507" s="10">
        <v>15</v>
      </c>
      <c r="AO507" s="11">
        <f t="shared" si="122"/>
        <v>0</v>
      </c>
      <c r="AP507" s="10">
        <v>0</v>
      </c>
      <c r="AQ507" s="56">
        <f t="shared" si="127"/>
        <v>1</v>
      </c>
      <c r="AS507" s="11">
        <f ca="1">IFERROR(OFFSET(ITEM_RES!$A$1,MATCH(AT507,ITEM_RES!$J:$J,0)-1,0),0)</f>
        <v>211020801</v>
      </c>
      <c r="AT507" s="10" t="s">
        <v>431</v>
      </c>
      <c r="AU507" s="11">
        <v>75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19"/>
        <v>115020004</v>
      </c>
      <c r="B508" s="13">
        <v>11</v>
      </c>
      <c r="C508" s="12">
        <f t="shared" si="120"/>
        <v>5</v>
      </c>
      <c r="D508" s="13">
        <v>2</v>
      </c>
      <c r="E508" s="13">
        <v>0</v>
      </c>
      <c r="F508" s="12">
        <f t="shared" si="121"/>
        <v>4</v>
      </c>
      <c r="H508" s="9">
        <v>5</v>
      </c>
      <c r="I508" s="9">
        <v>4</v>
      </c>
      <c r="K508" s="9" t="s">
        <v>1017</v>
      </c>
      <c r="M508" s="9">
        <v>1</v>
      </c>
      <c r="N508" s="9">
        <v>15</v>
      </c>
      <c r="O508" s="9" t="s">
        <v>1165</v>
      </c>
      <c r="S508" s="9">
        <v>3333</v>
      </c>
      <c r="V508" s="9">
        <f ca="1">IFERROR(OFFSET(ITEM_RES!$A$5,MATCH(BUILDING!U508,ITEM_RES!$J$5:$J$229,0)-1,0),0)</f>
        <v>0</v>
      </c>
      <c r="Y508" s="9">
        <f ca="1">IFERROR(OFFSET(ITEM_RES!$A$5,MATCH(BUILDING!X508,ITEM_RES!$J$5:$J$229,0)-1,0),0)</f>
        <v>0</v>
      </c>
      <c r="AA508" s="9" t="s">
        <v>375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26"/>
        <v>3025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3025</v>
      </c>
      <c r="AI508" s="179">
        <f t="shared" ca="1" si="128"/>
        <v>3790</v>
      </c>
      <c r="AK508" s="11">
        <f t="shared" si="125"/>
        <v>300</v>
      </c>
      <c r="AL508" s="10">
        <v>300</v>
      </c>
      <c r="AM508" s="11">
        <f t="shared" si="122"/>
        <v>25</v>
      </c>
      <c r="AN508" s="10">
        <v>25</v>
      </c>
      <c r="AO508" s="11">
        <f t="shared" si="122"/>
        <v>0</v>
      </c>
      <c r="AP508" s="10">
        <v>0</v>
      </c>
      <c r="AQ508" s="56">
        <f t="shared" si="127"/>
        <v>1</v>
      </c>
      <c r="AS508" s="11">
        <f ca="1">IFERROR(OFFSET(ITEM_RES!$A$1,MATCH(AT508,ITEM_RES!$J:$J,0)-1,0),0)</f>
        <v>211020801</v>
      </c>
      <c r="AT508" s="10" t="s">
        <v>431</v>
      </c>
      <c r="AU508" s="11">
        <v>300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19"/>
        <v>115020005</v>
      </c>
      <c r="B509" s="13">
        <v>11</v>
      </c>
      <c r="C509" s="12">
        <f t="shared" si="120"/>
        <v>5</v>
      </c>
      <c r="D509" s="13">
        <v>2</v>
      </c>
      <c r="E509" s="13">
        <v>0</v>
      </c>
      <c r="F509" s="12">
        <f t="shared" si="121"/>
        <v>5</v>
      </c>
      <c r="H509" s="9">
        <v>5</v>
      </c>
      <c r="I509" s="9">
        <v>5</v>
      </c>
      <c r="K509" s="9" t="s">
        <v>1017</v>
      </c>
      <c r="M509" s="9">
        <v>1</v>
      </c>
      <c r="N509" s="9">
        <v>15</v>
      </c>
      <c r="O509" s="9" t="s">
        <v>1165</v>
      </c>
      <c r="S509" s="9">
        <v>3333</v>
      </c>
      <c r="V509" s="9">
        <f ca="1">IFERROR(OFFSET(ITEM_RES!$A$5,MATCH(BUILDING!U509,ITEM_RES!$J$5:$J$229,0)-1,0),0)</f>
        <v>0</v>
      </c>
      <c r="Y509" s="9">
        <f ca="1">IFERROR(OFFSET(ITEM_RES!$A$5,MATCH(BUILDING!X509,ITEM_RES!$J$5:$J$229,0)-1,0),0)</f>
        <v>0</v>
      </c>
      <c r="AA509" s="9" t="s">
        <v>375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26"/>
        <v>13540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13540</v>
      </c>
      <c r="AI509" s="179">
        <f t="shared" ca="1" si="128"/>
        <v>16565</v>
      </c>
      <c r="AK509" s="11">
        <f t="shared" si="125"/>
        <v>600</v>
      </c>
      <c r="AL509" s="10">
        <v>600</v>
      </c>
      <c r="AM509" s="11">
        <f t="shared" si="122"/>
        <v>40</v>
      </c>
      <c r="AN509" s="10">
        <v>40</v>
      </c>
      <c r="AO509" s="11">
        <f t="shared" si="122"/>
        <v>0</v>
      </c>
      <c r="AP509" s="10">
        <v>0</v>
      </c>
      <c r="AQ509" s="56">
        <f t="shared" si="127"/>
        <v>1</v>
      </c>
      <c r="AS509" s="11">
        <f ca="1">IFERROR(OFFSET(ITEM_RES!$A$1,MATCH(AT509,ITEM_RES!$J:$J,0)-1,0),0)</f>
        <v>211020801</v>
      </c>
      <c r="AT509" s="10" t="s">
        <v>431</v>
      </c>
      <c r="AU509" s="11">
        <v>1350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19"/>
        <v>115020006</v>
      </c>
      <c r="B510" s="13">
        <v>11</v>
      </c>
      <c r="C510" s="12">
        <f t="shared" si="120"/>
        <v>5</v>
      </c>
      <c r="D510" s="13">
        <v>2</v>
      </c>
      <c r="E510" s="13">
        <v>0</v>
      </c>
      <c r="F510" s="12">
        <f t="shared" si="121"/>
        <v>6</v>
      </c>
      <c r="H510" s="9">
        <v>5</v>
      </c>
      <c r="I510" s="9">
        <v>6</v>
      </c>
      <c r="K510" s="9" t="s">
        <v>1017</v>
      </c>
      <c r="M510" s="9">
        <v>1</v>
      </c>
      <c r="N510" s="9">
        <v>15</v>
      </c>
      <c r="O510" s="9" t="s">
        <v>1165</v>
      </c>
      <c r="S510" s="9">
        <v>3333</v>
      </c>
      <c r="V510" s="9">
        <f ca="1">IFERROR(OFFSET(ITEM_RES!$A$5,MATCH(BUILDING!U510,ITEM_RES!$J$5:$J$229,0)-1,0),0)</f>
        <v>0</v>
      </c>
      <c r="Y510" s="9">
        <f ca="1">IFERROR(OFFSET(ITEM_RES!$A$5,MATCH(BUILDING!X510,ITEM_RES!$J$5:$J$229,0)-1,0),0)</f>
        <v>0</v>
      </c>
      <c r="AA510" s="9" t="s">
        <v>375</v>
      </c>
      <c r="AB510" s="9">
        <v>6</v>
      </c>
      <c r="AD510" s="11">
        <f ca="1">IFERROR(OFFSET(MANOR_LEVEL!$B$1,MATCH(AE510-1,MANOR_LEVEL!$A:$A,0)-1,0),0)</f>
        <v>310</v>
      </c>
      <c r="AE510" s="56">
        <v>3</v>
      </c>
      <c r="AG510" s="56">
        <f t="shared" ca="1" si="126"/>
        <v>45050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45050</v>
      </c>
      <c r="AI510" s="179">
        <f t="shared" ca="1" si="128"/>
        <v>58590</v>
      </c>
      <c r="AK510" s="11">
        <f t="shared" si="125"/>
        <v>1200</v>
      </c>
      <c r="AL510" s="10">
        <v>1200</v>
      </c>
      <c r="AM510" s="11">
        <f t="shared" si="122"/>
        <v>50</v>
      </c>
      <c r="AN510" s="10">
        <v>50</v>
      </c>
      <c r="AO510" s="11">
        <f t="shared" si="122"/>
        <v>0</v>
      </c>
      <c r="AP510" s="10">
        <v>0</v>
      </c>
      <c r="AQ510" s="56">
        <f t="shared" si="127"/>
        <v>1</v>
      </c>
      <c r="AS510" s="11">
        <f ca="1">IFERROR(OFFSET(ITEM_RES!$A$1,MATCH(AT510,ITEM_RES!$J:$J,0)-1,0),0)</f>
        <v>211020801</v>
      </c>
      <c r="AT510" s="10" t="s">
        <v>431</v>
      </c>
      <c r="AU510" s="11">
        <v>4500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19"/>
        <v>115020007</v>
      </c>
      <c r="B511" s="13">
        <v>11</v>
      </c>
      <c r="C511" s="12">
        <f t="shared" si="120"/>
        <v>5</v>
      </c>
      <c r="D511" s="13">
        <v>2</v>
      </c>
      <c r="E511" s="13">
        <v>0</v>
      </c>
      <c r="F511" s="12">
        <f t="shared" si="121"/>
        <v>7</v>
      </c>
      <c r="H511" s="9">
        <v>5</v>
      </c>
      <c r="I511" s="9">
        <v>7</v>
      </c>
      <c r="K511" s="9" t="s">
        <v>1017</v>
      </c>
      <c r="M511" s="9">
        <v>1</v>
      </c>
      <c r="N511" s="9">
        <v>15</v>
      </c>
      <c r="O511" s="9" t="s">
        <v>1166</v>
      </c>
      <c r="S511" s="9">
        <v>3333</v>
      </c>
      <c r="V511" s="9">
        <f ca="1">IFERROR(OFFSET(ITEM_RES!$A$5,MATCH(BUILDING!U511,ITEM_RES!$J$5:$J$229,0)-1,0),0)</f>
        <v>0</v>
      </c>
      <c r="Y511" s="9">
        <f ca="1">IFERROR(OFFSET(ITEM_RES!$A$5,MATCH(BUILDING!X511,ITEM_RES!$J$5:$J$229,0)-1,0),0)</f>
        <v>0</v>
      </c>
      <c r="AA511" s="9" t="s">
        <v>375</v>
      </c>
      <c r="AB511" s="9">
        <v>7</v>
      </c>
      <c r="AD511" s="11">
        <f ca="1">IFERROR(OFFSET(MANOR_LEVEL!$B$1,MATCH(AE511-1,MANOR_LEVEL!$A:$A,0)-1,0),0)</f>
        <v>930</v>
      </c>
      <c r="AE511" s="56">
        <v>4</v>
      </c>
      <c r="AG511" s="56">
        <f t="shared" ca="1" si="126"/>
        <v>100100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100100</v>
      </c>
      <c r="AI511" s="179">
        <f t="shared" ca="1" si="128"/>
        <v>145150</v>
      </c>
      <c r="AK511" s="11">
        <f t="shared" si="125"/>
        <v>1800</v>
      </c>
      <c r="AL511" s="10">
        <v>1800</v>
      </c>
      <c r="AM511" s="11">
        <f t="shared" si="122"/>
        <v>100</v>
      </c>
      <c r="AN511" s="10">
        <v>100</v>
      </c>
      <c r="AO511" s="11">
        <f t="shared" si="122"/>
        <v>0</v>
      </c>
      <c r="AP511" s="10">
        <v>0</v>
      </c>
      <c r="AQ511" s="56">
        <f t="shared" si="127"/>
        <v>1</v>
      </c>
      <c r="AS511" s="11">
        <f ca="1">IFERROR(OFFSET(ITEM_RES!$A$1,MATCH(AT511,ITEM_RES!$J:$J,0)-1,0),0)</f>
        <v>211020801</v>
      </c>
      <c r="AT511" s="10" t="s">
        <v>431</v>
      </c>
      <c r="AU511" s="11">
        <v>10000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19"/>
        <v>115020008</v>
      </c>
      <c r="B512" s="13">
        <v>11</v>
      </c>
      <c r="C512" s="12">
        <f t="shared" si="120"/>
        <v>5</v>
      </c>
      <c r="D512" s="13">
        <v>2</v>
      </c>
      <c r="E512" s="13">
        <v>0</v>
      </c>
      <c r="F512" s="12">
        <f t="shared" si="121"/>
        <v>8</v>
      </c>
      <c r="H512" s="9">
        <v>5</v>
      </c>
      <c r="I512" s="9">
        <v>8</v>
      </c>
      <c r="K512" s="9" t="s">
        <v>1017</v>
      </c>
      <c r="M512" s="9">
        <v>1</v>
      </c>
      <c r="N512" s="9">
        <v>15</v>
      </c>
      <c r="O512" s="9" t="s">
        <v>1166</v>
      </c>
      <c r="S512" s="9">
        <v>3333</v>
      </c>
      <c r="V512" s="9">
        <f ca="1">IFERROR(OFFSET(ITEM_RES!$A$5,MATCH(BUILDING!U512,ITEM_RES!$J$5:$J$229,0)-1,0),0)</f>
        <v>0</v>
      </c>
      <c r="Y512" s="9">
        <f ca="1">IFERROR(OFFSET(ITEM_RES!$A$5,MATCH(BUILDING!X512,ITEM_RES!$J$5:$J$229,0)-1,0),0)</f>
        <v>0</v>
      </c>
      <c r="AA512" s="9" t="s">
        <v>375</v>
      </c>
      <c r="AB512" s="9">
        <v>8</v>
      </c>
      <c r="AD512" s="11">
        <f ca="1">IFERROR(OFFSET(MANOR_LEVEL!$B$1,MATCH(AE512-1,MANOR_LEVEL!$A:$A,0)-1,0),0)</f>
        <v>5475</v>
      </c>
      <c r="AE512" s="56">
        <v>5</v>
      </c>
      <c r="AG512" s="56">
        <f t="shared" ca="1" si="126"/>
        <v>210100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210100</v>
      </c>
      <c r="AI512" s="179">
        <f t="shared" ca="1" si="128"/>
        <v>310200</v>
      </c>
      <c r="AK512" s="11">
        <f t="shared" si="125"/>
        <v>3600</v>
      </c>
      <c r="AL512" s="10">
        <v>3600</v>
      </c>
      <c r="AM512" s="11">
        <f t="shared" si="122"/>
        <v>100</v>
      </c>
      <c r="AN512" s="10">
        <v>100</v>
      </c>
      <c r="AO512" s="11">
        <v>0</v>
      </c>
      <c r="AP512" s="10">
        <v>0</v>
      </c>
      <c r="AQ512" s="56">
        <f t="shared" si="127"/>
        <v>1</v>
      </c>
      <c r="AS512" s="11">
        <f ca="1">IFERROR(OFFSET(ITEM_RES!$A$1,MATCH(AT512,ITEM_RES!$J:$J,0)-1,0),0)</f>
        <v>211020801</v>
      </c>
      <c r="AT512" s="10" t="s">
        <v>431</v>
      </c>
      <c r="AU512" s="11">
        <v>21000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24" si="129">B513*10000000+C513*1000000+D513*10000+E513*100+F513</f>
        <v>115020009</v>
      </c>
      <c r="B513" s="13">
        <v>11</v>
      </c>
      <c r="C513" s="12">
        <f t="shared" ref="C513:C524" si="130">H513</f>
        <v>5</v>
      </c>
      <c r="D513" s="13">
        <v>2</v>
      </c>
      <c r="E513" s="13">
        <v>0</v>
      </c>
      <c r="F513" s="12">
        <f t="shared" ref="F513:F524" si="131">I513</f>
        <v>9</v>
      </c>
      <c r="H513" s="9">
        <v>5</v>
      </c>
      <c r="I513" s="9">
        <v>9</v>
      </c>
      <c r="K513" s="9" t="s">
        <v>1017</v>
      </c>
      <c r="M513" s="9">
        <v>1</v>
      </c>
      <c r="N513" s="9">
        <v>15</v>
      </c>
      <c r="O513" s="9" t="s">
        <v>1166</v>
      </c>
      <c r="S513" s="9">
        <v>3333</v>
      </c>
      <c r="V513" s="9">
        <f ca="1">IFERROR(OFFSET(ITEM_RES!$A$5,MATCH(BUILDING!U513,ITEM_RES!$J$5:$J$229,0)-1,0),0)</f>
        <v>0</v>
      </c>
      <c r="Y513" s="9">
        <f ca="1">IFERROR(OFFSET(ITEM_RES!$A$5,MATCH(BUILDING!X513,ITEM_RES!$J$5:$J$229,0)-1,0),0)</f>
        <v>0</v>
      </c>
      <c r="AA513" s="9" t="s">
        <v>375</v>
      </c>
      <c r="AB513" s="9">
        <v>9</v>
      </c>
      <c r="AD513" s="11">
        <f ca="1">IFERROR(OFFSET(MANOR_LEVEL!$B$1,MATCH(AE513-1,MANOR_LEVEL!$A:$A,0)-1,0),0)</f>
        <v>32560</v>
      </c>
      <c r="AE513" s="56">
        <v>6</v>
      </c>
      <c r="AG513" s="56">
        <f t="shared" ca="1" si="126"/>
        <v>390150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390150</v>
      </c>
      <c r="AI513" s="179">
        <f t="shared" ca="1" si="128"/>
        <v>600250</v>
      </c>
      <c r="AK513" s="11">
        <f t="shared" si="125"/>
        <v>5400</v>
      </c>
      <c r="AL513" s="10">
        <v>5400</v>
      </c>
      <c r="AM513" s="11">
        <f t="shared" si="122"/>
        <v>150</v>
      </c>
      <c r="AN513" s="10">
        <v>150</v>
      </c>
      <c r="AO513" s="11">
        <v>0</v>
      </c>
      <c r="AP513" s="10">
        <v>0</v>
      </c>
      <c r="AQ513" s="56">
        <f t="shared" si="127"/>
        <v>1</v>
      </c>
      <c r="AS513" s="11">
        <f ca="1">IFERROR(OFFSET(ITEM_RES!$A$1,MATCH(AT513,ITEM_RES!$J:$J,0)-1,0),0)</f>
        <v>211020801</v>
      </c>
      <c r="AT513" s="10" t="s">
        <v>431</v>
      </c>
      <c r="AU513" s="11">
        <v>39000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29"/>
        <v>115020010</v>
      </c>
      <c r="B514" s="13">
        <v>11</v>
      </c>
      <c r="C514" s="12">
        <f t="shared" si="130"/>
        <v>5</v>
      </c>
      <c r="D514" s="13">
        <v>2</v>
      </c>
      <c r="E514" s="13">
        <v>0</v>
      </c>
      <c r="F514" s="12">
        <f t="shared" si="131"/>
        <v>10</v>
      </c>
      <c r="H514" s="9">
        <v>5</v>
      </c>
      <c r="I514" s="9">
        <v>10</v>
      </c>
      <c r="K514" s="9" t="s">
        <v>1017</v>
      </c>
      <c r="M514" s="9">
        <v>1</v>
      </c>
      <c r="N514" s="9">
        <v>15</v>
      </c>
      <c r="O514" s="9" t="s">
        <v>1166</v>
      </c>
      <c r="S514" s="9">
        <v>3333</v>
      </c>
      <c r="V514" s="9">
        <f ca="1">IFERROR(OFFSET(ITEM_RES!$A$5,MATCH(BUILDING!U514,ITEM_RES!$J$5:$J$229,0)-1,0),0)</f>
        <v>0</v>
      </c>
      <c r="Y514" s="9">
        <f ca="1">IFERROR(OFFSET(ITEM_RES!$A$5,MATCH(BUILDING!X514,ITEM_RES!$J$5:$J$229,0)-1,0),0)</f>
        <v>0</v>
      </c>
      <c r="AA514" s="9" t="s">
        <v>375</v>
      </c>
      <c r="AB514" s="9">
        <v>10</v>
      </c>
      <c r="AD514" s="11">
        <f ca="1">IFERROR(OFFSET(MANOR_LEVEL!$B$1,MATCH(AE514-1,MANOR_LEVEL!$A:$A,0)-1,0),0)</f>
        <v>108200</v>
      </c>
      <c r="AE514" s="56">
        <v>7</v>
      </c>
      <c r="AG514" s="56">
        <f t="shared" ca="1" si="126"/>
        <v>655700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655700</v>
      </c>
      <c r="AI514" s="179">
        <f t="shared" ca="1" si="128"/>
        <v>1045850</v>
      </c>
      <c r="AK514" s="11">
        <f t="shared" si="125"/>
        <v>7200</v>
      </c>
      <c r="AL514" s="10">
        <v>7200</v>
      </c>
      <c r="AM514" s="11">
        <f t="shared" ref="AM514:AM524" si="132">ROUND(AN514,0)</f>
        <v>200</v>
      </c>
      <c r="AN514" s="10">
        <v>200</v>
      </c>
      <c r="AO514" s="11">
        <v>500</v>
      </c>
      <c r="AP514" s="10">
        <v>0</v>
      </c>
      <c r="AQ514" s="56">
        <f t="shared" si="127"/>
        <v>2</v>
      </c>
      <c r="AS514" s="11">
        <f ca="1">IFERROR(OFFSET(ITEM_RES!$A$1,MATCH(AT514,ITEM_RES!$J:$J,0)-1,0),0)</f>
        <v>211020801</v>
      </c>
      <c r="AT514" s="10" t="s">
        <v>431</v>
      </c>
      <c r="AU514" s="11">
        <v>65000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473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29"/>
        <v>115020011</v>
      </c>
      <c r="B515" s="13">
        <v>11</v>
      </c>
      <c r="C515" s="12">
        <f t="shared" si="130"/>
        <v>5</v>
      </c>
      <c r="D515" s="13">
        <v>2</v>
      </c>
      <c r="E515" s="13">
        <v>0</v>
      </c>
      <c r="F515" s="12">
        <f t="shared" si="131"/>
        <v>11</v>
      </c>
      <c r="H515" s="9">
        <v>5</v>
      </c>
      <c r="I515" s="9">
        <v>11</v>
      </c>
      <c r="K515" s="9" t="s">
        <v>1017</v>
      </c>
      <c r="M515" s="9">
        <v>1</v>
      </c>
      <c r="N515" s="9">
        <v>15</v>
      </c>
      <c r="O515" s="9" t="s">
        <v>1167</v>
      </c>
      <c r="S515" s="9">
        <v>3333</v>
      </c>
      <c r="V515" s="9">
        <f ca="1">IFERROR(OFFSET(ITEM_RES!$A$5,MATCH(BUILDING!U515,ITEM_RES!$J$5:$J$229,0)-1,0),0)</f>
        <v>0</v>
      </c>
      <c r="Y515" s="9">
        <f ca="1">IFERROR(OFFSET(ITEM_RES!$A$5,MATCH(BUILDING!X515,ITEM_RES!$J$5:$J$229,0)-1,0),0)</f>
        <v>0</v>
      </c>
      <c r="AA515" s="9" t="s">
        <v>375</v>
      </c>
      <c r="AB515" s="9">
        <v>11</v>
      </c>
      <c r="AD515" s="11">
        <f ca="1">IFERROR(OFFSET(MANOR_LEVEL!$B$1,MATCH(AE515-1,MANOR_LEVEL!$A:$A,0)-1,0),0)</f>
        <v>240400</v>
      </c>
      <c r="AE515" s="56">
        <v>8</v>
      </c>
      <c r="AG515" s="56">
        <f t="shared" ca="1" si="126"/>
        <v>1106250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1106250</v>
      </c>
      <c r="AI515" s="179">
        <f t="shared" ca="1" si="128"/>
        <v>1761950</v>
      </c>
      <c r="AK515" s="11">
        <f t="shared" si="125"/>
        <v>9000</v>
      </c>
      <c r="AL515" s="10">
        <v>9000</v>
      </c>
      <c r="AM515" s="11">
        <f t="shared" si="132"/>
        <v>250</v>
      </c>
      <c r="AN515" s="10">
        <v>250</v>
      </c>
      <c r="AO515" s="11">
        <v>6000</v>
      </c>
      <c r="AP515" s="10">
        <v>0</v>
      </c>
      <c r="AQ515" s="56">
        <f t="shared" si="127"/>
        <v>1</v>
      </c>
      <c r="AS515" s="11">
        <f ca="1">IFERROR(OFFSET(ITEM_RES!$A$1,MATCH(AT515,ITEM_RES!$J:$J,0)-1,0),0)</f>
        <v>211020801</v>
      </c>
      <c r="AT515" s="10" t="s">
        <v>431</v>
      </c>
      <c r="AU515" s="11">
        <v>110000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29"/>
        <v>115020012</v>
      </c>
      <c r="B516" s="13">
        <v>11</v>
      </c>
      <c r="C516" s="12">
        <f t="shared" si="130"/>
        <v>5</v>
      </c>
      <c r="D516" s="13">
        <v>2</v>
      </c>
      <c r="E516" s="13">
        <v>0</v>
      </c>
      <c r="F516" s="12">
        <f t="shared" si="131"/>
        <v>12</v>
      </c>
      <c r="H516" s="9">
        <v>5</v>
      </c>
      <c r="I516" s="9">
        <v>12</v>
      </c>
      <c r="K516" s="9" t="s">
        <v>1017</v>
      </c>
      <c r="M516" s="9">
        <v>1</v>
      </c>
      <c r="N516" s="9">
        <v>15</v>
      </c>
      <c r="O516" s="9" t="s">
        <v>1167</v>
      </c>
      <c r="S516" s="9">
        <v>3333</v>
      </c>
      <c r="V516" s="9">
        <f ca="1">IFERROR(OFFSET(ITEM_RES!$A$5,MATCH(BUILDING!U516,ITEM_RES!$J$5:$J$229,0)-1,0),0)</f>
        <v>0</v>
      </c>
      <c r="Y516" s="9">
        <f ca="1">IFERROR(OFFSET(ITEM_RES!$A$5,MATCH(BUILDING!X516,ITEM_RES!$J$5:$J$229,0)-1,0),0)</f>
        <v>0</v>
      </c>
      <c r="AA516" s="9" t="s">
        <v>375</v>
      </c>
      <c r="AB516" s="9">
        <v>12</v>
      </c>
      <c r="AD516" s="11">
        <f ca="1">IFERROR(OFFSET(MANOR_LEVEL!$B$1,MATCH(AE516-1,MANOR_LEVEL!$A:$A,0)-1,0),0)</f>
        <v>630500</v>
      </c>
      <c r="AE516" s="56">
        <v>9</v>
      </c>
      <c r="AG516" s="56">
        <f t="shared" ca="1" si="126"/>
        <v>1889300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1889300</v>
      </c>
      <c r="AI516" s="179">
        <f t="shared" ca="1" si="128"/>
        <v>2995550</v>
      </c>
      <c r="AK516" s="11">
        <f t="shared" si="125"/>
        <v>10800</v>
      </c>
      <c r="AL516" s="10">
        <v>10800</v>
      </c>
      <c r="AM516" s="11">
        <f t="shared" si="132"/>
        <v>300</v>
      </c>
      <c r="AN516" s="10">
        <v>300</v>
      </c>
      <c r="AO516" s="11">
        <v>39000</v>
      </c>
      <c r="AP516" s="10">
        <v>0</v>
      </c>
      <c r="AQ516" s="56">
        <f t="shared" si="127"/>
        <v>1</v>
      </c>
      <c r="AS516" s="11">
        <f ca="1">IFERROR(OFFSET(ITEM_RES!$A$1,MATCH(AT516,ITEM_RES!$J:$J,0)-1,0),0)</f>
        <v>211020801</v>
      </c>
      <c r="AT516" s="10" t="s">
        <v>431</v>
      </c>
      <c r="AU516" s="11">
        <v>185000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29"/>
        <v>115020013</v>
      </c>
      <c r="B517" s="13">
        <v>11</v>
      </c>
      <c r="C517" s="12">
        <f t="shared" si="130"/>
        <v>5</v>
      </c>
      <c r="D517" s="13">
        <v>2</v>
      </c>
      <c r="E517" s="13">
        <v>0</v>
      </c>
      <c r="F517" s="12">
        <f t="shared" si="131"/>
        <v>13</v>
      </c>
      <c r="H517" s="9">
        <v>5</v>
      </c>
      <c r="I517" s="9">
        <v>13</v>
      </c>
      <c r="K517" s="9" t="s">
        <v>1017</v>
      </c>
      <c r="M517" s="9">
        <v>1</v>
      </c>
      <c r="N517" s="9">
        <v>15</v>
      </c>
      <c r="O517" s="9" t="s">
        <v>1167</v>
      </c>
      <c r="S517" s="9">
        <v>3333</v>
      </c>
      <c r="V517" s="9">
        <f ca="1">IFERROR(OFFSET(ITEM_RES!$A$5,MATCH(BUILDING!U517,ITEM_RES!$J$5:$J$229,0)-1,0),0)</f>
        <v>0</v>
      </c>
      <c r="Y517" s="9">
        <f ca="1">IFERROR(OFFSET(ITEM_RES!$A$5,MATCH(BUILDING!X517,ITEM_RES!$J$5:$J$229,0)-1,0),0)</f>
        <v>0</v>
      </c>
      <c r="AA517" s="9" t="s">
        <v>375</v>
      </c>
      <c r="AB517" s="9">
        <v>13</v>
      </c>
      <c r="AD517" s="11">
        <f ca="1">IFERROR(OFFSET(MANOR_LEVEL!$B$1,MATCH(AE517-1,MANOR_LEVEL!$A:$A,0)-1,0),0)</f>
        <v>1170750</v>
      </c>
      <c r="AE517" s="56">
        <v>10</v>
      </c>
      <c r="AG517" s="56">
        <f t="shared" ca="1" si="126"/>
        <v>3285350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3285350</v>
      </c>
      <c r="AI517" s="179">
        <f t="shared" ca="1" si="128"/>
        <v>5174650</v>
      </c>
      <c r="AK517" s="11">
        <f t="shared" si="125"/>
        <v>12600</v>
      </c>
      <c r="AL517" s="10">
        <v>12600</v>
      </c>
      <c r="AM517" s="11">
        <f t="shared" si="132"/>
        <v>350</v>
      </c>
      <c r="AN517" s="10">
        <v>350</v>
      </c>
      <c r="AO517" s="11">
        <v>185000</v>
      </c>
      <c r="AP517" s="10">
        <v>0</v>
      </c>
      <c r="AQ517" s="56">
        <f t="shared" si="127"/>
        <v>1</v>
      </c>
      <c r="AS517" s="11">
        <f ca="1">IFERROR(OFFSET(ITEM_RES!$A$1,MATCH(AT517,ITEM_RES!$J:$J,0)-1,0),0)</f>
        <v>211020801</v>
      </c>
      <c r="AT517" s="10" t="s">
        <v>431</v>
      </c>
      <c r="AU517" s="11">
        <v>310000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29"/>
        <v>115020014</v>
      </c>
      <c r="B518" s="13">
        <v>11</v>
      </c>
      <c r="C518" s="12">
        <f t="shared" si="130"/>
        <v>5</v>
      </c>
      <c r="D518" s="13">
        <v>2</v>
      </c>
      <c r="E518" s="13">
        <v>0</v>
      </c>
      <c r="F518" s="12">
        <f t="shared" si="131"/>
        <v>14</v>
      </c>
      <c r="H518" s="9">
        <v>5</v>
      </c>
      <c r="I518" s="9">
        <v>14</v>
      </c>
      <c r="K518" s="9" t="s">
        <v>1017</v>
      </c>
      <c r="M518" s="9">
        <v>1</v>
      </c>
      <c r="N518" s="9">
        <v>15</v>
      </c>
      <c r="O518" s="9" t="s">
        <v>1167</v>
      </c>
      <c r="S518" s="9">
        <v>3333</v>
      </c>
      <c r="V518" s="9">
        <f ca="1">IFERROR(OFFSET(ITEM_RES!$A$5,MATCH(BUILDING!U518,ITEM_RES!$J$5:$J$229,0)-1,0),0)</f>
        <v>0</v>
      </c>
      <c r="Y518" s="9">
        <f ca="1">IFERROR(OFFSET(ITEM_RES!$A$5,MATCH(BUILDING!X518,ITEM_RES!$J$5:$J$229,0)-1,0),0)</f>
        <v>0</v>
      </c>
      <c r="AA518" s="9" t="s">
        <v>375</v>
      </c>
      <c r="AB518" s="9">
        <v>14</v>
      </c>
      <c r="AD518" s="11">
        <f ca="1">IFERROR(OFFSET(MANOR_LEVEL!$B$1,MATCH(AE518-1,MANOR_LEVEL!$A:$A,0)-1,0),0)</f>
        <v>1956000</v>
      </c>
      <c r="AE518" s="56">
        <v>11</v>
      </c>
      <c r="AG518" s="56">
        <f t="shared" ca="1" si="126"/>
        <v>5160450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5160450</v>
      </c>
      <c r="AI518" s="179">
        <f t="shared" ca="1" si="128"/>
        <v>8445800</v>
      </c>
      <c r="AK518" s="11">
        <f t="shared" si="125"/>
        <v>14400</v>
      </c>
      <c r="AL518" s="10">
        <v>14400</v>
      </c>
      <c r="AM518" s="11">
        <f t="shared" si="132"/>
        <v>450</v>
      </c>
      <c r="AN518" s="10">
        <v>450</v>
      </c>
      <c r="AO518" s="11">
        <v>310000</v>
      </c>
      <c r="AP518" s="10">
        <v>0</v>
      </c>
      <c r="AQ518" s="56">
        <f t="shared" si="127"/>
        <v>1</v>
      </c>
      <c r="AS518" s="11">
        <f ca="1">IFERROR(OFFSET(ITEM_RES!$A$1,MATCH(AT518,ITEM_RES!$J:$J,0)-1,0),0)</f>
        <v>211020801</v>
      </c>
      <c r="AT518" s="10" t="s">
        <v>431</v>
      </c>
      <c r="AU518" s="11">
        <v>485000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29"/>
        <v>115020015</v>
      </c>
      <c r="B519" s="13">
        <v>11</v>
      </c>
      <c r="C519" s="12">
        <f t="shared" si="130"/>
        <v>5</v>
      </c>
      <c r="D519" s="13">
        <v>2</v>
      </c>
      <c r="E519" s="13">
        <v>0</v>
      </c>
      <c r="F519" s="12">
        <f t="shared" si="131"/>
        <v>15</v>
      </c>
      <c r="H519" s="9">
        <v>5</v>
      </c>
      <c r="I519" s="9">
        <v>15</v>
      </c>
      <c r="K519" s="9" t="s">
        <v>1017</v>
      </c>
      <c r="M519" s="9">
        <v>1</v>
      </c>
      <c r="N519" s="9">
        <v>15</v>
      </c>
      <c r="O519" s="9" t="s">
        <v>1167</v>
      </c>
      <c r="S519" s="9">
        <v>3333</v>
      </c>
      <c r="V519" s="9">
        <f ca="1">IFERROR(OFFSET(ITEM_RES!$A$5,MATCH(BUILDING!U519,ITEM_RES!$J$5:$J$229,0)-1,0),0)</f>
        <v>0</v>
      </c>
      <c r="Y519" s="9">
        <f ca="1">IFERROR(OFFSET(ITEM_RES!$A$5,MATCH(BUILDING!X519,ITEM_RES!$J$5:$J$229,0)-1,0),0)</f>
        <v>0</v>
      </c>
      <c r="AA519" s="9" t="s">
        <v>375</v>
      </c>
      <c r="AB519" s="9">
        <v>15</v>
      </c>
      <c r="AD519" s="11">
        <f ca="1">IFERROR(OFFSET(MANOR_LEVEL!$B$1,MATCH(AE519-1,MANOR_LEVEL!$A:$A,0)-1,0),0)</f>
        <v>3961500</v>
      </c>
      <c r="AE519" s="56">
        <v>12</v>
      </c>
      <c r="AG519" s="56">
        <f t="shared" ca="1" si="126"/>
        <v>13085550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13085550</v>
      </c>
      <c r="AI519" s="179">
        <f t="shared" ca="1" si="128"/>
        <v>18246000</v>
      </c>
      <c r="AK519" s="11">
        <f t="shared" si="125"/>
        <v>16200</v>
      </c>
      <c r="AL519" s="10">
        <v>16200</v>
      </c>
      <c r="AM519" s="11">
        <f t="shared" si="132"/>
        <v>550</v>
      </c>
      <c r="AN519" s="10">
        <v>550</v>
      </c>
      <c r="AO519" s="11">
        <v>485000</v>
      </c>
      <c r="AP519" s="10">
        <v>0</v>
      </c>
      <c r="AQ519" s="56">
        <f t="shared" si="127"/>
        <v>1</v>
      </c>
      <c r="AS519" s="11">
        <f ca="1">IFERROR(OFFSET(ITEM_RES!$A$1,MATCH(AT519,ITEM_RES!$J:$J,0)-1,0),0)</f>
        <v>211020901</v>
      </c>
      <c r="AT519" s="10" t="s">
        <v>437</v>
      </c>
      <c r="AU519" s="11">
        <v>1050000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29"/>
        <v>115020016</v>
      </c>
      <c r="B520" s="13">
        <v>11</v>
      </c>
      <c r="C520" s="12">
        <f t="shared" si="130"/>
        <v>5</v>
      </c>
      <c r="D520" s="13">
        <v>2</v>
      </c>
      <c r="E520" s="13">
        <v>0</v>
      </c>
      <c r="F520" s="12">
        <f t="shared" si="131"/>
        <v>16</v>
      </c>
      <c r="H520" s="9">
        <v>5</v>
      </c>
      <c r="I520" s="9">
        <v>16</v>
      </c>
      <c r="K520" s="9" t="s">
        <v>1017</v>
      </c>
      <c r="M520" s="9">
        <v>0</v>
      </c>
      <c r="N520" s="9">
        <v>15</v>
      </c>
      <c r="O520" s="9" t="s">
        <v>1167</v>
      </c>
      <c r="S520" s="9">
        <v>3333</v>
      </c>
      <c r="V520" s="9">
        <f ca="1">IFERROR(OFFSET(ITEM_RES!$A$5,MATCH(BUILDING!U520,ITEM_RES!$J$5:$J$229,0)-1,0),0)</f>
        <v>0</v>
      </c>
      <c r="Y520" s="9">
        <f ca="1">IFERROR(OFFSET(ITEM_RES!$A$5,MATCH(BUILDING!X520,ITEM_RES!$J$5:$J$229,0)-1,0),0)</f>
        <v>0</v>
      </c>
      <c r="AA520" s="9" t="s">
        <v>375</v>
      </c>
      <c r="AB520" s="9">
        <v>16</v>
      </c>
      <c r="AD520" s="11">
        <f ca="1">IFERROR(OFFSET(MANOR_LEVEL!$B$1,MATCH(AE520-1,MANOR_LEVEL!$A:$A,0)-1,0),0)</f>
        <v>7772100</v>
      </c>
      <c r="AE520" s="56">
        <v>13</v>
      </c>
      <c r="AG520" s="56">
        <f t="shared" ca="1" si="126"/>
        <v>26850700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26850700</v>
      </c>
      <c r="AI520" s="179">
        <f t="shared" ca="1" si="128"/>
        <v>39936250</v>
      </c>
      <c r="AK520" s="11">
        <f t="shared" si="125"/>
        <v>18000</v>
      </c>
      <c r="AL520" s="10">
        <v>18000</v>
      </c>
      <c r="AM520" s="11">
        <f t="shared" si="132"/>
        <v>700</v>
      </c>
      <c r="AN520" s="10">
        <v>700</v>
      </c>
      <c r="AO520" s="11">
        <v>1050000</v>
      </c>
      <c r="AP520" s="10">
        <v>0</v>
      </c>
      <c r="AQ520" s="56">
        <f t="shared" si="127"/>
        <v>1</v>
      </c>
      <c r="AS520" s="11">
        <f ca="1">IFERROR(OFFSET(ITEM_RES!$A$1,MATCH(AT520,ITEM_RES!$J:$J,0)-1,0),0)</f>
        <v>211020901</v>
      </c>
      <c r="AT520" s="10" t="s">
        <v>388</v>
      </c>
      <c r="AU520" s="11">
        <v>2150000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29"/>
        <v>115020017</v>
      </c>
      <c r="B521" s="13">
        <v>11</v>
      </c>
      <c r="C521" s="12">
        <f t="shared" si="130"/>
        <v>5</v>
      </c>
      <c r="D521" s="13">
        <v>2</v>
      </c>
      <c r="E521" s="13">
        <v>0</v>
      </c>
      <c r="F521" s="12">
        <f t="shared" si="131"/>
        <v>17</v>
      </c>
      <c r="H521" s="9">
        <v>5</v>
      </c>
      <c r="I521" s="9">
        <v>17</v>
      </c>
      <c r="K521" s="9" t="s">
        <v>1017</v>
      </c>
      <c r="M521" s="9">
        <v>0</v>
      </c>
      <c r="N521" s="9">
        <v>15</v>
      </c>
      <c r="O521" s="9" t="s">
        <v>1167</v>
      </c>
      <c r="S521" s="9">
        <v>3333</v>
      </c>
      <c r="V521" s="9">
        <f ca="1">IFERROR(OFFSET(ITEM_RES!$A$5,MATCH(BUILDING!U521,ITEM_RES!$J$5:$J$229,0)-1,0),0)</f>
        <v>0</v>
      </c>
      <c r="Y521" s="9">
        <f ca="1">IFERROR(OFFSET(ITEM_RES!$A$5,MATCH(BUILDING!X521,ITEM_RES!$J$5:$J$229,0)-1,0),0)</f>
        <v>0</v>
      </c>
      <c r="AA521" s="9" t="s">
        <v>375</v>
      </c>
      <c r="AB521" s="9">
        <v>17</v>
      </c>
      <c r="AD521" s="11">
        <f ca="1">IFERROR(OFFSET(MANOR_LEVEL!$B$1,MATCH(AE521-1,MANOR_LEVEL!$A:$A,0)-1,0),0)</f>
        <v>13022450</v>
      </c>
      <c r="AE521" s="56">
        <v>14</v>
      </c>
      <c r="AG521" s="56">
        <f t="shared" ca="1" si="126"/>
        <v>50150850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50150850</v>
      </c>
      <c r="AI521" s="179">
        <f t="shared" ca="1" si="128"/>
        <v>77001550</v>
      </c>
      <c r="AK521" s="11">
        <f t="shared" si="125"/>
        <v>19800</v>
      </c>
      <c r="AL521" s="10">
        <v>19800</v>
      </c>
      <c r="AM521" s="11">
        <f t="shared" si="132"/>
        <v>850</v>
      </c>
      <c r="AN521" s="10">
        <v>850</v>
      </c>
      <c r="AO521" s="11">
        <v>2150000</v>
      </c>
      <c r="AP521" s="10">
        <v>0</v>
      </c>
      <c r="AQ521" s="56">
        <f t="shared" si="127"/>
        <v>1</v>
      </c>
      <c r="AS521" s="11">
        <f ca="1">IFERROR(OFFSET(ITEM_RES!$A$1,MATCH(AT521,ITEM_RES!$J:$J,0)-1,0),0)</f>
        <v>211020901</v>
      </c>
      <c r="AT521" s="10" t="s">
        <v>437</v>
      </c>
      <c r="AU521" s="11">
        <v>4000000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29"/>
        <v>115020018</v>
      </c>
      <c r="B522" s="13">
        <v>11</v>
      </c>
      <c r="C522" s="12">
        <f t="shared" si="130"/>
        <v>5</v>
      </c>
      <c r="D522" s="13">
        <v>2</v>
      </c>
      <c r="E522" s="13">
        <v>0</v>
      </c>
      <c r="F522" s="12">
        <f t="shared" si="131"/>
        <v>18</v>
      </c>
      <c r="H522" s="9">
        <v>5</v>
      </c>
      <c r="I522" s="9">
        <v>18</v>
      </c>
      <c r="K522" s="9" t="s">
        <v>1017</v>
      </c>
      <c r="M522" s="9">
        <v>0</v>
      </c>
      <c r="N522" s="9">
        <v>15</v>
      </c>
      <c r="O522" s="9" t="s">
        <v>1167</v>
      </c>
      <c r="S522" s="9">
        <v>3333</v>
      </c>
      <c r="V522" s="9">
        <f ca="1">IFERROR(OFFSET(ITEM_RES!$A$5,MATCH(BUILDING!U522,ITEM_RES!$J$5:$J$229,0)-1,0),0)</f>
        <v>0</v>
      </c>
      <c r="Y522" s="9">
        <f ca="1">IFERROR(OFFSET(ITEM_RES!$A$5,MATCH(BUILDING!X522,ITEM_RES!$J$5:$J$229,0)-1,0),0)</f>
        <v>0</v>
      </c>
      <c r="AA522" s="9" t="s">
        <v>375</v>
      </c>
      <c r="AB522" s="9">
        <v>18</v>
      </c>
      <c r="AD522" s="11">
        <f ca="1">IFERROR(OFFSET(MANOR_LEVEL!$B$1,MATCH(AE522-1,MANOR_LEVEL!$A:$A,0)-1,0),0)</f>
        <v>23283600</v>
      </c>
      <c r="AE522" s="56">
        <v>15</v>
      </c>
      <c r="AG522" s="56">
        <f t="shared" ca="1" si="126"/>
        <v>82001050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82001050</v>
      </c>
      <c r="AI522" s="179">
        <f t="shared" ca="1" si="128"/>
        <v>132151900</v>
      </c>
      <c r="AK522" s="11">
        <f t="shared" si="125"/>
        <v>21600</v>
      </c>
      <c r="AL522" s="10">
        <v>21600</v>
      </c>
      <c r="AM522" s="11">
        <f t="shared" si="132"/>
        <v>1050</v>
      </c>
      <c r="AN522" s="10">
        <v>1050</v>
      </c>
      <c r="AO522" s="11">
        <v>4000000</v>
      </c>
      <c r="AP522" s="10">
        <v>0</v>
      </c>
      <c r="AQ522" s="56">
        <f t="shared" si="127"/>
        <v>1</v>
      </c>
      <c r="AS522" s="11">
        <f ca="1">IFERROR(OFFSET(ITEM_RES!$A$1,MATCH(AT522,ITEM_RES!$J:$J,0)-1,0),0)</f>
        <v>211020901</v>
      </c>
      <c r="AT522" s="10" t="s">
        <v>437</v>
      </c>
      <c r="AU522" s="11">
        <v>6500000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29"/>
        <v>115020019</v>
      </c>
      <c r="B523" s="13">
        <v>11</v>
      </c>
      <c r="C523" s="12">
        <f t="shared" si="130"/>
        <v>5</v>
      </c>
      <c r="D523" s="13">
        <v>2</v>
      </c>
      <c r="E523" s="13">
        <v>0</v>
      </c>
      <c r="F523" s="12">
        <f t="shared" si="131"/>
        <v>19</v>
      </c>
      <c r="H523" s="9">
        <v>5</v>
      </c>
      <c r="I523" s="9">
        <v>19</v>
      </c>
      <c r="K523" s="9" t="s">
        <v>1017</v>
      </c>
      <c r="M523" s="9">
        <v>0</v>
      </c>
      <c r="N523" s="9">
        <v>15</v>
      </c>
      <c r="O523" s="9" t="s">
        <v>1167</v>
      </c>
      <c r="S523" s="9">
        <v>3333</v>
      </c>
      <c r="V523" s="9">
        <f ca="1">IFERROR(OFFSET(ITEM_RES!$A$5,MATCH(BUILDING!U523,ITEM_RES!$J$5:$J$229,0)-1,0),0)</f>
        <v>0</v>
      </c>
      <c r="Y523" s="9">
        <f ca="1">IFERROR(OFFSET(ITEM_RES!$A$5,MATCH(BUILDING!X523,ITEM_RES!$J$5:$J$229,0)-1,0),0)</f>
        <v>0</v>
      </c>
      <c r="AA523" s="9" t="s">
        <v>375</v>
      </c>
      <c r="AB523" s="9">
        <v>19</v>
      </c>
      <c r="AD523" s="11">
        <f ca="1">IFERROR(OFFSET(MANOR_LEVEL!$B$1,MATCH(AE523-1,MANOR_LEVEL!$A:$A,0)-1,0),0)</f>
        <v>50404400</v>
      </c>
      <c r="AE523" s="56">
        <v>16</v>
      </c>
      <c r="AG523" s="56">
        <f t="shared" ca="1" si="126"/>
        <v>126501250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126501250</v>
      </c>
      <c r="AI523" s="179">
        <f t="shared" ca="1" si="128"/>
        <v>208502300</v>
      </c>
      <c r="AK523" s="11">
        <f t="shared" si="125"/>
        <v>23400</v>
      </c>
      <c r="AL523" s="10">
        <v>23400</v>
      </c>
      <c r="AM523" s="11">
        <f t="shared" si="132"/>
        <v>1250</v>
      </c>
      <c r="AN523" s="10">
        <v>1250</v>
      </c>
      <c r="AO523" s="11">
        <v>6500000</v>
      </c>
      <c r="AP523" s="10">
        <v>0</v>
      </c>
      <c r="AQ523" s="56">
        <f t="shared" si="127"/>
        <v>1</v>
      </c>
      <c r="AS523" s="11">
        <f ca="1">IFERROR(OFFSET(ITEM_RES!$A$1,MATCH(AT523,ITEM_RES!$J:$J,0)-1,0),0)</f>
        <v>211020901</v>
      </c>
      <c r="AT523" s="10" t="s">
        <v>437</v>
      </c>
      <c r="AU523" s="11">
        <v>10000000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29"/>
        <v>115020020</v>
      </c>
      <c r="B524" s="13">
        <v>11</v>
      </c>
      <c r="C524" s="12">
        <f t="shared" si="130"/>
        <v>5</v>
      </c>
      <c r="D524" s="13">
        <v>2</v>
      </c>
      <c r="E524" s="13">
        <v>0</v>
      </c>
      <c r="F524" s="12">
        <f t="shared" si="131"/>
        <v>20</v>
      </c>
      <c r="H524" s="9">
        <v>5</v>
      </c>
      <c r="I524" s="9">
        <v>20</v>
      </c>
      <c r="K524" s="9" t="s">
        <v>1017</v>
      </c>
      <c r="M524" s="9">
        <v>0</v>
      </c>
      <c r="N524" s="9">
        <v>15</v>
      </c>
      <c r="O524" s="9" t="s">
        <v>1167</v>
      </c>
      <c r="S524" s="9">
        <v>3333</v>
      </c>
      <c r="V524" s="9">
        <f ca="1">IFERROR(OFFSET(ITEM_RES!$A$5,MATCH(BUILDING!U524,ITEM_RES!$J$5:$J$229,0)-1,0),0)</f>
        <v>0</v>
      </c>
      <c r="Y524" s="9">
        <f ca="1">IFERROR(OFFSET(ITEM_RES!$A$5,MATCH(BUILDING!X524,ITEM_RES!$J$5:$J$229,0)-1,0),0)</f>
        <v>0</v>
      </c>
      <c r="AA524" s="9" t="s">
        <v>375</v>
      </c>
      <c r="AB524" s="9">
        <v>20</v>
      </c>
      <c r="AD524" s="11">
        <f ca="1">IFERROR(OFFSET(MANOR_LEVEL!$B$1,MATCH(AE524-1,MANOR_LEVEL!$A:$A,0)-1,0),0)</f>
        <v>119976300</v>
      </c>
      <c r="AE524" s="56">
        <v>17</v>
      </c>
      <c r="AG524" s="56">
        <f t="shared" ca="1" si="126"/>
        <v>202001500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202001500</v>
      </c>
      <c r="AI524" s="179">
        <f t="shared" ca="1" si="128"/>
        <v>328502750</v>
      </c>
      <c r="AK524" s="11">
        <f t="shared" si="125"/>
        <v>25200</v>
      </c>
      <c r="AL524" s="10">
        <v>25200</v>
      </c>
      <c r="AM524" s="11">
        <f t="shared" si="132"/>
        <v>1500</v>
      </c>
      <c r="AN524" s="10">
        <v>1500</v>
      </c>
      <c r="AO524" s="11">
        <v>10000000</v>
      </c>
      <c r="AP524" s="10">
        <v>0</v>
      </c>
      <c r="AQ524" s="56">
        <f t="shared" si="127"/>
        <v>1</v>
      </c>
      <c r="AS524" s="11">
        <f ca="1">IFERROR(OFFSET(ITEM_RES!$A$1,MATCH(AT524,ITEM_RES!$J:$J,0)-1,0),0)</f>
        <v>211020901</v>
      </c>
      <c r="AT524" s="10" t="s">
        <v>437</v>
      </c>
      <c r="AU524" s="11">
        <v>16000000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/>
      <c r="B525" s="20"/>
      <c r="C525" s="19"/>
      <c r="D525" s="20"/>
      <c r="E525" s="20"/>
      <c r="F525" s="19"/>
      <c r="G525" s="78"/>
      <c r="H525" s="16"/>
      <c r="I525" s="16"/>
      <c r="J525" s="78"/>
      <c r="K525" s="16"/>
      <c r="L525" s="16"/>
      <c r="M525" s="16"/>
      <c r="N525" s="16"/>
      <c r="O525" s="16"/>
      <c r="P525" s="17"/>
      <c r="Q525" s="17"/>
      <c r="R525" s="18"/>
      <c r="S525" s="16"/>
      <c r="T525" s="78"/>
      <c r="U525" s="86"/>
      <c r="V525" s="16"/>
      <c r="W525" s="18"/>
      <c r="X525" s="86"/>
      <c r="Y525" s="16"/>
      <c r="Z525" s="78"/>
      <c r="AA525" s="16"/>
      <c r="AB525" s="16"/>
      <c r="AC525" s="78"/>
      <c r="AD525" s="18"/>
      <c r="AE525" s="57"/>
      <c r="AF525" s="78"/>
      <c r="AG525" s="57"/>
      <c r="AH525" s="17"/>
      <c r="AI525" s="181"/>
      <c r="AJ525" s="78"/>
      <c r="AK525" s="18"/>
      <c r="AL525" s="17"/>
      <c r="AM525" s="18"/>
      <c r="AN525" s="17"/>
      <c r="AO525" s="18"/>
      <c r="AP525" s="17"/>
      <c r="AQ525" s="57"/>
      <c r="AR525" s="18"/>
      <c r="AS525" s="18"/>
      <c r="AT525" s="17"/>
      <c r="AU525" s="18"/>
      <c r="AV525" s="17"/>
      <c r="AW525" s="18"/>
      <c r="AX525" s="18"/>
      <c r="AY525" s="17"/>
      <c r="AZ525" s="18"/>
      <c r="BA525" s="17"/>
      <c r="BB525" s="18"/>
      <c r="BC525" s="18"/>
      <c r="BD525" s="17"/>
      <c r="BE525" s="18"/>
      <c r="BF525" s="17"/>
      <c r="BG525" s="18"/>
      <c r="BH525" s="18"/>
      <c r="BI525" s="17"/>
      <c r="BJ525" s="18"/>
      <c r="BK525" s="17"/>
      <c r="BL525" s="18"/>
      <c r="BM525" s="18"/>
      <c r="BN525" s="17"/>
      <c r="BO525" s="18"/>
      <c r="BP52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K108"/>
  <sheetViews>
    <sheetView zoomScale="90" zoomScaleNormal="9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T66" sqref="T66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32" width="5.75" style="74" bestFit="1" customWidth="1"/>
    <col min="33" max="37" width="8.75" style="35"/>
    <col min="38" max="16384" width="8.75" style="34"/>
  </cols>
  <sheetData>
    <row r="1" spans="1:37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793</v>
      </c>
      <c r="L1" s="35" t="s">
        <v>582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582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  <c r="AF1" s="69"/>
      <c r="AG1" s="1" t="s">
        <v>60</v>
      </c>
      <c r="AH1" s="1" t="s">
        <v>60</v>
      </c>
      <c r="AI1" s="1" t="s">
        <v>60</v>
      </c>
      <c r="AJ1" s="1" t="s">
        <v>60</v>
      </c>
      <c r="AK1" s="1" t="s">
        <v>60</v>
      </c>
    </row>
    <row r="2" spans="1:37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792</v>
      </c>
      <c r="L2" s="35" t="s">
        <v>847</v>
      </c>
      <c r="O2" s="34" t="s">
        <v>62</v>
      </c>
      <c r="P2" s="35" t="s">
        <v>62</v>
      </c>
      <c r="Q2" s="35" t="s">
        <v>62</v>
      </c>
      <c r="R2" s="69"/>
      <c r="S2" s="34" t="s">
        <v>794</v>
      </c>
      <c r="U2" s="69"/>
      <c r="V2" s="1" t="s">
        <v>61</v>
      </c>
      <c r="W2" s="69"/>
      <c r="X2" s="101" t="s">
        <v>497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  <c r="AF2" s="69"/>
      <c r="AG2" s="35" t="s">
        <v>1275</v>
      </c>
      <c r="AH2" s="35" t="s">
        <v>1275</v>
      </c>
      <c r="AI2" s="35" t="s">
        <v>1275</v>
      </c>
      <c r="AJ2" s="35" t="s">
        <v>1275</v>
      </c>
      <c r="AK2" s="35" t="s">
        <v>1275</v>
      </c>
    </row>
    <row r="3" spans="1:37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791</v>
      </c>
      <c r="L3" s="35" t="s">
        <v>843</v>
      </c>
      <c r="O3" s="34" t="s">
        <v>322</v>
      </c>
      <c r="P3" s="35" t="s">
        <v>347</v>
      </c>
      <c r="Q3" s="35" t="s">
        <v>324</v>
      </c>
      <c r="R3" s="69"/>
      <c r="S3" s="34" t="s">
        <v>416</v>
      </c>
      <c r="U3" s="69"/>
      <c r="V3" s="1" t="s">
        <v>336</v>
      </c>
      <c r="W3" s="69"/>
      <c r="X3" s="101" t="s">
        <v>1187</v>
      </c>
      <c r="Y3" s="1" t="s">
        <v>1188</v>
      </c>
      <c r="Z3" s="147" t="s">
        <v>1189</v>
      </c>
      <c r="AA3" s="147" t="s">
        <v>1185</v>
      </c>
      <c r="AB3" s="147" t="s">
        <v>1186</v>
      </c>
      <c r="AC3" s="1" t="s">
        <v>1190</v>
      </c>
      <c r="AD3" s="147" t="s">
        <v>1191</v>
      </c>
      <c r="AE3" s="1" t="s">
        <v>1192</v>
      </c>
      <c r="AF3" s="69"/>
      <c r="AG3" s="35" t="s">
        <v>1269</v>
      </c>
      <c r="AH3" s="35" t="s">
        <v>1270</v>
      </c>
      <c r="AI3" s="35" t="s">
        <v>1271</v>
      </c>
      <c r="AJ3" s="35" t="s">
        <v>1272</v>
      </c>
      <c r="AK3" s="35" t="s">
        <v>1274</v>
      </c>
    </row>
    <row r="4" spans="1:37" s="79" customFormat="1" ht="99.75" thickBot="1" x14ac:dyDescent="0.2">
      <c r="A4" s="79" t="s">
        <v>337</v>
      </c>
      <c r="B4" s="80" t="s">
        <v>409</v>
      </c>
      <c r="C4" s="80" t="s">
        <v>585</v>
      </c>
      <c r="D4" s="80" t="s">
        <v>586</v>
      </c>
      <c r="E4" s="80" t="s">
        <v>410</v>
      </c>
      <c r="F4" s="80" t="s">
        <v>411</v>
      </c>
      <c r="G4" s="70" t="s">
        <v>355</v>
      </c>
      <c r="H4" s="81" t="s">
        <v>344</v>
      </c>
      <c r="I4" s="70" t="s">
        <v>354</v>
      </c>
      <c r="J4" s="81" t="s">
        <v>407</v>
      </c>
      <c r="K4" s="81" t="s">
        <v>797</v>
      </c>
      <c r="L4" s="81" t="s">
        <v>846</v>
      </c>
      <c r="M4" s="82" t="s">
        <v>405</v>
      </c>
      <c r="N4" s="82" t="s">
        <v>406</v>
      </c>
      <c r="O4" s="79" t="s">
        <v>323</v>
      </c>
      <c r="P4" s="81" t="s">
        <v>348</v>
      </c>
      <c r="Q4" s="81" t="s">
        <v>325</v>
      </c>
      <c r="R4" s="70" t="s">
        <v>848</v>
      </c>
      <c r="S4" s="79" t="s">
        <v>844</v>
      </c>
      <c r="T4" s="80" t="s">
        <v>845</v>
      </c>
      <c r="U4" s="70" t="s">
        <v>346</v>
      </c>
      <c r="V4" s="2" t="s">
        <v>408</v>
      </c>
      <c r="W4" s="70" t="s">
        <v>836</v>
      </c>
      <c r="X4" s="188" t="s">
        <v>1276</v>
      </c>
      <c r="Y4" s="2" t="s">
        <v>835</v>
      </c>
      <c r="Z4" s="148" t="s">
        <v>1193</v>
      </c>
      <c r="AA4" s="148" t="s">
        <v>839</v>
      </c>
      <c r="AB4" s="148" t="s">
        <v>841</v>
      </c>
      <c r="AC4" s="2" t="s">
        <v>842</v>
      </c>
      <c r="AD4" s="148" t="s">
        <v>840</v>
      </c>
      <c r="AE4" s="2" t="s">
        <v>1194</v>
      </c>
      <c r="AF4" s="70" t="s">
        <v>1251</v>
      </c>
      <c r="AG4" s="81" t="s">
        <v>1265</v>
      </c>
      <c r="AH4" s="81" t="s">
        <v>1266</v>
      </c>
      <c r="AI4" s="81" t="s">
        <v>1267</v>
      </c>
      <c r="AJ4" s="81" t="s">
        <v>1268</v>
      </c>
      <c r="AK4" s="81" t="s">
        <v>1273</v>
      </c>
    </row>
    <row r="5" spans="1:37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378</v>
      </c>
      <c r="K5" s="38" t="s">
        <v>1195</v>
      </c>
      <c r="L5" s="38">
        <v>1</v>
      </c>
      <c r="M5" s="39" t="s">
        <v>404</v>
      </c>
      <c r="N5" s="39" t="s">
        <v>401</v>
      </c>
      <c r="O5" s="37" t="s">
        <v>772</v>
      </c>
      <c r="P5" s="38"/>
      <c r="Q5" s="38" t="s">
        <v>702</v>
      </c>
      <c r="R5" s="72"/>
      <c r="S5" s="37">
        <f>T5*1000</f>
        <v>1000</v>
      </c>
      <c r="T5" s="39">
        <v>1</v>
      </c>
      <c r="U5" s="72"/>
      <c r="V5" s="38">
        <v>1</v>
      </c>
      <c r="W5" s="72"/>
      <c r="X5" s="37">
        <f>IF(Y5+Z5+AA5+AB5+AC5+AD5+AE5+AG5+AH5+AI5+AJ5+AK5&lt;&gt;0,1,0)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  <c r="AF5" s="72"/>
      <c r="AG5" s="38"/>
      <c r="AH5" s="38"/>
      <c r="AI5" s="38"/>
      <c r="AJ5" s="38"/>
      <c r="AK5" s="38"/>
    </row>
    <row r="6" spans="1:37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379</v>
      </c>
      <c r="K6" s="62" t="s">
        <v>1196</v>
      </c>
      <c r="L6" s="62">
        <v>2</v>
      </c>
      <c r="M6" s="39" t="s">
        <v>404</v>
      </c>
      <c r="N6" s="39" t="s">
        <v>401</v>
      </c>
      <c r="O6" s="68" t="s">
        <v>773</v>
      </c>
      <c r="P6" s="62"/>
      <c r="Q6" s="38" t="s">
        <v>703</v>
      </c>
      <c r="R6" s="75"/>
      <c r="S6" s="37">
        <f t="shared" ref="S6:S59" si="2">T6*1000</f>
        <v>2000</v>
      </c>
      <c r="T6" s="151">
        <v>2</v>
      </c>
      <c r="U6" s="75"/>
      <c r="V6" s="62">
        <v>1</v>
      </c>
      <c r="W6" s="75"/>
      <c r="X6" s="37">
        <f t="shared" ref="X6:X59" si="3">IF(Y6+Z6+AA6+AB6+AC6+AD6+AE6+AG6+AH6+AI6+AJ6+AK6&lt;&gt;0,1,0)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  <c r="AF6" s="75"/>
      <c r="AG6" s="38"/>
      <c r="AH6" s="38"/>
      <c r="AI6" s="38"/>
      <c r="AJ6" s="38"/>
      <c r="AK6" s="38"/>
    </row>
    <row r="7" spans="1:37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380</v>
      </c>
      <c r="K7" s="62" t="s">
        <v>1197</v>
      </c>
      <c r="L7" s="62">
        <v>3</v>
      </c>
      <c r="M7" s="39" t="s">
        <v>404</v>
      </c>
      <c r="N7" s="39" t="s">
        <v>401</v>
      </c>
      <c r="O7" s="68" t="s">
        <v>774</v>
      </c>
      <c r="P7" s="62"/>
      <c r="Q7" s="38" t="s">
        <v>704</v>
      </c>
      <c r="R7" s="75"/>
      <c r="S7" s="37">
        <f t="shared" si="2"/>
        <v>2000</v>
      </c>
      <c r="T7" s="151">
        <v>2</v>
      </c>
      <c r="U7" s="75"/>
      <c r="V7" s="62">
        <v>1</v>
      </c>
      <c r="W7" s="75"/>
      <c r="X7" s="37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  <c r="AF7" s="75"/>
      <c r="AG7" s="38"/>
      <c r="AH7" s="38"/>
      <c r="AI7" s="38"/>
      <c r="AJ7" s="38"/>
      <c r="AK7" s="38"/>
    </row>
    <row r="8" spans="1:37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443</v>
      </c>
      <c r="K8" s="62" t="s">
        <v>1198</v>
      </c>
      <c r="L8" s="62">
        <v>4</v>
      </c>
      <c r="M8" s="39" t="s">
        <v>434</v>
      </c>
      <c r="N8" s="39" t="s">
        <v>444</v>
      </c>
      <c r="O8" s="68" t="s">
        <v>775</v>
      </c>
      <c r="P8" s="62"/>
      <c r="Q8" s="38" t="s">
        <v>705</v>
      </c>
      <c r="R8" s="75"/>
      <c r="S8" s="37">
        <f t="shared" si="2"/>
        <v>2000</v>
      </c>
      <c r="T8" s="151">
        <v>2</v>
      </c>
      <c r="U8" s="75"/>
      <c r="V8" s="62">
        <v>1</v>
      </c>
      <c r="W8" s="75"/>
      <c r="X8" s="37">
        <f t="shared" si="3"/>
        <v>0</v>
      </c>
      <c r="Y8" s="62"/>
      <c r="Z8" s="150"/>
      <c r="AA8" s="150"/>
      <c r="AB8" s="150"/>
      <c r="AC8" s="62"/>
      <c r="AD8" s="150"/>
      <c r="AE8" s="62"/>
      <c r="AF8" s="75"/>
      <c r="AG8" s="38"/>
      <c r="AH8" s="38"/>
      <c r="AI8" s="38"/>
      <c r="AJ8" s="38"/>
      <c r="AK8" s="38"/>
    </row>
    <row r="9" spans="1:37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381</v>
      </c>
      <c r="K9" s="35" t="s">
        <v>1199</v>
      </c>
      <c r="L9" s="38">
        <v>5</v>
      </c>
      <c r="M9" s="39" t="s">
        <v>404</v>
      </c>
      <c r="N9" s="39" t="s">
        <v>401</v>
      </c>
      <c r="O9" s="68" t="s">
        <v>776</v>
      </c>
      <c r="P9" s="62"/>
      <c r="Q9" s="38" t="s">
        <v>706</v>
      </c>
      <c r="R9" s="75"/>
      <c r="S9" s="37">
        <f t="shared" si="2"/>
        <v>1000</v>
      </c>
      <c r="T9" s="39">
        <v>1</v>
      </c>
      <c r="U9" s="75"/>
      <c r="V9" s="62">
        <v>1</v>
      </c>
      <c r="W9" s="75"/>
      <c r="X9" s="37">
        <f t="shared" si="3"/>
        <v>1</v>
      </c>
      <c r="Y9" s="62"/>
      <c r="Z9" s="150"/>
      <c r="AA9" s="150">
        <v>50</v>
      </c>
      <c r="AB9" s="150"/>
      <c r="AC9" s="62"/>
      <c r="AD9" s="150"/>
      <c r="AE9" s="62"/>
      <c r="AF9" s="75"/>
      <c r="AG9" s="38"/>
      <c r="AH9" s="38"/>
      <c r="AI9" s="38"/>
      <c r="AJ9" s="38"/>
      <c r="AK9" s="38"/>
    </row>
    <row r="10" spans="1:37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522</v>
      </c>
      <c r="K10" s="35" t="s">
        <v>1200</v>
      </c>
      <c r="L10" s="62">
        <v>6</v>
      </c>
      <c r="M10" s="39" t="s">
        <v>404</v>
      </c>
      <c r="N10" s="39" t="s">
        <v>401</v>
      </c>
      <c r="O10" s="34" t="s">
        <v>777</v>
      </c>
      <c r="Q10" s="38" t="s">
        <v>707</v>
      </c>
      <c r="S10" s="37">
        <f t="shared" si="2"/>
        <v>1000</v>
      </c>
      <c r="T10" s="151">
        <v>1</v>
      </c>
      <c r="V10" s="35">
        <v>1</v>
      </c>
      <c r="X10" s="37">
        <f t="shared" si="3"/>
        <v>0</v>
      </c>
    </row>
    <row r="11" spans="1:37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442</v>
      </c>
      <c r="K11" s="35" t="s">
        <v>1201</v>
      </c>
      <c r="L11" s="62">
        <v>7</v>
      </c>
      <c r="M11" s="39" t="s">
        <v>401</v>
      </c>
      <c r="N11" s="39"/>
      <c r="O11" s="34" t="s">
        <v>778</v>
      </c>
      <c r="Q11" s="38" t="s">
        <v>708</v>
      </c>
      <c r="S11" s="37">
        <f t="shared" si="2"/>
        <v>1000</v>
      </c>
      <c r="T11" s="151">
        <v>1</v>
      </c>
      <c r="V11" s="35">
        <v>1</v>
      </c>
      <c r="X11" s="37">
        <f t="shared" si="3"/>
        <v>0</v>
      </c>
    </row>
    <row r="12" spans="1:37" x14ac:dyDescent="0.15">
      <c r="A12" s="34">
        <f t="shared" ref="A12:A59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400</v>
      </c>
      <c r="K12" s="62" t="s">
        <v>1202</v>
      </c>
      <c r="L12" s="62">
        <v>8</v>
      </c>
      <c r="M12" s="39" t="s">
        <v>401</v>
      </c>
      <c r="O12" s="34" t="s">
        <v>779</v>
      </c>
      <c r="Q12" s="38" t="s">
        <v>837</v>
      </c>
      <c r="S12" s="37">
        <f t="shared" si="2"/>
        <v>50</v>
      </c>
      <c r="T12" s="151">
        <v>0.05</v>
      </c>
      <c r="V12" s="35">
        <v>1</v>
      </c>
      <c r="X12" s="37">
        <f t="shared" si="3"/>
        <v>1</v>
      </c>
      <c r="Z12" s="149">
        <v>10</v>
      </c>
      <c r="AA12" s="149">
        <v>10</v>
      </c>
      <c r="AB12" s="149">
        <v>-10</v>
      </c>
    </row>
    <row r="13" spans="1:37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385</v>
      </c>
      <c r="K13" s="35" t="s">
        <v>1203</v>
      </c>
      <c r="L13" s="38">
        <v>9</v>
      </c>
      <c r="M13" s="36" t="s">
        <v>401</v>
      </c>
      <c r="O13" s="34" t="s">
        <v>780</v>
      </c>
      <c r="Q13" s="38" t="s">
        <v>709</v>
      </c>
      <c r="S13" s="37">
        <f t="shared" si="2"/>
        <v>10000</v>
      </c>
      <c r="T13" s="151">
        <v>10</v>
      </c>
      <c r="V13" s="35">
        <v>1</v>
      </c>
      <c r="X13" s="37">
        <f t="shared" si="3"/>
        <v>0</v>
      </c>
    </row>
    <row r="14" spans="1:37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387</v>
      </c>
      <c r="K14" s="35" t="s">
        <v>1204</v>
      </c>
      <c r="L14" s="62">
        <v>10</v>
      </c>
      <c r="M14" s="36" t="s">
        <v>401</v>
      </c>
      <c r="O14" s="34" t="s">
        <v>781</v>
      </c>
      <c r="Q14" s="38" t="s">
        <v>710</v>
      </c>
      <c r="S14" s="37">
        <f t="shared" si="2"/>
        <v>10000</v>
      </c>
      <c r="T14" s="39">
        <v>10</v>
      </c>
      <c r="V14" s="35">
        <v>1</v>
      </c>
      <c r="X14" s="37">
        <f t="shared" si="3"/>
        <v>0</v>
      </c>
    </row>
    <row r="15" spans="1:37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490</v>
      </c>
      <c r="K15" s="35" t="s">
        <v>1205</v>
      </c>
      <c r="L15" s="62">
        <v>15</v>
      </c>
      <c r="M15" s="36" t="s">
        <v>491</v>
      </c>
      <c r="N15" s="36" t="s">
        <v>492</v>
      </c>
      <c r="O15" s="34" t="s">
        <v>1035</v>
      </c>
      <c r="Q15" s="38" t="s">
        <v>711</v>
      </c>
      <c r="S15" s="37">
        <f t="shared" si="2"/>
        <v>10000</v>
      </c>
      <c r="T15" s="151">
        <v>10</v>
      </c>
      <c r="V15" s="35">
        <v>1</v>
      </c>
      <c r="X15" s="37">
        <f t="shared" si="3"/>
        <v>1</v>
      </c>
      <c r="Y15" s="35">
        <v>50</v>
      </c>
    </row>
    <row r="16" spans="1:37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390</v>
      </c>
      <c r="K16" s="35" t="s">
        <v>1206</v>
      </c>
      <c r="L16" s="35">
        <v>10</v>
      </c>
      <c r="M16" s="36" t="s">
        <v>401</v>
      </c>
      <c r="O16" s="34" t="s">
        <v>782</v>
      </c>
      <c r="Q16" s="38" t="s">
        <v>712</v>
      </c>
      <c r="S16" s="37">
        <f t="shared" si="2"/>
        <v>1000000</v>
      </c>
      <c r="T16" s="151">
        <v>1000</v>
      </c>
      <c r="V16" s="35">
        <v>1</v>
      </c>
      <c r="X16" s="37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391</v>
      </c>
      <c r="K17" s="35" t="s">
        <v>1207</v>
      </c>
      <c r="L17" s="35">
        <v>5</v>
      </c>
      <c r="M17" s="36" t="s">
        <v>401</v>
      </c>
      <c r="O17" s="34" t="s">
        <v>783</v>
      </c>
      <c r="Q17" s="38" t="s">
        <v>713</v>
      </c>
      <c r="S17" s="37">
        <f t="shared" si="2"/>
        <v>1000000</v>
      </c>
      <c r="T17" s="39">
        <v>1000</v>
      </c>
      <c r="V17" s="35">
        <v>1</v>
      </c>
      <c r="X17" s="37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392</v>
      </c>
      <c r="K18" s="35" t="s">
        <v>1208</v>
      </c>
      <c r="L18" s="35">
        <v>6</v>
      </c>
      <c r="M18" s="36" t="s">
        <v>401</v>
      </c>
      <c r="O18" s="34" t="s">
        <v>783</v>
      </c>
      <c r="Q18" s="38" t="s">
        <v>714</v>
      </c>
      <c r="S18" s="37">
        <f t="shared" si="2"/>
        <v>1000000</v>
      </c>
      <c r="T18" s="39">
        <v>1000</v>
      </c>
      <c r="V18" s="35">
        <v>1</v>
      </c>
      <c r="X18" s="37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393</v>
      </c>
      <c r="K19" s="35" t="s">
        <v>1209</v>
      </c>
      <c r="L19" s="35">
        <v>7</v>
      </c>
      <c r="M19" s="36" t="s">
        <v>401</v>
      </c>
      <c r="O19" s="34" t="s">
        <v>783</v>
      </c>
      <c r="Q19" s="38" t="s">
        <v>715</v>
      </c>
      <c r="S19" s="37">
        <f t="shared" si="2"/>
        <v>1000000</v>
      </c>
      <c r="T19" s="39">
        <v>1000</v>
      </c>
      <c r="V19" s="35">
        <v>1</v>
      </c>
      <c r="X19" s="37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446</v>
      </c>
      <c r="K20" s="35" t="s">
        <v>1210</v>
      </c>
      <c r="L20" s="35">
        <v>8</v>
      </c>
      <c r="M20" s="36" t="s">
        <v>444</v>
      </c>
      <c r="O20" s="34" t="s">
        <v>782</v>
      </c>
      <c r="Q20" s="38" t="s">
        <v>716</v>
      </c>
      <c r="S20" s="37">
        <f t="shared" si="2"/>
        <v>1000000</v>
      </c>
      <c r="T20" s="39">
        <v>1000</v>
      </c>
      <c r="V20" s="35">
        <v>1</v>
      </c>
      <c r="X20" s="37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9" si="7">H21</f>
        <v>1</v>
      </c>
      <c r="G21" s="72"/>
      <c r="H21" s="62">
        <v>1</v>
      </c>
      <c r="J21" s="35" t="s">
        <v>447</v>
      </c>
      <c r="K21" s="35" t="s">
        <v>1211</v>
      </c>
      <c r="L21" s="35">
        <v>9</v>
      </c>
      <c r="M21" s="36" t="s">
        <v>444</v>
      </c>
      <c r="O21" s="34" t="s">
        <v>782</v>
      </c>
      <c r="Q21" s="38" t="s">
        <v>717</v>
      </c>
      <c r="S21" s="37">
        <f t="shared" si="2"/>
        <v>1000000</v>
      </c>
      <c r="T21" s="39">
        <v>1000</v>
      </c>
      <c r="V21" s="35">
        <v>1</v>
      </c>
      <c r="X21" s="37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448</v>
      </c>
      <c r="K22" s="35" t="s">
        <v>1212</v>
      </c>
      <c r="L22" s="35">
        <v>10</v>
      </c>
      <c r="M22" s="36" t="s">
        <v>444</v>
      </c>
      <c r="O22" s="34" t="s">
        <v>782</v>
      </c>
      <c r="Q22" s="38" t="s">
        <v>718</v>
      </c>
      <c r="S22" s="37">
        <f t="shared" si="2"/>
        <v>5000000</v>
      </c>
      <c r="T22" s="39">
        <v>5000</v>
      </c>
      <c r="V22" s="35">
        <v>1</v>
      </c>
      <c r="X22" s="37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455</v>
      </c>
      <c r="K23" s="35" t="s">
        <v>1213</v>
      </c>
      <c r="L23" s="35">
        <v>11</v>
      </c>
      <c r="M23" s="36" t="s">
        <v>444</v>
      </c>
      <c r="O23" s="34" t="s">
        <v>782</v>
      </c>
      <c r="Q23" s="38" t="s">
        <v>719</v>
      </c>
      <c r="S23" s="37">
        <f t="shared" si="2"/>
        <v>1000000</v>
      </c>
      <c r="T23" s="39">
        <v>1000</v>
      </c>
      <c r="V23" s="35">
        <v>1</v>
      </c>
      <c r="X23" s="37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449</v>
      </c>
      <c r="K24" s="35" t="s">
        <v>1214</v>
      </c>
      <c r="L24" s="35">
        <v>12</v>
      </c>
      <c r="M24" s="36" t="s">
        <v>444</v>
      </c>
      <c r="O24" s="34" t="s">
        <v>782</v>
      </c>
      <c r="Q24" s="38" t="s">
        <v>721</v>
      </c>
      <c r="S24" s="37">
        <f t="shared" si="2"/>
        <v>1000000</v>
      </c>
      <c r="T24" s="39">
        <v>1000</v>
      </c>
      <c r="V24" s="35">
        <v>1</v>
      </c>
      <c r="X24" s="37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450</v>
      </c>
      <c r="K25" s="35" t="s">
        <v>1215</v>
      </c>
      <c r="L25" s="35">
        <v>13</v>
      </c>
      <c r="M25" s="36" t="s">
        <v>444</v>
      </c>
      <c r="O25" s="34" t="s">
        <v>782</v>
      </c>
      <c r="Q25" s="38" t="s">
        <v>720</v>
      </c>
      <c r="S25" s="37">
        <f t="shared" si="2"/>
        <v>5000000</v>
      </c>
      <c r="T25" s="39">
        <v>5000</v>
      </c>
      <c r="V25" s="35">
        <v>1</v>
      </c>
      <c r="X25" s="37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451</v>
      </c>
      <c r="K26" s="35" t="s">
        <v>1216</v>
      </c>
      <c r="L26" s="35">
        <v>14</v>
      </c>
      <c r="M26" s="36" t="s">
        <v>444</v>
      </c>
      <c r="O26" s="34" t="s">
        <v>782</v>
      </c>
      <c r="Q26" s="38" t="s">
        <v>722</v>
      </c>
      <c r="S26" s="37">
        <f t="shared" si="2"/>
        <v>10000000</v>
      </c>
      <c r="T26" s="39">
        <v>10000</v>
      </c>
      <c r="V26" s="35">
        <v>1</v>
      </c>
      <c r="X26" s="37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461</v>
      </c>
      <c r="K27" s="35" t="s">
        <v>1217</v>
      </c>
      <c r="L27" s="35">
        <v>15</v>
      </c>
      <c r="M27" s="36" t="s">
        <v>444</v>
      </c>
      <c r="O27" s="34" t="s">
        <v>782</v>
      </c>
      <c r="Q27" s="38" t="s">
        <v>723</v>
      </c>
      <c r="S27" s="37">
        <f t="shared" si="2"/>
        <v>3000000</v>
      </c>
      <c r="T27" s="39">
        <v>3000</v>
      </c>
      <c r="V27" s="35">
        <v>1</v>
      </c>
      <c r="X27" s="37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465</v>
      </c>
      <c r="K28" s="35" t="s">
        <v>1218</v>
      </c>
      <c r="L28" s="35">
        <v>15</v>
      </c>
      <c r="M28" s="36" t="s">
        <v>444</v>
      </c>
      <c r="O28" s="34" t="s">
        <v>782</v>
      </c>
      <c r="Q28" s="38" t="s">
        <v>724</v>
      </c>
      <c r="S28" s="37">
        <f t="shared" si="2"/>
        <v>5000000</v>
      </c>
      <c r="T28" s="39">
        <v>5000</v>
      </c>
      <c r="V28" s="35">
        <v>1</v>
      </c>
      <c r="X28" s="37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466</v>
      </c>
      <c r="K29" s="35" t="s">
        <v>1219</v>
      </c>
      <c r="L29" s="35">
        <v>15</v>
      </c>
      <c r="M29" s="36" t="s">
        <v>444</v>
      </c>
      <c r="O29" s="34" t="s">
        <v>782</v>
      </c>
      <c r="Q29" s="38" t="s">
        <v>725</v>
      </c>
      <c r="S29" s="37">
        <f t="shared" si="2"/>
        <v>1000000</v>
      </c>
      <c r="T29" s="39">
        <v>1000</v>
      </c>
      <c r="V29" s="35">
        <v>1</v>
      </c>
      <c r="X29" s="37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469</v>
      </c>
      <c r="K30" s="35" t="s">
        <v>1220</v>
      </c>
      <c r="L30" s="35">
        <v>15</v>
      </c>
      <c r="M30" s="36" t="s">
        <v>444</v>
      </c>
      <c r="O30" s="34" t="s">
        <v>782</v>
      </c>
      <c r="Q30" s="38" t="s">
        <v>726</v>
      </c>
      <c r="S30" s="37">
        <f t="shared" si="2"/>
        <v>1000000</v>
      </c>
      <c r="T30" s="39">
        <v>1000</v>
      </c>
      <c r="V30" s="35">
        <v>1</v>
      </c>
      <c r="X30" s="37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474</v>
      </c>
      <c r="K31" s="35" t="s">
        <v>1221</v>
      </c>
      <c r="L31" s="35">
        <v>15</v>
      </c>
      <c r="M31" s="36" t="s">
        <v>444</v>
      </c>
      <c r="O31" s="34" t="s">
        <v>782</v>
      </c>
      <c r="Q31" s="38" t="s">
        <v>727</v>
      </c>
      <c r="S31" s="37">
        <f t="shared" si="2"/>
        <v>5000000</v>
      </c>
      <c r="T31" s="39">
        <v>5000</v>
      </c>
      <c r="V31" s="35">
        <v>1</v>
      </c>
      <c r="X31" s="37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470</v>
      </c>
      <c r="K32" s="35" t="s">
        <v>1222</v>
      </c>
      <c r="L32" s="35">
        <v>15</v>
      </c>
      <c r="M32" s="36" t="s">
        <v>444</v>
      </c>
      <c r="O32" s="34" t="s">
        <v>782</v>
      </c>
      <c r="Q32" s="38" t="s">
        <v>728</v>
      </c>
      <c r="S32" s="37">
        <f t="shared" si="2"/>
        <v>10000000</v>
      </c>
      <c r="T32" s="39">
        <v>10000</v>
      </c>
      <c r="V32" s="35">
        <v>1</v>
      </c>
      <c r="X32" s="37">
        <f t="shared" si="3"/>
        <v>0</v>
      </c>
    </row>
    <row r="33" spans="1:37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471</v>
      </c>
      <c r="K33" s="35" t="s">
        <v>1223</v>
      </c>
      <c r="L33" s="35">
        <v>15</v>
      </c>
      <c r="M33" s="36" t="s">
        <v>444</v>
      </c>
      <c r="O33" s="34" t="s">
        <v>782</v>
      </c>
      <c r="Q33" s="38" t="s">
        <v>729</v>
      </c>
      <c r="R33" s="87" t="s">
        <v>493</v>
      </c>
      <c r="S33" s="37">
        <f t="shared" si="2"/>
        <v>10000000</v>
      </c>
      <c r="T33" s="39">
        <v>10000</v>
      </c>
      <c r="V33" s="35">
        <v>1</v>
      </c>
      <c r="X33" s="37">
        <f t="shared" si="3"/>
        <v>0</v>
      </c>
    </row>
    <row r="34" spans="1:37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472</v>
      </c>
      <c r="K34" s="35" t="s">
        <v>1224</v>
      </c>
      <c r="L34" s="35">
        <v>15</v>
      </c>
      <c r="M34" s="36" t="s">
        <v>444</v>
      </c>
      <c r="O34" s="34" t="s">
        <v>782</v>
      </c>
      <c r="Q34" s="38" t="s">
        <v>730</v>
      </c>
      <c r="S34" s="37">
        <f t="shared" si="2"/>
        <v>10000000</v>
      </c>
      <c r="T34" s="39">
        <v>10000</v>
      </c>
      <c r="V34" s="35">
        <v>1</v>
      </c>
      <c r="X34" s="37">
        <f t="shared" si="3"/>
        <v>0</v>
      </c>
    </row>
    <row r="35" spans="1:37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480</v>
      </c>
      <c r="K35" s="35" t="s">
        <v>1225</v>
      </c>
      <c r="L35" s="35">
        <v>5</v>
      </c>
      <c r="M35" s="36" t="s">
        <v>489</v>
      </c>
      <c r="O35" s="34" t="s">
        <v>1018</v>
      </c>
      <c r="Q35" s="38" t="s">
        <v>731</v>
      </c>
      <c r="S35" s="37">
        <f t="shared" si="2"/>
        <v>100000</v>
      </c>
      <c r="T35" s="39">
        <v>100</v>
      </c>
      <c r="V35" s="35">
        <v>1</v>
      </c>
      <c r="X35" s="37">
        <f t="shared" si="3"/>
        <v>1</v>
      </c>
      <c r="AH35" s="35">
        <v>10</v>
      </c>
    </row>
    <row r="36" spans="1:37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481</v>
      </c>
      <c r="K36" s="35" t="s">
        <v>1226</v>
      </c>
      <c r="L36" s="35">
        <v>8</v>
      </c>
      <c r="M36" s="36" t="s">
        <v>489</v>
      </c>
      <c r="O36" s="34" t="s">
        <v>1019</v>
      </c>
      <c r="Q36" s="38" t="s">
        <v>731</v>
      </c>
      <c r="S36" s="37">
        <f t="shared" si="2"/>
        <v>1000000</v>
      </c>
      <c r="T36" s="39">
        <v>1000</v>
      </c>
      <c r="V36" s="35">
        <v>1</v>
      </c>
      <c r="X36" s="37">
        <f t="shared" si="3"/>
        <v>1</v>
      </c>
      <c r="AH36" s="35">
        <v>20</v>
      </c>
    </row>
    <row r="37" spans="1:37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482</v>
      </c>
      <c r="K37" s="35" t="s">
        <v>1227</v>
      </c>
      <c r="L37" s="35">
        <v>12</v>
      </c>
      <c r="M37" s="36" t="s">
        <v>489</v>
      </c>
      <c r="O37" s="34" t="s">
        <v>1020</v>
      </c>
      <c r="Q37" s="38" t="s">
        <v>731</v>
      </c>
      <c r="S37" s="37">
        <f t="shared" si="2"/>
        <v>10000000</v>
      </c>
      <c r="T37" s="39">
        <v>10000</v>
      </c>
      <c r="V37" s="35">
        <v>1</v>
      </c>
      <c r="X37" s="37">
        <f t="shared" si="3"/>
        <v>1</v>
      </c>
      <c r="AH37" s="35">
        <v>30</v>
      </c>
    </row>
    <row r="38" spans="1:37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394</v>
      </c>
      <c r="K38" s="35" t="s">
        <v>1228</v>
      </c>
      <c r="L38" s="35">
        <v>6</v>
      </c>
      <c r="M38" s="36" t="s">
        <v>401</v>
      </c>
      <c r="O38" s="34" t="s">
        <v>1021</v>
      </c>
      <c r="Q38" s="38" t="s">
        <v>732</v>
      </c>
      <c r="S38" s="37">
        <f t="shared" si="2"/>
        <v>100000</v>
      </c>
      <c r="T38" s="39">
        <v>100</v>
      </c>
      <c r="V38" s="35">
        <v>1</v>
      </c>
      <c r="X38" s="37">
        <f t="shared" si="3"/>
        <v>1</v>
      </c>
      <c r="AG38" s="35">
        <v>100</v>
      </c>
    </row>
    <row r="39" spans="1:37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395</v>
      </c>
      <c r="K39" s="35" t="s">
        <v>1229</v>
      </c>
      <c r="L39" s="35">
        <v>9</v>
      </c>
      <c r="M39" s="36" t="s">
        <v>401</v>
      </c>
      <c r="O39" s="34" t="s">
        <v>1022</v>
      </c>
      <c r="Q39" s="38" t="s">
        <v>733</v>
      </c>
      <c r="S39" s="37">
        <f t="shared" si="2"/>
        <v>1000000</v>
      </c>
      <c r="T39" s="39">
        <v>1000</v>
      </c>
      <c r="V39" s="35">
        <v>1</v>
      </c>
      <c r="X39" s="37">
        <f t="shared" si="3"/>
        <v>1</v>
      </c>
      <c r="AG39" s="35">
        <v>200</v>
      </c>
      <c r="AI39" s="35">
        <v>-3</v>
      </c>
    </row>
    <row r="40" spans="1:37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396</v>
      </c>
      <c r="K40" s="35" t="s">
        <v>1230</v>
      </c>
      <c r="L40" s="35">
        <v>13</v>
      </c>
      <c r="M40" s="36" t="s">
        <v>401</v>
      </c>
      <c r="O40" s="34" t="s">
        <v>1023</v>
      </c>
      <c r="Q40" s="38" t="s">
        <v>734</v>
      </c>
      <c r="S40" s="37">
        <f t="shared" si="2"/>
        <v>10000000</v>
      </c>
      <c r="T40" s="39">
        <v>10000</v>
      </c>
      <c r="V40" s="35">
        <v>1</v>
      </c>
      <c r="X40" s="37">
        <f t="shared" si="3"/>
        <v>1</v>
      </c>
      <c r="AG40" s="35">
        <v>300</v>
      </c>
      <c r="AI40" s="35">
        <v>-10</v>
      </c>
    </row>
    <row r="41" spans="1:37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397</v>
      </c>
      <c r="K41" s="35" t="s">
        <v>1231</v>
      </c>
      <c r="L41" s="35">
        <v>7</v>
      </c>
      <c r="M41" s="36" t="s">
        <v>401</v>
      </c>
      <c r="O41" s="34" t="s">
        <v>1024</v>
      </c>
      <c r="Q41" s="38" t="s">
        <v>735</v>
      </c>
      <c r="S41" s="37">
        <f t="shared" si="2"/>
        <v>100000</v>
      </c>
      <c r="T41" s="39">
        <v>100</v>
      </c>
      <c r="V41" s="35">
        <v>1</v>
      </c>
      <c r="X41" s="37">
        <f t="shared" si="3"/>
        <v>1</v>
      </c>
      <c r="AH41" s="35">
        <v>10</v>
      </c>
      <c r="AI41" s="35">
        <v>-3</v>
      </c>
      <c r="AJ41" s="35">
        <v>1000</v>
      </c>
    </row>
    <row r="42" spans="1:37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398</v>
      </c>
      <c r="K42" s="35" t="s">
        <v>1232</v>
      </c>
      <c r="L42" s="35">
        <v>10</v>
      </c>
      <c r="M42" s="36" t="s">
        <v>401</v>
      </c>
      <c r="O42" s="34" t="s">
        <v>1025</v>
      </c>
      <c r="Q42" s="38" t="s">
        <v>736</v>
      </c>
      <c r="S42" s="37">
        <f t="shared" si="2"/>
        <v>1000000</v>
      </c>
      <c r="T42" s="39">
        <v>1000</v>
      </c>
      <c r="V42" s="35">
        <v>1</v>
      </c>
      <c r="X42" s="37">
        <f t="shared" si="3"/>
        <v>1</v>
      </c>
      <c r="AH42" s="35">
        <v>20</v>
      </c>
      <c r="AI42" s="35">
        <v>-5</v>
      </c>
      <c r="AJ42" s="35">
        <v>6000</v>
      </c>
    </row>
    <row r="43" spans="1:37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399</v>
      </c>
      <c r="K43" s="35" t="s">
        <v>1233</v>
      </c>
      <c r="L43" s="35">
        <v>14</v>
      </c>
      <c r="M43" s="36" t="s">
        <v>401</v>
      </c>
      <c r="O43" s="34" t="s">
        <v>1026</v>
      </c>
      <c r="Q43" s="38" t="s">
        <v>737</v>
      </c>
      <c r="S43" s="37">
        <f t="shared" si="2"/>
        <v>10000000</v>
      </c>
      <c r="T43" s="39">
        <v>10000</v>
      </c>
      <c r="V43" s="35">
        <v>1</v>
      </c>
      <c r="X43" s="37">
        <f t="shared" si="3"/>
        <v>1</v>
      </c>
      <c r="AH43" s="35">
        <v>30</v>
      </c>
      <c r="AI43" s="35">
        <v>-8</v>
      </c>
      <c r="AJ43" s="35">
        <v>12000</v>
      </c>
    </row>
    <row r="44" spans="1:37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483</v>
      </c>
      <c r="K44" s="35" t="s">
        <v>1234</v>
      </c>
      <c r="L44" s="35">
        <v>8</v>
      </c>
      <c r="M44" s="36" t="s">
        <v>401</v>
      </c>
      <c r="O44" s="34" t="s">
        <v>1027</v>
      </c>
      <c r="Q44" s="38" t="s">
        <v>738</v>
      </c>
      <c r="S44" s="37">
        <f t="shared" si="2"/>
        <v>100000</v>
      </c>
      <c r="T44" s="39">
        <v>100</v>
      </c>
      <c r="V44" s="35">
        <v>1</v>
      </c>
      <c r="X44" s="37">
        <f t="shared" si="3"/>
        <v>1</v>
      </c>
      <c r="AI44" s="35">
        <v>3</v>
      </c>
      <c r="AJ44" s="35">
        <v>1000</v>
      </c>
      <c r="AK44" s="35">
        <v>3</v>
      </c>
    </row>
    <row r="45" spans="1:37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484</v>
      </c>
      <c r="K45" s="35" t="s">
        <v>1235</v>
      </c>
      <c r="L45" s="35">
        <v>11</v>
      </c>
      <c r="M45" s="36" t="s">
        <v>401</v>
      </c>
      <c r="O45" s="34" t="s">
        <v>1028</v>
      </c>
      <c r="Q45" s="38" t="s">
        <v>739</v>
      </c>
      <c r="S45" s="37">
        <f t="shared" si="2"/>
        <v>1000000</v>
      </c>
      <c r="T45" s="39">
        <v>1000</v>
      </c>
      <c r="V45" s="35">
        <v>1</v>
      </c>
      <c r="X45" s="37">
        <f t="shared" si="3"/>
        <v>1</v>
      </c>
      <c r="AI45" s="35">
        <v>5</v>
      </c>
      <c r="AJ45" s="35">
        <v>6000</v>
      </c>
      <c r="AK45" s="35">
        <v>5</v>
      </c>
    </row>
    <row r="46" spans="1:37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485</v>
      </c>
      <c r="K46" s="35" t="s">
        <v>1236</v>
      </c>
      <c r="L46" s="35">
        <v>15</v>
      </c>
      <c r="M46" s="36" t="s">
        <v>401</v>
      </c>
      <c r="O46" s="34" t="s">
        <v>1029</v>
      </c>
      <c r="Q46" s="38" t="s">
        <v>740</v>
      </c>
      <c r="S46" s="37">
        <f t="shared" si="2"/>
        <v>10000000</v>
      </c>
      <c r="T46" s="39">
        <v>10000</v>
      </c>
      <c r="V46" s="35">
        <v>1</v>
      </c>
      <c r="X46" s="37">
        <f t="shared" si="3"/>
        <v>1</v>
      </c>
      <c r="AI46" s="35">
        <v>8</v>
      </c>
      <c r="AJ46" s="35">
        <v>12000</v>
      </c>
      <c r="AK46" s="35">
        <v>8</v>
      </c>
    </row>
    <row r="47" spans="1:37" x14ac:dyDescent="0.15">
      <c r="A47" s="34">
        <f t="shared" ref="A47:A52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486</v>
      </c>
      <c r="K47" s="35" t="s">
        <v>1237</v>
      </c>
      <c r="L47" s="35">
        <v>9</v>
      </c>
      <c r="M47" s="36" t="s">
        <v>401</v>
      </c>
      <c r="O47" s="34" t="s">
        <v>1030</v>
      </c>
      <c r="Q47" s="38" t="s">
        <v>741</v>
      </c>
      <c r="S47" s="37">
        <f t="shared" si="2"/>
        <v>100000</v>
      </c>
      <c r="T47" s="39">
        <v>100</v>
      </c>
      <c r="V47" s="35">
        <v>1</v>
      </c>
      <c r="X47" s="37">
        <f t="shared" si="3"/>
        <v>1</v>
      </c>
      <c r="AI47" s="35">
        <v>10</v>
      </c>
      <c r="AK47" s="35">
        <v>3</v>
      </c>
    </row>
    <row r="48" spans="1:37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487</v>
      </c>
      <c r="K48" s="35" t="s">
        <v>1238</v>
      </c>
      <c r="L48" s="35">
        <v>12</v>
      </c>
      <c r="M48" s="36" t="s">
        <v>401</v>
      </c>
      <c r="O48" s="34" t="s">
        <v>1031</v>
      </c>
      <c r="Q48" s="38" t="s">
        <v>742</v>
      </c>
      <c r="S48" s="37">
        <f t="shared" si="2"/>
        <v>1000000</v>
      </c>
      <c r="T48" s="39">
        <v>1000</v>
      </c>
      <c r="V48" s="35">
        <v>1</v>
      </c>
      <c r="X48" s="37">
        <f t="shared" si="3"/>
        <v>1</v>
      </c>
      <c r="AI48" s="35">
        <v>20</v>
      </c>
      <c r="AK48" s="35">
        <v>5</v>
      </c>
    </row>
    <row r="49" spans="1:37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488</v>
      </c>
      <c r="K49" s="35" t="s">
        <v>1239</v>
      </c>
      <c r="L49" s="35">
        <v>16</v>
      </c>
      <c r="M49" s="36" t="s">
        <v>401</v>
      </c>
      <c r="O49" s="34" t="s">
        <v>1032</v>
      </c>
      <c r="Q49" s="38" t="s">
        <v>743</v>
      </c>
      <c r="S49" s="37">
        <f t="shared" si="2"/>
        <v>10000000</v>
      </c>
      <c r="T49" s="39">
        <v>10000</v>
      </c>
      <c r="V49" s="35">
        <v>1</v>
      </c>
      <c r="X49" s="37">
        <f t="shared" si="3"/>
        <v>1</v>
      </c>
      <c r="AI49" s="35">
        <v>30</v>
      </c>
      <c r="AK49" s="35">
        <v>8</v>
      </c>
    </row>
    <row r="50" spans="1:37" x14ac:dyDescent="0.15">
      <c r="A50" s="34">
        <f t="shared" si="9"/>
        <v>212060101</v>
      </c>
      <c r="B50" s="36">
        <v>21</v>
      </c>
      <c r="C50" s="117">
        <v>2</v>
      </c>
      <c r="D50" s="191">
        <v>6</v>
      </c>
      <c r="E50" s="36">
        <v>1</v>
      </c>
      <c r="F50" s="39">
        <v>1</v>
      </c>
      <c r="G50" s="72"/>
      <c r="H50" s="38">
        <v>1</v>
      </c>
      <c r="J50" s="35" t="s">
        <v>1252</v>
      </c>
      <c r="K50" s="35" t="s">
        <v>1255</v>
      </c>
      <c r="L50" s="35">
        <v>10</v>
      </c>
      <c r="M50" s="36" t="s">
        <v>1258</v>
      </c>
      <c r="O50" s="34" t="s">
        <v>1259</v>
      </c>
      <c r="Q50" s="38" t="s">
        <v>1262</v>
      </c>
      <c r="S50" s="37">
        <f t="shared" si="2"/>
        <v>100000</v>
      </c>
      <c r="T50" s="39">
        <v>100</v>
      </c>
      <c r="V50" s="35">
        <v>1</v>
      </c>
      <c r="X50" s="37">
        <f t="shared" si="3"/>
        <v>1</v>
      </c>
      <c r="AJ50" s="35">
        <v>10000</v>
      </c>
    </row>
    <row r="51" spans="1:37" x14ac:dyDescent="0.15">
      <c r="A51" s="34">
        <f t="shared" si="9"/>
        <v>212060201</v>
      </c>
      <c r="B51" s="36">
        <v>21</v>
      </c>
      <c r="C51" s="117">
        <v>2</v>
      </c>
      <c r="D51" s="191">
        <v>6</v>
      </c>
      <c r="E51" s="36">
        <v>2</v>
      </c>
      <c r="F51" s="39">
        <v>1</v>
      </c>
      <c r="G51" s="72"/>
      <c r="H51" s="38">
        <v>1</v>
      </c>
      <c r="J51" s="35" t="s">
        <v>1253</v>
      </c>
      <c r="K51" s="35" t="s">
        <v>1256</v>
      </c>
      <c r="L51" s="35">
        <v>13</v>
      </c>
      <c r="M51" s="36" t="s">
        <v>1258</v>
      </c>
      <c r="O51" s="34" t="s">
        <v>1260</v>
      </c>
      <c r="Q51" s="38" t="s">
        <v>1263</v>
      </c>
      <c r="S51" s="37">
        <f t="shared" si="2"/>
        <v>1000000</v>
      </c>
      <c r="T51" s="39">
        <v>1000</v>
      </c>
      <c r="V51" s="35">
        <v>1</v>
      </c>
      <c r="X51" s="37">
        <f t="shared" si="3"/>
        <v>1</v>
      </c>
      <c r="AJ51" s="35">
        <v>52000</v>
      </c>
    </row>
    <row r="52" spans="1:37" x14ac:dyDescent="0.15">
      <c r="A52" s="34">
        <f t="shared" si="9"/>
        <v>212060301</v>
      </c>
      <c r="B52" s="36">
        <v>21</v>
      </c>
      <c r="C52" s="117">
        <v>2</v>
      </c>
      <c r="D52" s="191">
        <v>6</v>
      </c>
      <c r="E52" s="36">
        <v>3</v>
      </c>
      <c r="F52" s="39">
        <v>1</v>
      </c>
      <c r="G52" s="72"/>
      <c r="H52" s="38">
        <v>1</v>
      </c>
      <c r="J52" s="35" t="s">
        <v>1254</v>
      </c>
      <c r="K52" s="35" t="s">
        <v>1257</v>
      </c>
      <c r="L52" s="35">
        <v>17</v>
      </c>
      <c r="M52" s="36" t="s">
        <v>1258</v>
      </c>
      <c r="O52" s="34" t="s">
        <v>1261</v>
      </c>
      <c r="Q52" s="38" t="s">
        <v>1264</v>
      </c>
      <c r="S52" s="37">
        <f t="shared" si="2"/>
        <v>10000000</v>
      </c>
      <c r="T52" s="39">
        <v>10000</v>
      </c>
      <c r="V52" s="35">
        <v>1</v>
      </c>
      <c r="X52" s="37">
        <f t="shared" si="3"/>
        <v>1</v>
      </c>
      <c r="AJ52" s="35">
        <v>100000</v>
      </c>
    </row>
    <row r="53" spans="1:37" x14ac:dyDescent="0.15">
      <c r="A53" s="34">
        <f t="shared" si="4"/>
        <v>211010601</v>
      </c>
      <c r="B53" s="36">
        <v>21</v>
      </c>
      <c r="C53" s="116">
        <v>1</v>
      </c>
      <c r="D53" s="120">
        <v>1</v>
      </c>
      <c r="E53" s="36">
        <v>6</v>
      </c>
      <c r="F53" s="39">
        <f t="shared" si="7"/>
        <v>1</v>
      </c>
      <c r="G53" s="72"/>
      <c r="H53" s="62">
        <v>1</v>
      </c>
      <c r="J53" s="35" t="s">
        <v>382</v>
      </c>
      <c r="K53" s="35" t="s">
        <v>1240</v>
      </c>
      <c r="L53" s="35">
        <v>10</v>
      </c>
      <c r="M53" s="36" t="s">
        <v>403</v>
      </c>
      <c r="O53" s="34" t="s">
        <v>784</v>
      </c>
      <c r="Q53" s="38" t="s">
        <v>744</v>
      </c>
      <c r="S53" s="37">
        <f t="shared" si="2"/>
        <v>1100</v>
      </c>
      <c r="T53" s="39">
        <v>1.1000000000000001</v>
      </c>
      <c r="V53" s="35">
        <v>1</v>
      </c>
      <c r="X53" s="37">
        <f t="shared" si="3"/>
        <v>1</v>
      </c>
      <c r="AA53" s="149">
        <v>100</v>
      </c>
    </row>
    <row r="54" spans="1:37" x14ac:dyDescent="0.15">
      <c r="A54" s="34">
        <f t="shared" si="4"/>
        <v>211021101</v>
      </c>
      <c r="B54" s="36">
        <v>21</v>
      </c>
      <c r="C54" s="116">
        <v>1</v>
      </c>
      <c r="D54" s="121">
        <v>2</v>
      </c>
      <c r="E54" s="36">
        <v>11</v>
      </c>
      <c r="F54" s="39">
        <f t="shared" si="7"/>
        <v>1</v>
      </c>
      <c r="G54" s="72"/>
      <c r="H54" s="62">
        <v>1</v>
      </c>
      <c r="J54" s="35" t="s">
        <v>384</v>
      </c>
      <c r="K54" s="35" t="s">
        <v>1241</v>
      </c>
      <c r="L54" s="35">
        <v>11</v>
      </c>
      <c r="M54" s="36" t="s">
        <v>403</v>
      </c>
      <c r="O54" s="34" t="s">
        <v>785</v>
      </c>
      <c r="Q54" s="38" t="s">
        <v>838</v>
      </c>
      <c r="S54" s="37">
        <f t="shared" si="2"/>
        <v>600</v>
      </c>
      <c r="T54" s="151">
        <v>0.6</v>
      </c>
      <c r="V54" s="35">
        <v>1</v>
      </c>
      <c r="X54" s="37">
        <f t="shared" si="3"/>
        <v>1</v>
      </c>
      <c r="Z54" s="149">
        <v>10</v>
      </c>
      <c r="AA54" s="149">
        <v>-10</v>
      </c>
      <c r="AB54" s="149">
        <v>-10</v>
      </c>
    </row>
    <row r="55" spans="1:37" x14ac:dyDescent="0.15">
      <c r="A55" s="34">
        <f t="shared" si="4"/>
        <v>211010401</v>
      </c>
      <c r="B55" s="36">
        <v>21</v>
      </c>
      <c r="C55" s="116">
        <v>1</v>
      </c>
      <c r="D55" s="120">
        <v>1</v>
      </c>
      <c r="E55" s="36">
        <v>4</v>
      </c>
      <c r="F55" s="39">
        <f t="shared" si="7"/>
        <v>1</v>
      </c>
      <c r="G55" s="72"/>
      <c r="H55" s="62">
        <v>1</v>
      </c>
      <c r="J55" s="35" t="s">
        <v>383</v>
      </c>
      <c r="K55" s="35" t="s">
        <v>1242</v>
      </c>
      <c r="L55" s="35">
        <v>12</v>
      </c>
      <c r="M55" s="36" t="s">
        <v>402</v>
      </c>
      <c r="O55" s="34" t="s">
        <v>786</v>
      </c>
      <c r="Q55" s="38" t="s">
        <v>745</v>
      </c>
      <c r="S55" s="37">
        <f t="shared" si="2"/>
        <v>8000</v>
      </c>
      <c r="T55" s="39">
        <v>8</v>
      </c>
      <c r="V55" s="35">
        <v>1</v>
      </c>
      <c r="X55" s="37">
        <f t="shared" si="3"/>
        <v>1</v>
      </c>
      <c r="Z55" s="149">
        <v>50</v>
      </c>
      <c r="AB55" s="149">
        <v>10</v>
      </c>
    </row>
    <row r="56" spans="1:37" x14ac:dyDescent="0.15">
      <c r="A56" s="34">
        <f t="shared" si="4"/>
        <v>211020701</v>
      </c>
      <c r="B56" s="36">
        <v>21</v>
      </c>
      <c r="C56" s="116">
        <v>1</v>
      </c>
      <c r="D56" s="121">
        <v>2</v>
      </c>
      <c r="E56" s="36">
        <v>7</v>
      </c>
      <c r="F56" s="39">
        <f t="shared" si="7"/>
        <v>1</v>
      </c>
      <c r="G56" s="72"/>
      <c r="H56" s="38">
        <v>1</v>
      </c>
      <c r="J56" s="35" t="s">
        <v>386</v>
      </c>
      <c r="K56" s="35" t="s">
        <v>1243</v>
      </c>
      <c r="L56" s="35">
        <v>13</v>
      </c>
      <c r="M56" s="36" t="s">
        <v>402</v>
      </c>
      <c r="O56" s="34" t="s">
        <v>787</v>
      </c>
      <c r="Q56" s="38" t="s">
        <v>746</v>
      </c>
      <c r="S56" s="37">
        <f t="shared" si="2"/>
        <v>12000</v>
      </c>
      <c r="T56" s="151">
        <v>12</v>
      </c>
      <c r="V56" s="35">
        <v>1</v>
      </c>
      <c r="X56" s="37">
        <f t="shared" si="3"/>
        <v>0</v>
      </c>
    </row>
    <row r="57" spans="1:37" x14ac:dyDescent="0.15">
      <c r="A57" s="34">
        <f t="shared" si="4"/>
        <v>211020901</v>
      </c>
      <c r="B57" s="36">
        <v>21</v>
      </c>
      <c r="C57" s="116">
        <v>1</v>
      </c>
      <c r="D57" s="121">
        <v>2</v>
      </c>
      <c r="E57" s="36">
        <v>9</v>
      </c>
      <c r="F57" s="39">
        <f t="shared" si="7"/>
        <v>1</v>
      </c>
      <c r="G57" s="72"/>
      <c r="H57" s="62">
        <v>1</v>
      </c>
      <c r="J57" s="35" t="s">
        <v>388</v>
      </c>
      <c r="K57" s="35" t="s">
        <v>1244</v>
      </c>
      <c r="L57" s="35">
        <v>14</v>
      </c>
      <c r="M57" s="36" t="s">
        <v>402</v>
      </c>
      <c r="O57" s="34" t="s">
        <v>788</v>
      </c>
      <c r="Q57" s="38" t="s">
        <v>747</v>
      </c>
      <c r="S57" s="37">
        <f t="shared" si="2"/>
        <v>12000</v>
      </c>
      <c r="T57" s="39">
        <v>12</v>
      </c>
      <c r="V57" s="35">
        <v>1</v>
      </c>
      <c r="X57" s="37">
        <f t="shared" si="3"/>
        <v>0</v>
      </c>
    </row>
    <row r="58" spans="1:37" x14ac:dyDescent="0.15">
      <c r="A58" s="34">
        <f t="shared" si="4"/>
        <v>211020301</v>
      </c>
      <c r="B58" s="36">
        <v>21</v>
      </c>
      <c r="C58" s="116">
        <v>1</v>
      </c>
      <c r="D58" s="121">
        <v>2</v>
      </c>
      <c r="E58" s="36">
        <v>3</v>
      </c>
      <c r="F58" s="39">
        <f t="shared" si="7"/>
        <v>1</v>
      </c>
      <c r="G58" s="72"/>
      <c r="H58" s="62">
        <v>1</v>
      </c>
      <c r="J58" s="35" t="s">
        <v>389</v>
      </c>
      <c r="K58" s="35" t="s">
        <v>1245</v>
      </c>
      <c r="L58" s="35">
        <v>15</v>
      </c>
      <c r="M58" s="36" t="s">
        <v>402</v>
      </c>
      <c r="O58" s="34" t="s">
        <v>789</v>
      </c>
      <c r="Q58" s="38" t="s">
        <v>748</v>
      </c>
      <c r="S58" s="37">
        <f t="shared" si="2"/>
        <v>1200</v>
      </c>
      <c r="T58" s="151">
        <v>1.2</v>
      </c>
      <c r="V58" s="35">
        <v>1</v>
      </c>
      <c r="X58" s="37">
        <f t="shared" si="3"/>
        <v>0</v>
      </c>
    </row>
    <row r="59" spans="1:37" x14ac:dyDescent="0.15">
      <c r="A59" s="34">
        <f t="shared" si="4"/>
        <v>211020501</v>
      </c>
      <c r="B59" s="36">
        <v>21</v>
      </c>
      <c r="C59" s="116">
        <v>1</v>
      </c>
      <c r="D59" s="121">
        <v>2</v>
      </c>
      <c r="E59" s="36">
        <v>5</v>
      </c>
      <c r="F59" s="39">
        <f t="shared" si="7"/>
        <v>1</v>
      </c>
      <c r="G59" s="72"/>
      <c r="H59" s="62">
        <v>1</v>
      </c>
      <c r="J59" s="35" t="s">
        <v>420</v>
      </c>
      <c r="K59" s="35" t="s">
        <v>1246</v>
      </c>
      <c r="L59" s="35">
        <v>16</v>
      </c>
      <c r="M59" s="36" t="s">
        <v>402</v>
      </c>
      <c r="O59" s="34" t="s">
        <v>790</v>
      </c>
      <c r="Q59" s="38" t="s">
        <v>749</v>
      </c>
      <c r="S59" s="37">
        <f t="shared" si="2"/>
        <v>1200</v>
      </c>
      <c r="T59" s="39">
        <v>1.2</v>
      </c>
      <c r="V59" s="35">
        <v>1</v>
      </c>
      <c r="X59" s="37">
        <f t="shared" si="3"/>
        <v>0</v>
      </c>
    </row>
    <row r="60" spans="1:37" x14ac:dyDescent="0.15">
      <c r="G60" s="72"/>
    </row>
    <row r="61" spans="1:37" x14ac:dyDescent="0.15">
      <c r="G61" s="72"/>
    </row>
    <row r="62" spans="1:37" x14ac:dyDescent="0.15">
      <c r="G62" s="72"/>
    </row>
    <row r="63" spans="1:37" x14ac:dyDescent="0.15">
      <c r="G63" s="72"/>
    </row>
    <row r="64" spans="1:37" x14ac:dyDescent="0.15">
      <c r="G64" s="72"/>
    </row>
    <row r="65" spans="7:7" x14ac:dyDescent="0.15">
      <c r="G65" s="72"/>
    </row>
    <row r="66" spans="7:7" x14ac:dyDescent="0.15">
      <c r="G66" s="72"/>
    </row>
    <row r="67" spans="7:7" x14ac:dyDescent="0.15">
      <c r="G67" s="72"/>
    </row>
    <row r="68" spans="7:7" ht="17.25" thickBot="1" x14ac:dyDescent="0.2">
      <c r="G68" s="72"/>
    </row>
    <row r="69" spans="7:7" x14ac:dyDescent="0.15">
      <c r="G69" s="71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x14ac:dyDescent="0.15">
      <c r="G85" s="72"/>
    </row>
    <row r="86" spans="7:7" x14ac:dyDescent="0.15">
      <c r="G86" s="72"/>
    </row>
    <row r="87" spans="7:7" x14ac:dyDescent="0.15">
      <c r="G87" s="72"/>
    </row>
    <row r="88" spans="7:7" ht="17.25" thickBot="1" x14ac:dyDescent="0.2">
      <c r="G88" s="72"/>
    </row>
    <row r="89" spans="7:7" x14ac:dyDescent="0.15">
      <c r="G89" s="71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x14ac:dyDescent="0.15">
      <c r="G105" s="72"/>
    </row>
    <row r="106" spans="7:7" x14ac:dyDescent="0.15">
      <c r="G106" s="72"/>
    </row>
    <row r="107" spans="7:7" x14ac:dyDescent="0.15">
      <c r="G107" s="72"/>
    </row>
    <row r="108" spans="7:7" ht="17.25" thickBot="1" x14ac:dyDescent="0.2">
      <c r="G108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P21" sqref="P21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6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  <c r="BB1" s="56" t="s">
        <v>60</v>
      </c>
      <c r="BC1" s="56" t="s">
        <v>60</v>
      </c>
      <c r="BD1" s="56" t="s">
        <v>60</v>
      </c>
    </row>
    <row r="2" spans="1:56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  <c r="BB2" s="56" t="s">
        <v>61</v>
      </c>
      <c r="BC2" s="56" t="s">
        <v>61</v>
      </c>
      <c r="BD2" s="56" t="s">
        <v>61</v>
      </c>
    </row>
    <row r="3" spans="1:56" x14ac:dyDescent="0.15">
      <c r="A3" s="56" t="s">
        <v>565</v>
      </c>
      <c r="B3" s="38" t="s">
        <v>1195</v>
      </c>
      <c r="C3" s="62" t="s">
        <v>1196</v>
      </c>
      <c r="D3" s="62" t="s">
        <v>1197</v>
      </c>
      <c r="E3" s="62" t="s">
        <v>1198</v>
      </c>
      <c r="F3" s="35" t="s">
        <v>1199</v>
      </c>
      <c r="G3" s="35" t="s">
        <v>1200</v>
      </c>
      <c r="H3" s="35" t="s">
        <v>1201</v>
      </c>
      <c r="I3" s="62" t="s">
        <v>1202</v>
      </c>
      <c r="J3" s="35" t="s">
        <v>1203</v>
      </c>
      <c r="K3" s="35" t="s">
        <v>1204</v>
      </c>
      <c r="L3" s="35" t="s">
        <v>1205</v>
      </c>
      <c r="M3" s="35" t="s">
        <v>1206</v>
      </c>
      <c r="N3" s="35" t="s">
        <v>1207</v>
      </c>
      <c r="O3" s="35" t="s">
        <v>1208</v>
      </c>
      <c r="P3" s="35" t="s">
        <v>1209</v>
      </c>
      <c r="Q3" s="35" t="s">
        <v>1210</v>
      </c>
      <c r="R3" s="35" t="s">
        <v>1211</v>
      </c>
      <c r="S3" s="35" t="s">
        <v>1212</v>
      </c>
      <c r="T3" s="35" t="s">
        <v>1213</v>
      </c>
      <c r="U3" s="35" t="s">
        <v>1214</v>
      </c>
      <c r="V3" s="35" t="s">
        <v>1215</v>
      </c>
      <c r="W3" s="35" t="s">
        <v>1216</v>
      </c>
      <c r="X3" s="35" t="s">
        <v>1217</v>
      </c>
      <c r="Y3" s="35" t="s">
        <v>1218</v>
      </c>
      <c r="Z3" s="35" t="s">
        <v>1219</v>
      </c>
      <c r="AA3" s="35" t="s">
        <v>1220</v>
      </c>
      <c r="AB3" s="35" t="s">
        <v>1221</v>
      </c>
      <c r="AC3" s="35" t="s">
        <v>1222</v>
      </c>
      <c r="AD3" s="35" t="s">
        <v>1223</v>
      </c>
      <c r="AE3" s="35" t="s">
        <v>1224</v>
      </c>
      <c r="AF3" s="35" t="s">
        <v>1225</v>
      </c>
      <c r="AG3" s="35" t="s">
        <v>1226</v>
      </c>
      <c r="AH3" s="35" t="s">
        <v>1227</v>
      </c>
      <c r="AI3" s="35" t="s">
        <v>1228</v>
      </c>
      <c r="AJ3" s="35" t="s">
        <v>1229</v>
      </c>
      <c r="AK3" s="35" t="s">
        <v>1230</v>
      </c>
      <c r="AL3" s="35" t="s">
        <v>1231</v>
      </c>
      <c r="AM3" s="35" t="s">
        <v>1232</v>
      </c>
      <c r="AN3" s="35" t="s">
        <v>1233</v>
      </c>
      <c r="AO3" s="35" t="s">
        <v>1234</v>
      </c>
      <c r="AP3" s="35" t="s">
        <v>1235</v>
      </c>
      <c r="AQ3" s="35" t="s">
        <v>1236</v>
      </c>
      <c r="AR3" s="35" t="s">
        <v>1237</v>
      </c>
      <c r="AS3" s="35" t="s">
        <v>1238</v>
      </c>
      <c r="AT3" s="35" t="s">
        <v>1239</v>
      </c>
      <c r="AU3" s="35" t="s">
        <v>1286</v>
      </c>
      <c r="AV3" s="35" t="s">
        <v>1287</v>
      </c>
      <c r="AW3" s="35" t="s">
        <v>1288</v>
      </c>
      <c r="AX3" s="35" t="s">
        <v>1240</v>
      </c>
      <c r="AY3" s="35" t="s">
        <v>1241</v>
      </c>
      <c r="AZ3" s="35" t="s">
        <v>1242</v>
      </c>
      <c r="BA3" s="35" t="s">
        <v>1243</v>
      </c>
      <c r="BB3" s="35" t="s">
        <v>1244</v>
      </c>
      <c r="BC3" s="35" t="s">
        <v>1245</v>
      </c>
      <c r="BD3" s="35" t="s">
        <v>1246</v>
      </c>
    </row>
    <row r="4" spans="1:56" ht="18" customHeight="1" thickBot="1" x14ac:dyDescent="0.2">
      <c r="A4" s="89" t="s">
        <v>551</v>
      </c>
      <c r="B4" s="38" t="s">
        <v>378</v>
      </c>
      <c r="C4" s="62" t="s">
        <v>379</v>
      </c>
      <c r="D4" s="62" t="s">
        <v>380</v>
      </c>
      <c r="E4" s="62" t="s">
        <v>441</v>
      </c>
      <c r="F4" s="35" t="s">
        <v>381</v>
      </c>
      <c r="G4" s="35" t="s">
        <v>426</v>
      </c>
      <c r="H4" s="35" t="s">
        <v>430</v>
      </c>
      <c r="I4" s="62" t="s">
        <v>400</v>
      </c>
      <c r="J4" s="35" t="s">
        <v>385</v>
      </c>
      <c r="K4" s="35" t="s">
        <v>387</v>
      </c>
      <c r="L4" s="35" t="s">
        <v>490</v>
      </c>
      <c r="M4" s="35" t="s">
        <v>390</v>
      </c>
      <c r="N4" s="35" t="s">
        <v>391</v>
      </c>
      <c r="O4" s="35" t="s">
        <v>392</v>
      </c>
      <c r="P4" s="35" t="s">
        <v>393</v>
      </c>
      <c r="Q4" s="35" t="s">
        <v>446</v>
      </c>
      <c r="R4" s="35" t="s">
        <v>447</v>
      </c>
      <c r="S4" s="35" t="s">
        <v>448</v>
      </c>
      <c r="T4" s="35" t="s">
        <v>455</v>
      </c>
      <c r="U4" s="35" t="s">
        <v>449</v>
      </c>
      <c r="V4" s="35" t="s">
        <v>450</v>
      </c>
      <c r="W4" s="35" t="s">
        <v>451</v>
      </c>
      <c r="X4" s="35" t="s">
        <v>461</v>
      </c>
      <c r="Y4" s="35" t="s">
        <v>463</v>
      </c>
      <c r="Z4" s="35" t="s">
        <v>464</v>
      </c>
      <c r="AA4" s="35" t="s">
        <v>469</v>
      </c>
      <c r="AB4" s="35" t="s">
        <v>474</v>
      </c>
      <c r="AC4" s="35" t="s">
        <v>470</v>
      </c>
      <c r="AD4" s="35" t="s">
        <v>471</v>
      </c>
      <c r="AE4" s="35" t="s">
        <v>472</v>
      </c>
      <c r="AF4" s="35" t="s">
        <v>480</v>
      </c>
      <c r="AG4" s="35" t="s">
        <v>481</v>
      </c>
      <c r="AH4" s="35" t="s">
        <v>482</v>
      </c>
      <c r="AI4" s="35" t="s">
        <v>394</v>
      </c>
      <c r="AJ4" s="35" t="s">
        <v>395</v>
      </c>
      <c r="AK4" s="35" t="s">
        <v>396</v>
      </c>
      <c r="AL4" s="35" t="s">
        <v>397</v>
      </c>
      <c r="AM4" s="35" t="s">
        <v>398</v>
      </c>
      <c r="AN4" s="35" t="s">
        <v>399</v>
      </c>
      <c r="AO4" s="35" t="s">
        <v>483</v>
      </c>
      <c r="AP4" s="35" t="s">
        <v>484</v>
      </c>
      <c r="AQ4" s="35" t="s">
        <v>485</v>
      </c>
      <c r="AR4" s="35" t="s">
        <v>486</v>
      </c>
      <c r="AS4" s="35" t="s">
        <v>487</v>
      </c>
      <c r="AT4" s="35" t="s">
        <v>488</v>
      </c>
      <c r="AU4" s="35" t="s">
        <v>1289</v>
      </c>
      <c r="AV4" s="35" t="s">
        <v>1290</v>
      </c>
      <c r="AW4" s="35" t="s">
        <v>1291</v>
      </c>
      <c r="AX4" s="35" t="s">
        <v>382</v>
      </c>
      <c r="AY4" s="35" t="s">
        <v>384</v>
      </c>
      <c r="AZ4" s="35" t="s">
        <v>383</v>
      </c>
      <c r="BA4" s="35" t="s">
        <v>386</v>
      </c>
      <c r="BB4" s="35" t="s">
        <v>388</v>
      </c>
      <c r="BC4" s="35" t="s">
        <v>389</v>
      </c>
      <c r="BD4" s="35" t="s">
        <v>420</v>
      </c>
    </row>
    <row r="5" spans="1:56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1000</v>
      </c>
      <c r="F5" s="113">
        <v>1000</v>
      </c>
      <c r="G5" s="113">
        <v>1000</v>
      </c>
      <c r="H5" s="113">
        <v>1000</v>
      </c>
      <c r="I5" s="113">
        <v>0</v>
      </c>
      <c r="J5" s="113">
        <v>0</v>
      </c>
      <c r="K5" s="113">
        <v>1000</v>
      </c>
      <c r="L5" s="113">
        <v>0</v>
      </c>
      <c r="M5" s="113">
        <v>1</v>
      </c>
      <c r="N5" s="113">
        <v>1</v>
      </c>
      <c r="O5" s="113">
        <v>1</v>
      </c>
      <c r="P5" s="113">
        <v>1</v>
      </c>
      <c r="Q5" s="113">
        <v>1</v>
      </c>
      <c r="R5" s="113">
        <v>1</v>
      </c>
      <c r="S5" s="113">
        <v>1</v>
      </c>
      <c r="T5" s="113">
        <v>1</v>
      </c>
      <c r="U5" s="113">
        <v>1</v>
      </c>
      <c r="V5" s="113">
        <v>1</v>
      </c>
      <c r="W5" s="113">
        <v>1</v>
      </c>
      <c r="X5" s="113">
        <v>1</v>
      </c>
      <c r="Y5" s="113">
        <v>1</v>
      </c>
      <c r="Z5" s="113">
        <v>1</v>
      </c>
      <c r="AA5" s="113">
        <v>1</v>
      </c>
      <c r="AB5" s="113">
        <v>1</v>
      </c>
      <c r="AC5" s="113">
        <v>1</v>
      </c>
      <c r="AD5" s="113">
        <v>1</v>
      </c>
      <c r="AE5" s="113">
        <v>1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U5" s="113">
        <v>0</v>
      </c>
      <c r="AX5" s="113">
        <v>0</v>
      </c>
      <c r="AY5" s="113">
        <v>0</v>
      </c>
      <c r="AZ5" s="113">
        <v>0</v>
      </c>
      <c r="BA5" s="113">
        <v>0</v>
      </c>
      <c r="BB5" s="113">
        <v>0</v>
      </c>
      <c r="BC5" s="113">
        <v>0</v>
      </c>
      <c r="BD5" s="113">
        <v>0</v>
      </c>
    </row>
    <row r="6" spans="1:56" x14ac:dyDescent="0.15">
      <c r="A6" s="56">
        <v>2</v>
      </c>
      <c r="B6" s="94">
        <v>1500</v>
      </c>
      <c r="C6" s="94">
        <v>0</v>
      </c>
      <c r="D6" s="94">
        <v>0</v>
      </c>
      <c r="E6" s="94">
        <v>1500</v>
      </c>
      <c r="F6" s="94">
        <v>1500</v>
      </c>
      <c r="G6" s="94">
        <v>1500</v>
      </c>
      <c r="H6" s="94">
        <v>1500</v>
      </c>
      <c r="I6" s="94">
        <v>0</v>
      </c>
      <c r="J6" s="94">
        <v>0</v>
      </c>
      <c r="K6" s="94">
        <v>1500</v>
      </c>
      <c r="L6" s="94">
        <v>0</v>
      </c>
      <c r="M6" s="94">
        <v>1</v>
      </c>
      <c r="N6" s="94">
        <v>1</v>
      </c>
      <c r="O6" s="94">
        <v>1</v>
      </c>
      <c r="P6" s="94">
        <v>1</v>
      </c>
      <c r="Q6" s="94">
        <v>1</v>
      </c>
      <c r="R6" s="94">
        <v>1</v>
      </c>
      <c r="S6" s="94">
        <v>1</v>
      </c>
      <c r="T6" s="94">
        <v>1</v>
      </c>
      <c r="U6" s="94">
        <v>1</v>
      </c>
      <c r="V6" s="94">
        <v>1</v>
      </c>
      <c r="W6" s="94">
        <v>1</v>
      </c>
      <c r="X6" s="94">
        <v>1</v>
      </c>
      <c r="Y6" s="94">
        <v>1</v>
      </c>
      <c r="Z6" s="94">
        <v>1</v>
      </c>
      <c r="AA6" s="94">
        <v>1</v>
      </c>
      <c r="AB6" s="94">
        <v>1</v>
      </c>
      <c r="AC6" s="94">
        <v>1</v>
      </c>
      <c r="AD6" s="94">
        <v>1</v>
      </c>
      <c r="AE6" s="94">
        <v>1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X6" s="94">
        <v>0</v>
      </c>
      <c r="AY6" s="94">
        <v>0</v>
      </c>
      <c r="AZ6" s="94">
        <v>0</v>
      </c>
      <c r="BA6" s="94">
        <v>0</v>
      </c>
      <c r="BB6" s="94">
        <v>0</v>
      </c>
      <c r="BC6" s="94">
        <v>0</v>
      </c>
      <c r="BD6" s="94">
        <v>0</v>
      </c>
    </row>
    <row r="7" spans="1:56" x14ac:dyDescent="0.15">
      <c r="A7" s="56">
        <v>3</v>
      </c>
      <c r="B7" s="94">
        <v>3000</v>
      </c>
      <c r="C7" s="94">
        <v>0</v>
      </c>
      <c r="D7" s="94">
        <v>0</v>
      </c>
      <c r="E7" s="94">
        <v>3000</v>
      </c>
      <c r="F7" s="94">
        <v>3000</v>
      </c>
      <c r="G7" s="94">
        <v>3000</v>
      </c>
      <c r="H7" s="94">
        <v>3000</v>
      </c>
      <c r="I7" s="94">
        <v>0</v>
      </c>
      <c r="J7" s="94">
        <v>0</v>
      </c>
      <c r="K7" s="94">
        <v>3000</v>
      </c>
      <c r="L7" s="94">
        <v>0</v>
      </c>
      <c r="M7" s="94">
        <v>1</v>
      </c>
      <c r="N7" s="94">
        <v>1</v>
      </c>
      <c r="O7" s="94">
        <v>1</v>
      </c>
      <c r="P7" s="94">
        <v>1</v>
      </c>
      <c r="Q7" s="94">
        <v>1</v>
      </c>
      <c r="R7" s="94">
        <v>1</v>
      </c>
      <c r="S7" s="94">
        <v>1</v>
      </c>
      <c r="T7" s="94">
        <v>1</v>
      </c>
      <c r="U7" s="94">
        <v>1</v>
      </c>
      <c r="V7" s="94">
        <v>1</v>
      </c>
      <c r="W7" s="94">
        <v>1</v>
      </c>
      <c r="X7" s="94">
        <v>1</v>
      </c>
      <c r="Y7" s="94">
        <v>1</v>
      </c>
      <c r="Z7" s="94">
        <v>1</v>
      </c>
      <c r="AA7" s="94">
        <v>1</v>
      </c>
      <c r="AB7" s="94">
        <v>1</v>
      </c>
      <c r="AC7" s="94">
        <v>1</v>
      </c>
      <c r="AD7" s="94">
        <v>1</v>
      </c>
      <c r="AE7" s="94">
        <v>1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X7" s="94">
        <v>0</v>
      </c>
      <c r="AY7" s="94">
        <v>0</v>
      </c>
      <c r="AZ7" s="94">
        <v>0</v>
      </c>
      <c r="BA7" s="94">
        <v>0</v>
      </c>
      <c r="BB7" s="94">
        <v>0</v>
      </c>
      <c r="BC7" s="94">
        <v>0</v>
      </c>
      <c r="BD7" s="94">
        <v>0</v>
      </c>
    </row>
    <row r="8" spans="1:56" x14ac:dyDescent="0.15">
      <c r="A8" s="56">
        <v>4</v>
      </c>
      <c r="B8" s="94">
        <v>9000</v>
      </c>
      <c r="C8" s="94">
        <v>9000</v>
      </c>
      <c r="D8" s="94">
        <v>0</v>
      </c>
      <c r="E8" s="94">
        <v>9000</v>
      </c>
      <c r="F8" s="94">
        <v>9000</v>
      </c>
      <c r="G8" s="94">
        <v>9000</v>
      </c>
      <c r="H8" s="94">
        <v>9000</v>
      </c>
      <c r="I8" s="94">
        <v>0</v>
      </c>
      <c r="J8" s="94">
        <v>0</v>
      </c>
      <c r="K8" s="94">
        <v>9000</v>
      </c>
      <c r="L8" s="94">
        <v>0</v>
      </c>
      <c r="M8" s="94">
        <v>1</v>
      </c>
      <c r="N8" s="94">
        <v>1</v>
      </c>
      <c r="O8" s="94">
        <v>1</v>
      </c>
      <c r="P8" s="94">
        <v>1</v>
      </c>
      <c r="Q8" s="94">
        <v>1</v>
      </c>
      <c r="R8" s="94">
        <v>1</v>
      </c>
      <c r="S8" s="94">
        <v>1</v>
      </c>
      <c r="T8" s="94">
        <v>1</v>
      </c>
      <c r="U8" s="94">
        <v>1</v>
      </c>
      <c r="V8" s="94">
        <v>1</v>
      </c>
      <c r="W8" s="94">
        <v>1</v>
      </c>
      <c r="X8" s="94">
        <v>1</v>
      </c>
      <c r="Y8" s="94">
        <v>1</v>
      </c>
      <c r="Z8" s="94">
        <v>1</v>
      </c>
      <c r="AA8" s="94">
        <v>1</v>
      </c>
      <c r="AB8" s="94">
        <v>1</v>
      </c>
      <c r="AC8" s="94">
        <v>1</v>
      </c>
      <c r="AD8" s="94">
        <v>1</v>
      </c>
      <c r="AE8" s="94">
        <v>1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X8" s="94">
        <v>0</v>
      </c>
      <c r="AY8" s="94">
        <v>0</v>
      </c>
      <c r="AZ8" s="94">
        <v>0</v>
      </c>
      <c r="BA8" s="94">
        <v>0</v>
      </c>
      <c r="BB8" s="94">
        <v>0</v>
      </c>
      <c r="BC8" s="94">
        <v>0</v>
      </c>
      <c r="BD8" s="94">
        <v>0</v>
      </c>
    </row>
    <row r="9" spans="1:56" x14ac:dyDescent="0.15">
      <c r="A9" s="56">
        <v>5</v>
      </c>
      <c r="B9" s="94">
        <v>18000</v>
      </c>
      <c r="C9" s="94">
        <v>18000</v>
      </c>
      <c r="D9" s="94">
        <v>18000</v>
      </c>
      <c r="E9" s="94">
        <v>18000</v>
      </c>
      <c r="F9" s="94">
        <v>18000</v>
      </c>
      <c r="G9" s="94">
        <v>18000</v>
      </c>
      <c r="H9" s="94">
        <v>18000</v>
      </c>
      <c r="I9" s="94">
        <v>18000</v>
      </c>
      <c r="J9" s="94">
        <v>0</v>
      </c>
      <c r="K9" s="94">
        <v>18000</v>
      </c>
      <c r="L9" s="94">
        <v>1</v>
      </c>
      <c r="M9" s="94">
        <v>1</v>
      </c>
      <c r="N9" s="94">
        <v>1</v>
      </c>
      <c r="O9" s="94">
        <v>1</v>
      </c>
      <c r="P9" s="94">
        <v>1</v>
      </c>
      <c r="Q9" s="94">
        <v>1</v>
      </c>
      <c r="R9" s="94">
        <v>1</v>
      </c>
      <c r="S9" s="94">
        <v>1</v>
      </c>
      <c r="T9" s="94">
        <v>1</v>
      </c>
      <c r="U9" s="94">
        <v>1</v>
      </c>
      <c r="V9" s="94">
        <v>1</v>
      </c>
      <c r="W9" s="94">
        <v>1</v>
      </c>
      <c r="X9" s="94">
        <v>1</v>
      </c>
      <c r="Y9" s="94">
        <v>1</v>
      </c>
      <c r="Z9" s="94">
        <v>1</v>
      </c>
      <c r="AA9" s="94">
        <v>1</v>
      </c>
      <c r="AB9" s="94">
        <v>1</v>
      </c>
      <c r="AC9" s="94">
        <v>1</v>
      </c>
      <c r="AD9" s="94">
        <v>1</v>
      </c>
      <c r="AE9" s="94">
        <v>1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X9" s="94">
        <v>0</v>
      </c>
      <c r="AY9" s="94">
        <v>0</v>
      </c>
      <c r="AZ9" s="94">
        <v>0</v>
      </c>
      <c r="BA9" s="94">
        <v>0</v>
      </c>
      <c r="BB9" s="94">
        <v>0</v>
      </c>
      <c r="BC9" s="94">
        <v>0</v>
      </c>
      <c r="BD9" s="94">
        <v>0</v>
      </c>
    </row>
    <row r="10" spans="1:56" x14ac:dyDescent="0.15">
      <c r="A10" s="56">
        <v>6</v>
      </c>
      <c r="B10" s="94">
        <v>25000</v>
      </c>
      <c r="C10" s="94">
        <v>25000</v>
      </c>
      <c r="D10" s="94">
        <v>25000</v>
      </c>
      <c r="E10" s="94">
        <v>25000</v>
      </c>
      <c r="F10" s="94">
        <v>25000</v>
      </c>
      <c r="G10" s="94">
        <v>25000</v>
      </c>
      <c r="H10" s="94">
        <v>25000</v>
      </c>
      <c r="I10" s="94">
        <v>25000</v>
      </c>
      <c r="J10" s="94">
        <v>0</v>
      </c>
      <c r="K10" s="94">
        <v>25000</v>
      </c>
      <c r="L10" s="94">
        <v>1</v>
      </c>
      <c r="M10" s="94">
        <v>1</v>
      </c>
      <c r="N10" s="94">
        <v>1</v>
      </c>
      <c r="O10" s="94">
        <v>1</v>
      </c>
      <c r="P10" s="94">
        <v>1</v>
      </c>
      <c r="Q10" s="94">
        <v>1</v>
      </c>
      <c r="R10" s="94">
        <v>1</v>
      </c>
      <c r="S10" s="94">
        <v>1</v>
      </c>
      <c r="T10" s="94">
        <v>1</v>
      </c>
      <c r="U10" s="94">
        <v>1</v>
      </c>
      <c r="V10" s="94">
        <v>1</v>
      </c>
      <c r="W10" s="94">
        <v>1</v>
      </c>
      <c r="X10" s="94">
        <v>1</v>
      </c>
      <c r="Y10" s="94">
        <v>1</v>
      </c>
      <c r="Z10" s="94">
        <v>1</v>
      </c>
      <c r="AA10" s="94">
        <v>1</v>
      </c>
      <c r="AB10" s="94">
        <v>1</v>
      </c>
      <c r="AC10" s="94">
        <v>1</v>
      </c>
      <c r="AD10" s="94">
        <v>1</v>
      </c>
      <c r="AE10" s="94">
        <v>1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>
        <v>0</v>
      </c>
      <c r="BC10" s="94">
        <v>0</v>
      </c>
      <c r="BD10" s="94">
        <v>0</v>
      </c>
    </row>
    <row r="11" spans="1:56" x14ac:dyDescent="0.15">
      <c r="A11" s="56">
        <v>7</v>
      </c>
      <c r="B11" s="94">
        <v>35000</v>
      </c>
      <c r="C11" s="94">
        <v>35000</v>
      </c>
      <c r="D11" s="94">
        <v>35000</v>
      </c>
      <c r="E11" s="94">
        <v>35000</v>
      </c>
      <c r="F11" s="94">
        <v>35000</v>
      </c>
      <c r="G11" s="94">
        <v>35000</v>
      </c>
      <c r="H11" s="94">
        <v>35000</v>
      </c>
      <c r="I11" s="94">
        <v>35000</v>
      </c>
      <c r="J11" s="94">
        <v>0</v>
      </c>
      <c r="K11" s="94">
        <v>35000</v>
      </c>
      <c r="L11" s="94">
        <v>1</v>
      </c>
      <c r="M11" s="94">
        <v>1</v>
      </c>
      <c r="N11" s="94">
        <v>1</v>
      </c>
      <c r="O11" s="94">
        <v>1</v>
      </c>
      <c r="P11" s="94">
        <v>1</v>
      </c>
      <c r="Q11" s="94">
        <v>1</v>
      </c>
      <c r="R11" s="94">
        <v>1</v>
      </c>
      <c r="S11" s="94">
        <v>1</v>
      </c>
      <c r="T11" s="94">
        <v>1</v>
      </c>
      <c r="U11" s="94">
        <v>1</v>
      </c>
      <c r="V11" s="94">
        <v>1</v>
      </c>
      <c r="W11" s="94">
        <v>1</v>
      </c>
      <c r="X11" s="94">
        <v>1</v>
      </c>
      <c r="Y11" s="94">
        <v>1</v>
      </c>
      <c r="Z11" s="94">
        <v>1</v>
      </c>
      <c r="AA11" s="94">
        <v>1</v>
      </c>
      <c r="AB11" s="94">
        <v>1</v>
      </c>
      <c r="AC11" s="94">
        <v>1</v>
      </c>
      <c r="AD11" s="94">
        <v>1</v>
      </c>
      <c r="AE11" s="94">
        <v>1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X11" s="94">
        <v>66000</v>
      </c>
      <c r="AY11" s="94">
        <v>66000</v>
      </c>
      <c r="AZ11" s="94">
        <v>66000</v>
      </c>
      <c r="BA11" s="94">
        <v>66000</v>
      </c>
      <c r="BB11" s="94">
        <v>66000</v>
      </c>
      <c r="BC11" s="94">
        <v>66000</v>
      </c>
      <c r="BD11" s="94">
        <v>66000</v>
      </c>
    </row>
    <row r="12" spans="1:56" x14ac:dyDescent="0.15">
      <c r="A12" s="56">
        <v>8</v>
      </c>
      <c r="B12" s="94">
        <v>46000</v>
      </c>
      <c r="C12" s="94">
        <v>46000</v>
      </c>
      <c r="D12" s="94">
        <v>46000</v>
      </c>
      <c r="E12" s="94">
        <v>46000</v>
      </c>
      <c r="F12" s="94">
        <v>46000</v>
      </c>
      <c r="G12" s="94">
        <v>46000</v>
      </c>
      <c r="H12" s="94">
        <v>46000</v>
      </c>
      <c r="I12" s="94">
        <v>46000</v>
      </c>
      <c r="J12" s="94">
        <v>0</v>
      </c>
      <c r="K12" s="94">
        <v>46000</v>
      </c>
      <c r="L12" s="94">
        <v>1</v>
      </c>
      <c r="M12" s="94">
        <v>1</v>
      </c>
      <c r="N12" s="94">
        <v>1</v>
      </c>
      <c r="O12" s="94">
        <v>1</v>
      </c>
      <c r="P12" s="94">
        <v>1</v>
      </c>
      <c r="Q12" s="94">
        <v>1</v>
      </c>
      <c r="R12" s="94">
        <v>1</v>
      </c>
      <c r="S12" s="94">
        <v>1</v>
      </c>
      <c r="T12" s="94">
        <v>1</v>
      </c>
      <c r="U12" s="94">
        <v>1</v>
      </c>
      <c r="V12" s="94">
        <v>1</v>
      </c>
      <c r="W12" s="94">
        <v>1</v>
      </c>
      <c r="X12" s="94">
        <v>1</v>
      </c>
      <c r="Y12" s="94">
        <v>1</v>
      </c>
      <c r="Z12" s="94">
        <v>1</v>
      </c>
      <c r="AA12" s="94">
        <v>1</v>
      </c>
      <c r="AB12" s="94">
        <v>1</v>
      </c>
      <c r="AC12" s="94">
        <v>1</v>
      </c>
      <c r="AD12" s="94">
        <v>1</v>
      </c>
      <c r="AE12" s="94">
        <v>1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X12" s="94">
        <v>72000</v>
      </c>
      <c r="AY12" s="94">
        <v>72000</v>
      </c>
      <c r="AZ12" s="94">
        <v>72000</v>
      </c>
      <c r="BA12" s="94">
        <v>72000</v>
      </c>
      <c r="BB12" s="94">
        <v>72000</v>
      </c>
      <c r="BC12" s="94">
        <v>72000</v>
      </c>
      <c r="BD12" s="94">
        <v>72000</v>
      </c>
    </row>
    <row r="13" spans="1:56" x14ac:dyDescent="0.15">
      <c r="A13" s="56">
        <v>9</v>
      </c>
      <c r="B13" s="94">
        <v>55000</v>
      </c>
      <c r="C13" s="94">
        <v>55000</v>
      </c>
      <c r="D13" s="94">
        <v>55000</v>
      </c>
      <c r="E13" s="94">
        <v>55000</v>
      </c>
      <c r="F13" s="94">
        <v>55000</v>
      </c>
      <c r="G13" s="94">
        <v>55000</v>
      </c>
      <c r="H13" s="94">
        <v>55000</v>
      </c>
      <c r="I13" s="94">
        <v>55000</v>
      </c>
      <c r="J13" s="94">
        <v>0</v>
      </c>
      <c r="K13" s="94">
        <v>55000</v>
      </c>
      <c r="L13" s="94">
        <v>1</v>
      </c>
      <c r="M13" s="94">
        <v>1</v>
      </c>
      <c r="N13" s="94">
        <v>1</v>
      </c>
      <c r="O13" s="94">
        <v>1</v>
      </c>
      <c r="P13" s="94">
        <v>1</v>
      </c>
      <c r="Q13" s="94">
        <v>1</v>
      </c>
      <c r="R13" s="94">
        <v>1</v>
      </c>
      <c r="S13" s="94">
        <v>1</v>
      </c>
      <c r="T13" s="94">
        <v>1</v>
      </c>
      <c r="U13" s="94">
        <v>1</v>
      </c>
      <c r="V13" s="94">
        <v>1</v>
      </c>
      <c r="W13" s="94">
        <v>1</v>
      </c>
      <c r="X13" s="94">
        <v>1</v>
      </c>
      <c r="Y13" s="94">
        <v>1</v>
      </c>
      <c r="Z13" s="94">
        <v>1</v>
      </c>
      <c r="AA13" s="94">
        <v>1</v>
      </c>
      <c r="AB13" s="94">
        <v>1</v>
      </c>
      <c r="AC13" s="94">
        <v>1</v>
      </c>
      <c r="AD13" s="94">
        <v>1</v>
      </c>
      <c r="AE13" s="94">
        <v>1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X13" s="94">
        <v>86000</v>
      </c>
      <c r="AY13" s="94">
        <v>86000</v>
      </c>
      <c r="AZ13" s="94">
        <v>86000</v>
      </c>
      <c r="BA13" s="94">
        <v>86000</v>
      </c>
      <c r="BB13" s="94">
        <v>86000</v>
      </c>
      <c r="BC13" s="94">
        <v>86000</v>
      </c>
      <c r="BD13" s="94">
        <v>86000</v>
      </c>
    </row>
    <row r="14" spans="1:56" x14ac:dyDescent="0.15">
      <c r="A14" s="56">
        <v>10</v>
      </c>
      <c r="B14" s="94">
        <v>66000</v>
      </c>
      <c r="C14" s="94">
        <v>66000</v>
      </c>
      <c r="D14" s="94">
        <v>66000</v>
      </c>
      <c r="E14" s="94">
        <v>66000</v>
      </c>
      <c r="F14" s="94">
        <v>66000</v>
      </c>
      <c r="G14" s="94">
        <v>66000</v>
      </c>
      <c r="H14" s="94">
        <v>66000</v>
      </c>
      <c r="I14" s="94">
        <v>66000</v>
      </c>
      <c r="J14" s="94">
        <v>66000</v>
      </c>
      <c r="K14" s="94">
        <v>66000</v>
      </c>
      <c r="L14" s="94">
        <v>1</v>
      </c>
      <c r="M14" s="94">
        <v>1</v>
      </c>
      <c r="N14" s="94">
        <v>1</v>
      </c>
      <c r="O14" s="94">
        <v>1</v>
      </c>
      <c r="P14" s="94">
        <v>1</v>
      </c>
      <c r="Q14" s="94">
        <v>1</v>
      </c>
      <c r="R14" s="94">
        <v>1</v>
      </c>
      <c r="S14" s="94">
        <v>1</v>
      </c>
      <c r="T14" s="94">
        <v>1</v>
      </c>
      <c r="U14" s="94">
        <v>1</v>
      </c>
      <c r="V14" s="94">
        <v>1</v>
      </c>
      <c r="W14" s="94">
        <v>1</v>
      </c>
      <c r="X14" s="94">
        <v>1</v>
      </c>
      <c r="Y14" s="94">
        <v>1</v>
      </c>
      <c r="Z14" s="94">
        <v>1</v>
      </c>
      <c r="AA14" s="94">
        <v>1</v>
      </c>
      <c r="AB14" s="94">
        <v>1</v>
      </c>
      <c r="AC14" s="94">
        <v>1</v>
      </c>
      <c r="AD14" s="94">
        <v>1</v>
      </c>
      <c r="AE14" s="94">
        <v>1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X14" s="94">
        <v>95000</v>
      </c>
      <c r="AY14" s="94">
        <v>95000</v>
      </c>
      <c r="AZ14" s="94">
        <v>95000</v>
      </c>
      <c r="BA14" s="94">
        <v>95000</v>
      </c>
      <c r="BB14" s="94">
        <v>95000</v>
      </c>
      <c r="BC14" s="94">
        <v>95000</v>
      </c>
      <c r="BD14" s="94">
        <v>95000</v>
      </c>
    </row>
    <row r="15" spans="1:56" x14ac:dyDescent="0.15">
      <c r="A15" s="56">
        <v>11</v>
      </c>
      <c r="B15" s="94">
        <v>72000</v>
      </c>
      <c r="C15" s="94">
        <v>72000</v>
      </c>
      <c r="D15" s="94">
        <v>72000</v>
      </c>
      <c r="E15" s="94">
        <v>72000</v>
      </c>
      <c r="F15" s="94">
        <v>72000</v>
      </c>
      <c r="G15" s="94">
        <v>72000</v>
      </c>
      <c r="H15" s="94">
        <v>72000</v>
      </c>
      <c r="I15" s="94">
        <v>72000</v>
      </c>
      <c r="J15" s="94">
        <v>72000</v>
      </c>
      <c r="K15" s="94">
        <v>72000</v>
      </c>
      <c r="L15" s="94">
        <v>1</v>
      </c>
      <c r="M15" s="94">
        <v>1</v>
      </c>
      <c r="N15" s="94">
        <v>1</v>
      </c>
      <c r="O15" s="94">
        <v>1</v>
      </c>
      <c r="P15" s="94">
        <v>1</v>
      </c>
      <c r="Q15" s="94">
        <v>1</v>
      </c>
      <c r="R15" s="94">
        <v>1</v>
      </c>
      <c r="S15" s="94">
        <v>1</v>
      </c>
      <c r="T15" s="94">
        <v>1</v>
      </c>
      <c r="U15" s="94">
        <v>1</v>
      </c>
      <c r="V15" s="94">
        <v>1</v>
      </c>
      <c r="W15" s="94">
        <v>1</v>
      </c>
      <c r="X15" s="94">
        <v>1</v>
      </c>
      <c r="Y15" s="94">
        <v>1</v>
      </c>
      <c r="Z15" s="94">
        <v>1</v>
      </c>
      <c r="AA15" s="94">
        <v>1</v>
      </c>
      <c r="AB15" s="94">
        <v>1</v>
      </c>
      <c r="AC15" s="94">
        <v>1</v>
      </c>
      <c r="AD15" s="94">
        <v>1</v>
      </c>
      <c r="AE15" s="94">
        <v>1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X15" s="94">
        <v>72000</v>
      </c>
      <c r="AY15" s="94">
        <v>72000</v>
      </c>
      <c r="AZ15" s="94">
        <v>72000</v>
      </c>
      <c r="BA15" s="94">
        <v>72000</v>
      </c>
      <c r="BB15" s="94">
        <v>72000</v>
      </c>
      <c r="BC15" s="94">
        <v>72000</v>
      </c>
      <c r="BD15" s="94">
        <v>72000</v>
      </c>
    </row>
    <row r="16" spans="1:56" x14ac:dyDescent="0.15">
      <c r="A16" s="56">
        <v>12</v>
      </c>
      <c r="B16" s="94">
        <v>86000</v>
      </c>
      <c r="C16" s="94">
        <v>86000</v>
      </c>
      <c r="D16" s="94">
        <v>86000</v>
      </c>
      <c r="E16" s="94">
        <v>86000</v>
      </c>
      <c r="F16" s="94">
        <v>86000</v>
      </c>
      <c r="G16" s="94">
        <v>86000</v>
      </c>
      <c r="H16" s="94">
        <v>86000</v>
      </c>
      <c r="I16" s="94">
        <v>86000</v>
      </c>
      <c r="J16" s="94">
        <v>86000</v>
      </c>
      <c r="K16" s="94">
        <v>86000</v>
      </c>
      <c r="L16" s="94">
        <v>1</v>
      </c>
      <c r="M16" s="94">
        <v>1</v>
      </c>
      <c r="N16" s="94">
        <v>1</v>
      </c>
      <c r="O16" s="94">
        <v>1</v>
      </c>
      <c r="P16" s="94">
        <v>1</v>
      </c>
      <c r="Q16" s="94">
        <v>1</v>
      </c>
      <c r="R16" s="94">
        <v>1</v>
      </c>
      <c r="S16" s="94">
        <v>1</v>
      </c>
      <c r="T16" s="94">
        <v>1</v>
      </c>
      <c r="U16" s="94">
        <v>1</v>
      </c>
      <c r="V16" s="94">
        <v>1</v>
      </c>
      <c r="W16" s="94">
        <v>1</v>
      </c>
      <c r="X16" s="94">
        <v>1</v>
      </c>
      <c r="Y16" s="94">
        <v>1</v>
      </c>
      <c r="Z16" s="94">
        <v>1</v>
      </c>
      <c r="AA16" s="94">
        <v>1</v>
      </c>
      <c r="AB16" s="94">
        <v>1</v>
      </c>
      <c r="AC16" s="94">
        <v>1</v>
      </c>
      <c r="AD16" s="94">
        <v>1</v>
      </c>
      <c r="AE16" s="94">
        <v>1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X16" s="94">
        <v>86000</v>
      </c>
      <c r="AY16" s="94">
        <v>86000</v>
      </c>
      <c r="AZ16" s="94">
        <v>86000</v>
      </c>
      <c r="BA16" s="94">
        <v>86000</v>
      </c>
      <c r="BB16" s="94">
        <v>86000</v>
      </c>
      <c r="BC16" s="94">
        <v>86000</v>
      </c>
      <c r="BD16" s="94">
        <v>86000</v>
      </c>
    </row>
    <row r="17" spans="1:56" x14ac:dyDescent="0.15">
      <c r="A17" s="56">
        <v>13</v>
      </c>
      <c r="B17" s="94">
        <v>95000</v>
      </c>
      <c r="C17" s="94">
        <v>95000</v>
      </c>
      <c r="D17" s="94">
        <v>95000</v>
      </c>
      <c r="E17" s="94">
        <v>95000</v>
      </c>
      <c r="F17" s="94">
        <v>95000</v>
      </c>
      <c r="G17" s="94">
        <v>95000</v>
      </c>
      <c r="H17" s="94">
        <v>95000</v>
      </c>
      <c r="I17" s="94">
        <v>95000</v>
      </c>
      <c r="J17" s="94">
        <v>95000</v>
      </c>
      <c r="K17" s="94">
        <v>95000</v>
      </c>
      <c r="L17" s="94">
        <v>1</v>
      </c>
      <c r="M17" s="94">
        <v>1</v>
      </c>
      <c r="N17" s="94">
        <v>1</v>
      </c>
      <c r="O17" s="94">
        <v>1</v>
      </c>
      <c r="P17" s="94">
        <v>1</v>
      </c>
      <c r="Q17" s="94">
        <v>1</v>
      </c>
      <c r="R17" s="94">
        <v>1</v>
      </c>
      <c r="S17" s="94">
        <v>1</v>
      </c>
      <c r="T17" s="94">
        <v>1</v>
      </c>
      <c r="U17" s="94">
        <v>1</v>
      </c>
      <c r="V17" s="94">
        <v>1</v>
      </c>
      <c r="W17" s="94">
        <v>1</v>
      </c>
      <c r="X17" s="94">
        <v>1</v>
      </c>
      <c r="Y17" s="94">
        <v>1</v>
      </c>
      <c r="Z17" s="94">
        <v>1</v>
      </c>
      <c r="AA17" s="94">
        <v>1</v>
      </c>
      <c r="AB17" s="94">
        <v>1</v>
      </c>
      <c r="AC17" s="94">
        <v>1</v>
      </c>
      <c r="AD17" s="94">
        <v>1</v>
      </c>
      <c r="AE17" s="94">
        <v>1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X17" s="94">
        <v>95000</v>
      </c>
      <c r="AY17" s="94">
        <v>95000</v>
      </c>
      <c r="AZ17" s="94">
        <v>95000</v>
      </c>
      <c r="BA17" s="94">
        <v>95000</v>
      </c>
      <c r="BB17" s="94">
        <v>95000</v>
      </c>
      <c r="BC17" s="94">
        <v>95000</v>
      </c>
      <c r="BD17" s="94">
        <v>95000</v>
      </c>
    </row>
    <row r="18" spans="1:56" x14ac:dyDescent="0.15">
      <c r="A18" s="56">
        <v>14</v>
      </c>
      <c r="B18" s="94">
        <v>110000</v>
      </c>
      <c r="C18" s="94">
        <v>110000</v>
      </c>
      <c r="D18" s="94">
        <v>110000</v>
      </c>
      <c r="E18" s="94">
        <v>110000</v>
      </c>
      <c r="F18" s="94">
        <v>110000</v>
      </c>
      <c r="G18" s="94">
        <v>110000</v>
      </c>
      <c r="H18" s="94">
        <v>110000</v>
      </c>
      <c r="I18" s="94">
        <v>110000</v>
      </c>
      <c r="J18" s="94">
        <v>110000</v>
      </c>
      <c r="K18" s="94">
        <v>110000</v>
      </c>
      <c r="L18" s="94">
        <v>1</v>
      </c>
      <c r="M18" s="94">
        <v>1</v>
      </c>
      <c r="N18" s="94">
        <v>1</v>
      </c>
      <c r="O18" s="94">
        <v>1</v>
      </c>
      <c r="P18" s="94">
        <v>1</v>
      </c>
      <c r="Q18" s="94">
        <v>1</v>
      </c>
      <c r="R18" s="94">
        <v>1</v>
      </c>
      <c r="S18" s="94">
        <v>1</v>
      </c>
      <c r="T18" s="94">
        <v>1</v>
      </c>
      <c r="U18" s="94">
        <v>1</v>
      </c>
      <c r="V18" s="94">
        <v>1</v>
      </c>
      <c r="W18" s="94">
        <v>1</v>
      </c>
      <c r="X18" s="94">
        <v>1</v>
      </c>
      <c r="Y18" s="94">
        <v>1</v>
      </c>
      <c r="Z18" s="94">
        <v>1</v>
      </c>
      <c r="AA18" s="94">
        <v>1</v>
      </c>
      <c r="AB18" s="94">
        <v>1</v>
      </c>
      <c r="AC18" s="94">
        <v>1</v>
      </c>
      <c r="AD18" s="94">
        <v>1</v>
      </c>
      <c r="AE18" s="94">
        <v>1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X18" s="94">
        <v>110000</v>
      </c>
      <c r="AY18" s="94">
        <v>110000</v>
      </c>
      <c r="AZ18" s="94">
        <v>110000</v>
      </c>
      <c r="BA18" s="94">
        <v>110000</v>
      </c>
      <c r="BB18" s="94">
        <v>110000</v>
      </c>
      <c r="BC18" s="94">
        <v>110000</v>
      </c>
      <c r="BD18" s="94">
        <v>110000</v>
      </c>
    </row>
    <row r="19" spans="1:56" x14ac:dyDescent="0.15">
      <c r="A19" s="56">
        <v>15</v>
      </c>
      <c r="B19" s="94">
        <v>130000</v>
      </c>
      <c r="C19" s="94">
        <v>130000</v>
      </c>
      <c r="D19" s="94">
        <v>130000</v>
      </c>
      <c r="E19" s="94">
        <v>130000</v>
      </c>
      <c r="F19" s="94">
        <v>130000</v>
      </c>
      <c r="G19" s="94">
        <v>130000</v>
      </c>
      <c r="H19" s="94">
        <v>130000</v>
      </c>
      <c r="I19" s="94">
        <v>130000</v>
      </c>
      <c r="J19" s="94">
        <v>130000</v>
      </c>
      <c r="K19" s="94">
        <v>130000</v>
      </c>
      <c r="L19" s="94">
        <v>1</v>
      </c>
      <c r="M19" s="94">
        <v>1</v>
      </c>
      <c r="N19" s="94">
        <v>1</v>
      </c>
      <c r="O19" s="94">
        <v>1</v>
      </c>
      <c r="P19" s="94">
        <v>1</v>
      </c>
      <c r="Q19" s="94">
        <v>1</v>
      </c>
      <c r="R19" s="94">
        <v>1</v>
      </c>
      <c r="S19" s="94">
        <v>1</v>
      </c>
      <c r="T19" s="94">
        <v>1</v>
      </c>
      <c r="U19" s="94">
        <v>1</v>
      </c>
      <c r="V19" s="94">
        <v>1</v>
      </c>
      <c r="W19" s="94">
        <v>1</v>
      </c>
      <c r="X19" s="94">
        <v>1</v>
      </c>
      <c r="Y19" s="94">
        <v>1</v>
      </c>
      <c r="Z19" s="94">
        <v>1</v>
      </c>
      <c r="AA19" s="94">
        <v>1</v>
      </c>
      <c r="AB19" s="94">
        <v>1</v>
      </c>
      <c r="AC19" s="94">
        <v>1</v>
      </c>
      <c r="AD19" s="94">
        <v>1</v>
      </c>
      <c r="AE19" s="94">
        <v>1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X19" s="94">
        <v>130000</v>
      </c>
      <c r="AY19" s="94">
        <v>130000</v>
      </c>
      <c r="AZ19" s="94">
        <v>130000</v>
      </c>
      <c r="BA19" s="94">
        <v>130000</v>
      </c>
      <c r="BB19" s="94">
        <v>130000</v>
      </c>
      <c r="BC19" s="94">
        <v>130000</v>
      </c>
      <c r="BD19" s="94">
        <v>130000</v>
      </c>
    </row>
    <row r="20" spans="1:56" x14ac:dyDescent="0.15">
      <c r="A20" s="56">
        <v>16</v>
      </c>
      <c r="B20" s="94">
        <v>150000</v>
      </c>
      <c r="C20" s="94">
        <v>150000</v>
      </c>
      <c r="D20" s="94">
        <v>150000</v>
      </c>
      <c r="E20" s="94">
        <v>150000</v>
      </c>
      <c r="F20" s="94">
        <v>150000</v>
      </c>
      <c r="G20" s="94">
        <v>150000</v>
      </c>
      <c r="H20" s="94">
        <v>150000</v>
      </c>
      <c r="I20" s="94">
        <v>150000</v>
      </c>
      <c r="J20" s="94">
        <v>150000</v>
      </c>
      <c r="K20" s="94">
        <v>150000</v>
      </c>
      <c r="L20" s="94">
        <v>1</v>
      </c>
      <c r="M20" s="94">
        <v>1</v>
      </c>
      <c r="N20" s="94">
        <v>1</v>
      </c>
      <c r="O20" s="94">
        <v>1</v>
      </c>
      <c r="P20" s="94">
        <v>1</v>
      </c>
      <c r="Q20" s="94">
        <v>1</v>
      </c>
      <c r="R20" s="94">
        <v>1</v>
      </c>
      <c r="S20" s="94">
        <v>1</v>
      </c>
      <c r="T20" s="94">
        <v>1</v>
      </c>
      <c r="U20" s="94">
        <v>1</v>
      </c>
      <c r="V20" s="94">
        <v>1</v>
      </c>
      <c r="W20" s="94">
        <v>1</v>
      </c>
      <c r="X20" s="94">
        <v>1</v>
      </c>
      <c r="Y20" s="94">
        <v>1</v>
      </c>
      <c r="Z20" s="94">
        <v>1</v>
      </c>
      <c r="AA20" s="94">
        <v>1</v>
      </c>
      <c r="AB20" s="94">
        <v>1</v>
      </c>
      <c r="AC20" s="94">
        <v>1</v>
      </c>
      <c r="AD20" s="94">
        <v>1</v>
      </c>
      <c r="AE20" s="94">
        <v>1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X20" s="94">
        <v>150000</v>
      </c>
      <c r="AY20" s="94">
        <v>150000</v>
      </c>
      <c r="AZ20" s="94">
        <v>150000</v>
      </c>
      <c r="BA20" s="94">
        <v>150000</v>
      </c>
      <c r="BB20" s="94">
        <v>150000</v>
      </c>
      <c r="BC20" s="94">
        <v>150000</v>
      </c>
      <c r="BD20" s="94">
        <v>150000</v>
      </c>
    </row>
    <row r="21" spans="1:56" x14ac:dyDescent="0.15">
      <c r="A21" s="56">
        <v>17</v>
      </c>
      <c r="B21" s="94">
        <v>170000</v>
      </c>
      <c r="C21" s="94">
        <v>170000</v>
      </c>
      <c r="D21" s="94">
        <v>170000</v>
      </c>
      <c r="E21" s="94">
        <v>170000</v>
      </c>
      <c r="F21" s="94">
        <v>170000</v>
      </c>
      <c r="G21" s="94">
        <v>170000</v>
      </c>
      <c r="H21" s="94">
        <v>170000</v>
      </c>
      <c r="I21" s="94">
        <v>170000</v>
      </c>
      <c r="J21" s="94">
        <v>170000</v>
      </c>
      <c r="K21" s="94">
        <v>170000</v>
      </c>
      <c r="L21" s="94">
        <v>1</v>
      </c>
      <c r="M21" s="94">
        <v>1</v>
      </c>
      <c r="N21" s="94">
        <v>1</v>
      </c>
      <c r="O21" s="94">
        <v>1</v>
      </c>
      <c r="P21" s="94">
        <v>1</v>
      </c>
      <c r="Q21" s="94">
        <v>1</v>
      </c>
      <c r="R21" s="94">
        <v>1</v>
      </c>
      <c r="S21" s="94">
        <v>1</v>
      </c>
      <c r="T21" s="94">
        <v>1</v>
      </c>
      <c r="U21" s="94">
        <v>1</v>
      </c>
      <c r="V21" s="94">
        <v>1</v>
      </c>
      <c r="W21" s="94">
        <v>1</v>
      </c>
      <c r="X21" s="94">
        <v>1</v>
      </c>
      <c r="Y21" s="94">
        <v>1</v>
      </c>
      <c r="Z21" s="94">
        <v>1</v>
      </c>
      <c r="AA21" s="94">
        <v>1</v>
      </c>
      <c r="AB21" s="94">
        <v>1</v>
      </c>
      <c r="AC21" s="94">
        <v>1</v>
      </c>
      <c r="AD21" s="94">
        <v>1</v>
      </c>
      <c r="AE21" s="94">
        <v>1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X21" s="94">
        <v>170000</v>
      </c>
      <c r="AY21" s="94">
        <v>170000</v>
      </c>
      <c r="AZ21" s="94">
        <v>170000</v>
      </c>
      <c r="BA21" s="94">
        <v>170000</v>
      </c>
      <c r="BB21" s="94">
        <v>170000</v>
      </c>
      <c r="BC21" s="94">
        <v>170000</v>
      </c>
      <c r="BD21" s="94">
        <v>170000</v>
      </c>
    </row>
    <row r="22" spans="1:56" x14ac:dyDescent="0.15">
      <c r="A22" s="56">
        <v>18</v>
      </c>
      <c r="B22" s="94">
        <v>190000</v>
      </c>
      <c r="C22" s="94">
        <v>190000</v>
      </c>
      <c r="D22" s="94">
        <v>190000</v>
      </c>
      <c r="E22" s="94">
        <v>190000</v>
      </c>
      <c r="F22" s="94">
        <v>190000</v>
      </c>
      <c r="G22" s="94">
        <v>190000</v>
      </c>
      <c r="H22" s="94">
        <v>190000</v>
      </c>
      <c r="I22" s="94">
        <v>190000</v>
      </c>
      <c r="J22" s="94">
        <v>190000</v>
      </c>
      <c r="K22" s="94">
        <v>190000</v>
      </c>
      <c r="L22" s="94">
        <v>1</v>
      </c>
      <c r="M22" s="94">
        <v>1</v>
      </c>
      <c r="N22" s="94">
        <v>1</v>
      </c>
      <c r="O22" s="94">
        <v>1</v>
      </c>
      <c r="P22" s="94">
        <v>1</v>
      </c>
      <c r="Q22" s="94">
        <v>1</v>
      </c>
      <c r="R22" s="94">
        <v>1</v>
      </c>
      <c r="S22" s="94">
        <v>1</v>
      </c>
      <c r="T22" s="94">
        <v>1</v>
      </c>
      <c r="U22" s="94">
        <v>1</v>
      </c>
      <c r="V22" s="94">
        <v>1</v>
      </c>
      <c r="W22" s="94">
        <v>1</v>
      </c>
      <c r="X22" s="94">
        <v>1</v>
      </c>
      <c r="Y22" s="94">
        <v>1</v>
      </c>
      <c r="Z22" s="94">
        <v>1</v>
      </c>
      <c r="AA22" s="94">
        <v>1</v>
      </c>
      <c r="AB22" s="94">
        <v>1</v>
      </c>
      <c r="AC22" s="94">
        <v>1</v>
      </c>
      <c r="AD22" s="94">
        <v>1</v>
      </c>
      <c r="AE22" s="94">
        <v>1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X22" s="94">
        <v>190000</v>
      </c>
      <c r="AY22" s="94">
        <v>190000</v>
      </c>
      <c r="AZ22" s="94">
        <v>190000</v>
      </c>
      <c r="BA22" s="94">
        <v>190000</v>
      </c>
      <c r="BB22" s="94">
        <v>190000</v>
      </c>
      <c r="BC22" s="94">
        <v>190000</v>
      </c>
      <c r="BD22" s="94">
        <v>190000</v>
      </c>
    </row>
    <row r="23" spans="1:56" x14ac:dyDescent="0.15">
      <c r="A23" s="56">
        <v>19</v>
      </c>
      <c r="B23" s="94">
        <v>230000</v>
      </c>
      <c r="C23" s="94">
        <v>230000</v>
      </c>
      <c r="D23" s="94">
        <v>230000</v>
      </c>
      <c r="E23" s="94">
        <v>230000</v>
      </c>
      <c r="F23" s="94">
        <v>230000</v>
      </c>
      <c r="G23" s="94">
        <v>230000</v>
      </c>
      <c r="H23" s="94">
        <v>230000</v>
      </c>
      <c r="I23" s="94">
        <v>230000</v>
      </c>
      <c r="J23" s="94">
        <v>230000</v>
      </c>
      <c r="K23" s="94">
        <v>230000</v>
      </c>
      <c r="L23" s="94">
        <v>1</v>
      </c>
      <c r="M23" s="94">
        <v>1</v>
      </c>
      <c r="N23" s="94">
        <v>1</v>
      </c>
      <c r="O23" s="94">
        <v>1</v>
      </c>
      <c r="P23" s="94">
        <v>1</v>
      </c>
      <c r="Q23" s="94">
        <v>1</v>
      </c>
      <c r="R23" s="94">
        <v>1</v>
      </c>
      <c r="S23" s="94">
        <v>1</v>
      </c>
      <c r="T23" s="94">
        <v>1</v>
      </c>
      <c r="U23" s="94">
        <v>1</v>
      </c>
      <c r="V23" s="94">
        <v>1</v>
      </c>
      <c r="W23" s="94">
        <v>1</v>
      </c>
      <c r="X23" s="94">
        <v>1</v>
      </c>
      <c r="Y23" s="94">
        <v>1</v>
      </c>
      <c r="Z23" s="94">
        <v>1</v>
      </c>
      <c r="AA23" s="94">
        <v>1</v>
      </c>
      <c r="AB23" s="94">
        <v>1</v>
      </c>
      <c r="AC23" s="94">
        <v>1</v>
      </c>
      <c r="AD23" s="94">
        <v>1</v>
      </c>
      <c r="AE23" s="94">
        <v>1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X23" s="94">
        <v>230000</v>
      </c>
      <c r="AY23" s="94">
        <v>230000</v>
      </c>
      <c r="AZ23" s="94">
        <v>230000</v>
      </c>
      <c r="BA23" s="94">
        <v>230000</v>
      </c>
      <c r="BB23" s="94">
        <v>230000</v>
      </c>
      <c r="BC23" s="94">
        <v>230000</v>
      </c>
      <c r="BD23" s="94">
        <v>230000</v>
      </c>
    </row>
    <row r="24" spans="1:56" x14ac:dyDescent="0.15">
      <c r="A24" s="56">
        <v>20</v>
      </c>
      <c r="B24" s="94">
        <v>260000</v>
      </c>
      <c r="C24" s="94">
        <v>260000</v>
      </c>
      <c r="D24" s="94">
        <v>260000</v>
      </c>
      <c r="E24" s="94">
        <v>260000</v>
      </c>
      <c r="F24" s="94">
        <v>260000</v>
      </c>
      <c r="G24" s="94">
        <v>260000</v>
      </c>
      <c r="H24" s="94">
        <v>260000</v>
      </c>
      <c r="I24" s="94">
        <v>260000</v>
      </c>
      <c r="J24" s="94">
        <v>260000</v>
      </c>
      <c r="K24" s="94">
        <v>260000</v>
      </c>
      <c r="L24" s="94">
        <v>1</v>
      </c>
      <c r="M24" s="94">
        <v>1</v>
      </c>
      <c r="N24" s="94">
        <v>1</v>
      </c>
      <c r="O24" s="94">
        <v>1</v>
      </c>
      <c r="P24" s="94">
        <v>1</v>
      </c>
      <c r="Q24" s="94">
        <v>1</v>
      </c>
      <c r="R24" s="94">
        <v>1</v>
      </c>
      <c r="S24" s="94">
        <v>1</v>
      </c>
      <c r="T24" s="94">
        <v>1</v>
      </c>
      <c r="U24" s="94">
        <v>1</v>
      </c>
      <c r="V24" s="94">
        <v>1</v>
      </c>
      <c r="W24" s="94">
        <v>1</v>
      </c>
      <c r="X24" s="94">
        <v>1</v>
      </c>
      <c r="Y24" s="94">
        <v>1</v>
      </c>
      <c r="Z24" s="94">
        <v>1</v>
      </c>
      <c r="AA24" s="94">
        <v>1</v>
      </c>
      <c r="AB24" s="94">
        <v>1</v>
      </c>
      <c r="AC24" s="94">
        <v>1</v>
      </c>
      <c r="AD24" s="94">
        <v>1</v>
      </c>
      <c r="AE24" s="94">
        <v>1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X24" s="94">
        <v>260000</v>
      </c>
      <c r="AY24" s="94">
        <v>260000</v>
      </c>
      <c r="AZ24" s="94">
        <v>260000</v>
      </c>
      <c r="BA24" s="94">
        <v>260000</v>
      </c>
      <c r="BB24" s="94">
        <v>260000</v>
      </c>
      <c r="BC24" s="94">
        <v>260000</v>
      </c>
      <c r="BD24" s="94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1" width="11.25" style="56" bestFit="1" customWidth="1"/>
    <col min="2" max="2" width="14.5" style="56" customWidth="1"/>
    <col min="3" max="16384" width="9" style="91"/>
  </cols>
  <sheetData>
    <row r="1" spans="1:2" x14ac:dyDescent="0.15">
      <c r="A1" s="56" t="s">
        <v>558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655</v>
      </c>
      <c r="B3" s="56" t="s">
        <v>555</v>
      </c>
    </row>
    <row r="4" spans="1:2" ht="17.25" thickBot="1" x14ac:dyDescent="0.2">
      <c r="A4" s="58" t="s">
        <v>553</v>
      </c>
      <c r="B4" s="58" t="s">
        <v>554</v>
      </c>
    </row>
    <row r="5" spans="1:2" x14ac:dyDescent="0.15">
      <c r="A5" s="56">
        <v>1</v>
      </c>
      <c r="B5" s="56">
        <v>100</v>
      </c>
    </row>
    <row r="6" spans="1:2" x14ac:dyDescent="0.15">
      <c r="A6" s="56">
        <v>2</v>
      </c>
      <c r="B6" s="56">
        <v>310</v>
      </c>
    </row>
    <row r="7" spans="1:2" x14ac:dyDescent="0.15">
      <c r="A7" s="56">
        <v>3</v>
      </c>
      <c r="B7" s="56">
        <v>930</v>
      </c>
    </row>
    <row r="8" spans="1:2" x14ac:dyDescent="0.15">
      <c r="A8" s="56">
        <v>4</v>
      </c>
      <c r="B8" s="56">
        <v>5475</v>
      </c>
    </row>
    <row r="9" spans="1:2" x14ac:dyDescent="0.15">
      <c r="A9" s="56">
        <v>5</v>
      </c>
      <c r="B9" s="56">
        <v>32560</v>
      </c>
    </row>
    <row r="10" spans="1:2" x14ac:dyDescent="0.15">
      <c r="A10" s="56">
        <v>6</v>
      </c>
      <c r="B10" s="56">
        <v>108200</v>
      </c>
    </row>
    <row r="11" spans="1:2" x14ac:dyDescent="0.15">
      <c r="A11" s="56">
        <v>7</v>
      </c>
      <c r="B11" s="56">
        <v>240400</v>
      </c>
    </row>
    <row r="12" spans="1:2" x14ac:dyDescent="0.15">
      <c r="A12" s="56">
        <v>8</v>
      </c>
      <c r="B12" s="56">
        <v>630500</v>
      </c>
    </row>
    <row r="13" spans="1:2" x14ac:dyDescent="0.15">
      <c r="A13" s="56">
        <v>9</v>
      </c>
      <c r="B13" s="56">
        <v>1170750</v>
      </c>
    </row>
    <row r="14" spans="1:2" x14ac:dyDescent="0.15">
      <c r="A14" s="56">
        <v>10</v>
      </c>
      <c r="B14" s="56">
        <v>1956000</v>
      </c>
    </row>
    <row r="15" spans="1:2" x14ac:dyDescent="0.15">
      <c r="A15" s="56">
        <v>11</v>
      </c>
      <c r="B15" s="56">
        <v>3961500</v>
      </c>
    </row>
    <row r="16" spans="1:2" x14ac:dyDescent="0.15">
      <c r="A16" s="56">
        <v>12</v>
      </c>
      <c r="B16" s="56">
        <v>7772100</v>
      </c>
    </row>
    <row r="17" spans="1:2" x14ac:dyDescent="0.15">
      <c r="A17" s="56">
        <v>13</v>
      </c>
      <c r="B17" s="56">
        <v>13022450</v>
      </c>
    </row>
    <row r="18" spans="1:2" x14ac:dyDescent="0.15">
      <c r="A18" s="56">
        <v>14</v>
      </c>
      <c r="B18" s="56">
        <v>23283600</v>
      </c>
    </row>
    <row r="19" spans="1:2" x14ac:dyDescent="0.15">
      <c r="A19" s="56">
        <v>15</v>
      </c>
      <c r="B19" s="56">
        <v>50404400</v>
      </c>
    </row>
    <row r="20" spans="1:2" x14ac:dyDescent="0.15">
      <c r="A20" s="56">
        <v>16</v>
      </c>
      <c r="B20" s="56">
        <v>119976300</v>
      </c>
    </row>
    <row r="21" spans="1:2" x14ac:dyDescent="0.15">
      <c r="A21" s="56">
        <v>17</v>
      </c>
      <c r="B21" s="56">
        <v>223207650</v>
      </c>
    </row>
    <row r="22" spans="1:2" x14ac:dyDescent="0.15">
      <c r="A22" s="56">
        <v>18</v>
      </c>
      <c r="B22" s="56">
        <v>403010500</v>
      </c>
    </row>
    <row r="23" spans="1:2" x14ac:dyDescent="0.15">
      <c r="A23" s="56">
        <v>19</v>
      </c>
      <c r="B23" s="56">
        <v>682013750</v>
      </c>
    </row>
    <row r="24" spans="1:2" x14ac:dyDescent="0.15">
      <c r="A24" s="56">
        <v>20</v>
      </c>
      <c r="B24" s="56">
        <v>1091216500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E6" sqref="E6:E24"/>
    </sheetView>
  </sheetViews>
  <sheetFormatPr defaultRowHeight="16.5" x14ac:dyDescent="0.15"/>
  <cols>
    <col min="1" max="1" width="11.25" style="56" bestFit="1" customWidth="1"/>
    <col min="2" max="2" width="13.5" style="56" customWidth="1"/>
    <col min="3" max="16384" width="9" style="114"/>
  </cols>
  <sheetData>
    <row r="1" spans="1:10" x14ac:dyDescent="0.15">
      <c r="A1" s="56" t="s">
        <v>60</v>
      </c>
      <c r="B1" s="56" t="s">
        <v>60</v>
      </c>
    </row>
    <row r="2" spans="1:10" x14ac:dyDescent="0.15">
      <c r="A2" s="56" t="s">
        <v>61</v>
      </c>
      <c r="B2" s="56" t="s">
        <v>61</v>
      </c>
    </row>
    <row r="3" spans="1:10" x14ac:dyDescent="0.15">
      <c r="A3" s="56" t="s">
        <v>655</v>
      </c>
      <c r="B3" s="56" t="s">
        <v>550</v>
      </c>
    </row>
    <row r="4" spans="1:10" ht="17.25" thickBot="1" x14ac:dyDescent="0.2">
      <c r="A4" s="58" t="s">
        <v>551</v>
      </c>
      <c r="B4" s="58" t="s">
        <v>552</v>
      </c>
    </row>
    <row r="5" spans="1:10" x14ac:dyDescent="0.15">
      <c r="A5" s="56">
        <v>1</v>
      </c>
      <c r="B5" s="56">
        <v>50</v>
      </c>
      <c r="E5" s="114">
        <v>100</v>
      </c>
      <c r="F5" s="114">
        <f>E5/3</f>
        <v>33.333333333333336</v>
      </c>
      <c r="H5" s="114">
        <v>1</v>
      </c>
      <c r="I5" s="114">
        <f>E5*H5</f>
        <v>100</v>
      </c>
      <c r="J5" s="114">
        <f>I5/2</f>
        <v>50</v>
      </c>
    </row>
    <row r="6" spans="1:10" x14ac:dyDescent="0.15">
      <c r="A6" s="56">
        <v>2</v>
      </c>
      <c r="B6" s="56">
        <v>155</v>
      </c>
      <c r="E6" s="114">
        <v>310</v>
      </c>
      <c r="H6" s="114">
        <v>1</v>
      </c>
      <c r="I6" s="114">
        <f t="shared" ref="I6:I24" si="0">E6*H6</f>
        <v>310</v>
      </c>
      <c r="J6" s="114">
        <f t="shared" ref="J6:J24" si="1">I6/2</f>
        <v>155</v>
      </c>
    </row>
    <row r="7" spans="1:10" x14ac:dyDescent="0.15">
      <c r="A7" s="56">
        <v>3</v>
      </c>
      <c r="B7" s="56">
        <v>465</v>
      </c>
      <c r="E7" s="114">
        <v>465</v>
      </c>
      <c r="H7" s="114">
        <v>2</v>
      </c>
      <c r="I7" s="114">
        <f t="shared" si="0"/>
        <v>930</v>
      </c>
      <c r="J7" s="114">
        <f t="shared" si="1"/>
        <v>465</v>
      </c>
    </row>
    <row r="8" spans="1:10" x14ac:dyDescent="0.15">
      <c r="A8" s="56">
        <v>4</v>
      </c>
      <c r="B8" s="56">
        <v>2737.5</v>
      </c>
      <c r="E8" s="114">
        <v>1825</v>
      </c>
      <c r="H8" s="114">
        <v>3</v>
      </c>
      <c r="I8" s="114">
        <f t="shared" si="0"/>
        <v>5475</v>
      </c>
      <c r="J8" s="114">
        <f t="shared" si="1"/>
        <v>2737.5</v>
      </c>
    </row>
    <row r="9" spans="1:10" x14ac:dyDescent="0.15">
      <c r="A9" s="56">
        <v>5</v>
      </c>
      <c r="B9" s="56">
        <v>16280</v>
      </c>
      <c r="E9" s="114">
        <v>8140</v>
      </c>
      <c r="H9" s="114">
        <v>4</v>
      </c>
      <c r="I9" s="114">
        <f t="shared" si="0"/>
        <v>32560</v>
      </c>
      <c r="J9" s="114">
        <f t="shared" si="1"/>
        <v>16280</v>
      </c>
    </row>
    <row r="10" spans="1:10" x14ac:dyDescent="0.15">
      <c r="A10" s="56">
        <v>6</v>
      </c>
      <c r="B10" s="56">
        <v>54100</v>
      </c>
      <c r="E10" s="114">
        <v>27050</v>
      </c>
      <c r="H10" s="114">
        <v>4</v>
      </c>
      <c r="I10" s="114">
        <f t="shared" si="0"/>
        <v>108200</v>
      </c>
      <c r="J10" s="114">
        <f t="shared" si="1"/>
        <v>54100</v>
      </c>
    </row>
    <row r="11" spans="1:10" x14ac:dyDescent="0.15">
      <c r="A11" s="56">
        <v>7</v>
      </c>
      <c r="B11" s="56">
        <v>120200</v>
      </c>
      <c r="E11" s="114">
        <v>60100</v>
      </c>
      <c r="H11" s="114">
        <v>4</v>
      </c>
      <c r="I11" s="114">
        <f t="shared" si="0"/>
        <v>240400</v>
      </c>
      <c r="J11" s="114">
        <f t="shared" si="1"/>
        <v>120200</v>
      </c>
    </row>
    <row r="12" spans="1:10" x14ac:dyDescent="0.15">
      <c r="A12" s="56">
        <v>8</v>
      </c>
      <c r="B12" s="56">
        <v>315250</v>
      </c>
      <c r="E12" s="114">
        <v>126100</v>
      </c>
      <c r="H12" s="114">
        <v>5</v>
      </c>
      <c r="I12" s="114">
        <f t="shared" si="0"/>
        <v>630500</v>
      </c>
      <c r="J12" s="114">
        <f t="shared" si="1"/>
        <v>315250</v>
      </c>
    </row>
    <row r="13" spans="1:10" x14ac:dyDescent="0.15">
      <c r="A13" s="56">
        <v>9</v>
      </c>
      <c r="B13" s="56">
        <v>585375</v>
      </c>
      <c r="E13" s="114">
        <v>234150</v>
      </c>
      <c r="H13" s="114">
        <v>5</v>
      </c>
      <c r="I13" s="114">
        <f t="shared" si="0"/>
        <v>1170750</v>
      </c>
      <c r="J13" s="114">
        <f t="shared" si="1"/>
        <v>585375</v>
      </c>
    </row>
    <row r="14" spans="1:10" x14ac:dyDescent="0.15">
      <c r="A14" s="56">
        <v>10</v>
      </c>
      <c r="B14" s="56">
        <v>978000</v>
      </c>
      <c r="E14" s="114">
        <v>391200</v>
      </c>
      <c r="H14" s="114">
        <v>5</v>
      </c>
      <c r="I14" s="114">
        <f t="shared" si="0"/>
        <v>1956000</v>
      </c>
      <c r="J14" s="114">
        <f t="shared" si="1"/>
        <v>978000</v>
      </c>
    </row>
    <row r="15" spans="1:10" x14ac:dyDescent="0.15">
      <c r="A15" s="56">
        <v>11</v>
      </c>
      <c r="B15" s="56">
        <v>1980750</v>
      </c>
      <c r="E15" s="114">
        <v>660250</v>
      </c>
      <c r="H15" s="114">
        <v>6</v>
      </c>
      <c r="I15" s="114">
        <f t="shared" si="0"/>
        <v>3961500</v>
      </c>
      <c r="J15" s="114">
        <f t="shared" si="1"/>
        <v>1980750</v>
      </c>
    </row>
    <row r="16" spans="1:10" x14ac:dyDescent="0.15">
      <c r="A16" s="56">
        <v>12</v>
      </c>
      <c r="B16" s="56">
        <v>3886050</v>
      </c>
      <c r="E16" s="114">
        <v>1110300</v>
      </c>
      <c r="H16" s="114">
        <v>7</v>
      </c>
      <c r="I16" s="114">
        <f t="shared" si="0"/>
        <v>7772100</v>
      </c>
      <c r="J16" s="114">
        <f t="shared" si="1"/>
        <v>3886050</v>
      </c>
    </row>
    <row r="17" spans="1:10" x14ac:dyDescent="0.15">
      <c r="A17" s="56">
        <v>13</v>
      </c>
      <c r="B17" s="56">
        <v>6511225</v>
      </c>
      <c r="E17" s="114">
        <v>1860350</v>
      </c>
      <c r="H17" s="114">
        <v>7</v>
      </c>
      <c r="I17" s="114">
        <f t="shared" si="0"/>
        <v>13022450</v>
      </c>
      <c r="J17" s="114">
        <f t="shared" si="1"/>
        <v>6511225</v>
      </c>
    </row>
    <row r="18" spans="1:10" x14ac:dyDescent="0.15">
      <c r="A18" s="56">
        <v>14</v>
      </c>
      <c r="B18" s="56">
        <v>11641800</v>
      </c>
      <c r="E18" s="114">
        <v>2910450</v>
      </c>
      <c r="H18" s="114">
        <v>8</v>
      </c>
      <c r="I18" s="114">
        <f t="shared" si="0"/>
        <v>23283600</v>
      </c>
      <c r="J18" s="114">
        <f t="shared" si="1"/>
        <v>11641800</v>
      </c>
    </row>
    <row r="19" spans="1:10" x14ac:dyDescent="0.15">
      <c r="A19" s="56">
        <v>15</v>
      </c>
      <c r="B19" s="56">
        <v>25202200</v>
      </c>
      <c r="E19" s="114">
        <v>6300550</v>
      </c>
      <c r="H19" s="114">
        <v>8</v>
      </c>
      <c r="I19" s="114">
        <f t="shared" si="0"/>
        <v>50404400</v>
      </c>
      <c r="J19" s="114">
        <f t="shared" si="1"/>
        <v>25202200</v>
      </c>
    </row>
    <row r="20" spans="1:10" x14ac:dyDescent="0.15">
      <c r="A20" s="56">
        <v>16</v>
      </c>
      <c r="B20" s="56">
        <v>59988150</v>
      </c>
      <c r="E20" s="114">
        <v>13330700</v>
      </c>
      <c r="H20" s="114">
        <v>9</v>
      </c>
      <c r="I20" s="114">
        <f t="shared" si="0"/>
        <v>119976300</v>
      </c>
      <c r="J20" s="114">
        <f t="shared" si="1"/>
        <v>59988150</v>
      </c>
    </row>
    <row r="21" spans="1:10" x14ac:dyDescent="0.15">
      <c r="A21" s="56">
        <v>17</v>
      </c>
      <c r="B21" s="56">
        <v>111603825</v>
      </c>
      <c r="E21" s="114">
        <v>24800850</v>
      </c>
      <c r="H21" s="114">
        <v>9</v>
      </c>
      <c r="I21" s="114">
        <f t="shared" si="0"/>
        <v>223207650</v>
      </c>
      <c r="J21" s="114">
        <f t="shared" si="1"/>
        <v>111603825</v>
      </c>
    </row>
    <row r="22" spans="1:10" x14ac:dyDescent="0.15">
      <c r="A22" s="56">
        <v>18</v>
      </c>
      <c r="B22" s="56">
        <v>201505250</v>
      </c>
      <c r="E22" s="114">
        <v>40301050</v>
      </c>
      <c r="H22" s="114">
        <v>10</v>
      </c>
      <c r="I22" s="114">
        <f t="shared" si="0"/>
        <v>403010500</v>
      </c>
      <c r="J22" s="114">
        <f t="shared" si="1"/>
        <v>201505250</v>
      </c>
    </row>
    <row r="23" spans="1:10" x14ac:dyDescent="0.15">
      <c r="A23" s="56">
        <v>19</v>
      </c>
      <c r="B23" s="56">
        <v>341006875</v>
      </c>
      <c r="E23" s="114">
        <v>62001250</v>
      </c>
      <c r="H23" s="114">
        <v>11</v>
      </c>
      <c r="I23" s="114">
        <f t="shared" si="0"/>
        <v>682013750</v>
      </c>
      <c r="J23" s="114">
        <f t="shared" si="1"/>
        <v>341006875</v>
      </c>
    </row>
    <row r="24" spans="1:10" x14ac:dyDescent="0.15">
      <c r="A24" s="56">
        <v>20</v>
      </c>
      <c r="B24" s="56">
        <v>545608250</v>
      </c>
      <c r="E24" s="114">
        <v>99201500</v>
      </c>
      <c r="H24" s="114">
        <v>11</v>
      </c>
      <c r="I24" s="114">
        <f t="shared" si="0"/>
        <v>1091216500</v>
      </c>
      <c r="J24" s="114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J18" sqref="J18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764</v>
      </c>
      <c r="B1" s="94" t="s">
        <v>765</v>
      </c>
      <c r="C1" s="142" t="s">
        <v>765</v>
      </c>
      <c r="D1" s="94" t="s">
        <v>765</v>
      </c>
      <c r="E1" s="142" t="s">
        <v>765</v>
      </c>
      <c r="F1" s="94" t="s">
        <v>765</v>
      </c>
    </row>
    <row r="2" spans="1:6" x14ac:dyDescent="0.15">
      <c r="A2" s="101" t="s">
        <v>766</v>
      </c>
      <c r="B2" s="94" t="s">
        <v>766</v>
      </c>
      <c r="C2" s="142" t="s">
        <v>766</v>
      </c>
      <c r="D2" s="94" t="s">
        <v>766</v>
      </c>
      <c r="E2" s="142" t="s">
        <v>766</v>
      </c>
      <c r="F2" s="94" t="s">
        <v>766</v>
      </c>
    </row>
    <row r="3" spans="1:6" x14ac:dyDescent="0.15">
      <c r="A3" s="101" t="s">
        <v>767</v>
      </c>
      <c r="B3" s="94" t="s">
        <v>760</v>
      </c>
      <c r="C3" s="142" t="s">
        <v>761</v>
      </c>
      <c r="D3" s="94" t="s">
        <v>758</v>
      </c>
      <c r="E3" s="142" t="s">
        <v>759</v>
      </c>
      <c r="F3" s="94" t="s">
        <v>757</v>
      </c>
    </row>
    <row r="4" spans="1:6" ht="22.5" customHeight="1" thickBot="1" x14ac:dyDescent="0.2">
      <c r="A4" s="101" t="s">
        <v>763</v>
      </c>
      <c r="B4" s="94" t="s">
        <v>768</v>
      </c>
      <c r="C4" s="142" t="s">
        <v>769</v>
      </c>
      <c r="D4" s="94" t="s">
        <v>770</v>
      </c>
      <c r="E4" s="142" t="s">
        <v>762</v>
      </c>
      <c r="F4" s="94" t="s">
        <v>771</v>
      </c>
    </row>
    <row r="5" spans="1:6" s="113" customFormat="1" x14ac:dyDescent="0.15">
      <c r="A5" s="189">
        <v>1</v>
      </c>
      <c r="B5" s="113">
        <v>50</v>
      </c>
      <c r="C5" s="190">
        <v>20</v>
      </c>
      <c r="D5" s="113">
        <v>620</v>
      </c>
      <c r="E5" s="190">
        <v>20</v>
      </c>
      <c r="F5" s="113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582</v>
      </c>
      <c r="J1" s="126" t="s">
        <v>612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792</v>
      </c>
      <c r="J2" s="126" t="s">
        <v>607</v>
      </c>
      <c r="L2" s="126" t="s">
        <v>607</v>
      </c>
      <c r="M2" s="126" t="s">
        <v>607</v>
      </c>
      <c r="O2" s="126" t="s">
        <v>607</v>
      </c>
      <c r="Q2" s="126" t="s">
        <v>607</v>
      </c>
      <c r="R2" s="126" t="s">
        <v>607</v>
      </c>
      <c r="S2" s="126" t="s">
        <v>607</v>
      </c>
      <c r="U2" s="126" t="s">
        <v>607</v>
      </c>
      <c r="V2" s="126" t="s">
        <v>607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830</v>
      </c>
      <c r="J3" s="126" t="s">
        <v>613</v>
      </c>
      <c r="L3" s="126" t="s">
        <v>614</v>
      </c>
      <c r="M3" s="126" t="s">
        <v>615</v>
      </c>
      <c r="O3" s="126" t="s">
        <v>616</v>
      </c>
      <c r="Q3" s="126" t="s">
        <v>617</v>
      </c>
      <c r="R3" s="126" t="s">
        <v>618</v>
      </c>
      <c r="S3" s="126" t="s">
        <v>619</v>
      </c>
      <c r="U3" s="126" t="s">
        <v>620</v>
      </c>
      <c r="V3" s="126" t="s">
        <v>621</v>
      </c>
    </row>
    <row r="4" spans="1:22" ht="55.5" customHeight="1" thickBot="1" x14ac:dyDescent="0.35">
      <c r="A4" s="88" t="s">
        <v>590</v>
      </c>
      <c r="B4" s="90" t="s">
        <v>588</v>
      </c>
      <c r="C4" s="106" t="s">
        <v>589</v>
      </c>
      <c r="D4" s="90"/>
      <c r="E4" s="90"/>
      <c r="F4" s="106" t="s">
        <v>611</v>
      </c>
      <c r="G4" s="132" t="s">
        <v>591</v>
      </c>
      <c r="H4" s="89"/>
      <c r="I4" s="90" t="s">
        <v>592</v>
      </c>
      <c r="J4" s="89" t="s">
        <v>593</v>
      </c>
      <c r="K4" s="132" t="s">
        <v>645</v>
      </c>
      <c r="L4" s="89" t="s">
        <v>646</v>
      </c>
      <c r="M4" s="89" t="s">
        <v>647</v>
      </c>
      <c r="N4" s="132" t="s">
        <v>635</v>
      </c>
      <c r="O4" s="89" t="s">
        <v>594</v>
      </c>
      <c r="P4" s="132" t="s">
        <v>639</v>
      </c>
      <c r="Q4" s="89" t="s">
        <v>610</v>
      </c>
      <c r="R4" s="89" t="s">
        <v>608</v>
      </c>
      <c r="S4" s="89" t="s">
        <v>609</v>
      </c>
      <c r="T4" s="132" t="s">
        <v>595</v>
      </c>
      <c r="U4" s="89" t="s">
        <v>608</v>
      </c>
      <c r="V4" s="89" t="s">
        <v>609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596</v>
      </c>
      <c r="H5" s="128"/>
      <c r="J5" s="128">
        <v>100</v>
      </c>
      <c r="K5" s="135"/>
      <c r="L5" s="128"/>
      <c r="M5" s="128"/>
      <c r="N5" s="137" t="s">
        <v>636</v>
      </c>
      <c r="O5" s="128">
        <v>50</v>
      </c>
      <c r="P5" s="137" t="s">
        <v>641</v>
      </c>
      <c r="Q5" s="128"/>
      <c r="R5" s="128">
        <v>2000</v>
      </c>
      <c r="S5" s="128">
        <v>200</v>
      </c>
      <c r="T5" s="135" t="s">
        <v>642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597</v>
      </c>
      <c r="I6" s="125" t="s">
        <v>622</v>
      </c>
      <c r="J6" s="126">
        <v>50</v>
      </c>
      <c r="N6" s="138" t="s">
        <v>637</v>
      </c>
      <c r="O6" s="126">
        <v>200</v>
      </c>
      <c r="P6" s="136" t="s">
        <v>640</v>
      </c>
      <c r="R6" s="126">
        <v>2000</v>
      </c>
      <c r="S6" s="126">
        <v>200</v>
      </c>
      <c r="T6" s="131" t="s">
        <v>644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598</v>
      </c>
      <c r="I7" s="125" t="s">
        <v>622</v>
      </c>
      <c r="J7" s="126">
        <v>30</v>
      </c>
      <c r="N7" s="138" t="s">
        <v>638</v>
      </c>
      <c r="O7" s="126">
        <v>200</v>
      </c>
      <c r="P7" s="136" t="s">
        <v>640</v>
      </c>
      <c r="R7" s="126">
        <v>2000</v>
      </c>
      <c r="S7" s="126">
        <v>200</v>
      </c>
      <c r="T7" s="131" t="s">
        <v>643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599</v>
      </c>
      <c r="H8" s="146" t="s">
        <v>831</v>
      </c>
      <c r="I8" s="125" t="s">
        <v>623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600</v>
      </c>
      <c r="H9" s="146" t="s">
        <v>832</v>
      </c>
      <c r="I9" s="125" t="s">
        <v>624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601</v>
      </c>
      <c r="J10" s="126">
        <v>50</v>
      </c>
      <c r="K10" s="136" t="s">
        <v>630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602</v>
      </c>
      <c r="J11" s="126">
        <v>50</v>
      </c>
      <c r="K11" s="136" t="s">
        <v>630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603</v>
      </c>
      <c r="I12" s="125" t="s">
        <v>625</v>
      </c>
      <c r="J12" s="126">
        <v>50</v>
      </c>
      <c r="K12" s="136" t="s">
        <v>631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604</v>
      </c>
      <c r="I13" s="125" t="s">
        <v>626</v>
      </c>
      <c r="J13" s="126">
        <v>50</v>
      </c>
      <c r="K13" s="136" t="s">
        <v>1038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605</v>
      </c>
      <c r="I14" s="125" t="s">
        <v>627</v>
      </c>
      <c r="J14" s="126">
        <v>50</v>
      </c>
      <c r="K14" s="136" t="s">
        <v>1039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606</v>
      </c>
      <c r="I15" s="125" t="s">
        <v>629</v>
      </c>
      <c r="J15" s="126">
        <v>50</v>
      </c>
      <c r="K15" s="136" t="s">
        <v>634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628</v>
      </c>
      <c r="I16" s="125" t="s">
        <v>629</v>
      </c>
      <c r="J16" s="126">
        <v>50</v>
      </c>
      <c r="K16" s="136" t="s">
        <v>633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tabSelected="1" topLeftCell="A154" zoomScaleNormal="100" workbookViewId="0">
      <selection activeCell="O166" sqref="O16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3" customWidth="1"/>
    <col min="15" max="15" width="11.875" style="183" customWidth="1"/>
    <col min="16" max="18" width="13.75" style="183" customWidth="1"/>
    <col min="19" max="19" width="69.125" style="183" customWidth="1"/>
    <col min="20" max="20" width="13.75" style="183" customWidth="1"/>
    <col min="21" max="21" width="9.875" style="187" customWidth="1"/>
    <col min="22" max="22" width="10.75" style="187" customWidth="1"/>
    <col min="23" max="23" width="12.625" style="187" customWidth="1"/>
    <col min="24" max="16384" width="9" style="187"/>
  </cols>
  <sheetData>
    <row r="1" spans="1:23" s="183" customFormat="1" x14ac:dyDescent="0.15">
      <c r="A1" s="11" t="s">
        <v>1168</v>
      </c>
      <c r="B1" s="13"/>
      <c r="C1" s="12"/>
      <c r="D1" s="13"/>
      <c r="E1" s="13"/>
      <c r="F1" s="12"/>
      <c r="G1" s="56" t="s">
        <v>1169</v>
      </c>
      <c r="H1" s="56" t="s">
        <v>1169</v>
      </c>
      <c r="I1" s="56" t="s">
        <v>1169</v>
      </c>
      <c r="J1" s="56" t="s">
        <v>1169</v>
      </c>
      <c r="K1" s="56" t="s">
        <v>1169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3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3" customFormat="1" x14ac:dyDescent="0.15">
      <c r="A3" s="11" t="s">
        <v>1170</v>
      </c>
      <c r="B3" s="13"/>
      <c r="C3" s="12"/>
      <c r="D3" s="13"/>
      <c r="E3" s="13"/>
      <c r="F3" s="12"/>
      <c r="G3" s="56" t="s">
        <v>1171</v>
      </c>
      <c r="H3" s="56" t="s">
        <v>1172</v>
      </c>
      <c r="I3" s="56" t="s">
        <v>1173</v>
      </c>
      <c r="J3" s="56" t="s">
        <v>1174</v>
      </c>
      <c r="K3" s="56" t="s">
        <v>1175</v>
      </c>
      <c r="L3" s="10"/>
      <c r="M3" s="10"/>
    </row>
    <row r="4" spans="1:23" s="184" customFormat="1" ht="57.75" customHeight="1" thickBot="1" x14ac:dyDescent="0.2">
      <c r="A4" s="97" t="s">
        <v>1176</v>
      </c>
      <c r="B4" s="109" t="s">
        <v>1177</v>
      </c>
      <c r="C4" s="110"/>
      <c r="D4" s="109"/>
      <c r="E4" s="109"/>
      <c r="F4" s="110"/>
      <c r="G4" s="92" t="s">
        <v>1178</v>
      </c>
      <c r="H4" s="92" t="s">
        <v>1179</v>
      </c>
      <c r="I4" s="92" t="s">
        <v>1180</v>
      </c>
      <c r="J4" s="92" t="s">
        <v>1181</v>
      </c>
      <c r="K4" s="92" t="s">
        <v>1182</v>
      </c>
      <c r="L4" s="93" t="s">
        <v>1183</v>
      </c>
      <c r="M4" s="93" t="s">
        <v>1184</v>
      </c>
    </row>
    <row r="5" spans="1:23" s="185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100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100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6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100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6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100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100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100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100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100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100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100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5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310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(H15-ARITHMETIC_COEFFICIENT!I19*L15)*J15*K15</f>
        <v>24000</v>
      </c>
    </row>
    <row r="16" spans="1:23" s="183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310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(H16-ARITHMETIC_COEFFICIENT!I20*L16)*J16*K16</f>
        <v>42000</v>
      </c>
    </row>
    <row r="17" spans="1:13" s="183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310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(H17-ARITHMETIC_COEFFICIENT!I21*L17)*J17*K17</f>
        <v>68000</v>
      </c>
    </row>
    <row r="18" spans="1:13" s="183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310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(H18-ARITHMETIC_COEFFICIENT!I22*L18)*J18*K18</f>
        <v>95000</v>
      </c>
    </row>
    <row r="19" spans="1:13" s="183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310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(H19-ARITHMETIC_COEFFICIENT!I23*L19)*J19*K19</f>
        <v>132000</v>
      </c>
    </row>
    <row r="20" spans="1:13" s="183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310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(H20-ARITHMETIC_COEFFICIENT!I24*L20)*J20*K20</f>
        <v>168000</v>
      </c>
    </row>
    <row r="21" spans="1:13" s="183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310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(H21-ARITHMETIC_COEFFICIENT!I25*L21)*J21*K21</f>
        <v>208000</v>
      </c>
    </row>
    <row r="22" spans="1:13" s="183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310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(H22-ARITHMETIC_COEFFICIENT!I26*L22)*J22*K22</f>
        <v>261000</v>
      </c>
    </row>
    <row r="23" spans="1:13" s="183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310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(H23-ARITHMETIC_COEFFICIENT!I27*L23)*J23*K23</f>
        <v>310000</v>
      </c>
    </row>
    <row r="24" spans="1:13" s="183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310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(H24-ARITHMETIC_COEFFICIENT!I28*L24)*J24*K24</f>
        <v>374000</v>
      </c>
    </row>
    <row r="25" spans="1:13" s="185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930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(H25-ARITHMETIC_COEFFICIENT!I29*L25)*J25*K25</f>
        <v>28000</v>
      </c>
    </row>
    <row r="26" spans="1:13" s="183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930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(H26-ARITHMETIC_COEFFICIENT!I30*L26)*J26*K26</f>
        <v>51000</v>
      </c>
    </row>
    <row r="27" spans="1:13" s="183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930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(H27-ARITHMETIC_COEFFICIENT!I31*L27)*J27*K27</f>
        <v>80000</v>
      </c>
    </row>
    <row r="28" spans="1:13" s="183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930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(H28-ARITHMETIC_COEFFICIENT!I32*L28)*J28*K28</f>
        <v>115000</v>
      </c>
    </row>
    <row r="29" spans="1:13" s="183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930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(H29-ARITHMETIC_COEFFICIENT!I33*L29)*J29*K29</f>
        <v>156000</v>
      </c>
    </row>
    <row r="30" spans="1:13" s="183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930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(H30-ARITHMETIC_COEFFICIENT!I34*L30)*J30*K30</f>
        <v>203000</v>
      </c>
    </row>
    <row r="31" spans="1:13" s="183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930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(H31-ARITHMETIC_COEFFICIENT!I35*L31)*J31*K31</f>
        <v>248000</v>
      </c>
    </row>
    <row r="32" spans="1:13" s="183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930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(H32-ARITHMETIC_COEFFICIENT!I36*L32)*J32*K32</f>
        <v>315000</v>
      </c>
    </row>
    <row r="33" spans="1:13" s="183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930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(H33-ARITHMETIC_COEFFICIENT!I37*L33)*J33*K33</f>
        <v>370000</v>
      </c>
    </row>
    <row r="34" spans="1:13" s="183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930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(H34-ARITHMETIC_COEFFICIENT!I38*L34)*J34*K34</f>
        <v>451000</v>
      </c>
    </row>
    <row r="35" spans="1:13" s="185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5475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(H35-ARITHMETIC_COEFFICIENT!I39*L35)*J35*K35</f>
        <v>34000</v>
      </c>
    </row>
    <row r="36" spans="1:13" s="183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5475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(H36-ARITHMETIC_COEFFICIENT!I40*L36)*J36*K36</f>
        <v>60000</v>
      </c>
    </row>
    <row r="37" spans="1:13" s="183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5475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(H37-ARITHMETIC_COEFFICIENT!I41*L37)*J37*K37</f>
        <v>96000</v>
      </c>
    </row>
    <row r="38" spans="1:13" s="183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5475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(H38-ARITHMETIC_COEFFICIENT!I42*L38)*J38*K38</f>
        <v>140000</v>
      </c>
    </row>
    <row r="39" spans="1:13" s="183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5475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(H39-ARITHMETIC_COEFFICIENT!I43*L39)*J39*K39</f>
        <v>186000</v>
      </c>
    </row>
    <row r="40" spans="1:13" s="183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5475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(H40-ARITHMETIC_COEFFICIENT!I44*L40)*J40*K40</f>
        <v>245000</v>
      </c>
    </row>
    <row r="41" spans="1:13" s="183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5475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(H41-ARITHMETIC_COEFFICIENT!I45*L41)*J41*K41</f>
        <v>296000</v>
      </c>
    </row>
    <row r="42" spans="1:13" s="183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5475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(H42-ARITHMETIC_COEFFICIENT!I46*L42)*J42*K42</f>
        <v>378000</v>
      </c>
    </row>
    <row r="43" spans="1:13" s="183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5475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(H43-ARITHMETIC_COEFFICIENT!I47*L43)*J43*K43</f>
        <v>440000</v>
      </c>
    </row>
    <row r="44" spans="1:13" s="183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5475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(H44-ARITHMETIC_COEFFICIENT!I48*L44)*J44*K44</f>
        <v>539000</v>
      </c>
    </row>
    <row r="45" spans="1:13" s="185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32560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(H45-ARITHMETIC_COEFFICIENT!I49*L45)*J45*K45</f>
        <v>40000</v>
      </c>
    </row>
    <row r="46" spans="1:13" s="183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32560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(H46-ARITHMETIC_COEFFICIENT!I50*L46)*J46*K46</f>
        <v>72000</v>
      </c>
    </row>
    <row r="47" spans="1:13" s="183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32560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(H47-ARITHMETIC_COEFFICIENT!I51*L47)*J47*K47</f>
        <v>116000</v>
      </c>
    </row>
    <row r="48" spans="1:13" s="183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32560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(H48-ARITHMETIC_COEFFICIENT!I52*L48)*J48*K48</f>
        <v>170000</v>
      </c>
    </row>
    <row r="49" spans="1:13" s="183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32560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(H49-ARITHMETIC_COEFFICIENT!I53*L49)*J49*K49</f>
        <v>222000</v>
      </c>
    </row>
    <row r="50" spans="1:13" s="183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32560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(H50-ARITHMETIC_COEFFICIENT!I54*L50)*J50*K50</f>
        <v>294000</v>
      </c>
    </row>
    <row r="51" spans="1:13" s="183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32560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(H51-ARITHMETIC_COEFFICIENT!I55*L51)*J51*K51</f>
        <v>352000</v>
      </c>
    </row>
    <row r="52" spans="1:13" s="183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32560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(H52-ARITHMETIC_COEFFICIENT!I56*L52)*J52*K52</f>
        <v>450000</v>
      </c>
    </row>
    <row r="53" spans="1:13" s="183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32560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(H53-ARITHMETIC_COEFFICIENT!I57*L53)*J53*K53</f>
        <v>530000</v>
      </c>
    </row>
    <row r="54" spans="1:13" s="183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32560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(H54-ARITHMETIC_COEFFICIENT!I58*L54)*J54*K54</f>
        <v>649000</v>
      </c>
    </row>
    <row r="55" spans="1:13" s="185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108200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(H55-ARITHMETIC_COEFFICIENT!I59*L55)*J55*K55</f>
        <v>48000</v>
      </c>
    </row>
    <row r="56" spans="1:13" s="183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108200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(H56-ARITHMETIC_COEFFICIENT!I60*L56)*J56*K56</f>
        <v>87000</v>
      </c>
    </row>
    <row r="57" spans="1:13" s="183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108200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(H57-ARITHMETIC_COEFFICIENT!I61*L57)*J57*K57</f>
        <v>140000</v>
      </c>
    </row>
    <row r="58" spans="1:13" s="183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108200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(H58-ARITHMETIC_COEFFICIENT!I62*L58)*J58*K58</f>
        <v>205000</v>
      </c>
    </row>
    <row r="59" spans="1:13" s="183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108200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(H59-ARITHMETIC_COEFFICIENT!I63*L59)*J59*K59</f>
        <v>264000</v>
      </c>
    </row>
    <row r="60" spans="1:13" s="183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108200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(H60-ARITHMETIC_COEFFICIENT!I64*L60)*J60*K60</f>
        <v>350000</v>
      </c>
    </row>
    <row r="61" spans="1:13" s="183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108200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(H61-ARITHMETIC_COEFFICIENT!I65*L61)*J61*K61</f>
        <v>424000</v>
      </c>
    </row>
    <row r="62" spans="1:13" s="183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108200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(H62-ARITHMETIC_COEFFICIENT!I66*L62)*J62*K62</f>
        <v>540000</v>
      </c>
    </row>
    <row r="63" spans="1:13" s="183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108200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(H63-ARITHMETIC_COEFFICIENT!I67*L63)*J63*K63</f>
        <v>640000</v>
      </c>
    </row>
    <row r="64" spans="1:13" s="183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108200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(H64-ARITHMETIC_COEFFICIENT!I68*L64)*J64*K64</f>
        <v>781000</v>
      </c>
    </row>
    <row r="65" spans="1:13" s="185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240400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(H65-ARITHMETIC_COEFFICIENT!I69*L65)*J65*K65</f>
        <v>58000</v>
      </c>
    </row>
    <row r="66" spans="1:13" s="183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240400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(H66-ARITHMETIC_COEFFICIENT!I70*L66)*J66*K66</f>
        <v>105000</v>
      </c>
    </row>
    <row r="67" spans="1:13" s="183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240400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(H67-ARITHMETIC_COEFFICIENT!I71*L67)*J67*K67</f>
        <v>168000</v>
      </c>
    </row>
    <row r="68" spans="1:13" s="183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240400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(H68-ARITHMETIC_COEFFICIENT!I72*L68)*J68*K68</f>
        <v>245000</v>
      </c>
    </row>
    <row r="69" spans="1:13" s="183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240400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(H69-ARITHMETIC_COEFFICIENT!I73*L69)*J69*K69</f>
        <v>318000</v>
      </c>
    </row>
    <row r="70" spans="1:13" s="183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240400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(H70-ARITHMETIC_COEFFICIENT!I74*L70)*J70*K70</f>
        <v>420000</v>
      </c>
    </row>
    <row r="71" spans="1:13" s="183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240400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(H71-ARITHMETIC_COEFFICIENT!I75*L71)*J71*K71</f>
        <v>512000</v>
      </c>
    </row>
    <row r="72" spans="1:13" s="183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240400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(H72-ARITHMETIC_COEFFICIENT!I76*L72)*J72*K72</f>
        <v>648000</v>
      </c>
    </row>
    <row r="73" spans="1:13" s="183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240400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(H73-ARITHMETIC_COEFFICIENT!I77*L73)*J73*K73</f>
        <v>770000</v>
      </c>
    </row>
    <row r="74" spans="1:13" s="183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240400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(H74-ARITHMETIC_COEFFICIENT!I78*L74)*J74*K74</f>
        <v>935000</v>
      </c>
    </row>
    <row r="75" spans="1:13" s="185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630500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(H75-ARITHMETIC_COEFFICIENT!I79*L75)*J75*K75</f>
        <v>70000</v>
      </c>
    </row>
    <row r="76" spans="1:13" s="183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630500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(H76-ARITHMETIC_COEFFICIENT!I80*L76)*J76*K76</f>
        <v>126000</v>
      </c>
    </row>
    <row r="77" spans="1:13" s="183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630500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(H77-ARITHMETIC_COEFFICIENT!I81*L77)*J77*K77</f>
        <v>200000</v>
      </c>
    </row>
    <row r="78" spans="1:13" s="183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630500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(H78-ARITHMETIC_COEFFICIENT!I82*L78)*J78*K78</f>
        <v>295000</v>
      </c>
    </row>
    <row r="79" spans="1:13" s="183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630500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(H79-ARITHMETIC_COEFFICIENT!I83*L79)*J79*K79</f>
        <v>384000</v>
      </c>
    </row>
    <row r="80" spans="1:13" s="183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630500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(H80-ARITHMETIC_COEFFICIENT!I84*L80)*J80*K80</f>
        <v>504000</v>
      </c>
    </row>
    <row r="81" spans="1:13" s="183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630500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(H81-ARITHMETIC_COEFFICIENT!I85*L81)*J81*K81</f>
        <v>616000</v>
      </c>
    </row>
    <row r="82" spans="1:13" s="183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630500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(H82-ARITHMETIC_COEFFICIENT!I86*L82)*J82*K82</f>
        <v>774000</v>
      </c>
    </row>
    <row r="83" spans="1:13" s="183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630500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(H83-ARITHMETIC_COEFFICIENT!I87*L83)*J83*K83</f>
        <v>920000</v>
      </c>
    </row>
    <row r="84" spans="1:13" s="183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630500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(H84-ARITHMETIC_COEFFICIENT!I88*L84)*J84*K84</f>
        <v>1122000</v>
      </c>
    </row>
    <row r="85" spans="1:13" s="185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1170750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(H85-ARITHMETIC_COEFFICIENT!I89*L85)*J85*K85</f>
        <v>84000</v>
      </c>
    </row>
    <row r="86" spans="1:13" s="183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1170750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(H86-ARITHMETIC_COEFFICIENT!I90*L86)*J86*K86</f>
        <v>150000</v>
      </c>
    </row>
    <row r="87" spans="1:13" s="183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1170750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(H87-ARITHMETIC_COEFFICIENT!I91*L87)*J87*K87</f>
        <v>240000</v>
      </c>
    </row>
    <row r="88" spans="1:13" s="183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1170750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(H88-ARITHMETIC_COEFFICIENT!I92*L88)*J88*K88</f>
        <v>355000</v>
      </c>
    </row>
    <row r="89" spans="1:13" s="183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1170750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(H89-ARITHMETIC_COEFFICIENT!I93*L89)*J89*K89</f>
        <v>462000</v>
      </c>
    </row>
    <row r="90" spans="1:13" s="183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1170750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(H90-ARITHMETIC_COEFFICIENT!I94*L90)*J90*K90</f>
        <v>602000</v>
      </c>
    </row>
    <row r="91" spans="1:13" s="183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1170750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(H91-ARITHMETIC_COEFFICIENT!I95*L91)*J91*K91</f>
        <v>736000</v>
      </c>
    </row>
    <row r="92" spans="1:13" s="183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1170750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(H92-ARITHMETIC_COEFFICIENT!I96*L92)*J92*K92</f>
        <v>927000</v>
      </c>
    </row>
    <row r="93" spans="1:13" s="183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1170750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(H93-ARITHMETIC_COEFFICIENT!I97*L93)*J93*K93</f>
        <v>1100000</v>
      </c>
    </row>
    <row r="94" spans="1:13" s="183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1170750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(H94-ARITHMETIC_COEFFICIENT!I98*L94)*J94*K94</f>
        <v>1342000</v>
      </c>
    </row>
    <row r="95" spans="1:13" s="185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1956000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(H95-ARITHMETIC_COEFFICIENT!I99*L95)*J95*K95</f>
        <v>100000</v>
      </c>
    </row>
    <row r="96" spans="1:13" s="183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1956000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(H96-ARITHMETIC_COEFFICIENT!I100*L96)*J96*K96</f>
        <v>180000</v>
      </c>
    </row>
    <row r="97" spans="1:13" s="183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1956000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(H97-ARITHMETIC_COEFFICIENT!I101*L97)*J97*K97</f>
        <v>288000</v>
      </c>
    </row>
    <row r="98" spans="1:13" s="183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1956000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(H98-ARITHMETIC_COEFFICIENT!I102*L98)*J98*K98</f>
        <v>425000</v>
      </c>
    </row>
    <row r="99" spans="1:13" s="183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1956000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(H99-ARITHMETIC_COEFFICIENT!I103*L99)*J99*K99</f>
        <v>552000</v>
      </c>
    </row>
    <row r="100" spans="1:13" s="183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1956000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(H100-ARITHMETIC_COEFFICIENT!I104*L100)*J100*K100</f>
        <v>721000</v>
      </c>
    </row>
    <row r="101" spans="1:13" s="183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1956000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(H101-ARITHMETIC_COEFFICIENT!I105*L101)*J101*K101</f>
        <v>880000</v>
      </c>
    </row>
    <row r="102" spans="1:13" s="183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1956000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(H102-ARITHMETIC_COEFFICIENT!I106*L102)*J102*K102</f>
        <v>1116000</v>
      </c>
    </row>
    <row r="103" spans="1:13" s="183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1956000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(H103-ARITHMETIC_COEFFICIENT!I107*L103)*J103*K103</f>
        <v>1320000</v>
      </c>
    </row>
    <row r="104" spans="1:13" s="183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1956000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(H104-ARITHMETIC_COEFFICIENT!I108*L104)*J104*K104</f>
        <v>1606000</v>
      </c>
    </row>
    <row r="105" spans="1:13" s="185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3961500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(H105-ARITHMETIC_COEFFICIENT!I109*L105)*J105*K105</f>
        <v>120000</v>
      </c>
    </row>
    <row r="106" spans="1:13" s="183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3961500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(H106-ARITHMETIC_COEFFICIENT!I110*L106)*J106*K106</f>
        <v>216000</v>
      </c>
    </row>
    <row r="107" spans="1:13" s="183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3961500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(H107-ARITHMETIC_COEFFICIENT!I111*L107)*J107*K107</f>
        <v>344000</v>
      </c>
    </row>
    <row r="108" spans="1:13" s="183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3961500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(H108-ARITHMETIC_COEFFICIENT!I112*L108)*J108*K108</f>
        <v>510000</v>
      </c>
    </row>
    <row r="109" spans="1:13" s="183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3961500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(H109-ARITHMETIC_COEFFICIENT!I113*L109)*J109*K109</f>
        <v>660000</v>
      </c>
    </row>
    <row r="110" spans="1:13" s="183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3961500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(H110-ARITHMETIC_COEFFICIENT!I114*L110)*J110*K110</f>
        <v>868000</v>
      </c>
    </row>
    <row r="111" spans="1:13" s="183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3961500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(H111-ARITHMETIC_COEFFICIENT!I115*L111)*J111*K111</f>
        <v>1056000</v>
      </c>
    </row>
    <row r="112" spans="1:13" s="183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3961500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(H112-ARITHMETIC_COEFFICIENT!I116*L112)*J112*K112</f>
        <v>1341000</v>
      </c>
    </row>
    <row r="113" spans="1:13" s="183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3961500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(H113-ARITHMETIC_COEFFICIENT!I117*L113)*J113*K113</f>
        <v>1580000</v>
      </c>
    </row>
    <row r="114" spans="1:13" s="183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3961500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(H114-ARITHMETIC_COEFFICIENT!I118*L114)*J114*K114</f>
        <v>1925000</v>
      </c>
    </row>
    <row r="115" spans="1:13" s="185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7772100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(H115-ARITHMETIC_COEFFICIENT!I119*L115)*J115*K115</f>
        <v>144000</v>
      </c>
    </row>
    <row r="116" spans="1:13" s="183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7772100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(H116-ARITHMETIC_COEFFICIENT!I120*L116)*J116*K116</f>
        <v>258000</v>
      </c>
    </row>
    <row r="117" spans="1:13" s="183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7772100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(H117-ARITHMETIC_COEFFICIENT!I121*L117)*J117*K117</f>
        <v>412000</v>
      </c>
    </row>
    <row r="118" spans="1:13" s="183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7772100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(H118-ARITHMETIC_COEFFICIENT!I122*L118)*J118*K118</f>
        <v>610000</v>
      </c>
    </row>
    <row r="119" spans="1:13" s="183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7772100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(H119-ARITHMETIC_COEFFICIENT!I123*L119)*J119*K119</f>
        <v>792000</v>
      </c>
    </row>
    <row r="120" spans="1:13" s="183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7772100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(H120-ARITHMETIC_COEFFICIENT!I124*L120)*J120*K120</f>
        <v>1043000</v>
      </c>
    </row>
    <row r="121" spans="1:13" s="183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7772100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(H121-ARITHMETIC_COEFFICIENT!I125*L121)*J121*K121</f>
        <v>1264000</v>
      </c>
    </row>
    <row r="122" spans="1:13" s="183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7772100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(H122-ARITHMETIC_COEFFICIENT!I126*L122)*J122*K122</f>
        <v>1611000</v>
      </c>
    </row>
    <row r="123" spans="1:13" s="183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7772100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(H123-ARITHMETIC_COEFFICIENT!I127*L123)*J123*K123</f>
        <v>1900000</v>
      </c>
    </row>
    <row r="124" spans="1:13" s="183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7772100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(H124-ARITHMETIC_COEFFICIENT!I128*L124)*J124*K124</f>
        <v>2310000</v>
      </c>
    </row>
    <row r="125" spans="1:13" s="185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13022450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(H125-ARITHMETIC_COEFFICIENT!I129*L125)*J125*K125</f>
        <v>172000</v>
      </c>
    </row>
    <row r="126" spans="1:13" s="183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13022450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(H126-ARITHMETIC_COEFFICIENT!I130*L126)*J126*K126</f>
        <v>309000</v>
      </c>
    </row>
    <row r="127" spans="1:13" s="183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13022450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(H127-ARITHMETIC_COEFFICIENT!I131*L127)*J127*K127</f>
        <v>496000</v>
      </c>
    </row>
    <row r="128" spans="1:13" s="183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13022450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(H128-ARITHMETIC_COEFFICIENT!I132*L128)*J128*K128</f>
        <v>730000</v>
      </c>
    </row>
    <row r="129" spans="1:13" s="183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13022450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(H129-ARITHMETIC_COEFFICIENT!I133*L129)*J129*K129</f>
        <v>948000</v>
      </c>
    </row>
    <row r="130" spans="1:13" s="183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13022450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(H130-ARITHMETIC_COEFFICIENT!I134*L130)*J130*K130</f>
        <v>1253000</v>
      </c>
    </row>
    <row r="131" spans="1:13" s="183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13022450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(H131-ARITHMETIC_COEFFICIENT!I135*L131)*J131*K131</f>
        <v>1520000</v>
      </c>
    </row>
    <row r="132" spans="1:13" s="183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13022450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(H132-ARITHMETIC_COEFFICIENT!I136*L132)*J132*K132</f>
        <v>1935000</v>
      </c>
    </row>
    <row r="133" spans="1:13" s="183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13022450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(H133-ARITHMETIC_COEFFICIENT!I137*L133)*J133*K133</f>
        <v>2280000</v>
      </c>
    </row>
    <row r="134" spans="1:13" s="183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13022450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(H134-ARITHMETIC_COEFFICIENT!I138*L134)*J134*K134</f>
        <v>2772000</v>
      </c>
    </row>
    <row r="135" spans="1:13" s="185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23283600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(H135-ARITHMETIC_COEFFICIENT!I139*L135)*J135*K135</f>
        <v>206000</v>
      </c>
    </row>
    <row r="136" spans="1:13" s="183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23283600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(H136-ARITHMETIC_COEFFICIENT!I140*L136)*J136*K136</f>
        <v>372000</v>
      </c>
    </row>
    <row r="137" spans="1:13" s="183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23283600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(H137-ARITHMETIC_COEFFICIENT!I141*L137)*J137*K137</f>
        <v>596000</v>
      </c>
    </row>
    <row r="138" spans="1:13" s="183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23283600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(H138-ARITHMETIC_COEFFICIENT!I142*L138)*J138*K138</f>
        <v>875000</v>
      </c>
    </row>
    <row r="139" spans="1:13" s="183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23283600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(H139-ARITHMETIC_COEFFICIENT!I143*L139)*J139*K139</f>
        <v>1140000</v>
      </c>
    </row>
    <row r="140" spans="1:13" s="183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23283600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(H140-ARITHMETIC_COEFFICIENT!I144*L140)*J140*K140</f>
        <v>1505000</v>
      </c>
    </row>
    <row r="141" spans="1:13" s="183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23283600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(H141-ARITHMETIC_COEFFICIENT!I145*L141)*J141*K141</f>
        <v>1824000</v>
      </c>
    </row>
    <row r="142" spans="1:13" s="183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23283600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(H142-ARITHMETIC_COEFFICIENT!I146*L142)*J142*K142</f>
        <v>2322000</v>
      </c>
    </row>
    <row r="143" spans="1:13" s="183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23283600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(H143-ARITHMETIC_COEFFICIENT!I147*L143)*J143*K143</f>
        <v>2740000</v>
      </c>
    </row>
    <row r="144" spans="1:13" s="183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23283600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(H144-ARITHMETIC_COEFFICIENT!I148*L144)*J144*K144</f>
        <v>3322000</v>
      </c>
    </row>
    <row r="145" spans="1:13" s="185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50404400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(H145-ARITHMETIC_COEFFICIENT!I149*L145)*J145*K145</f>
        <v>248000</v>
      </c>
    </row>
    <row r="146" spans="1:13" s="183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50404400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(H146-ARITHMETIC_COEFFICIENT!I150*L146)*J146*K146</f>
        <v>447000</v>
      </c>
    </row>
    <row r="147" spans="1:13" s="183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50404400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(H147-ARITHMETIC_COEFFICIENT!I151*L147)*J147*K147</f>
        <v>716000</v>
      </c>
    </row>
    <row r="148" spans="1:13" s="183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50404400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(H148-ARITHMETIC_COEFFICIENT!I152*L148)*J148*K148</f>
        <v>1050000</v>
      </c>
    </row>
    <row r="149" spans="1:13" s="183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50404400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(H149-ARITHMETIC_COEFFICIENT!I153*L149)*J149*K149</f>
        <v>1368000</v>
      </c>
    </row>
    <row r="150" spans="1:13" s="183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50404400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(H150-ARITHMETIC_COEFFICIENT!I154*L150)*J150*K150</f>
        <v>1806000</v>
      </c>
    </row>
    <row r="151" spans="1:13" s="183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50404400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(H151-ARITHMETIC_COEFFICIENT!I155*L151)*J151*K151</f>
        <v>2192000</v>
      </c>
    </row>
    <row r="152" spans="1:13" s="183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50404400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(H152-ARITHMETIC_COEFFICIENT!I156*L152)*J152*K152</f>
        <v>2790000</v>
      </c>
    </row>
    <row r="153" spans="1:13" s="183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50404400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(H153-ARITHMETIC_COEFFICIENT!I157*L153)*J153*K153</f>
        <v>3290000</v>
      </c>
    </row>
    <row r="154" spans="1:13" s="183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50404400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(H154-ARITHMETIC_COEFFICIENT!I158*L154)*J154*K154</f>
        <v>3982000</v>
      </c>
    </row>
    <row r="155" spans="1:13" s="185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119976300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(H155-ARITHMETIC_COEFFICIENT!I159*L155)*J155*K155</f>
        <v>298000</v>
      </c>
    </row>
    <row r="156" spans="1:13" s="183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119976300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(H156-ARITHMETIC_COEFFICIENT!I160*L156)*J156*K156</f>
        <v>537000</v>
      </c>
    </row>
    <row r="157" spans="1:13" s="183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119976300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(H157-ARITHMETIC_COEFFICIENT!I161*L157)*J157*K157</f>
        <v>860000</v>
      </c>
    </row>
    <row r="158" spans="1:13" s="183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119976300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(H158-ARITHMETIC_COEFFICIENT!I162*L158)*J158*K158</f>
        <v>1260000</v>
      </c>
    </row>
    <row r="159" spans="1:13" s="183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119976300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(H159-ARITHMETIC_COEFFICIENT!I163*L159)*J159*K159</f>
        <v>1644000</v>
      </c>
    </row>
    <row r="160" spans="1:13" s="183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119976300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(H160-ARITHMETIC_COEFFICIENT!I164*L160)*J160*K160</f>
        <v>2170000</v>
      </c>
    </row>
    <row r="161" spans="1:13" s="183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119976300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(H161-ARITHMETIC_COEFFICIENT!I165*L161)*J161*K161</f>
        <v>2632000</v>
      </c>
    </row>
    <row r="162" spans="1:13" s="183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119976300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(H162-ARITHMETIC_COEFFICIENT!I166*L162)*J162*K162</f>
        <v>3348000</v>
      </c>
    </row>
    <row r="163" spans="1:13" s="183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119976300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(H163-ARITHMETIC_COEFFICIENT!I167*L163)*J163*K163</f>
        <v>3950000</v>
      </c>
    </row>
    <row r="164" spans="1:13" s="183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119976300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(H164-ARITHMETIC_COEFFICIENT!I168*L164)*J164*K164</f>
        <v>4774000</v>
      </c>
    </row>
    <row r="165" spans="1:13" s="185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223207650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(H165-ARITHMETIC_COEFFICIENT!I169*L165)*J165*K165</f>
        <v>358000</v>
      </c>
    </row>
    <row r="166" spans="1:13" s="183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223207650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(H166-ARITHMETIC_COEFFICIENT!I170*L166)*J166*K166</f>
        <v>645000</v>
      </c>
    </row>
    <row r="167" spans="1:13" s="183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223207650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(H167-ARITHMETIC_COEFFICIENT!I171*L167)*J167*K167</f>
        <v>1032000</v>
      </c>
    </row>
    <row r="168" spans="1:13" s="183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223207650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(H168-ARITHMETIC_COEFFICIENT!I172*L168)*J168*K168</f>
        <v>1510000</v>
      </c>
    </row>
    <row r="169" spans="1:13" s="183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223207650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(H169-ARITHMETIC_COEFFICIENT!I173*L169)*J169*K169</f>
        <v>1974000</v>
      </c>
    </row>
    <row r="170" spans="1:13" s="183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223207650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(H170-ARITHMETIC_COEFFICIENT!I174*L170)*J170*K170</f>
        <v>2604000</v>
      </c>
    </row>
    <row r="171" spans="1:13" s="183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223207650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(H171-ARITHMETIC_COEFFICIENT!I175*L171)*J171*K171</f>
        <v>3160000</v>
      </c>
    </row>
    <row r="172" spans="1:13" s="183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223207650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(H172-ARITHMETIC_COEFFICIENT!I176*L172)*J172*K172</f>
        <v>4014000</v>
      </c>
    </row>
    <row r="173" spans="1:13" s="183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223207650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(H173-ARITHMETIC_COEFFICIENT!I177*L173)*J173*K173</f>
        <v>4740000</v>
      </c>
    </row>
    <row r="174" spans="1:13" s="183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223207650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(H174-ARITHMETIC_COEFFICIENT!I178*L174)*J174*K174</f>
        <v>5731000</v>
      </c>
    </row>
    <row r="175" spans="1:13" s="185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403010500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(H175-ARITHMETIC_COEFFICIENT!I179*L175)*J175*K175</f>
        <v>430000</v>
      </c>
    </row>
    <row r="176" spans="1:13" s="183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403010500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(H176-ARITHMETIC_COEFFICIENT!I180*L176)*J176*K176</f>
        <v>774000</v>
      </c>
    </row>
    <row r="177" spans="1:13" s="183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403010500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(H177-ARITHMETIC_COEFFICIENT!I181*L177)*J177*K177</f>
        <v>1240000</v>
      </c>
    </row>
    <row r="178" spans="1:13" s="183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403010500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(H178-ARITHMETIC_COEFFICIENT!I182*L178)*J178*K178</f>
        <v>1810000</v>
      </c>
    </row>
    <row r="179" spans="1:13" s="183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403010500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(H179-ARITHMETIC_COEFFICIENT!I183*L179)*J179*K179</f>
        <v>2370000</v>
      </c>
    </row>
    <row r="180" spans="1:13" s="183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403010500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(H180-ARITHMETIC_COEFFICIENT!I184*L180)*J180*K180</f>
        <v>3122000</v>
      </c>
    </row>
    <row r="181" spans="1:13" s="183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403010500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(H181-ARITHMETIC_COEFFICIENT!I185*L181)*J181*K181</f>
        <v>3792000</v>
      </c>
    </row>
    <row r="182" spans="1:13" s="183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403010500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(H182-ARITHMETIC_COEFFICIENT!I186*L182)*J182*K182</f>
        <v>4815000</v>
      </c>
    </row>
    <row r="183" spans="1:13" s="183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403010500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(H183-ARITHMETIC_COEFFICIENT!I187*L183)*J183*K183</f>
        <v>5690000</v>
      </c>
    </row>
    <row r="184" spans="1:13" s="183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403010500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(H184-ARITHMETIC_COEFFICIENT!I188*L184)*J184*K184</f>
        <v>6875000</v>
      </c>
    </row>
    <row r="185" spans="1:13" s="185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682013750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(H185-ARITHMETIC_COEFFICIENT!I189*L185)*J185*K185</f>
        <v>516000</v>
      </c>
    </row>
    <row r="186" spans="1:13" s="183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682013750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(H186-ARITHMETIC_COEFFICIENT!I190*L186)*J186*K186</f>
        <v>930000</v>
      </c>
    </row>
    <row r="187" spans="1:13" s="183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682013750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(H187-ARITHMETIC_COEFFICIENT!I191*L187)*J187*K187</f>
        <v>1488000</v>
      </c>
    </row>
    <row r="188" spans="1:13" s="183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682013750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(H188-ARITHMETIC_COEFFICIENT!I192*L188)*J188*K188</f>
        <v>2170000</v>
      </c>
    </row>
    <row r="189" spans="1:13" s="183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682013750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(H189-ARITHMETIC_COEFFICIENT!I193*L189)*J189*K189</f>
        <v>2844000</v>
      </c>
    </row>
    <row r="190" spans="1:13" s="183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682013750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(H190-ARITHMETIC_COEFFICIENT!I194*L190)*J190*K190</f>
        <v>3745000</v>
      </c>
    </row>
    <row r="191" spans="1:13" s="183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682013750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(H191-ARITHMETIC_COEFFICIENT!I195*L191)*J191*K191</f>
        <v>4552000</v>
      </c>
    </row>
    <row r="192" spans="1:13" s="183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682013750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(H192-ARITHMETIC_COEFFICIENT!I196*L192)*J192*K192</f>
        <v>5778000</v>
      </c>
    </row>
    <row r="193" spans="1:13" s="183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682013750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(H193-ARITHMETIC_COEFFICIENT!I197*L193)*J193*K193</f>
        <v>6830000</v>
      </c>
    </row>
    <row r="194" spans="1:13" s="183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682013750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(H194-ARITHMETIC_COEFFICIENT!I198*L194)*J194*K194</f>
        <v>8250000</v>
      </c>
    </row>
    <row r="195" spans="1:13" s="185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1091216500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(H195-ARITHMETIC_COEFFICIENT!I199*L195)*J195*K195</f>
        <v>620000</v>
      </c>
    </row>
    <row r="196" spans="1:13" s="183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1091216500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(H196-ARITHMETIC_COEFFICIENT!I200*L196)*J196*K196</f>
        <v>1116000</v>
      </c>
    </row>
    <row r="197" spans="1:13" s="183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1091216500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(H197-ARITHMETIC_COEFFICIENT!I201*L197)*J197*K197</f>
        <v>1784000</v>
      </c>
    </row>
    <row r="198" spans="1:13" s="183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1091216500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(H198-ARITHMETIC_COEFFICIENT!I202*L198)*J198*K198</f>
        <v>2605000</v>
      </c>
    </row>
    <row r="199" spans="1:13" s="183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1091216500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(H199-ARITHMETIC_COEFFICIENT!I203*L199)*J199*K199</f>
        <v>3414000</v>
      </c>
    </row>
    <row r="200" spans="1:13" s="183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1091216500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(H200-ARITHMETIC_COEFFICIENT!I204*L200)*J200*K200</f>
        <v>4494000</v>
      </c>
    </row>
    <row r="201" spans="1:13" s="183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1091216500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(H201-ARITHMETIC_COEFFICIENT!I205*L201)*J201*K201</f>
        <v>5464000</v>
      </c>
    </row>
    <row r="202" spans="1:13" s="183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1091216500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(H202-ARITHMETIC_COEFFICIENT!I206*L202)*J202*K202</f>
        <v>6930000</v>
      </c>
    </row>
    <row r="203" spans="1:13" s="183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1091216500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(H203-ARITHMETIC_COEFFICIENT!I207*L203)*J203*K203</f>
        <v>8200000</v>
      </c>
    </row>
    <row r="204" spans="1:13" s="183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1091216500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(H204-ARITHMETIC_COEFFICIENT!I208*L204)*J204*K204</f>
        <v>9900000</v>
      </c>
    </row>
    <row r="205" spans="1:13" s="185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3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3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3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3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3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3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3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3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3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3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3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3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3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3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3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3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3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3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3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3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3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3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3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3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3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3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3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3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3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3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3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3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3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3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3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3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3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3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3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3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3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3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3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3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3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3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3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3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3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3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3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3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3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3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3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3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3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3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3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3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3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3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3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3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3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3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3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3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3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3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3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3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3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3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3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3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3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3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3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3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3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3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3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3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3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3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3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3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3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3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3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3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3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3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3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3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3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3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3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3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3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3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3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3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3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3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3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3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3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3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3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3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3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3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3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3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3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3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3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3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3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3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3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3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3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3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3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3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3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3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3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3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3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3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3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3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3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3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3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3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3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3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3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3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3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3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3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3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3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3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3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3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3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3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3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3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3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3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3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3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3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3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3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3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3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3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3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3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3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3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3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3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3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3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3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3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3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3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3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3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3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3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3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3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3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3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3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3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3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3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3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3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3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3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3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3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3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3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3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3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3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3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3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3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3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3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3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3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3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3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3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3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3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3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3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3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3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3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3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3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3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3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3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3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3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3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3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3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3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3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3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3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3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3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3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3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3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3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3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3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3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3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3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3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3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3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3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3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3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3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3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3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3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3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3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3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3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3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3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3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3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3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3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3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3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3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3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3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3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3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3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3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3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3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3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3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3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3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3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3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3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3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3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3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3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3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3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3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3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3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3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3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3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3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3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3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3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3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3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3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3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3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3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3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3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3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3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3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3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3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3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3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3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3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3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3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3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3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3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3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3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3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3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3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3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3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3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3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3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3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3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3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3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3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3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3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3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3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3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3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3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3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3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3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3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3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3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3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3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3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3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3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3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3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3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3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3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3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3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3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3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3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3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3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3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3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3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3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3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3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3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3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3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3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3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3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3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3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3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3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3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3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3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3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3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3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3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3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3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J614"/>
  <sheetViews>
    <sheetView zoomScaleNormal="100" workbookViewId="0">
      <pane xSplit="7" ySplit="4" topLeftCell="M5" activePane="bottomRight" state="frozen"/>
      <selection pane="topRight" activeCell="H1" sqref="H1"/>
      <selection pane="bottomLeft" activeCell="A5" sqref="A5"/>
      <selection pane="bottomRight" activeCell="R5" sqref="R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1" customWidth="1"/>
    <col min="13" max="13" width="26" style="10" customWidth="1"/>
    <col min="14" max="14" width="17.875" style="56" customWidth="1"/>
    <col min="15" max="15" width="21.625" style="56" customWidth="1"/>
    <col min="16" max="16" width="21.625" style="10" customWidth="1"/>
    <col min="17" max="17" width="19.625" style="158" customWidth="1"/>
    <col min="18" max="18" width="19.625" style="174" customWidth="1"/>
    <col min="19" max="19" width="38.25" style="164" customWidth="1"/>
    <col min="20" max="20" width="38.125" style="56" customWidth="1"/>
    <col min="21" max="22" width="20.125" style="56" customWidth="1"/>
    <col min="23" max="23" width="17" style="158" customWidth="1"/>
    <col min="24" max="24" width="23.25" style="174" customWidth="1"/>
    <col min="25" max="25" width="13" style="168" customWidth="1"/>
    <col min="26" max="26" width="17.875" style="10" customWidth="1"/>
    <col min="27" max="27" width="24" style="56" customWidth="1"/>
    <col min="28" max="31" width="17.875" style="56" customWidth="1"/>
    <col min="32" max="32" width="13" style="170" customWidth="1"/>
    <col min="33" max="34" width="17.875" style="56" customWidth="1"/>
    <col min="35" max="35" width="32.75" style="168" customWidth="1"/>
    <col min="36" max="43" width="21.125" style="56" customWidth="1"/>
    <col min="44" max="44" width="15.25" style="168" customWidth="1"/>
    <col min="45" max="50" width="23.5" style="56" customWidth="1"/>
    <col min="51" max="52" width="33" style="56" customWidth="1"/>
    <col min="53" max="53" width="12.875" style="168" customWidth="1"/>
    <col min="54" max="54" width="23.5" style="56" customWidth="1"/>
    <col min="55" max="55" width="31.625" style="56" customWidth="1"/>
    <col min="56" max="56" width="25.25" style="56" customWidth="1"/>
    <col min="57" max="57" width="10.25" style="168" customWidth="1"/>
    <col min="58" max="58" width="19.125" style="56" customWidth="1"/>
    <col min="59" max="59" width="21.625" style="10" customWidth="1"/>
    <col min="60" max="60" width="13.375" style="56" customWidth="1"/>
    <col min="61" max="63" width="11.75" style="56" customWidth="1"/>
    <col min="64" max="70" width="11.75" style="96" customWidth="1"/>
    <col min="71" max="71" width="17.5" style="144" customWidth="1"/>
    <col min="72" max="90" width="18.5" style="94" customWidth="1"/>
    <col min="91" max="91" width="17.875" style="7" customWidth="1"/>
    <col min="92" max="106" width="17.25" style="94" customWidth="1"/>
    <col min="107" max="107" width="20.125" style="7" customWidth="1"/>
    <col min="108" max="114" width="11.75" style="94" customWidth="1"/>
    <col min="115" max="16384" width="9" style="94"/>
  </cols>
  <sheetData>
    <row r="1" spans="1:114" s="96" customFormat="1" x14ac:dyDescent="0.15">
      <c r="A1" s="11" t="s">
        <v>559</v>
      </c>
      <c r="B1" s="13"/>
      <c r="C1" s="12"/>
      <c r="D1" s="13"/>
      <c r="E1" s="13"/>
      <c r="F1" s="12"/>
      <c r="G1" s="56" t="s">
        <v>793</v>
      </c>
      <c r="H1" s="56" t="s">
        <v>582</v>
      </c>
      <c r="I1" s="56" t="s">
        <v>793</v>
      </c>
      <c r="J1" s="56" t="s">
        <v>582</v>
      </c>
      <c r="K1" s="56" t="s">
        <v>582</v>
      </c>
      <c r="L1" s="161" t="s">
        <v>793</v>
      </c>
      <c r="M1" s="10"/>
      <c r="N1" s="56" t="s">
        <v>793</v>
      </c>
      <c r="O1" s="56" t="s">
        <v>793</v>
      </c>
      <c r="P1" s="10"/>
      <c r="Q1" s="158"/>
      <c r="R1" s="174"/>
      <c r="S1" s="164"/>
      <c r="T1" s="56" t="s">
        <v>60</v>
      </c>
      <c r="U1" s="56"/>
      <c r="V1" s="56"/>
      <c r="W1" s="158"/>
      <c r="X1" s="174"/>
      <c r="Y1" s="168"/>
      <c r="Z1" s="10"/>
      <c r="AA1" s="56" t="s">
        <v>988</v>
      </c>
      <c r="AB1" s="56" t="s">
        <v>60</v>
      </c>
      <c r="AC1" s="56" t="s">
        <v>60</v>
      </c>
      <c r="AD1" s="56" t="s">
        <v>60</v>
      </c>
      <c r="AE1" s="56" t="s">
        <v>60</v>
      </c>
      <c r="AF1" s="170"/>
      <c r="AG1" s="56" t="s">
        <v>60</v>
      </c>
      <c r="AH1" s="56" t="s">
        <v>60</v>
      </c>
      <c r="AI1" s="168"/>
      <c r="AJ1" s="56" t="s">
        <v>582</v>
      </c>
      <c r="AK1" s="56" t="s">
        <v>582</v>
      </c>
      <c r="AL1" s="56" t="s">
        <v>582</v>
      </c>
      <c r="AM1" s="56" t="s">
        <v>582</v>
      </c>
      <c r="AN1" s="56" t="s">
        <v>582</v>
      </c>
      <c r="AO1" s="56" t="s">
        <v>582</v>
      </c>
      <c r="AP1" s="56" t="s">
        <v>1280</v>
      </c>
      <c r="AQ1" s="56" t="s">
        <v>1280</v>
      </c>
      <c r="AR1" s="168"/>
      <c r="AS1" s="56" t="s">
        <v>582</v>
      </c>
      <c r="AT1" s="56" t="s">
        <v>582</v>
      </c>
      <c r="AU1" s="56" t="s">
        <v>582</v>
      </c>
      <c r="AV1" s="56" t="s">
        <v>582</v>
      </c>
      <c r="AW1" s="56" t="s">
        <v>582</v>
      </c>
      <c r="AX1" s="56" t="s">
        <v>582</v>
      </c>
      <c r="AY1" s="56" t="s">
        <v>582</v>
      </c>
      <c r="AZ1" s="56" t="s">
        <v>1280</v>
      </c>
      <c r="BA1" s="168"/>
      <c r="BB1" s="56" t="s">
        <v>582</v>
      </c>
      <c r="BC1" s="56" t="s">
        <v>582</v>
      </c>
      <c r="BD1" s="56" t="s">
        <v>1046</v>
      </c>
      <c r="BE1" s="168"/>
      <c r="BF1" s="56" t="s">
        <v>582</v>
      </c>
      <c r="BG1" s="10"/>
      <c r="BH1" s="56" t="s">
        <v>582</v>
      </c>
      <c r="BI1" s="56" t="s">
        <v>582</v>
      </c>
      <c r="BJ1" s="56" t="s">
        <v>582</v>
      </c>
      <c r="BK1" s="56" t="s">
        <v>582</v>
      </c>
      <c r="BL1" s="56" t="s">
        <v>582</v>
      </c>
      <c r="BM1" s="56" t="s">
        <v>582</v>
      </c>
      <c r="BN1" s="56" t="s">
        <v>582</v>
      </c>
      <c r="BO1" s="56" t="s">
        <v>582</v>
      </c>
      <c r="BP1" s="56" t="s">
        <v>582</v>
      </c>
      <c r="BQ1" s="56" t="s">
        <v>582</v>
      </c>
      <c r="BR1" s="56" t="s">
        <v>582</v>
      </c>
      <c r="BS1" s="10"/>
      <c r="BT1" s="56" t="s">
        <v>582</v>
      </c>
      <c r="BU1" s="56" t="s">
        <v>582</v>
      </c>
      <c r="BV1" s="56" t="s">
        <v>582</v>
      </c>
      <c r="BW1" s="56" t="s">
        <v>582</v>
      </c>
      <c r="BX1" s="56" t="s">
        <v>582</v>
      </c>
      <c r="BY1" s="56" t="s">
        <v>582</v>
      </c>
      <c r="BZ1" s="56" t="s">
        <v>582</v>
      </c>
      <c r="CA1" s="56" t="s">
        <v>582</v>
      </c>
      <c r="CB1" s="56" t="s">
        <v>582</v>
      </c>
      <c r="CC1" s="56" t="s">
        <v>582</v>
      </c>
      <c r="CD1" s="56" t="s">
        <v>582</v>
      </c>
      <c r="CE1" s="56" t="s">
        <v>582</v>
      </c>
      <c r="CF1" s="56" t="s">
        <v>582</v>
      </c>
      <c r="CG1" s="56" t="s">
        <v>582</v>
      </c>
      <c r="CH1" s="56" t="s">
        <v>582</v>
      </c>
      <c r="CI1" s="56" t="s">
        <v>582</v>
      </c>
      <c r="CJ1" s="56" t="s">
        <v>582</v>
      </c>
      <c r="CK1" s="56" t="s">
        <v>582</v>
      </c>
      <c r="CL1" s="56" t="s">
        <v>582</v>
      </c>
      <c r="CM1" s="10"/>
      <c r="CN1" s="56" t="s">
        <v>582</v>
      </c>
      <c r="CO1" s="56" t="s">
        <v>582</v>
      </c>
      <c r="CP1" s="56" t="s">
        <v>582</v>
      </c>
      <c r="CQ1" s="56" t="s">
        <v>582</v>
      </c>
      <c r="CR1" s="56" t="s">
        <v>582</v>
      </c>
      <c r="CS1" s="56" t="s">
        <v>582</v>
      </c>
      <c r="CT1" s="56" t="s">
        <v>582</v>
      </c>
      <c r="CU1" s="56" t="s">
        <v>582</v>
      </c>
      <c r="CV1" s="56" t="s">
        <v>582</v>
      </c>
      <c r="CW1" s="56" t="s">
        <v>582</v>
      </c>
      <c r="CX1" s="56" t="s">
        <v>582</v>
      </c>
      <c r="CY1" s="56" t="s">
        <v>582</v>
      </c>
      <c r="CZ1" s="56" t="s">
        <v>582</v>
      </c>
      <c r="DA1" s="56" t="s">
        <v>582</v>
      </c>
      <c r="DB1" s="56" t="s">
        <v>582</v>
      </c>
      <c r="DC1" s="10"/>
      <c r="DD1" s="56" t="s">
        <v>582</v>
      </c>
      <c r="DE1" s="56" t="s">
        <v>582</v>
      </c>
      <c r="DF1" s="56" t="s">
        <v>582</v>
      </c>
      <c r="DG1" s="56" t="s">
        <v>582</v>
      </c>
      <c r="DH1" s="56" t="s">
        <v>582</v>
      </c>
      <c r="DI1" s="56" t="s">
        <v>582</v>
      </c>
      <c r="DJ1" s="56" t="s">
        <v>582</v>
      </c>
    </row>
    <row r="2" spans="1:114" s="96" customFormat="1" x14ac:dyDescent="0.15">
      <c r="A2" s="11" t="s">
        <v>61</v>
      </c>
      <c r="B2" s="13"/>
      <c r="C2" s="12"/>
      <c r="D2" s="13"/>
      <c r="E2" s="13"/>
      <c r="F2" s="12"/>
      <c r="G2" s="56" t="s">
        <v>792</v>
      </c>
      <c r="H2" s="56" t="s">
        <v>964</v>
      </c>
      <c r="I2" s="56" t="s">
        <v>792</v>
      </c>
      <c r="J2" s="56" t="s">
        <v>475</v>
      </c>
      <c r="K2" s="56" t="s">
        <v>475</v>
      </c>
      <c r="L2" s="161" t="s">
        <v>794</v>
      </c>
      <c r="M2" s="10"/>
      <c r="N2" s="56" t="s">
        <v>792</v>
      </c>
      <c r="O2" s="56" t="s">
        <v>794</v>
      </c>
      <c r="P2" s="10"/>
      <c r="Q2" s="158"/>
      <c r="R2" s="174"/>
      <c r="S2" s="164"/>
      <c r="T2" s="56" t="s">
        <v>61</v>
      </c>
      <c r="U2" s="56"/>
      <c r="V2" s="56"/>
      <c r="W2" s="158"/>
      <c r="X2" s="174"/>
      <c r="Y2" s="168"/>
      <c r="Z2" s="10"/>
      <c r="AA2" s="56" t="s">
        <v>987</v>
      </c>
      <c r="AB2" s="56" t="s">
        <v>61</v>
      </c>
      <c r="AC2" s="56" t="s">
        <v>61</v>
      </c>
      <c r="AD2" s="56" t="s">
        <v>61</v>
      </c>
      <c r="AE2" s="56" t="s">
        <v>61</v>
      </c>
      <c r="AF2" s="170"/>
      <c r="AG2" s="56" t="s">
        <v>61</v>
      </c>
      <c r="AH2" s="56" t="s">
        <v>61</v>
      </c>
      <c r="AI2" s="168"/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1279</v>
      </c>
      <c r="AQ2" s="56" t="s">
        <v>1279</v>
      </c>
      <c r="AR2" s="168"/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1279</v>
      </c>
      <c r="BA2" s="168"/>
      <c r="BB2" s="56" t="s">
        <v>61</v>
      </c>
      <c r="BC2" s="56" t="s">
        <v>61</v>
      </c>
      <c r="BD2" s="56" t="s">
        <v>1045</v>
      </c>
      <c r="BE2" s="168"/>
      <c r="BF2" s="56" t="s">
        <v>61</v>
      </c>
      <c r="BG2" s="10"/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56" t="s">
        <v>61</v>
      </c>
      <c r="BP2" s="56" t="s">
        <v>61</v>
      </c>
      <c r="BQ2" s="56" t="s">
        <v>61</v>
      </c>
      <c r="BR2" s="56" t="s">
        <v>61</v>
      </c>
      <c r="BS2" s="10"/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56" t="s">
        <v>61</v>
      </c>
      <c r="CJ2" s="56" t="s">
        <v>61</v>
      </c>
      <c r="CK2" s="56" t="s">
        <v>61</v>
      </c>
      <c r="CL2" s="56" t="s">
        <v>61</v>
      </c>
      <c r="CM2" s="10"/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56" t="s">
        <v>61</v>
      </c>
      <c r="CZ2" s="56" t="s">
        <v>61</v>
      </c>
      <c r="DA2" s="56" t="s">
        <v>61</v>
      </c>
      <c r="DB2" s="56" t="s">
        <v>61</v>
      </c>
      <c r="DC2" s="10"/>
      <c r="DD2" s="56" t="s">
        <v>61</v>
      </c>
      <c r="DE2" s="56" t="s">
        <v>61</v>
      </c>
      <c r="DF2" s="56" t="s">
        <v>61</v>
      </c>
      <c r="DG2" s="56" t="s">
        <v>61</v>
      </c>
      <c r="DH2" s="56" t="s">
        <v>61</v>
      </c>
      <c r="DI2" s="56" t="s">
        <v>61</v>
      </c>
      <c r="DJ2" s="56" t="s">
        <v>61</v>
      </c>
    </row>
    <row r="3" spans="1:114" s="96" customFormat="1" x14ac:dyDescent="0.15">
      <c r="A3" s="11" t="s">
        <v>565</v>
      </c>
      <c r="B3" s="13"/>
      <c r="C3" s="12"/>
      <c r="D3" s="13"/>
      <c r="E3" s="13"/>
      <c r="F3" s="12"/>
      <c r="G3" s="56" t="s">
        <v>803</v>
      </c>
      <c r="H3" s="56" t="s">
        <v>963</v>
      </c>
      <c r="I3" s="56" t="s">
        <v>806</v>
      </c>
      <c r="J3" s="56" t="s">
        <v>974</v>
      </c>
      <c r="K3" s="56" t="s">
        <v>975</v>
      </c>
      <c r="L3" s="161" t="s">
        <v>823</v>
      </c>
      <c r="M3" s="10"/>
      <c r="N3" s="56" t="s">
        <v>796</v>
      </c>
      <c r="O3" s="56" t="s">
        <v>815</v>
      </c>
      <c r="P3" s="10"/>
      <c r="Q3" s="158"/>
      <c r="R3" s="174"/>
      <c r="S3" s="164"/>
      <c r="T3" s="56" t="s">
        <v>979</v>
      </c>
      <c r="U3" s="56"/>
      <c r="V3" s="56"/>
      <c r="W3" s="158"/>
      <c r="X3" s="174"/>
      <c r="Y3" s="168"/>
      <c r="Z3" s="10"/>
      <c r="AA3" s="56" t="s">
        <v>986</v>
      </c>
      <c r="AB3" s="56" t="s">
        <v>798</v>
      </c>
      <c r="AC3" s="56" t="s">
        <v>799</v>
      </c>
      <c r="AD3" s="56" t="s">
        <v>800</v>
      </c>
      <c r="AE3" s="56" t="s">
        <v>801</v>
      </c>
      <c r="AF3" s="170"/>
      <c r="AG3" s="56" t="s">
        <v>1247</v>
      </c>
      <c r="AH3" s="56" t="s">
        <v>1248</v>
      </c>
      <c r="AI3" s="168"/>
      <c r="AJ3" s="38" t="s">
        <v>849</v>
      </c>
      <c r="AK3" s="62" t="s">
        <v>850</v>
      </c>
      <c r="AL3" s="62" t="s">
        <v>851</v>
      </c>
      <c r="AM3" s="62" t="s">
        <v>852</v>
      </c>
      <c r="AN3" s="62" t="s">
        <v>853</v>
      </c>
      <c r="AO3" s="62" t="s">
        <v>854</v>
      </c>
      <c r="AP3" s="62" t="s">
        <v>1284</v>
      </c>
      <c r="AQ3" s="62" t="s">
        <v>1278</v>
      </c>
      <c r="AR3" s="168"/>
      <c r="AS3" s="38" t="s">
        <v>855</v>
      </c>
      <c r="AT3" s="62" t="s">
        <v>856</v>
      </c>
      <c r="AU3" s="62" t="s">
        <v>857</v>
      </c>
      <c r="AV3" s="62" t="s">
        <v>858</v>
      </c>
      <c r="AW3" s="62" t="s">
        <v>859</v>
      </c>
      <c r="AX3" s="62" t="s">
        <v>860</v>
      </c>
      <c r="AY3" s="62" t="s">
        <v>1285</v>
      </c>
      <c r="AZ3" s="62" t="s">
        <v>1282</v>
      </c>
      <c r="BA3" s="168"/>
      <c r="BB3" s="38" t="s">
        <v>899</v>
      </c>
      <c r="BC3" s="62" t="s">
        <v>833</v>
      </c>
      <c r="BD3" s="62" t="s">
        <v>1043</v>
      </c>
      <c r="BE3" s="168"/>
      <c r="BF3" s="38" t="s">
        <v>812</v>
      </c>
      <c r="BG3" s="10"/>
      <c r="BH3" s="38" t="s">
        <v>1195</v>
      </c>
      <c r="BI3" s="62" t="s">
        <v>1196</v>
      </c>
      <c r="BJ3" s="62" t="s">
        <v>1197</v>
      </c>
      <c r="BK3" s="62" t="s">
        <v>1198</v>
      </c>
      <c r="BL3" s="35" t="s">
        <v>1199</v>
      </c>
      <c r="BM3" s="35" t="s">
        <v>1200</v>
      </c>
      <c r="BN3" s="35" t="s">
        <v>1201</v>
      </c>
      <c r="BO3" s="62" t="s">
        <v>1202</v>
      </c>
      <c r="BP3" s="35" t="s">
        <v>1203</v>
      </c>
      <c r="BQ3" s="35" t="s">
        <v>1204</v>
      </c>
      <c r="BR3" s="35" t="s">
        <v>1205</v>
      </c>
      <c r="BS3" s="36"/>
      <c r="BT3" s="35" t="s">
        <v>1206</v>
      </c>
      <c r="BU3" s="35" t="s">
        <v>1207</v>
      </c>
      <c r="BV3" s="35" t="s">
        <v>1208</v>
      </c>
      <c r="BW3" s="35" t="s">
        <v>1209</v>
      </c>
      <c r="BX3" s="35" t="s">
        <v>1210</v>
      </c>
      <c r="BY3" s="35" t="s">
        <v>1211</v>
      </c>
      <c r="BZ3" s="35" t="s">
        <v>1212</v>
      </c>
      <c r="CA3" s="35" t="s">
        <v>1213</v>
      </c>
      <c r="CB3" s="35" t="s">
        <v>1214</v>
      </c>
      <c r="CC3" s="35" t="s">
        <v>1215</v>
      </c>
      <c r="CD3" s="35" t="s">
        <v>1216</v>
      </c>
      <c r="CE3" s="35" t="s">
        <v>1217</v>
      </c>
      <c r="CF3" s="35" t="s">
        <v>1218</v>
      </c>
      <c r="CG3" s="35" t="s">
        <v>1219</v>
      </c>
      <c r="CH3" s="35" t="s">
        <v>1220</v>
      </c>
      <c r="CI3" s="35" t="s">
        <v>1221</v>
      </c>
      <c r="CJ3" s="35" t="s">
        <v>1222</v>
      </c>
      <c r="CK3" s="35" t="s">
        <v>1223</v>
      </c>
      <c r="CL3" s="35" t="s">
        <v>1224</v>
      </c>
      <c r="CM3" s="36"/>
      <c r="CN3" s="35" t="s">
        <v>1225</v>
      </c>
      <c r="CO3" s="35" t="s">
        <v>1226</v>
      </c>
      <c r="CP3" s="35" t="s">
        <v>1227</v>
      </c>
      <c r="CQ3" s="35" t="s">
        <v>1228</v>
      </c>
      <c r="CR3" s="35" t="s">
        <v>1229</v>
      </c>
      <c r="CS3" s="35" t="s">
        <v>1230</v>
      </c>
      <c r="CT3" s="35" t="s">
        <v>1231</v>
      </c>
      <c r="CU3" s="35" t="s">
        <v>1232</v>
      </c>
      <c r="CV3" s="35" t="s">
        <v>1233</v>
      </c>
      <c r="CW3" s="35" t="s">
        <v>1234</v>
      </c>
      <c r="CX3" s="35" t="s">
        <v>1235</v>
      </c>
      <c r="CY3" s="35" t="s">
        <v>1236</v>
      </c>
      <c r="CZ3" s="35" t="s">
        <v>1237</v>
      </c>
      <c r="DA3" s="35" t="s">
        <v>1238</v>
      </c>
      <c r="DB3" s="35" t="s">
        <v>1239</v>
      </c>
      <c r="DC3" s="36"/>
      <c r="DD3" s="35" t="s">
        <v>1240</v>
      </c>
      <c r="DE3" s="35" t="s">
        <v>1241</v>
      </c>
      <c r="DF3" s="35" t="s">
        <v>1242</v>
      </c>
      <c r="DG3" s="35" t="s">
        <v>1243</v>
      </c>
      <c r="DH3" s="35" t="s">
        <v>1244</v>
      </c>
      <c r="DI3" s="35" t="s">
        <v>1245</v>
      </c>
      <c r="DJ3" s="35" t="s">
        <v>1246</v>
      </c>
    </row>
    <row r="4" spans="1:114" s="95" customFormat="1" ht="118.5" customHeight="1" thickBot="1" x14ac:dyDescent="0.2">
      <c r="A4" s="97" t="s">
        <v>565</v>
      </c>
      <c r="B4" s="109" t="s">
        <v>584</v>
      </c>
      <c r="C4" s="110" t="s">
        <v>1346</v>
      </c>
      <c r="D4" s="109" t="s">
        <v>878</v>
      </c>
      <c r="E4" s="109" t="s">
        <v>879</v>
      </c>
      <c r="F4" s="110"/>
      <c r="G4" s="58" t="s">
        <v>804</v>
      </c>
      <c r="H4" s="58" t="s">
        <v>965</v>
      </c>
      <c r="I4" s="58" t="s">
        <v>1048</v>
      </c>
      <c r="J4" s="58" t="s">
        <v>1049</v>
      </c>
      <c r="K4" s="58" t="s">
        <v>1050</v>
      </c>
      <c r="L4" s="162" t="s">
        <v>822</v>
      </c>
      <c r="M4" s="145" t="s">
        <v>805</v>
      </c>
      <c r="N4" s="92" t="s">
        <v>795</v>
      </c>
      <c r="O4" s="56" t="s">
        <v>966</v>
      </c>
      <c r="P4" s="10" t="s">
        <v>1350</v>
      </c>
      <c r="Q4" s="158" t="s">
        <v>1006</v>
      </c>
      <c r="R4" s="174" t="s">
        <v>980</v>
      </c>
      <c r="S4" s="164" t="s">
        <v>983</v>
      </c>
      <c r="T4" s="56" t="s">
        <v>984</v>
      </c>
      <c r="U4" s="56" t="s">
        <v>1000</v>
      </c>
      <c r="V4" s="56" t="s">
        <v>1001</v>
      </c>
      <c r="W4" s="158" t="s">
        <v>997</v>
      </c>
      <c r="X4" s="174" t="s">
        <v>981</v>
      </c>
      <c r="Y4" s="168" t="s">
        <v>811</v>
      </c>
      <c r="Z4" s="10" t="s">
        <v>802</v>
      </c>
      <c r="AA4" s="56" t="s">
        <v>985</v>
      </c>
      <c r="AB4" s="56" t="s">
        <v>880</v>
      </c>
      <c r="AC4" s="56" t="s">
        <v>881</v>
      </c>
      <c r="AD4" s="56" t="s">
        <v>882</v>
      </c>
      <c r="AE4" s="56" t="s">
        <v>883</v>
      </c>
      <c r="AF4" s="171" t="s">
        <v>982</v>
      </c>
      <c r="AG4" s="56" t="s">
        <v>884</v>
      </c>
      <c r="AH4" s="56" t="s">
        <v>885</v>
      </c>
      <c r="AI4" s="173" t="s">
        <v>967</v>
      </c>
      <c r="AJ4" s="38" t="s">
        <v>886</v>
      </c>
      <c r="AK4" s="62" t="s">
        <v>887</v>
      </c>
      <c r="AL4" s="62" t="s">
        <v>888</v>
      </c>
      <c r="AM4" s="62" t="s">
        <v>889</v>
      </c>
      <c r="AN4" s="62" t="s">
        <v>890</v>
      </c>
      <c r="AO4" s="62" t="s">
        <v>891</v>
      </c>
      <c r="AP4" s="62" t="s">
        <v>1283</v>
      </c>
      <c r="AQ4" s="62" t="s">
        <v>1277</v>
      </c>
      <c r="AR4" s="168" t="s">
        <v>892</v>
      </c>
      <c r="AS4" s="38" t="s">
        <v>893</v>
      </c>
      <c r="AT4" s="62" t="s">
        <v>894</v>
      </c>
      <c r="AU4" s="62" t="s">
        <v>895</v>
      </c>
      <c r="AV4" s="62" t="s">
        <v>896</v>
      </c>
      <c r="AW4" s="62" t="s">
        <v>897</v>
      </c>
      <c r="AX4" s="62" t="s">
        <v>898</v>
      </c>
      <c r="AY4" s="62" t="s">
        <v>903</v>
      </c>
      <c r="AZ4" s="62" t="s">
        <v>1281</v>
      </c>
      <c r="BA4" s="168" t="s">
        <v>834</v>
      </c>
      <c r="BB4" s="38" t="s">
        <v>900</v>
      </c>
      <c r="BC4" s="62" t="s">
        <v>901</v>
      </c>
      <c r="BD4" s="62" t="s">
        <v>1044</v>
      </c>
      <c r="BE4" s="168" t="s">
        <v>861</v>
      </c>
      <c r="BF4" s="38" t="s">
        <v>904</v>
      </c>
      <c r="BG4" s="10" t="s">
        <v>992</v>
      </c>
      <c r="BH4" s="38" t="s">
        <v>905</v>
      </c>
      <c r="BI4" s="62" t="s">
        <v>906</v>
      </c>
      <c r="BJ4" s="62" t="s">
        <v>907</v>
      </c>
      <c r="BK4" s="62" t="s">
        <v>908</v>
      </c>
      <c r="BL4" s="35" t="s">
        <v>909</v>
      </c>
      <c r="BM4" s="35" t="s">
        <v>910</v>
      </c>
      <c r="BN4" s="35" t="s">
        <v>911</v>
      </c>
      <c r="BO4" s="62" t="s">
        <v>912</v>
      </c>
      <c r="BP4" s="35" t="s">
        <v>913</v>
      </c>
      <c r="BQ4" s="35" t="s">
        <v>914</v>
      </c>
      <c r="BR4" s="35" t="s">
        <v>915</v>
      </c>
      <c r="BS4" s="36" t="s">
        <v>991</v>
      </c>
      <c r="BT4" s="35" t="s">
        <v>916</v>
      </c>
      <c r="BU4" s="35" t="s">
        <v>917</v>
      </c>
      <c r="BV4" s="35" t="s">
        <v>918</v>
      </c>
      <c r="BW4" s="35" t="s">
        <v>919</v>
      </c>
      <c r="BX4" s="35" t="s">
        <v>920</v>
      </c>
      <c r="BY4" s="35" t="s">
        <v>921</v>
      </c>
      <c r="BZ4" s="35" t="s">
        <v>922</v>
      </c>
      <c r="CA4" s="35" t="s">
        <v>923</v>
      </c>
      <c r="CB4" s="35" t="s">
        <v>924</v>
      </c>
      <c r="CC4" s="35" t="s">
        <v>925</v>
      </c>
      <c r="CD4" s="35" t="s">
        <v>926</v>
      </c>
      <c r="CE4" s="35" t="s">
        <v>927</v>
      </c>
      <c r="CF4" s="35" t="s">
        <v>928</v>
      </c>
      <c r="CG4" s="35" t="s">
        <v>929</v>
      </c>
      <c r="CH4" s="35" t="s">
        <v>930</v>
      </c>
      <c r="CI4" s="35" t="s">
        <v>931</v>
      </c>
      <c r="CJ4" s="35" t="s">
        <v>932</v>
      </c>
      <c r="CK4" s="35" t="s">
        <v>933</v>
      </c>
      <c r="CL4" s="35" t="s">
        <v>934</v>
      </c>
      <c r="CM4" s="36" t="s">
        <v>990</v>
      </c>
      <c r="CN4" s="35" t="s">
        <v>935</v>
      </c>
      <c r="CO4" s="35" t="s">
        <v>936</v>
      </c>
      <c r="CP4" s="35" t="s">
        <v>937</v>
      </c>
      <c r="CQ4" s="35" t="s">
        <v>938</v>
      </c>
      <c r="CR4" s="35" t="s">
        <v>939</v>
      </c>
      <c r="CS4" s="35" t="s">
        <v>940</v>
      </c>
      <c r="CT4" s="35" t="s">
        <v>941</v>
      </c>
      <c r="CU4" s="35" t="s">
        <v>942</v>
      </c>
      <c r="CV4" s="35" t="s">
        <v>956</v>
      </c>
      <c r="CW4" s="35" t="s">
        <v>955</v>
      </c>
      <c r="CX4" s="35" t="s">
        <v>954</v>
      </c>
      <c r="CY4" s="35" t="s">
        <v>953</v>
      </c>
      <c r="CZ4" s="35" t="s">
        <v>952</v>
      </c>
      <c r="DA4" s="35" t="s">
        <v>951</v>
      </c>
      <c r="DB4" s="35" t="s">
        <v>950</v>
      </c>
      <c r="DC4" s="36" t="s">
        <v>989</v>
      </c>
      <c r="DD4" s="35" t="s">
        <v>949</v>
      </c>
      <c r="DE4" s="35" t="s">
        <v>948</v>
      </c>
      <c r="DF4" s="35" t="s">
        <v>947</v>
      </c>
      <c r="DG4" s="35" t="s">
        <v>946</v>
      </c>
      <c r="DH4" s="35" t="s">
        <v>945</v>
      </c>
      <c r="DI4" s="35" t="s">
        <v>944</v>
      </c>
      <c r="DJ4" s="35" t="s">
        <v>943</v>
      </c>
    </row>
    <row r="5" spans="1:114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862</v>
      </c>
      <c r="H5" s="57">
        <v>1</v>
      </c>
      <c r="I5" s="57" t="s">
        <v>1047</v>
      </c>
      <c r="J5" s="57" t="s">
        <v>1063</v>
      </c>
      <c r="K5" s="57" t="s">
        <v>1076</v>
      </c>
      <c r="L5" s="163">
        <v>360</v>
      </c>
      <c r="M5" s="17" t="s">
        <v>960</v>
      </c>
      <c r="N5" s="57" t="s">
        <v>1299</v>
      </c>
      <c r="O5" s="57">
        <f>P5*30</f>
        <v>600</v>
      </c>
      <c r="P5" s="17">
        <v>20</v>
      </c>
      <c r="Q5" s="159">
        <f>IF((1-(1-O5/100000)^1440)=0,"",1-(1-O5/100000)^1440)</f>
        <v>0.99982765704618048</v>
      </c>
      <c r="R5" s="175">
        <f>IF((O5/100000)*1440=0,"",(O5/100000)*1440)</f>
        <v>8.64</v>
      </c>
      <c r="S5" s="165"/>
      <c r="T5" s="57"/>
      <c r="U5" s="57"/>
      <c r="V5" s="57"/>
      <c r="W5" s="159" t="str">
        <f t="shared" ref="W5:W68" si="0">IF((1-(1-T5/100000)^L5)=0,"",1-(1-T5/100000)^L5)</f>
        <v/>
      </c>
      <c r="X5" s="175" t="str">
        <f t="shared" ref="X5:X69" si="1">IF((T5/100000)*L5=0,"",(T5/100000)*L5)</f>
        <v/>
      </c>
      <c r="Y5" s="169"/>
      <c r="Z5" s="17"/>
      <c r="AA5" s="153">
        <v>120</v>
      </c>
      <c r="AC5" s="57"/>
      <c r="AD5" s="57"/>
      <c r="AE5" s="153">
        <v>110</v>
      </c>
      <c r="AF5" s="172"/>
      <c r="AG5" s="57"/>
      <c r="AH5" s="57"/>
      <c r="AI5" s="169"/>
      <c r="AJ5" s="57"/>
      <c r="AK5" s="57"/>
      <c r="AL5" s="57"/>
      <c r="AM5" s="57"/>
      <c r="AN5" s="57"/>
      <c r="AO5" s="57"/>
      <c r="AP5" s="57"/>
      <c r="AQ5" s="57"/>
      <c r="AR5" s="169"/>
      <c r="AS5" s="57"/>
      <c r="AT5" s="57"/>
      <c r="AU5" s="57"/>
      <c r="AV5" s="57"/>
      <c r="AW5" s="57"/>
      <c r="AX5" s="57"/>
      <c r="AY5" s="57"/>
      <c r="AZ5" s="57"/>
      <c r="BA5" s="169"/>
      <c r="BB5" s="57"/>
      <c r="BC5" s="57"/>
      <c r="BD5" s="57"/>
      <c r="BE5" s="169"/>
      <c r="BF5" s="153">
        <v>200</v>
      </c>
      <c r="BG5" s="17"/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53">
        <v>110</v>
      </c>
      <c r="BP5" s="153">
        <v>110</v>
      </c>
      <c r="BQ5" s="153">
        <v>110</v>
      </c>
      <c r="BR5" s="153">
        <v>110</v>
      </c>
      <c r="BS5" s="143"/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54">
        <v>110</v>
      </c>
      <c r="CJ5" s="154">
        <v>110</v>
      </c>
      <c r="CK5" s="154">
        <v>110</v>
      </c>
      <c r="CL5" s="154">
        <v>110</v>
      </c>
      <c r="CM5" s="143"/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54">
        <v>120</v>
      </c>
      <c r="CZ5" s="154">
        <v>120</v>
      </c>
      <c r="DA5" s="154">
        <v>120</v>
      </c>
      <c r="DB5" s="154">
        <v>120</v>
      </c>
      <c r="DC5" s="143"/>
      <c r="DD5" s="154">
        <v>120</v>
      </c>
      <c r="DE5" s="154">
        <v>120</v>
      </c>
      <c r="DF5" s="154">
        <v>120</v>
      </c>
      <c r="DG5" s="154">
        <v>120</v>
      </c>
      <c r="DH5" s="154">
        <v>120</v>
      </c>
      <c r="DI5" s="154">
        <v>120</v>
      </c>
      <c r="DJ5" s="154">
        <v>120</v>
      </c>
    </row>
    <row r="6" spans="1:114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807</v>
      </c>
      <c r="H6" s="56">
        <v>3</v>
      </c>
      <c r="I6" s="56" t="s">
        <v>1047</v>
      </c>
      <c r="J6" s="56" t="s">
        <v>1063</v>
      </c>
      <c r="L6" s="161">
        <v>360</v>
      </c>
      <c r="M6" s="10" t="s">
        <v>961</v>
      </c>
      <c r="N6" s="56" t="s">
        <v>1300</v>
      </c>
      <c r="O6" s="56">
        <f t="shared" ref="O6:O69" si="3">P6*30</f>
        <v>450</v>
      </c>
      <c r="P6" s="10">
        <v>15</v>
      </c>
      <c r="Q6" s="158">
        <f t="shared" ref="Q6:Q69" si="4">IF((1-(1-O6/100000)^1440)=0,"",1-(1-O6/100000)^1440)</f>
        <v>0.99848845638414807</v>
      </c>
      <c r="R6" s="174">
        <f t="shared" ref="R6:R69" si="5">IF((O6/100000)*1440=0,"",(O6/100000)*1440)</f>
        <v>6.4799999999999995</v>
      </c>
      <c r="W6" s="158" t="str">
        <f t="shared" si="0"/>
        <v/>
      </c>
      <c r="X6" s="174" t="str">
        <f t="shared" si="1"/>
        <v/>
      </c>
      <c r="AA6" s="152">
        <v>160</v>
      </c>
      <c r="AE6" s="152">
        <v>120</v>
      </c>
      <c r="BF6" s="152">
        <v>300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O6" s="152">
        <v>120</v>
      </c>
      <c r="BP6" s="152">
        <v>120</v>
      </c>
      <c r="BQ6" s="152">
        <v>120</v>
      </c>
      <c r="BR6" s="152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I6" s="155">
        <v>120</v>
      </c>
      <c r="CJ6" s="155">
        <v>120</v>
      </c>
      <c r="CK6" s="155">
        <v>120</v>
      </c>
      <c r="CL6" s="155">
        <v>120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Y6" s="155">
        <v>140</v>
      </c>
      <c r="CZ6" s="155">
        <v>140</v>
      </c>
      <c r="DA6" s="155">
        <v>140</v>
      </c>
      <c r="DB6" s="155">
        <v>140</v>
      </c>
      <c r="DD6" s="155">
        <v>140</v>
      </c>
      <c r="DE6" s="155">
        <v>140</v>
      </c>
      <c r="DF6" s="155">
        <v>140</v>
      </c>
      <c r="DG6" s="155">
        <v>140</v>
      </c>
      <c r="DH6" s="155">
        <v>140</v>
      </c>
      <c r="DI6" s="155">
        <v>140</v>
      </c>
      <c r="DJ6" s="155">
        <v>140</v>
      </c>
    </row>
    <row r="7" spans="1:114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808</v>
      </c>
      <c r="H7" s="56">
        <v>5</v>
      </c>
      <c r="I7" s="56" t="s">
        <v>1047</v>
      </c>
      <c r="J7" s="56" t="s">
        <v>1063</v>
      </c>
      <c r="L7" s="161">
        <v>360</v>
      </c>
      <c r="M7" s="156" t="s">
        <v>962</v>
      </c>
      <c r="N7" s="56" t="s">
        <v>1301</v>
      </c>
      <c r="O7" s="56">
        <f t="shared" si="3"/>
        <v>300</v>
      </c>
      <c r="P7" s="10">
        <v>10</v>
      </c>
      <c r="Q7" s="158">
        <f t="shared" si="4"/>
        <v>0.98678619270966395</v>
      </c>
      <c r="R7" s="174">
        <f t="shared" si="5"/>
        <v>4.32</v>
      </c>
      <c r="W7" s="158" t="str">
        <f t="shared" si="0"/>
        <v/>
      </c>
      <c r="X7" s="174" t="str">
        <f t="shared" si="1"/>
        <v/>
      </c>
      <c r="AA7" s="152">
        <v>220</v>
      </c>
      <c r="AE7" s="152">
        <v>130</v>
      </c>
      <c r="BF7" s="152">
        <v>400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O7" s="152">
        <v>130</v>
      </c>
      <c r="BP7" s="152">
        <v>130</v>
      </c>
      <c r="BQ7" s="152">
        <v>130</v>
      </c>
      <c r="BR7" s="152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I7" s="155">
        <v>130</v>
      </c>
      <c r="CJ7" s="155">
        <v>130</v>
      </c>
      <c r="CK7" s="155">
        <v>130</v>
      </c>
      <c r="CL7" s="155">
        <v>130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Y7" s="155">
        <v>160</v>
      </c>
      <c r="CZ7" s="155">
        <v>160</v>
      </c>
      <c r="DA7" s="155">
        <v>160</v>
      </c>
      <c r="DB7" s="155">
        <v>160</v>
      </c>
      <c r="DD7" s="155">
        <v>160</v>
      </c>
      <c r="DE7" s="155">
        <v>160</v>
      </c>
      <c r="DF7" s="155">
        <v>160</v>
      </c>
      <c r="DG7" s="155">
        <v>160</v>
      </c>
      <c r="DH7" s="155">
        <v>160</v>
      </c>
      <c r="DI7" s="155">
        <v>160</v>
      </c>
      <c r="DJ7" s="155">
        <v>160</v>
      </c>
    </row>
    <row r="8" spans="1:114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863</v>
      </c>
      <c r="H8" s="56">
        <v>1</v>
      </c>
      <c r="I8" s="56" t="s">
        <v>1053</v>
      </c>
      <c r="J8" s="56" t="s">
        <v>1064</v>
      </c>
      <c r="L8" s="161">
        <v>360</v>
      </c>
      <c r="N8" s="56" t="s">
        <v>1302</v>
      </c>
      <c r="O8" s="56">
        <f t="shared" si="3"/>
        <v>600</v>
      </c>
      <c r="P8" s="10">
        <v>20</v>
      </c>
      <c r="Q8" s="158">
        <f t="shared" si="4"/>
        <v>0.99982765704618048</v>
      </c>
      <c r="R8" s="174">
        <f t="shared" si="5"/>
        <v>8.64</v>
      </c>
      <c r="W8" s="158" t="str">
        <f t="shared" si="0"/>
        <v/>
      </c>
      <c r="X8" s="174" t="str">
        <f t="shared" si="1"/>
        <v/>
      </c>
      <c r="AA8" s="152">
        <v>40</v>
      </c>
      <c r="AE8" s="152">
        <v>90</v>
      </c>
      <c r="BF8" s="152">
        <v>75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O8" s="152">
        <v>90</v>
      </c>
      <c r="BP8" s="152">
        <v>90</v>
      </c>
      <c r="BQ8" s="152">
        <v>90</v>
      </c>
      <c r="BR8" s="152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I8" s="155">
        <v>90</v>
      </c>
      <c r="CJ8" s="155">
        <v>90</v>
      </c>
      <c r="CK8" s="155">
        <v>90</v>
      </c>
      <c r="CL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Y8" s="155">
        <v>90</v>
      </c>
      <c r="CZ8" s="155">
        <v>90</v>
      </c>
      <c r="DA8" s="155">
        <v>90</v>
      </c>
      <c r="DB8" s="155">
        <v>90</v>
      </c>
      <c r="DD8" s="155">
        <v>90</v>
      </c>
      <c r="DE8" s="155">
        <v>90</v>
      </c>
      <c r="DF8" s="155">
        <v>90</v>
      </c>
      <c r="DG8" s="155">
        <v>90</v>
      </c>
      <c r="DH8" s="155">
        <v>90</v>
      </c>
      <c r="DI8" s="155">
        <v>90</v>
      </c>
      <c r="DJ8" s="155">
        <v>90</v>
      </c>
    </row>
    <row r="9" spans="1:114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864</v>
      </c>
      <c r="H9" s="56">
        <v>3</v>
      </c>
      <c r="I9" s="56" t="s">
        <v>1051</v>
      </c>
      <c r="J9" s="56" t="s">
        <v>1064</v>
      </c>
      <c r="L9" s="161">
        <v>360</v>
      </c>
      <c r="N9" s="56" t="s">
        <v>1303</v>
      </c>
      <c r="O9" s="56">
        <f t="shared" si="3"/>
        <v>450</v>
      </c>
      <c r="P9" s="10">
        <v>15</v>
      </c>
      <c r="Q9" s="158">
        <f t="shared" si="4"/>
        <v>0.99848845638414807</v>
      </c>
      <c r="R9" s="174">
        <f t="shared" si="5"/>
        <v>6.4799999999999995</v>
      </c>
      <c r="W9" s="158" t="str">
        <f t="shared" si="0"/>
        <v/>
      </c>
      <c r="X9" s="174" t="str">
        <f t="shared" si="1"/>
        <v/>
      </c>
      <c r="AA9" s="152">
        <v>25</v>
      </c>
      <c r="AE9" s="152">
        <v>80</v>
      </c>
      <c r="BF9" s="152">
        <v>60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O9" s="152">
        <v>80</v>
      </c>
      <c r="BP9" s="152">
        <v>80</v>
      </c>
      <c r="BQ9" s="152">
        <v>80</v>
      </c>
      <c r="BR9" s="152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I9" s="155">
        <v>80</v>
      </c>
      <c r="CJ9" s="155">
        <v>80</v>
      </c>
      <c r="CK9" s="155">
        <v>80</v>
      </c>
      <c r="CL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Y9" s="155">
        <v>80</v>
      </c>
      <c r="CZ9" s="155">
        <v>80</v>
      </c>
      <c r="DA9" s="155">
        <v>80</v>
      </c>
      <c r="DB9" s="155">
        <v>80</v>
      </c>
      <c r="DD9" s="155">
        <v>80</v>
      </c>
      <c r="DE9" s="155">
        <v>80</v>
      </c>
      <c r="DF9" s="155">
        <v>80</v>
      </c>
      <c r="DG9" s="155">
        <v>80</v>
      </c>
      <c r="DH9" s="155">
        <v>80</v>
      </c>
      <c r="DI9" s="155">
        <v>80</v>
      </c>
      <c r="DJ9" s="155">
        <v>80</v>
      </c>
    </row>
    <row r="10" spans="1:114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865</v>
      </c>
      <c r="H10" s="56">
        <v>5</v>
      </c>
      <c r="I10" s="56" t="s">
        <v>1051</v>
      </c>
      <c r="J10" s="56" t="s">
        <v>1064</v>
      </c>
      <c r="L10" s="161">
        <v>360</v>
      </c>
      <c r="N10" s="56" t="s">
        <v>1304</v>
      </c>
      <c r="O10" s="56">
        <f t="shared" si="3"/>
        <v>300</v>
      </c>
      <c r="P10" s="10">
        <v>10</v>
      </c>
      <c r="Q10" s="158">
        <f t="shared" si="4"/>
        <v>0.98678619270966395</v>
      </c>
      <c r="R10" s="174">
        <f t="shared" si="5"/>
        <v>4.32</v>
      </c>
      <c r="W10" s="158" t="str">
        <f t="shared" si="0"/>
        <v/>
      </c>
      <c r="X10" s="174" t="str">
        <f t="shared" si="1"/>
        <v/>
      </c>
      <c r="AA10" s="152">
        <v>10</v>
      </c>
      <c r="AE10" s="152">
        <v>70</v>
      </c>
      <c r="BF10" s="152">
        <v>50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O10" s="152">
        <v>70</v>
      </c>
      <c r="BP10" s="152">
        <v>70</v>
      </c>
      <c r="BQ10" s="152">
        <v>70</v>
      </c>
      <c r="BR10" s="152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I10" s="155">
        <v>70</v>
      </c>
      <c r="CJ10" s="155">
        <v>70</v>
      </c>
      <c r="CK10" s="155">
        <v>70</v>
      </c>
      <c r="CL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Y10" s="155">
        <v>70</v>
      </c>
      <c r="CZ10" s="155">
        <v>70</v>
      </c>
      <c r="DA10" s="155">
        <v>70</v>
      </c>
      <c r="DB10" s="155">
        <v>70</v>
      </c>
      <c r="DD10" s="155">
        <v>70</v>
      </c>
      <c r="DE10" s="155">
        <v>70</v>
      </c>
      <c r="DF10" s="155">
        <v>70</v>
      </c>
      <c r="DG10" s="155">
        <v>70</v>
      </c>
      <c r="DH10" s="155">
        <v>70</v>
      </c>
      <c r="DI10" s="155">
        <v>70</v>
      </c>
      <c r="DJ10" s="155">
        <v>70</v>
      </c>
    </row>
    <row r="11" spans="1:114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866</v>
      </c>
      <c r="H11" s="56">
        <v>1</v>
      </c>
      <c r="I11" s="56" t="s">
        <v>1052</v>
      </c>
      <c r="J11" s="56" t="s">
        <v>1065</v>
      </c>
      <c r="L11" s="161">
        <v>360</v>
      </c>
      <c r="N11" s="56" t="s">
        <v>1305</v>
      </c>
      <c r="O11" s="56">
        <f t="shared" si="3"/>
        <v>600</v>
      </c>
      <c r="P11" s="10">
        <v>20</v>
      </c>
      <c r="Q11" s="158">
        <f t="shared" si="4"/>
        <v>0.99982765704618048</v>
      </c>
      <c r="R11" s="174">
        <f t="shared" si="5"/>
        <v>8.64</v>
      </c>
      <c r="W11" s="158" t="str">
        <f t="shared" si="0"/>
        <v/>
      </c>
      <c r="X11" s="174" t="str">
        <f t="shared" si="1"/>
        <v/>
      </c>
      <c r="AB11" s="152">
        <v>110</v>
      </c>
      <c r="BF11" s="152">
        <v>200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O11" s="152">
        <v>110</v>
      </c>
      <c r="BP11" s="152">
        <v>110</v>
      </c>
      <c r="BQ11" s="152">
        <v>110</v>
      </c>
      <c r="BR11" s="152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I11" s="155">
        <v>110</v>
      </c>
      <c r="CJ11" s="155">
        <v>110</v>
      </c>
      <c r="CK11" s="155">
        <v>110</v>
      </c>
      <c r="CL11" s="155">
        <v>110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Y11" s="155">
        <v>120</v>
      </c>
      <c r="CZ11" s="155">
        <v>120</v>
      </c>
      <c r="DA11" s="155">
        <v>120</v>
      </c>
      <c r="DB11" s="155">
        <v>120</v>
      </c>
      <c r="DD11" s="155">
        <v>120</v>
      </c>
      <c r="DE11" s="155">
        <v>120</v>
      </c>
      <c r="DF11" s="155">
        <v>120</v>
      </c>
      <c r="DG11" s="155">
        <v>120</v>
      </c>
      <c r="DH11" s="155">
        <v>120</v>
      </c>
      <c r="DI11" s="155">
        <v>120</v>
      </c>
      <c r="DJ11" s="155">
        <v>120</v>
      </c>
    </row>
    <row r="12" spans="1:114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809</v>
      </c>
      <c r="H12" s="56">
        <v>3</v>
      </c>
      <c r="I12" s="56" t="s">
        <v>1052</v>
      </c>
      <c r="J12" s="56" t="s">
        <v>1065</v>
      </c>
      <c r="L12" s="161">
        <v>360</v>
      </c>
      <c r="N12" s="56" t="s">
        <v>1306</v>
      </c>
      <c r="O12" s="56">
        <f t="shared" si="3"/>
        <v>450</v>
      </c>
      <c r="P12" s="10">
        <v>15</v>
      </c>
      <c r="Q12" s="158">
        <f t="shared" si="4"/>
        <v>0.99848845638414807</v>
      </c>
      <c r="R12" s="174">
        <f t="shared" si="5"/>
        <v>6.4799999999999995</v>
      </c>
      <c r="W12" s="158" t="str">
        <f t="shared" si="0"/>
        <v/>
      </c>
      <c r="X12" s="174" t="str">
        <f t="shared" si="1"/>
        <v/>
      </c>
      <c r="AB12" s="152">
        <v>120</v>
      </c>
      <c r="BF12" s="152">
        <v>300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O12" s="152">
        <v>120</v>
      </c>
      <c r="BP12" s="152">
        <v>120</v>
      </c>
      <c r="BQ12" s="152">
        <v>120</v>
      </c>
      <c r="BR12" s="152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I12" s="155">
        <v>120</v>
      </c>
      <c r="CJ12" s="155">
        <v>120</v>
      </c>
      <c r="CK12" s="155">
        <v>120</v>
      </c>
      <c r="CL12" s="155">
        <v>120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Y12" s="155">
        <v>140</v>
      </c>
      <c r="CZ12" s="155">
        <v>140</v>
      </c>
      <c r="DA12" s="155">
        <v>140</v>
      </c>
      <c r="DB12" s="155">
        <v>140</v>
      </c>
      <c r="DD12" s="155">
        <v>140</v>
      </c>
      <c r="DE12" s="155">
        <v>140</v>
      </c>
      <c r="DF12" s="155">
        <v>140</v>
      </c>
      <c r="DG12" s="155">
        <v>140</v>
      </c>
      <c r="DH12" s="155">
        <v>140</v>
      </c>
      <c r="DI12" s="155">
        <v>140</v>
      </c>
      <c r="DJ12" s="155">
        <v>140</v>
      </c>
    </row>
    <row r="13" spans="1:114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810</v>
      </c>
      <c r="H13" s="56">
        <v>5</v>
      </c>
      <c r="I13" s="56" t="s">
        <v>1052</v>
      </c>
      <c r="J13" s="56" t="s">
        <v>1065</v>
      </c>
      <c r="L13" s="161">
        <v>360</v>
      </c>
      <c r="N13" s="56" t="s">
        <v>1307</v>
      </c>
      <c r="O13" s="56">
        <f t="shared" si="3"/>
        <v>300</v>
      </c>
      <c r="P13" s="10">
        <v>10</v>
      </c>
      <c r="Q13" s="158">
        <f t="shared" si="4"/>
        <v>0.98678619270966395</v>
      </c>
      <c r="R13" s="174">
        <f t="shared" si="5"/>
        <v>4.32</v>
      </c>
      <c r="W13" s="158" t="str">
        <f t="shared" si="0"/>
        <v/>
      </c>
      <c r="X13" s="174" t="str">
        <f t="shared" si="1"/>
        <v/>
      </c>
      <c r="AB13" s="152">
        <v>130</v>
      </c>
      <c r="BF13" s="152">
        <v>400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O13" s="152">
        <v>130</v>
      </c>
      <c r="BP13" s="152">
        <v>130</v>
      </c>
      <c r="BQ13" s="152">
        <v>130</v>
      </c>
      <c r="BR13" s="152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I13" s="155">
        <v>130</v>
      </c>
      <c r="CJ13" s="155">
        <v>130</v>
      </c>
      <c r="CK13" s="155">
        <v>130</v>
      </c>
      <c r="CL13" s="155">
        <v>130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Y13" s="155">
        <v>160</v>
      </c>
      <c r="CZ13" s="155">
        <v>160</v>
      </c>
      <c r="DA13" s="155">
        <v>160</v>
      </c>
      <c r="DB13" s="155">
        <v>160</v>
      </c>
      <c r="DD13" s="155">
        <v>160</v>
      </c>
      <c r="DE13" s="155">
        <v>160</v>
      </c>
      <c r="DF13" s="155">
        <v>160</v>
      </c>
      <c r="DG13" s="155">
        <v>160</v>
      </c>
      <c r="DH13" s="155">
        <v>160</v>
      </c>
      <c r="DI13" s="155">
        <v>160</v>
      </c>
      <c r="DJ13" s="155">
        <v>160</v>
      </c>
    </row>
    <row r="14" spans="1:114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6">
        <f t="shared" si="3"/>
        <v>0</v>
      </c>
      <c r="Q14" s="158" t="str">
        <f t="shared" si="4"/>
        <v/>
      </c>
      <c r="R14" s="174" t="str">
        <f t="shared" si="5"/>
        <v/>
      </c>
      <c r="W14" s="158" t="str">
        <f t="shared" si="0"/>
        <v/>
      </c>
      <c r="X14" s="174" t="str">
        <f t="shared" si="1"/>
        <v/>
      </c>
    </row>
    <row r="15" spans="1:114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1"/>
      <c r="M15" s="10"/>
      <c r="N15" s="56"/>
      <c r="O15" s="56">
        <f t="shared" si="3"/>
        <v>0</v>
      </c>
      <c r="P15" s="10"/>
      <c r="Q15" s="158" t="str">
        <f t="shared" si="4"/>
        <v/>
      </c>
      <c r="R15" s="174" t="str">
        <f t="shared" si="5"/>
        <v/>
      </c>
      <c r="S15" s="164"/>
      <c r="T15" s="56"/>
      <c r="U15" s="56"/>
      <c r="V15" s="56"/>
      <c r="W15" s="158" t="str">
        <f t="shared" si="0"/>
        <v/>
      </c>
      <c r="X15" s="174" t="str">
        <f t="shared" si="1"/>
        <v/>
      </c>
      <c r="Y15" s="168"/>
      <c r="Z15" s="10"/>
      <c r="AA15" s="56"/>
      <c r="AB15" s="56"/>
      <c r="AC15" s="56"/>
      <c r="AD15" s="56"/>
      <c r="AE15" s="56"/>
      <c r="AF15" s="170"/>
      <c r="AG15" s="56"/>
      <c r="AH15" s="56"/>
      <c r="AI15" s="168"/>
      <c r="AJ15" s="56"/>
      <c r="AK15" s="56"/>
      <c r="AL15" s="56"/>
      <c r="AM15" s="56"/>
      <c r="AN15" s="56"/>
      <c r="AO15" s="56"/>
      <c r="AP15" s="56"/>
      <c r="AQ15" s="56"/>
      <c r="AR15" s="168"/>
      <c r="AS15" s="56"/>
      <c r="AT15" s="56"/>
      <c r="AU15" s="56"/>
      <c r="AV15" s="56"/>
      <c r="AW15" s="56"/>
      <c r="AX15" s="56"/>
      <c r="AY15" s="56"/>
      <c r="AZ15" s="56"/>
      <c r="BA15" s="168"/>
      <c r="BB15" s="56"/>
      <c r="BC15" s="56"/>
      <c r="BD15" s="56"/>
      <c r="BE15" s="168"/>
      <c r="BF15" s="56"/>
      <c r="BG15" s="10"/>
      <c r="BH15" s="56"/>
      <c r="BI15" s="56"/>
      <c r="BJ15" s="56"/>
      <c r="BK15" s="56"/>
      <c r="BS15" s="144"/>
      <c r="CM15" s="144"/>
      <c r="DC15" s="144"/>
    </row>
    <row r="16" spans="1:114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1"/>
      <c r="M16" s="10"/>
      <c r="N16" s="56"/>
      <c r="O16" s="56">
        <f t="shared" si="3"/>
        <v>0</v>
      </c>
      <c r="P16" s="10"/>
      <c r="Q16" s="158" t="str">
        <f t="shared" si="4"/>
        <v/>
      </c>
      <c r="R16" s="174" t="str">
        <f t="shared" si="5"/>
        <v/>
      </c>
      <c r="S16" s="164"/>
      <c r="T16" s="56"/>
      <c r="U16" s="56"/>
      <c r="V16" s="56"/>
      <c r="W16" s="158" t="str">
        <f t="shared" si="0"/>
        <v/>
      </c>
      <c r="X16" s="174" t="str">
        <f t="shared" si="1"/>
        <v/>
      </c>
      <c r="Y16" s="168"/>
      <c r="Z16" s="10"/>
      <c r="AA16" s="56"/>
      <c r="AB16" s="56"/>
      <c r="AC16" s="56"/>
      <c r="AD16" s="56"/>
      <c r="AE16" s="56"/>
      <c r="AF16" s="170"/>
      <c r="AG16" s="56"/>
      <c r="AH16" s="56"/>
      <c r="AI16" s="168"/>
      <c r="AJ16" s="56"/>
      <c r="AK16" s="56"/>
      <c r="AL16" s="56"/>
      <c r="AM16" s="56"/>
      <c r="AN16" s="56"/>
      <c r="AO16" s="56"/>
      <c r="AP16" s="56"/>
      <c r="AQ16" s="56"/>
      <c r="AR16" s="168"/>
      <c r="AS16" s="56"/>
      <c r="AT16" s="56"/>
      <c r="AU16" s="56"/>
      <c r="AV16" s="56"/>
      <c r="AW16" s="56"/>
      <c r="AX16" s="56"/>
      <c r="AY16" s="56"/>
      <c r="AZ16" s="56"/>
      <c r="BA16" s="168"/>
      <c r="BB16" s="56"/>
      <c r="BC16" s="56"/>
      <c r="BD16" s="56"/>
      <c r="BE16" s="168"/>
      <c r="BF16" s="56"/>
      <c r="BG16" s="10"/>
      <c r="BH16" s="56"/>
      <c r="BI16" s="56"/>
      <c r="BJ16" s="56"/>
      <c r="BK16" s="56"/>
      <c r="BS16" s="144"/>
      <c r="CM16" s="144"/>
      <c r="DC16" s="144"/>
    </row>
    <row r="17" spans="1:114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1"/>
      <c r="M17" s="10"/>
      <c r="N17" s="56"/>
      <c r="O17" s="56">
        <f t="shared" si="3"/>
        <v>0</v>
      </c>
      <c r="P17" s="10"/>
      <c r="Q17" s="158" t="str">
        <f t="shared" si="4"/>
        <v/>
      </c>
      <c r="R17" s="174" t="str">
        <f t="shared" si="5"/>
        <v/>
      </c>
      <c r="S17" s="164"/>
      <c r="T17" s="56"/>
      <c r="U17" s="56"/>
      <c r="V17" s="56"/>
      <c r="W17" s="158" t="str">
        <f t="shared" si="0"/>
        <v/>
      </c>
      <c r="X17" s="174" t="str">
        <f t="shared" si="1"/>
        <v/>
      </c>
      <c r="Y17" s="168"/>
      <c r="Z17" s="10"/>
      <c r="AA17" s="56"/>
      <c r="AB17" s="56"/>
      <c r="AC17" s="56"/>
      <c r="AD17" s="56"/>
      <c r="AE17" s="56"/>
      <c r="AF17" s="170"/>
      <c r="AG17" s="56"/>
      <c r="AH17" s="56"/>
      <c r="AI17" s="168"/>
      <c r="AJ17" s="56"/>
      <c r="AK17" s="56"/>
      <c r="AL17" s="56"/>
      <c r="AM17" s="56"/>
      <c r="AN17" s="56"/>
      <c r="AO17" s="56"/>
      <c r="AP17" s="56"/>
      <c r="AQ17" s="56"/>
      <c r="AR17" s="168"/>
      <c r="AS17" s="56"/>
      <c r="AT17" s="56"/>
      <c r="AU17" s="56"/>
      <c r="AV17" s="56"/>
      <c r="AW17" s="56"/>
      <c r="AX17" s="56"/>
      <c r="AY17" s="56"/>
      <c r="AZ17" s="56"/>
      <c r="BA17" s="168"/>
      <c r="BB17" s="56"/>
      <c r="BC17" s="56"/>
      <c r="BD17" s="56"/>
      <c r="BE17" s="168"/>
      <c r="BF17" s="56"/>
      <c r="BG17" s="10"/>
      <c r="BH17" s="56"/>
      <c r="BI17" s="56"/>
      <c r="BJ17" s="56"/>
      <c r="BK17" s="56"/>
      <c r="BS17" s="144"/>
      <c r="CM17" s="144"/>
      <c r="DC17" s="144"/>
    </row>
    <row r="18" spans="1:114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1"/>
      <c r="M18" s="10"/>
      <c r="N18" s="56"/>
      <c r="O18" s="56">
        <f t="shared" si="3"/>
        <v>0</v>
      </c>
      <c r="P18" s="10"/>
      <c r="Q18" s="158" t="str">
        <f t="shared" si="4"/>
        <v/>
      </c>
      <c r="R18" s="174" t="str">
        <f t="shared" si="5"/>
        <v/>
      </c>
      <c r="S18" s="164"/>
      <c r="T18" s="56"/>
      <c r="U18" s="56"/>
      <c r="V18" s="56"/>
      <c r="W18" s="158" t="str">
        <f t="shared" si="0"/>
        <v/>
      </c>
      <c r="X18" s="174" t="str">
        <f t="shared" si="1"/>
        <v/>
      </c>
      <c r="Y18" s="168"/>
      <c r="Z18" s="10"/>
      <c r="AA18" s="56"/>
      <c r="AB18" s="56"/>
      <c r="AC18" s="56"/>
      <c r="AD18" s="56"/>
      <c r="AE18" s="56"/>
      <c r="AF18" s="170"/>
      <c r="AG18" s="56"/>
      <c r="AH18" s="56"/>
      <c r="AI18" s="168"/>
      <c r="AJ18" s="56"/>
      <c r="AK18" s="56"/>
      <c r="AL18" s="56"/>
      <c r="AM18" s="56"/>
      <c r="AN18" s="56"/>
      <c r="AO18" s="56"/>
      <c r="AP18" s="56"/>
      <c r="AQ18" s="56"/>
      <c r="AR18" s="168"/>
      <c r="AS18" s="56"/>
      <c r="AT18" s="56"/>
      <c r="AU18" s="56"/>
      <c r="AV18" s="56"/>
      <c r="AW18" s="56"/>
      <c r="AX18" s="56"/>
      <c r="AY18" s="56"/>
      <c r="AZ18" s="56"/>
      <c r="BA18" s="168"/>
      <c r="BB18" s="56"/>
      <c r="BC18" s="56"/>
      <c r="BD18" s="56"/>
      <c r="BE18" s="168"/>
      <c r="BF18" s="56"/>
      <c r="BG18" s="10"/>
      <c r="BH18" s="56"/>
      <c r="BI18" s="56"/>
      <c r="BJ18" s="56"/>
      <c r="BK18" s="56"/>
      <c r="BS18" s="144"/>
      <c r="CM18" s="144"/>
      <c r="DC18" s="144"/>
    </row>
    <row r="19" spans="1:114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1"/>
      <c r="M19" s="10"/>
      <c r="N19" s="56"/>
      <c r="O19" s="56">
        <f t="shared" si="3"/>
        <v>0</v>
      </c>
      <c r="P19" s="10"/>
      <c r="Q19" s="158" t="str">
        <f t="shared" si="4"/>
        <v/>
      </c>
      <c r="R19" s="174" t="str">
        <f t="shared" si="5"/>
        <v/>
      </c>
      <c r="S19" s="164"/>
      <c r="T19" s="56"/>
      <c r="U19" s="56"/>
      <c r="V19" s="56"/>
      <c r="W19" s="158" t="str">
        <f t="shared" si="0"/>
        <v/>
      </c>
      <c r="X19" s="174" t="str">
        <f t="shared" si="1"/>
        <v/>
      </c>
      <c r="Y19" s="168"/>
      <c r="Z19" s="10"/>
      <c r="AA19" s="56"/>
      <c r="AB19" s="56"/>
      <c r="AC19" s="56"/>
      <c r="AD19" s="56"/>
      <c r="AE19" s="56"/>
      <c r="AF19" s="170"/>
      <c r="AG19" s="56"/>
      <c r="AH19" s="56"/>
      <c r="AI19" s="168"/>
      <c r="AJ19" s="56"/>
      <c r="AK19" s="56"/>
      <c r="AL19" s="56"/>
      <c r="AM19" s="56"/>
      <c r="AN19" s="56"/>
      <c r="AO19" s="56"/>
      <c r="AP19" s="56"/>
      <c r="AQ19" s="56"/>
      <c r="AR19" s="168"/>
      <c r="AS19" s="56"/>
      <c r="AT19" s="56"/>
      <c r="AU19" s="56"/>
      <c r="AV19" s="56"/>
      <c r="AW19" s="56"/>
      <c r="AX19" s="56"/>
      <c r="AY19" s="56"/>
      <c r="AZ19" s="56"/>
      <c r="BA19" s="168"/>
      <c r="BB19" s="56"/>
      <c r="BC19" s="56"/>
      <c r="BD19" s="56"/>
      <c r="BE19" s="168"/>
      <c r="BF19" s="56"/>
      <c r="BG19" s="10"/>
      <c r="BH19" s="56"/>
      <c r="BI19" s="56"/>
      <c r="BJ19" s="56"/>
      <c r="BK19" s="56"/>
      <c r="BS19" s="144"/>
      <c r="CM19" s="144"/>
      <c r="DC19" s="144"/>
    </row>
    <row r="20" spans="1:114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1"/>
      <c r="M20" s="10"/>
      <c r="N20" s="56"/>
      <c r="O20" s="56">
        <f t="shared" si="3"/>
        <v>0</v>
      </c>
      <c r="P20" s="10"/>
      <c r="Q20" s="158" t="str">
        <f t="shared" si="4"/>
        <v/>
      </c>
      <c r="R20" s="174" t="str">
        <f t="shared" si="5"/>
        <v/>
      </c>
      <c r="S20" s="164"/>
      <c r="T20" s="56"/>
      <c r="U20" s="56"/>
      <c r="V20" s="56"/>
      <c r="W20" s="158" t="str">
        <f t="shared" si="0"/>
        <v/>
      </c>
      <c r="X20" s="174" t="str">
        <f t="shared" si="1"/>
        <v/>
      </c>
      <c r="Y20" s="168"/>
      <c r="Z20" s="10"/>
      <c r="AA20" s="56"/>
      <c r="AB20" s="56"/>
      <c r="AC20" s="56"/>
      <c r="AD20" s="56"/>
      <c r="AE20" s="56"/>
      <c r="AF20" s="170"/>
      <c r="AG20" s="56"/>
      <c r="AH20" s="56"/>
      <c r="AI20" s="168"/>
      <c r="AJ20" s="56"/>
      <c r="AK20" s="56"/>
      <c r="AL20" s="56"/>
      <c r="AM20" s="56"/>
      <c r="AN20" s="56"/>
      <c r="AO20" s="56"/>
      <c r="AP20" s="56"/>
      <c r="AQ20" s="56"/>
      <c r="AR20" s="168"/>
      <c r="AS20" s="56"/>
      <c r="AT20" s="56"/>
      <c r="AU20" s="56"/>
      <c r="AV20" s="56"/>
      <c r="AW20" s="56"/>
      <c r="AX20" s="56"/>
      <c r="AY20" s="56"/>
      <c r="AZ20" s="56"/>
      <c r="BA20" s="168"/>
      <c r="BB20" s="56"/>
      <c r="BC20" s="56"/>
      <c r="BD20" s="56"/>
      <c r="BE20" s="168"/>
      <c r="BF20" s="56"/>
      <c r="BG20" s="10"/>
      <c r="BH20" s="56"/>
      <c r="BI20" s="56"/>
      <c r="BJ20" s="56"/>
      <c r="BK20" s="56"/>
      <c r="BS20" s="144"/>
      <c r="CM20" s="144"/>
      <c r="DC20" s="144"/>
    </row>
    <row r="21" spans="1:114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1"/>
      <c r="M21" s="10"/>
      <c r="N21" s="56"/>
      <c r="O21" s="56">
        <f t="shared" si="3"/>
        <v>0</v>
      </c>
      <c r="P21" s="10"/>
      <c r="Q21" s="158" t="str">
        <f t="shared" si="4"/>
        <v/>
      </c>
      <c r="R21" s="174" t="str">
        <f t="shared" si="5"/>
        <v/>
      </c>
      <c r="S21" s="164"/>
      <c r="T21" s="56"/>
      <c r="U21" s="56"/>
      <c r="V21" s="56"/>
      <c r="W21" s="158" t="str">
        <f t="shared" si="0"/>
        <v/>
      </c>
      <c r="X21" s="174" t="str">
        <f t="shared" si="1"/>
        <v/>
      </c>
      <c r="Y21" s="168"/>
      <c r="Z21" s="10"/>
      <c r="AA21" s="56"/>
      <c r="AB21" s="56"/>
      <c r="AC21" s="56"/>
      <c r="AD21" s="56"/>
      <c r="AE21" s="56"/>
      <c r="AF21" s="170"/>
      <c r="AG21" s="56"/>
      <c r="AH21" s="56"/>
      <c r="AI21" s="168"/>
      <c r="AJ21" s="56"/>
      <c r="AK21" s="56"/>
      <c r="AL21" s="56"/>
      <c r="AM21" s="56"/>
      <c r="AN21" s="56"/>
      <c r="AO21" s="56"/>
      <c r="AP21" s="56"/>
      <c r="AQ21" s="56"/>
      <c r="AR21" s="168"/>
      <c r="AS21" s="56"/>
      <c r="AT21" s="56"/>
      <c r="AU21" s="56"/>
      <c r="AV21" s="56"/>
      <c r="AW21" s="56"/>
      <c r="AX21" s="56"/>
      <c r="AY21" s="56"/>
      <c r="AZ21" s="56"/>
      <c r="BA21" s="168"/>
      <c r="BB21" s="56"/>
      <c r="BC21" s="56"/>
      <c r="BD21" s="56"/>
      <c r="BE21" s="168"/>
      <c r="BF21" s="56"/>
      <c r="BG21" s="10"/>
      <c r="BH21" s="56"/>
      <c r="BI21" s="56"/>
      <c r="BJ21" s="56"/>
      <c r="BK21" s="56"/>
      <c r="BS21" s="144"/>
      <c r="CM21" s="144"/>
      <c r="DC21" s="144"/>
    </row>
    <row r="22" spans="1:114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1"/>
      <c r="M22" s="10"/>
      <c r="N22" s="56"/>
      <c r="O22" s="56">
        <f t="shared" si="3"/>
        <v>0</v>
      </c>
      <c r="P22" s="10"/>
      <c r="Q22" s="158" t="str">
        <f t="shared" si="4"/>
        <v/>
      </c>
      <c r="R22" s="174" t="str">
        <f t="shared" si="5"/>
        <v/>
      </c>
      <c r="S22" s="164"/>
      <c r="T22" s="56"/>
      <c r="U22" s="56"/>
      <c r="V22" s="56"/>
      <c r="W22" s="158" t="str">
        <f t="shared" si="0"/>
        <v/>
      </c>
      <c r="X22" s="174" t="str">
        <f t="shared" si="1"/>
        <v/>
      </c>
      <c r="Y22" s="168"/>
      <c r="Z22" s="10"/>
      <c r="AA22" s="56"/>
      <c r="AB22" s="56"/>
      <c r="AC22" s="56"/>
      <c r="AD22" s="56"/>
      <c r="AE22" s="56"/>
      <c r="AF22" s="170"/>
      <c r="AG22" s="56"/>
      <c r="AH22" s="56"/>
      <c r="AI22" s="168"/>
      <c r="AJ22" s="56"/>
      <c r="AK22" s="56"/>
      <c r="AL22" s="56"/>
      <c r="AM22" s="56"/>
      <c r="AN22" s="56"/>
      <c r="AO22" s="56"/>
      <c r="AP22" s="56"/>
      <c r="AQ22" s="56"/>
      <c r="AR22" s="168"/>
      <c r="AS22" s="56"/>
      <c r="AT22" s="56"/>
      <c r="AU22" s="56"/>
      <c r="AV22" s="56"/>
      <c r="AW22" s="56"/>
      <c r="AX22" s="56"/>
      <c r="AY22" s="56"/>
      <c r="AZ22" s="56"/>
      <c r="BA22" s="168"/>
      <c r="BB22" s="56"/>
      <c r="BC22" s="56"/>
      <c r="BD22" s="56"/>
      <c r="BE22" s="168"/>
      <c r="BF22" s="56"/>
      <c r="BG22" s="10"/>
      <c r="BH22" s="56"/>
      <c r="BI22" s="56"/>
      <c r="BJ22" s="56"/>
      <c r="BK22" s="56"/>
      <c r="BS22" s="144"/>
      <c r="CM22" s="144"/>
      <c r="DC22" s="144"/>
    </row>
    <row r="23" spans="1:114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1"/>
      <c r="M23" s="10"/>
      <c r="N23" s="56"/>
      <c r="O23" s="56">
        <f t="shared" si="3"/>
        <v>0</v>
      </c>
      <c r="P23" s="10"/>
      <c r="Q23" s="158" t="str">
        <f t="shared" si="4"/>
        <v/>
      </c>
      <c r="R23" s="174" t="str">
        <f t="shared" si="5"/>
        <v/>
      </c>
      <c r="S23" s="164"/>
      <c r="T23" s="56"/>
      <c r="U23" s="56"/>
      <c r="V23" s="56"/>
      <c r="W23" s="158" t="str">
        <f t="shared" si="0"/>
        <v/>
      </c>
      <c r="X23" s="174" t="str">
        <f t="shared" si="1"/>
        <v/>
      </c>
      <c r="Y23" s="168"/>
      <c r="Z23" s="10"/>
      <c r="AA23" s="56"/>
      <c r="AB23" s="56"/>
      <c r="AC23" s="56"/>
      <c r="AD23" s="56"/>
      <c r="AE23" s="56"/>
      <c r="AF23" s="170"/>
      <c r="AG23" s="56"/>
      <c r="AH23" s="56"/>
      <c r="AI23" s="168"/>
      <c r="AJ23" s="56"/>
      <c r="AK23" s="56"/>
      <c r="AL23" s="56"/>
      <c r="AM23" s="56"/>
      <c r="AN23" s="56"/>
      <c r="AO23" s="56"/>
      <c r="AP23" s="56"/>
      <c r="AQ23" s="56"/>
      <c r="AR23" s="168"/>
      <c r="AS23" s="56"/>
      <c r="AT23" s="56"/>
      <c r="AU23" s="56"/>
      <c r="AV23" s="56"/>
      <c r="AW23" s="56"/>
      <c r="AX23" s="56"/>
      <c r="AY23" s="56"/>
      <c r="AZ23" s="56"/>
      <c r="BA23" s="168"/>
      <c r="BB23" s="56"/>
      <c r="BC23" s="56"/>
      <c r="BD23" s="56"/>
      <c r="BE23" s="168"/>
      <c r="BF23" s="56"/>
      <c r="BG23" s="10"/>
      <c r="BH23" s="56"/>
      <c r="BI23" s="56"/>
      <c r="BJ23" s="56"/>
      <c r="BK23" s="56"/>
      <c r="BS23" s="144"/>
      <c r="CM23" s="144"/>
      <c r="DC23" s="144"/>
    </row>
    <row r="24" spans="1:114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1"/>
      <c r="M24" s="10"/>
      <c r="N24" s="56"/>
      <c r="O24" s="56">
        <f t="shared" si="3"/>
        <v>0</v>
      </c>
      <c r="P24" s="10"/>
      <c r="Q24" s="158" t="str">
        <f t="shared" si="4"/>
        <v/>
      </c>
      <c r="R24" s="174" t="str">
        <f t="shared" si="5"/>
        <v/>
      </c>
      <c r="S24" s="164"/>
      <c r="T24" s="56"/>
      <c r="U24" s="56"/>
      <c r="V24" s="56"/>
      <c r="W24" s="158" t="str">
        <f t="shared" si="0"/>
        <v/>
      </c>
      <c r="X24" s="174" t="str">
        <f t="shared" si="1"/>
        <v/>
      </c>
      <c r="Y24" s="168"/>
      <c r="Z24" s="10"/>
      <c r="AA24" s="56"/>
      <c r="AB24" s="56"/>
      <c r="AC24" s="56"/>
      <c r="AD24" s="56"/>
      <c r="AE24" s="56"/>
      <c r="AF24" s="170"/>
      <c r="AG24" s="56"/>
      <c r="AH24" s="56"/>
      <c r="AI24" s="168"/>
      <c r="AJ24" s="56"/>
      <c r="AK24" s="56"/>
      <c r="AL24" s="56"/>
      <c r="AM24" s="56"/>
      <c r="AN24" s="56"/>
      <c r="AO24" s="56"/>
      <c r="AP24" s="56"/>
      <c r="AQ24" s="56"/>
      <c r="AR24" s="168"/>
      <c r="AS24" s="56"/>
      <c r="AT24" s="56"/>
      <c r="AU24" s="56"/>
      <c r="AV24" s="56"/>
      <c r="AW24" s="56"/>
      <c r="AX24" s="56"/>
      <c r="AY24" s="56"/>
      <c r="AZ24" s="56"/>
      <c r="BA24" s="168"/>
      <c r="BB24" s="56"/>
      <c r="BC24" s="56"/>
      <c r="BD24" s="56"/>
      <c r="BE24" s="168"/>
      <c r="BF24" s="56"/>
      <c r="BG24" s="10"/>
      <c r="BH24" s="56"/>
      <c r="BI24" s="56"/>
      <c r="BJ24" s="56"/>
      <c r="BK24" s="56"/>
      <c r="BS24" s="144"/>
      <c r="CM24" s="144"/>
      <c r="DC24" s="144"/>
    </row>
    <row r="25" spans="1:114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957</v>
      </c>
      <c r="H25" s="57">
        <v>1</v>
      </c>
      <c r="I25" s="57" t="s">
        <v>1054</v>
      </c>
      <c r="J25" s="57" t="s">
        <v>1066</v>
      </c>
      <c r="K25" s="57"/>
      <c r="L25" s="163">
        <v>360</v>
      </c>
      <c r="M25" s="17"/>
      <c r="N25" s="57" t="s">
        <v>1308</v>
      </c>
      <c r="O25" s="57">
        <f t="shared" si="3"/>
        <v>300</v>
      </c>
      <c r="P25" s="17">
        <v>10</v>
      </c>
      <c r="Q25" s="159">
        <f t="shared" si="4"/>
        <v>0.98678619270966395</v>
      </c>
      <c r="R25" s="175">
        <f t="shared" si="5"/>
        <v>4.32</v>
      </c>
      <c r="S25" s="165"/>
      <c r="T25" s="57"/>
      <c r="U25" s="57"/>
      <c r="V25" s="57"/>
      <c r="W25" s="159" t="str">
        <f t="shared" si="0"/>
        <v/>
      </c>
      <c r="X25" s="175" t="str">
        <f t="shared" si="1"/>
        <v/>
      </c>
      <c r="Y25" s="169"/>
      <c r="Z25" s="17"/>
      <c r="AA25" s="57"/>
      <c r="AB25" s="57"/>
      <c r="AC25" s="57"/>
      <c r="AD25" s="57"/>
      <c r="AE25" s="57"/>
      <c r="AF25" s="172"/>
      <c r="AG25" s="57"/>
      <c r="AH25" s="57"/>
      <c r="AI25" s="169"/>
      <c r="AJ25" s="57"/>
      <c r="AK25" s="57"/>
      <c r="AL25" s="57"/>
      <c r="AM25" s="57"/>
      <c r="AN25" s="57"/>
      <c r="AO25" s="57"/>
      <c r="AP25" s="57"/>
      <c r="AQ25" s="57"/>
      <c r="AR25" s="169"/>
      <c r="AS25" s="57"/>
      <c r="AT25" s="57"/>
      <c r="AU25" s="57"/>
      <c r="AV25" s="57"/>
      <c r="AW25" s="57"/>
      <c r="AX25" s="57"/>
      <c r="AY25" s="57"/>
      <c r="AZ25" s="57"/>
      <c r="BA25" s="169"/>
      <c r="BB25" s="57"/>
      <c r="BC25" s="57"/>
      <c r="BD25" s="57"/>
      <c r="BE25" s="169"/>
      <c r="BF25" s="153">
        <v>120</v>
      </c>
      <c r="BG25" s="17"/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140</v>
      </c>
      <c r="BN25" s="153">
        <v>140</v>
      </c>
      <c r="BO25" s="153">
        <v>140</v>
      </c>
      <c r="BP25" s="153">
        <v>140</v>
      </c>
      <c r="BQ25" s="153">
        <v>200</v>
      </c>
      <c r="BR25" s="153">
        <v>140</v>
      </c>
      <c r="BS25" s="143"/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54">
        <v>110</v>
      </c>
      <c r="CJ25" s="154">
        <v>110</v>
      </c>
      <c r="CK25" s="154">
        <v>110</v>
      </c>
      <c r="CL25" s="154">
        <v>110</v>
      </c>
      <c r="CM25" s="143"/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54">
        <v>150</v>
      </c>
      <c r="CZ25" s="154">
        <v>150</v>
      </c>
      <c r="DA25" s="154">
        <v>150</v>
      </c>
      <c r="DB25" s="154">
        <v>150</v>
      </c>
      <c r="DC25" s="143"/>
      <c r="DD25" s="153">
        <v>140</v>
      </c>
      <c r="DE25" s="153">
        <v>140</v>
      </c>
      <c r="DF25" s="153">
        <v>140</v>
      </c>
      <c r="DG25" s="153">
        <v>140</v>
      </c>
      <c r="DH25" s="153">
        <v>200</v>
      </c>
      <c r="DI25" s="153">
        <v>140</v>
      </c>
      <c r="DJ25" s="153">
        <v>140</v>
      </c>
    </row>
    <row r="26" spans="1:114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958</v>
      </c>
      <c r="H26" s="56">
        <v>3</v>
      </c>
      <c r="I26" s="56" t="s">
        <v>1054</v>
      </c>
      <c r="J26" s="56" t="s">
        <v>1066</v>
      </c>
      <c r="L26" s="161">
        <v>360</v>
      </c>
      <c r="N26" s="56" t="s">
        <v>1309</v>
      </c>
      <c r="O26" s="56">
        <f t="shared" si="3"/>
        <v>240</v>
      </c>
      <c r="P26" s="10">
        <v>8</v>
      </c>
      <c r="Q26" s="158">
        <f t="shared" si="4"/>
        <v>0.96857507299959522</v>
      </c>
      <c r="R26" s="174">
        <f t="shared" si="5"/>
        <v>3.4559999999999995</v>
      </c>
      <c r="W26" s="158" t="str">
        <f t="shared" si="0"/>
        <v/>
      </c>
      <c r="X26" s="174" t="str">
        <f t="shared" si="1"/>
        <v/>
      </c>
      <c r="BF26" s="152">
        <v>140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180</v>
      </c>
      <c r="BN26" s="152">
        <v>180</v>
      </c>
      <c r="BO26" s="152">
        <v>180</v>
      </c>
      <c r="BP26" s="152">
        <v>180</v>
      </c>
      <c r="BQ26" s="152">
        <v>400</v>
      </c>
      <c r="BR26" s="152">
        <v>180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I26" s="155">
        <v>120</v>
      </c>
      <c r="CJ26" s="155">
        <v>120</v>
      </c>
      <c r="CK26" s="155">
        <v>120</v>
      </c>
      <c r="CL26" s="155">
        <v>120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Y26" s="155">
        <v>200</v>
      </c>
      <c r="CZ26" s="155">
        <v>200</v>
      </c>
      <c r="DA26" s="155">
        <v>200</v>
      </c>
      <c r="DB26" s="155">
        <v>200</v>
      </c>
      <c r="DD26" s="152">
        <v>180</v>
      </c>
      <c r="DE26" s="152">
        <v>180</v>
      </c>
      <c r="DF26" s="152">
        <v>180</v>
      </c>
      <c r="DG26" s="152">
        <v>180</v>
      </c>
      <c r="DH26" s="152">
        <v>400</v>
      </c>
      <c r="DI26" s="152">
        <v>180</v>
      </c>
      <c r="DJ26" s="152">
        <v>180</v>
      </c>
    </row>
    <row r="27" spans="1:114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959</v>
      </c>
      <c r="H27" s="56">
        <v>5</v>
      </c>
      <c r="I27" s="56" t="s">
        <v>1054</v>
      </c>
      <c r="J27" s="56" t="s">
        <v>1066</v>
      </c>
      <c r="L27" s="161">
        <v>360</v>
      </c>
      <c r="N27" s="56" t="s">
        <v>1310</v>
      </c>
      <c r="O27" s="56">
        <f t="shared" si="3"/>
        <v>150</v>
      </c>
      <c r="P27" s="10">
        <v>5</v>
      </c>
      <c r="Q27" s="158">
        <f t="shared" si="4"/>
        <v>0.88486174114429406</v>
      </c>
      <c r="R27" s="174">
        <f t="shared" si="5"/>
        <v>2.16</v>
      </c>
      <c r="W27" s="158" t="str">
        <f t="shared" si="0"/>
        <v/>
      </c>
      <c r="X27" s="174" t="str">
        <f t="shared" si="1"/>
        <v/>
      </c>
      <c r="BF27" s="152">
        <v>160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220</v>
      </c>
      <c r="BN27" s="152">
        <v>220</v>
      </c>
      <c r="BO27" s="152">
        <v>220</v>
      </c>
      <c r="BP27" s="152">
        <v>220</v>
      </c>
      <c r="BQ27" s="152">
        <v>800</v>
      </c>
      <c r="BR27" s="152">
        <v>220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I27" s="155">
        <v>130</v>
      </c>
      <c r="CJ27" s="155">
        <v>130</v>
      </c>
      <c r="CK27" s="155">
        <v>130</v>
      </c>
      <c r="CL27" s="155">
        <v>130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Y27" s="155">
        <v>250</v>
      </c>
      <c r="CZ27" s="155">
        <v>250</v>
      </c>
      <c r="DA27" s="155">
        <v>250</v>
      </c>
      <c r="DB27" s="155">
        <v>250</v>
      </c>
      <c r="DD27" s="152">
        <v>220</v>
      </c>
      <c r="DE27" s="152">
        <v>220</v>
      </c>
      <c r="DF27" s="152">
        <v>220</v>
      </c>
      <c r="DG27" s="152">
        <v>220</v>
      </c>
      <c r="DH27" s="152">
        <v>800</v>
      </c>
      <c r="DI27" s="152">
        <v>220</v>
      </c>
      <c r="DJ27" s="152">
        <v>220</v>
      </c>
    </row>
    <row r="28" spans="1:114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971</v>
      </c>
      <c r="H28" s="56">
        <v>1</v>
      </c>
      <c r="I28" s="56" t="s">
        <v>1068</v>
      </c>
      <c r="J28" s="56" t="s">
        <v>1067</v>
      </c>
      <c r="L28" s="161">
        <v>360</v>
      </c>
      <c r="N28" s="56" t="s">
        <v>1311</v>
      </c>
      <c r="O28" s="57">
        <f t="shared" si="3"/>
        <v>300</v>
      </c>
      <c r="P28" s="10">
        <v>10</v>
      </c>
      <c r="Q28" s="158">
        <f t="shared" si="4"/>
        <v>0.98678619270966395</v>
      </c>
      <c r="R28" s="174">
        <f t="shared" si="5"/>
        <v>4.32</v>
      </c>
      <c r="W28" s="158" t="str">
        <f t="shared" si="0"/>
        <v/>
      </c>
      <c r="X28" s="174" t="str">
        <f t="shared" si="1"/>
        <v/>
      </c>
      <c r="BF28" s="152">
        <v>70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80</v>
      </c>
      <c r="BN28" s="152">
        <v>80</v>
      </c>
      <c r="BO28" s="152">
        <v>80</v>
      </c>
      <c r="BP28" s="152">
        <v>80</v>
      </c>
      <c r="BQ28" s="152">
        <v>50</v>
      </c>
      <c r="BR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I28" s="152">
        <v>80</v>
      </c>
      <c r="CJ28" s="152">
        <v>80</v>
      </c>
      <c r="CK28" s="152">
        <v>80</v>
      </c>
      <c r="CL28" s="152">
        <v>80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Y28" s="152">
        <v>70</v>
      </c>
      <c r="CZ28" s="152">
        <v>70</v>
      </c>
      <c r="DA28" s="152">
        <v>70</v>
      </c>
      <c r="DB28" s="152">
        <v>70</v>
      </c>
      <c r="DD28" s="152">
        <v>70</v>
      </c>
      <c r="DE28" s="152">
        <v>70</v>
      </c>
      <c r="DF28" s="152">
        <v>70</v>
      </c>
      <c r="DG28" s="152">
        <v>70</v>
      </c>
      <c r="DH28" s="152">
        <v>50</v>
      </c>
      <c r="DI28" s="152">
        <v>70</v>
      </c>
      <c r="DJ28" s="152">
        <v>70</v>
      </c>
    </row>
    <row r="29" spans="1:114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972</v>
      </c>
      <c r="H29" s="56">
        <v>3</v>
      </c>
      <c r="I29" s="56" t="s">
        <v>1068</v>
      </c>
      <c r="J29" s="56" t="s">
        <v>1067</v>
      </c>
      <c r="L29" s="161">
        <v>360</v>
      </c>
      <c r="N29" s="56" t="s">
        <v>1312</v>
      </c>
      <c r="O29" s="56">
        <f t="shared" si="3"/>
        <v>240</v>
      </c>
      <c r="P29" s="10">
        <v>8</v>
      </c>
      <c r="Q29" s="158">
        <f t="shared" si="4"/>
        <v>0.96857507299959522</v>
      </c>
      <c r="R29" s="174">
        <f t="shared" si="5"/>
        <v>3.4559999999999995</v>
      </c>
      <c r="W29" s="158" t="str">
        <f t="shared" si="0"/>
        <v/>
      </c>
      <c r="X29" s="174" t="str">
        <f t="shared" si="1"/>
        <v/>
      </c>
      <c r="BF29" s="152">
        <v>50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70</v>
      </c>
      <c r="BN29" s="152">
        <v>70</v>
      </c>
      <c r="BO29" s="152">
        <v>70</v>
      </c>
      <c r="BP29" s="152">
        <v>70</v>
      </c>
      <c r="BQ29" s="152">
        <v>40</v>
      </c>
      <c r="BR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I29" s="152">
        <v>70</v>
      </c>
      <c r="CJ29" s="152">
        <v>70</v>
      </c>
      <c r="CK29" s="152">
        <v>70</v>
      </c>
      <c r="CL29" s="152">
        <v>70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Y29" s="152">
        <v>60</v>
      </c>
      <c r="CZ29" s="152">
        <v>60</v>
      </c>
      <c r="DA29" s="152">
        <v>60</v>
      </c>
      <c r="DB29" s="152">
        <v>60</v>
      </c>
      <c r="DD29" s="152">
        <v>60</v>
      </c>
      <c r="DE29" s="152">
        <v>60</v>
      </c>
      <c r="DF29" s="152">
        <v>60</v>
      </c>
      <c r="DG29" s="152">
        <v>60</v>
      </c>
      <c r="DH29" s="152">
        <v>40</v>
      </c>
      <c r="DI29" s="152">
        <v>60</v>
      </c>
      <c r="DJ29" s="152">
        <v>60</v>
      </c>
    </row>
    <row r="30" spans="1:114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973</v>
      </c>
      <c r="H30" s="56">
        <v>5</v>
      </c>
      <c r="I30" s="56" t="s">
        <v>1068</v>
      </c>
      <c r="J30" s="56" t="s">
        <v>1067</v>
      </c>
      <c r="L30" s="161">
        <v>360</v>
      </c>
      <c r="N30" s="56" t="s">
        <v>1313</v>
      </c>
      <c r="O30" s="56">
        <f t="shared" si="3"/>
        <v>150</v>
      </c>
      <c r="P30" s="10">
        <v>5</v>
      </c>
      <c r="Q30" s="158">
        <f t="shared" si="4"/>
        <v>0.88486174114429406</v>
      </c>
      <c r="R30" s="174">
        <f t="shared" si="5"/>
        <v>2.16</v>
      </c>
      <c r="W30" s="158" t="str">
        <f t="shared" si="0"/>
        <v/>
      </c>
      <c r="X30" s="174" t="str">
        <f t="shared" si="1"/>
        <v/>
      </c>
      <c r="BF30" s="152">
        <v>20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60</v>
      </c>
      <c r="BN30" s="152">
        <v>60</v>
      </c>
      <c r="BO30" s="152">
        <v>60</v>
      </c>
      <c r="BP30" s="152">
        <v>60</v>
      </c>
      <c r="BQ30" s="152">
        <v>30</v>
      </c>
      <c r="BR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I30" s="152">
        <v>60</v>
      </c>
      <c r="CJ30" s="152">
        <v>60</v>
      </c>
      <c r="CK30" s="152">
        <v>60</v>
      </c>
      <c r="CL30" s="152">
        <v>60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Y30" s="152">
        <v>50</v>
      </c>
      <c r="CZ30" s="152">
        <v>50</v>
      </c>
      <c r="DA30" s="152">
        <v>50</v>
      </c>
      <c r="DB30" s="152">
        <v>50</v>
      </c>
      <c r="DD30" s="152">
        <v>50</v>
      </c>
      <c r="DE30" s="152">
        <v>50</v>
      </c>
      <c r="DF30" s="152">
        <v>50</v>
      </c>
      <c r="DG30" s="152">
        <v>50</v>
      </c>
      <c r="DH30" s="152">
        <v>30</v>
      </c>
      <c r="DI30" s="152">
        <v>50</v>
      </c>
      <c r="DJ30" s="152">
        <v>50</v>
      </c>
    </row>
    <row r="31" spans="1:114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>
        <f t="shared" si="3"/>
        <v>0</v>
      </c>
      <c r="P31" s="7"/>
      <c r="Q31" s="160" t="str">
        <f t="shared" si="4"/>
        <v/>
      </c>
      <c r="R31" s="176" t="str">
        <f t="shared" si="5"/>
        <v/>
      </c>
      <c r="S31" s="166"/>
      <c r="W31" s="158" t="str">
        <f t="shared" si="0"/>
        <v/>
      </c>
      <c r="X31" s="174" t="str">
        <f t="shared" si="1"/>
        <v/>
      </c>
    </row>
    <row r="32" spans="1:114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6">
        <f t="shared" si="3"/>
        <v>0</v>
      </c>
      <c r="Q32" s="158" t="str">
        <f t="shared" si="4"/>
        <v/>
      </c>
      <c r="R32" s="174" t="str">
        <f t="shared" si="5"/>
        <v/>
      </c>
      <c r="W32" s="158" t="str">
        <f t="shared" si="0"/>
        <v/>
      </c>
      <c r="X32" s="174" t="str">
        <f t="shared" si="1"/>
        <v/>
      </c>
    </row>
    <row r="33" spans="1:113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6">
        <f t="shared" si="3"/>
        <v>0</v>
      </c>
      <c r="Q33" s="158" t="str">
        <f t="shared" si="4"/>
        <v/>
      </c>
      <c r="R33" s="174" t="str">
        <f t="shared" si="5"/>
        <v/>
      </c>
      <c r="W33" s="158" t="str">
        <f t="shared" si="0"/>
        <v/>
      </c>
      <c r="X33" s="174" t="str">
        <f t="shared" si="1"/>
        <v/>
      </c>
    </row>
    <row r="34" spans="1:113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6">
        <f t="shared" si="3"/>
        <v>0</v>
      </c>
      <c r="Q34" s="158" t="str">
        <f t="shared" si="4"/>
        <v/>
      </c>
      <c r="R34" s="174" t="str">
        <f t="shared" si="5"/>
        <v/>
      </c>
      <c r="W34" s="158" t="str">
        <f t="shared" si="0"/>
        <v/>
      </c>
      <c r="X34" s="174" t="str">
        <f t="shared" si="1"/>
        <v/>
      </c>
    </row>
    <row r="35" spans="1:113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1"/>
      <c r="M35" s="10"/>
      <c r="N35" s="56"/>
      <c r="O35" s="56">
        <f t="shared" si="3"/>
        <v>0</v>
      </c>
      <c r="P35" s="10"/>
      <c r="Q35" s="158" t="str">
        <f t="shared" si="4"/>
        <v/>
      </c>
      <c r="R35" s="174" t="str">
        <f t="shared" si="5"/>
        <v/>
      </c>
      <c r="S35" s="164"/>
      <c r="T35" s="56"/>
      <c r="U35" s="56"/>
      <c r="V35" s="56"/>
      <c r="W35" s="158" t="str">
        <f t="shared" si="0"/>
        <v/>
      </c>
      <c r="X35" s="174" t="str">
        <f t="shared" si="1"/>
        <v/>
      </c>
      <c r="Y35" s="168"/>
      <c r="Z35" s="10"/>
      <c r="AA35" s="56"/>
      <c r="AB35" s="56"/>
      <c r="AC35" s="56"/>
      <c r="AD35" s="56"/>
      <c r="AE35" s="56"/>
      <c r="AF35" s="170"/>
      <c r="AG35" s="56"/>
      <c r="AH35" s="56"/>
      <c r="AI35" s="168"/>
      <c r="AJ35" s="56"/>
      <c r="AK35" s="56"/>
      <c r="AL35" s="56"/>
      <c r="AM35" s="56"/>
      <c r="AN35" s="56"/>
      <c r="AO35" s="56"/>
      <c r="AP35" s="56"/>
      <c r="AQ35" s="56"/>
      <c r="AR35" s="168"/>
      <c r="AS35" s="56"/>
      <c r="AT35" s="56"/>
      <c r="AU35" s="56"/>
      <c r="AV35" s="56"/>
      <c r="AW35" s="56"/>
      <c r="AX35" s="56"/>
      <c r="AY35" s="56"/>
      <c r="AZ35" s="56"/>
      <c r="BA35" s="168"/>
      <c r="BB35" s="56"/>
      <c r="BC35" s="56"/>
      <c r="BD35" s="56"/>
      <c r="BE35" s="168"/>
      <c r="BF35" s="56"/>
      <c r="BG35" s="10"/>
      <c r="BH35" s="56"/>
      <c r="BI35" s="56"/>
      <c r="BJ35" s="56"/>
      <c r="BK35" s="56"/>
      <c r="BS35" s="144"/>
      <c r="CM35" s="144"/>
      <c r="DC35" s="144"/>
    </row>
    <row r="36" spans="1:113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1"/>
      <c r="M36" s="10"/>
      <c r="N36" s="56"/>
      <c r="O36" s="56">
        <f t="shared" si="3"/>
        <v>0</v>
      </c>
      <c r="P36" s="10"/>
      <c r="Q36" s="158" t="str">
        <f t="shared" si="4"/>
        <v/>
      </c>
      <c r="R36" s="174" t="str">
        <f t="shared" si="5"/>
        <v/>
      </c>
      <c r="S36" s="164"/>
      <c r="T36" s="56"/>
      <c r="U36" s="56"/>
      <c r="V36" s="56"/>
      <c r="W36" s="158" t="str">
        <f t="shared" si="0"/>
        <v/>
      </c>
      <c r="X36" s="174" t="str">
        <f t="shared" si="1"/>
        <v/>
      </c>
      <c r="Y36" s="168"/>
      <c r="Z36" s="10"/>
      <c r="AA36" s="56"/>
      <c r="AB36" s="56"/>
      <c r="AC36" s="56"/>
      <c r="AD36" s="56"/>
      <c r="AE36" s="56"/>
      <c r="AF36" s="170"/>
      <c r="AG36" s="56"/>
      <c r="AH36" s="56"/>
      <c r="AI36" s="168"/>
      <c r="AJ36" s="56"/>
      <c r="AK36" s="56"/>
      <c r="AL36" s="56"/>
      <c r="AM36" s="56"/>
      <c r="AN36" s="56"/>
      <c r="AO36" s="56"/>
      <c r="AP36" s="56"/>
      <c r="AQ36" s="56"/>
      <c r="AR36" s="168"/>
      <c r="AS36" s="56"/>
      <c r="AT36" s="56"/>
      <c r="AU36" s="56"/>
      <c r="AV36" s="56"/>
      <c r="AW36" s="56"/>
      <c r="AX36" s="56"/>
      <c r="AY36" s="56"/>
      <c r="AZ36" s="56"/>
      <c r="BA36" s="168"/>
      <c r="BB36" s="56"/>
      <c r="BC36" s="56"/>
      <c r="BD36" s="56"/>
      <c r="BE36" s="168"/>
      <c r="BF36" s="56"/>
      <c r="BG36" s="10"/>
      <c r="BH36" s="56"/>
      <c r="BI36" s="56"/>
      <c r="BJ36" s="56"/>
      <c r="BK36" s="56"/>
      <c r="BS36" s="144"/>
      <c r="CM36" s="144"/>
      <c r="DC36" s="144"/>
    </row>
    <row r="37" spans="1:113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1"/>
      <c r="M37" s="10"/>
      <c r="N37" s="56"/>
      <c r="O37" s="56">
        <f t="shared" si="3"/>
        <v>0</v>
      </c>
      <c r="P37" s="10"/>
      <c r="Q37" s="158" t="str">
        <f t="shared" si="4"/>
        <v/>
      </c>
      <c r="R37" s="174" t="str">
        <f t="shared" si="5"/>
        <v/>
      </c>
      <c r="S37" s="164"/>
      <c r="T37" s="56"/>
      <c r="U37" s="56"/>
      <c r="V37" s="56"/>
      <c r="W37" s="158" t="str">
        <f t="shared" si="0"/>
        <v/>
      </c>
      <c r="X37" s="174" t="str">
        <f t="shared" si="1"/>
        <v/>
      </c>
      <c r="Y37" s="168"/>
      <c r="Z37" s="10"/>
      <c r="AA37" s="56"/>
      <c r="AB37" s="56"/>
      <c r="AC37" s="56"/>
      <c r="AD37" s="56"/>
      <c r="AE37" s="56"/>
      <c r="AF37" s="170"/>
      <c r="AG37" s="56"/>
      <c r="AH37" s="56"/>
      <c r="AI37" s="168"/>
      <c r="AJ37" s="56"/>
      <c r="AK37" s="56"/>
      <c r="AL37" s="56"/>
      <c r="AM37" s="56"/>
      <c r="AN37" s="56"/>
      <c r="AO37" s="56"/>
      <c r="AP37" s="56"/>
      <c r="AQ37" s="56"/>
      <c r="AR37" s="168"/>
      <c r="AS37" s="56"/>
      <c r="AT37" s="56"/>
      <c r="AU37" s="56"/>
      <c r="AV37" s="56"/>
      <c r="AW37" s="56"/>
      <c r="AX37" s="56"/>
      <c r="AY37" s="56"/>
      <c r="AZ37" s="56"/>
      <c r="BA37" s="168"/>
      <c r="BB37" s="56"/>
      <c r="BC37" s="56"/>
      <c r="BD37" s="56"/>
      <c r="BE37" s="168"/>
      <c r="BF37" s="56"/>
      <c r="BG37" s="10"/>
      <c r="BH37" s="56"/>
      <c r="BI37" s="56"/>
      <c r="BJ37" s="56"/>
      <c r="BK37" s="56"/>
      <c r="BS37" s="144"/>
      <c r="CM37" s="144"/>
      <c r="DC37" s="144"/>
    </row>
    <row r="38" spans="1:113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1"/>
      <c r="M38" s="10"/>
      <c r="N38" s="56"/>
      <c r="O38" s="56">
        <f t="shared" si="3"/>
        <v>0</v>
      </c>
      <c r="P38" s="10"/>
      <c r="Q38" s="158" t="str">
        <f t="shared" si="4"/>
        <v/>
      </c>
      <c r="R38" s="174" t="str">
        <f t="shared" si="5"/>
        <v/>
      </c>
      <c r="S38" s="164"/>
      <c r="T38" s="56"/>
      <c r="U38" s="56"/>
      <c r="V38" s="56"/>
      <c r="W38" s="158" t="str">
        <f t="shared" si="0"/>
        <v/>
      </c>
      <c r="X38" s="174" t="str">
        <f t="shared" si="1"/>
        <v/>
      </c>
      <c r="Y38" s="168"/>
      <c r="Z38" s="10"/>
      <c r="AA38" s="56"/>
      <c r="AB38" s="56"/>
      <c r="AC38" s="56"/>
      <c r="AD38" s="56"/>
      <c r="AE38" s="56"/>
      <c r="AF38" s="170"/>
      <c r="AG38" s="56"/>
      <c r="AH38" s="56"/>
      <c r="AI38" s="168"/>
      <c r="AJ38" s="56"/>
      <c r="AK38" s="56"/>
      <c r="AL38" s="56"/>
      <c r="AM38" s="56"/>
      <c r="AN38" s="56"/>
      <c r="AO38" s="56"/>
      <c r="AP38" s="56"/>
      <c r="AQ38" s="56"/>
      <c r="AR38" s="168"/>
      <c r="AS38" s="56"/>
      <c r="AT38" s="56"/>
      <c r="AU38" s="56"/>
      <c r="AV38" s="56"/>
      <c r="AW38" s="56"/>
      <c r="AX38" s="56"/>
      <c r="AY38" s="56"/>
      <c r="AZ38" s="56"/>
      <c r="BA38" s="168"/>
      <c r="BB38" s="56"/>
      <c r="BC38" s="56"/>
      <c r="BD38" s="56"/>
      <c r="BE38" s="168"/>
      <c r="BF38" s="56"/>
      <c r="BG38" s="10"/>
      <c r="BH38" s="56"/>
      <c r="BI38" s="56"/>
      <c r="BJ38" s="56"/>
      <c r="BK38" s="56"/>
      <c r="BS38" s="144"/>
      <c r="CM38" s="144"/>
      <c r="DC38" s="144"/>
    </row>
    <row r="39" spans="1:113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1"/>
      <c r="M39" s="10"/>
      <c r="N39" s="56"/>
      <c r="O39" s="56">
        <f t="shared" si="3"/>
        <v>0</v>
      </c>
      <c r="P39" s="10"/>
      <c r="Q39" s="158" t="str">
        <f t="shared" si="4"/>
        <v/>
      </c>
      <c r="R39" s="174" t="str">
        <f t="shared" si="5"/>
        <v/>
      </c>
      <c r="S39" s="164"/>
      <c r="T39" s="56"/>
      <c r="U39" s="56"/>
      <c r="V39" s="56"/>
      <c r="W39" s="158" t="str">
        <f t="shared" si="0"/>
        <v/>
      </c>
      <c r="X39" s="174" t="str">
        <f t="shared" si="1"/>
        <v/>
      </c>
      <c r="Y39" s="168"/>
      <c r="Z39" s="10"/>
      <c r="AA39" s="56"/>
      <c r="AB39" s="56"/>
      <c r="AC39" s="56"/>
      <c r="AD39" s="56"/>
      <c r="AE39" s="56"/>
      <c r="AF39" s="170"/>
      <c r="AG39" s="56"/>
      <c r="AH39" s="56"/>
      <c r="AI39" s="168"/>
      <c r="AJ39" s="56"/>
      <c r="AK39" s="56"/>
      <c r="AL39" s="56"/>
      <c r="AM39" s="56"/>
      <c r="AN39" s="56"/>
      <c r="AO39" s="56"/>
      <c r="AP39" s="56"/>
      <c r="AQ39" s="56"/>
      <c r="AR39" s="168"/>
      <c r="AS39" s="56"/>
      <c r="AT39" s="56"/>
      <c r="AU39" s="56"/>
      <c r="AV39" s="56"/>
      <c r="AW39" s="56"/>
      <c r="AX39" s="56"/>
      <c r="AY39" s="56"/>
      <c r="AZ39" s="56"/>
      <c r="BA39" s="168"/>
      <c r="BB39" s="56"/>
      <c r="BC39" s="56"/>
      <c r="BD39" s="56"/>
      <c r="BE39" s="168"/>
      <c r="BF39" s="56"/>
      <c r="BG39" s="10"/>
      <c r="BH39" s="56"/>
      <c r="BI39" s="56"/>
      <c r="BJ39" s="56"/>
      <c r="BK39" s="56"/>
      <c r="BS39" s="144"/>
      <c r="CM39" s="144"/>
      <c r="DC39" s="144"/>
    </row>
    <row r="40" spans="1:113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1"/>
      <c r="M40" s="10"/>
      <c r="N40" s="56"/>
      <c r="O40" s="56">
        <f t="shared" si="3"/>
        <v>0</v>
      </c>
      <c r="P40" s="10"/>
      <c r="Q40" s="158" t="str">
        <f t="shared" si="4"/>
        <v/>
      </c>
      <c r="R40" s="174" t="str">
        <f t="shared" si="5"/>
        <v/>
      </c>
      <c r="S40" s="164"/>
      <c r="T40" s="56"/>
      <c r="U40" s="56"/>
      <c r="V40" s="56"/>
      <c r="W40" s="158" t="str">
        <f t="shared" si="0"/>
        <v/>
      </c>
      <c r="X40" s="174" t="str">
        <f t="shared" si="1"/>
        <v/>
      </c>
      <c r="Y40" s="168"/>
      <c r="Z40" s="10"/>
      <c r="AA40" s="56"/>
      <c r="AB40" s="56"/>
      <c r="AC40" s="56"/>
      <c r="AD40" s="56"/>
      <c r="AE40" s="56"/>
      <c r="AF40" s="170"/>
      <c r="AG40" s="56"/>
      <c r="AH40" s="56"/>
      <c r="AI40" s="168"/>
      <c r="AJ40" s="56"/>
      <c r="AK40" s="56"/>
      <c r="AL40" s="56"/>
      <c r="AM40" s="56"/>
      <c r="AN40" s="56"/>
      <c r="AO40" s="56"/>
      <c r="AP40" s="56"/>
      <c r="AQ40" s="56"/>
      <c r="AR40" s="168"/>
      <c r="AS40" s="56"/>
      <c r="AT40" s="56"/>
      <c r="AU40" s="56"/>
      <c r="AV40" s="56"/>
      <c r="AW40" s="56"/>
      <c r="AX40" s="56"/>
      <c r="AY40" s="56"/>
      <c r="AZ40" s="56"/>
      <c r="BA40" s="168"/>
      <c r="BB40" s="56"/>
      <c r="BC40" s="56"/>
      <c r="BD40" s="56"/>
      <c r="BE40" s="168"/>
      <c r="BF40" s="56"/>
      <c r="BG40" s="10"/>
      <c r="BH40" s="56"/>
      <c r="BI40" s="56"/>
      <c r="BJ40" s="56"/>
      <c r="BK40" s="56"/>
      <c r="BS40" s="144"/>
      <c r="CM40" s="144"/>
      <c r="DC40" s="144"/>
    </row>
    <row r="41" spans="1:113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1"/>
      <c r="M41" s="10"/>
      <c r="N41" s="56"/>
      <c r="O41" s="56">
        <f t="shared" si="3"/>
        <v>0</v>
      </c>
      <c r="P41" s="10"/>
      <c r="Q41" s="158" t="str">
        <f t="shared" si="4"/>
        <v/>
      </c>
      <c r="R41" s="174" t="str">
        <f t="shared" si="5"/>
        <v/>
      </c>
      <c r="S41" s="164"/>
      <c r="T41" s="56"/>
      <c r="U41" s="56"/>
      <c r="V41" s="56"/>
      <c r="W41" s="158" t="str">
        <f t="shared" si="0"/>
        <v/>
      </c>
      <c r="X41" s="174" t="str">
        <f t="shared" si="1"/>
        <v/>
      </c>
      <c r="Y41" s="168"/>
      <c r="Z41" s="10"/>
      <c r="AA41" s="56"/>
      <c r="AB41" s="56"/>
      <c r="AC41" s="56"/>
      <c r="AD41" s="56"/>
      <c r="AE41" s="56"/>
      <c r="AF41" s="170"/>
      <c r="AG41" s="56"/>
      <c r="AH41" s="56"/>
      <c r="AI41" s="168"/>
      <c r="AJ41" s="56"/>
      <c r="AK41" s="56"/>
      <c r="AL41" s="56"/>
      <c r="AM41" s="56"/>
      <c r="AN41" s="56"/>
      <c r="AO41" s="56"/>
      <c r="AP41" s="56"/>
      <c r="AQ41" s="56"/>
      <c r="AR41" s="168"/>
      <c r="AS41" s="56"/>
      <c r="AT41" s="56"/>
      <c r="AU41" s="56"/>
      <c r="AV41" s="56"/>
      <c r="AW41" s="56"/>
      <c r="AX41" s="56"/>
      <c r="AY41" s="56"/>
      <c r="AZ41" s="56"/>
      <c r="BA41" s="168"/>
      <c r="BB41" s="56"/>
      <c r="BC41" s="56"/>
      <c r="BD41" s="56"/>
      <c r="BE41" s="168"/>
      <c r="BF41" s="56"/>
      <c r="BG41" s="10"/>
      <c r="BH41" s="56"/>
      <c r="BI41" s="56"/>
      <c r="BJ41" s="56"/>
      <c r="BK41" s="56"/>
      <c r="BS41" s="144"/>
      <c r="CM41" s="144"/>
      <c r="DC41" s="144"/>
    </row>
    <row r="42" spans="1:113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1"/>
      <c r="M42" s="10"/>
      <c r="N42" s="56"/>
      <c r="O42" s="56">
        <f t="shared" si="3"/>
        <v>0</v>
      </c>
      <c r="P42" s="10"/>
      <c r="Q42" s="158" t="str">
        <f t="shared" si="4"/>
        <v/>
      </c>
      <c r="R42" s="174" t="str">
        <f t="shared" si="5"/>
        <v/>
      </c>
      <c r="S42" s="164"/>
      <c r="T42" s="56"/>
      <c r="U42" s="56"/>
      <c r="V42" s="56"/>
      <c r="W42" s="158" t="str">
        <f t="shared" si="0"/>
        <v/>
      </c>
      <c r="X42" s="174" t="str">
        <f t="shared" si="1"/>
        <v/>
      </c>
      <c r="Y42" s="168"/>
      <c r="Z42" s="10"/>
      <c r="AA42" s="56"/>
      <c r="AB42" s="56"/>
      <c r="AC42" s="56"/>
      <c r="AD42" s="56"/>
      <c r="AE42" s="56"/>
      <c r="AF42" s="170"/>
      <c r="AG42" s="56"/>
      <c r="AH42" s="56"/>
      <c r="AI42" s="168"/>
      <c r="AJ42" s="56"/>
      <c r="AK42" s="56"/>
      <c r="AL42" s="56"/>
      <c r="AM42" s="56"/>
      <c r="AN42" s="56"/>
      <c r="AO42" s="56"/>
      <c r="AP42" s="56"/>
      <c r="AQ42" s="56"/>
      <c r="AR42" s="168"/>
      <c r="AS42" s="56"/>
      <c r="AT42" s="56"/>
      <c r="AU42" s="56"/>
      <c r="AV42" s="56"/>
      <c r="AW42" s="56"/>
      <c r="AX42" s="56"/>
      <c r="AY42" s="56"/>
      <c r="AZ42" s="56"/>
      <c r="BA42" s="168"/>
      <c r="BB42" s="56"/>
      <c r="BC42" s="56"/>
      <c r="BD42" s="56"/>
      <c r="BE42" s="168"/>
      <c r="BF42" s="56"/>
      <c r="BG42" s="10"/>
      <c r="BH42" s="56"/>
      <c r="BI42" s="56"/>
      <c r="BJ42" s="56"/>
      <c r="BK42" s="56"/>
      <c r="BS42" s="144"/>
      <c r="CM42" s="144"/>
      <c r="DC42" s="144"/>
    </row>
    <row r="43" spans="1:113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1"/>
      <c r="M43" s="10"/>
      <c r="N43" s="56"/>
      <c r="O43" s="56">
        <f t="shared" si="3"/>
        <v>0</v>
      </c>
      <c r="P43" s="10"/>
      <c r="Q43" s="158" t="str">
        <f t="shared" si="4"/>
        <v/>
      </c>
      <c r="R43" s="174" t="str">
        <f t="shared" si="5"/>
        <v/>
      </c>
      <c r="S43" s="164"/>
      <c r="T43" s="56"/>
      <c r="U43" s="56"/>
      <c r="V43" s="56"/>
      <c r="W43" s="158" t="str">
        <f t="shared" si="0"/>
        <v/>
      </c>
      <c r="X43" s="174" t="str">
        <f t="shared" si="1"/>
        <v/>
      </c>
      <c r="Y43" s="168"/>
      <c r="Z43" s="10"/>
      <c r="AA43" s="56"/>
      <c r="AB43" s="56"/>
      <c r="AC43" s="56"/>
      <c r="AD43" s="56"/>
      <c r="AE43" s="56"/>
      <c r="AF43" s="170"/>
      <c r="AG43" s="56"/>
      <c r="AH43" s="56"/>
      <c r="AI43" s="168"/>
      <c r="AJ43" s="56"/>
      <c r="AK43" s="56"/>
      <c r="AL43" s="56"/>
      <c r="AM43" s="56"/>
      <c r="AN43" s="56"/>
      <c r="AO43" s="56"/>
      <c r="AP43" s="56"/>
      <c r="AQ43" s="56"/>
      <c r="AR43" s="168"/>
      <c r="AS43" s="56"/>
      <c r="AT43" s="56"/>
      <c r="AU43" s="56"/>
      <c r="AV43" s="56"/>
      <c r="AW43" s="56"/>
      <c r="AX43" s="56"/>
      <c r="AY43" s="56"/>
      <c r="AZ43" s="56"/>
      <c r="BA43" s="168"/>
      <c r="BB43" s="56"/>
      <c r="BC43" s="56"/>
      <c r="BD43" s="56"/>
      <c r="BE43" s="168"/>
      <c r="BF43" s="56"/>
      <c r="BG43" s="10"/>
      <c r="BH43" s="56"/>
      <c r="BI43" s="56"/>
      <c r="BJ43" s="56"/>
      <c r="BK43" s="56"/>
      <c r="BS43" s="144"/>
      <c r="CM43" s="144"/>
      <c r="DC43" s="144"/>
    </row>
    <row r="44" spans="1:113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1"/>
      <c r="M44" s="10"/>
      <c r="N44" s="56"/>
      <c r="O44" s="56">
        <f t="shared" si="3"/>
        <v>0</v>
      </c>
      <c r="P44" s="10"/>
      <c r="Q44" s="158" t="str">
        <f t="shared" si="4"/>
        <v/>
      </c>
      <c r="R44" s="174" t="str">
        <f t="shared" si="5"/>
        <v/>
      </c>
      <c r="S44" s="164"/>
      <c r="T44" s="56"/>
      <c r="U44" s="56"/>
      <c r="V44" s="56"/>
      <c r="W44" s="158" t="str">
        <f t="shared" si="0"/>
        <v/>
      </c>
      <c r="X44" s="174" t="str">
        <f t="shared" si="1"/>
        <v/>
      </c>
      <c r="Y44" s="168"/>
      <c r="Z44" s="10"/>
      <c r="AA44" s="56"/>
      <c r="AB44" s="56"/>
      <c r="AC44" s="56"/>
      <c r="AD44" s="56"/>
      <c r="AE44" s="56"/>
      <c r="AF44" s="170"/>
      <c r="AG44" s="56"/>
      <c r="AH44" s="56"/>
      <c r="AI44" s="168"/>
      <c r="AJ44" s="56"/>
      <c r="AK44" s="56"/>
      <c r="AL44" s="56"/>
      <c r="AM44" s="56"/>
      <c r="AN44" s="56"/>
      <c r="AO44" s="56"/>
      <c r="AP44" s="56"/>
      <c r="AQ44" s="56"/>
      <c r="AR44" s="168"/>
      <c r="AS44" s="56"/>
      <c r="AT44" s="56"/>
      <c r="AU44" s="56"/>
      <c r="AV44" s="56"/>
      <c r="AW44" s="56"/>
      <c r="AX44" s="56"/>
      <c r="AY44" s="56"/>
      <c r="AZ44" s="56"/>
      <c r="BA44" s="168"/>
      <c r="BB44" s="56"/>
      <c r="BC44" s="56"/>
      <c r="BD44" s="56"/>
      <c r="BE44" s="168"/>
      <c r="BF44" s="56"/>
      <c r="BG44" s="10"/>
      <c r="BH44" s="56"/>
      <c r="BI44" s="56"/>
      <c r="BJ44" s="56"/>
      <c r="BK44" s="56"/>
      <c r="BS44" s="144"/>
      <c r="CM44" s="144"/>
      <c r="DC44" s="144"/>
    </row>
    <row r="45" spans="1:113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816</v>
      </c>
      <c r="H45" s="57">
        <v>1</v>
      </c>
      <c r="I45" s="57" t="s">
        <v>1055</v>
      </c>
      <c r="J45" s="57" t="s">
        <v>1069</v>
      </c>
      <c r="K45" s="57"/>
      <c r="L45" s="163">
        <v>5</v>
      </c>
      <c r="M45" s="17"/>
      <c r="N45" s="57" t="s">
        <v>1314</v>
      </c>
      <c r="O45" s="57">
        <f t="shared" si="3"/>
        <v>300</v>
      </c>
      <c r="P45" s="17">
        <v>10</v>
      </c>
      <c r="Q45" s="159">
        <f t="shared" si="4"/>
        <v>0.98678619270966395</v>
      </c>
      <c r="R45" s="175">
        <f t="shared" si="5"/>
        <v>4.32</v>
      </c>
      <c r="S45" s="165"/>
      <c r="T45" s="57"/>
      <c r="U45" s="57"/>
      <c r="V45" s="57"/>
      <c r="W45" s="159" t="str">
        <f t="shared" si="0"/>
        <v/>
      </c>
      <c r="X45" s="175" t="str">
        <f t="shared" si="1"/>
        <v/>
      </c>
      <c r="Y45" s="169"/>
      <c r="Z45" s="17"/>
      <c r="AA45" s="57"/>
      <c r="AB45" s="57"/>
      <c r="AC45" s="57"/>
      <c r="AD45" s="57"/>
      <c r="AE45" s="57"/>
      <c r="AF45" s="172"/>
      <c r="AG45" s="57"/>
      <c r="AH45" s="57"/>
      <c r="AI45" s="169"/>
      <c r="AJ45" s="153">
        <v>70</v>
      </c>
      <c r="AK45" s="153">
        <v>70</v>
      </c>
      <c r="AL45" s="153">
        <v>80</v>
      </c>
      <c r="AM45" s="57"/>
      <c r="AN45" s="57"/>
      <c r="AO45" s="57"/>
      <c r="AP45" s="57"/>
      <c r="AQ45" s="57"/>
      <c r="AR45" s="169"/>
      <c r="AS45" s="57"/>
      <c r="AT45" s="57"/>
      <c r="AU45" s="57"/>
      <c r="AV45" s="57"/>
      <c r="AW45" s="57"/>
      <c r="AX45" s="57"/>
      <c r="AY45" s="57"/>
      <c r="AZ45" s="57"/>
      <c r="BA45" s="169"/>
      <c r="BB45" s="57"/>
      <c r="BC45" s="57"/>
      <c r="BD45" s="57"/>
      <c r="BE45" s="169"/>
      <c r="BF45" s="57"/>
      <c r="BG45" s="17"/>
      <c r="BH45" s="153">
        <v>150</v>
      </c>
      <c r="BI45" s="153">
        <v>150</v>
      </c>
      <c r="BJ45" s="153">
        <v>150</v>
      </c>
      <c r="BK45" s="57"/>
      <c r="BO45" s="153">
        <v>150</v>
      </c>
      <c r="BS45" s="143"/>
      <c r="CM45" s="143"/>
      <c r="DC45" s="143"/>
    </row>
    <row r="46" spans="1:113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817</v>
      </c>
      <c r="H46" s="56">
        <v>3</v>
      </c>
      <c r="I46" s="56" t="s">
        <v>1055</v>
      </c>
      <c r="J46" s="56" t="s">
        <v>1069</v>
      </c>
      <c r="L46" s="161">
        <v>5</v>
      </c>
      <c r="N46" s="56" t="s">
        <v>1315</v>
      </c>
      <c r="O46" s="56">
        <f t="shared" si="3"/>
        <v>240</v>
      </c>
      <c r="P46" s="10">
        <v>8</v>
      </c>
      <c r="Q46" s="158">
        <f t="shared" si="4"/>
        <v>0.96857507299959522</v>
      </c>
      <c r="R46" s="174">
        <f t="shared" si="5"/>
        <v>3.4559999999999995</v>
      </c>
      <c r="W46" s="158" t="str">
        <f t="shared" si="0"/>
        <v/>
      </c>
      <c r="X46" s="174" t="str">
        <f t="shared" si="1"/>
        <v/>
      </c>
      <c r="AJ46" s="152">
        <v>50</v>
      </c>
      <c r="AK46" s="152">
        <v>50</v>
      </c>
      <c r="AL46" s="152">
        <v>50</v>
      </c>
      <c r="BH46" s="152">
        <v>180</v>
      </c>
      <c r="BI46" s="152">
        <v>180</v>
      </c>
      <c r="BJ46" s="152">
        <v>180</v>
      </c>
      <c r="BL46" s="108"/>
      <c r="BO46" s="152">
        <v>180</v>
      </c>
    </row>
    <row r="47" spans="1:113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818</v>
      </c>
      <c r="H47" s="56">
        <v>5</v>
      </c>
      <c r="I47" s="56" t="s">
        <v>1055</v>
      </c>
      <c r="J47" s="56" t="s">
        <v>1069</v>
      </c>
      <c r="L47" s="161">
        <v>5</v>
      </c>
      <c r="N47" s="56" t="s">
        <v>1316</v>
      </c>
      <c r="O47" s="56">
        <f t="shared" si="3"/>
        <v>150</v>
      </c>
      <c r="P47" s="10">
        <v>5</v>
      </c>
      <c r="Q47" s="158">
        <f t="shared" si="4"/>
        <v>0.88486174114429406</v>
      </c>
      <c r="R47" s="174">
        <f t="shared" si="5"/>
        <v>2.16</v>
      </c>
      <c r="W47" s="158" t="str">
        <f t="shared" si="0"/>
        <v/>
      </c>
      <c r="X47" s="174" t="str">
        <f t="shared" si="1"/>
        <v/>
      </c>
      <c r="AJ47" s="152">
        <v>20</v>
      </c>
      <c r="AK47" s="152">
        <v>20</v>
      </c>
      <c r="AL47" s="152">
        <v>20</v>
      </c>
      <c r="BH47" s="152">
        <v>210</v>
      </c>
      <c r="BI47" s="152">
        <v>210</v>
      </c>
      <c r="BJ47" s="152">
        <v>210</v>
      </c>
      <c r="BL47" s="108"/>
      <c r="BO47" s="152">
        <v>210</v>
      </c>
    </row>
    <row r="48" spans="1:113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819</v>
      </c>
      <c r="H48" s="56">
        <v>1</v>
      </c>
      <c r="I48" s="56" t="s">
        <v>1056</v>
      </c>
      <c r="J48" s="56" t="s">
        <v>1071</v>
      </c>
      <c r="L48" s="161">
        <v>360</v>
      </c>
      <c r="N48" s="56" t="s">
        <v>1317</v>
      </c>
      <c r="O48" s="56">
        <f t="shared" si="3"/>
        <v>300</v>
      </c>
      <c r="P48" s="10">
        <v>10</v>
      </c>
      <c r="Q48" s="158">
        <f t="shared" si="4"/>
        <v>0.98678619270966395</v>
      </c>
      <c r="R48" s="174">
        <f t="shared" si="5"/>
        <v>4.32</v>
      </c>
      <c r="W48" s="158" t="str">
        <f t="shared" si="0"/>
        <v/>
      </c>
      <c r="X48" s="174" t="str">
        <f t="shared" si="1"/>
        <v/>
      </c>
      <c r="AS48" s="152">
        <v>70</v>
      </c>
      <c r="AT48" s="152">
        <v>70</v>
      </c>
      <c r="AU48" s="152">
        <v>80</v>
      </c>
      <c r="AV48" s="152">
        <v>60</v>
      </c>
      <c r="AW48" s="152">
        <v>60</v>
      </c>
      <c r="AX48" s="152">
        <v>80</v>
      </c>
      <c r="BH48" s="152">
        <v>150</v>
      </c>
      <c r="BI48" s="152">
        <v>150</v>
      </c>
      <c r="BJ48" s="152">
        <v>150</v>
      </c>
      <c r="BL48" s="152">
        <v>150</v>
      </c>
      <c r="BM48" s="152">
        <v>150</v>
      </c>
      <c r="BO48" s="152">
        <v>150</v>
      </c>
      <c r="DD48" s="152">
        <v>150</v>
      </c>
      <c r="DE48" s="155">
        <v>110</v>
      </c>
      <c r="DF48" s="155">
        <v>110</v>
      </c>
      <c r="DI48" s="152">
        <v>150</v>
      </c>
    </row>
    <row r="49" spans="1:113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820</v>
      </c>
      <c r="H49" s="56">
        <v>3</v>
      </c>
      <c r="I49" s="56" t="s">
        <v>1056</v>
      </c>
      <c r="J49" s="56" t="s">
        <v>1071</v>
      </c>
      <c r="L49" s="161">
        <v>360</v>
      </c>
      <c r="N49" s="56" t="s">
        <v>1319</v>
      </c>
      <c r="O49" s="56">
        <f t="shared" si="3"/>
        <v>240</v>
      </c>
      <c r="P49" s="10">
        <v>8</v>
      </c>
      <c r="Q49" s="158">
        <f t="shared" si="4"/>
        <v>0.96857507299959522</v>
      </c>
      <c r="R49" s="174">
        <f t="shared" si="5"/>
        <v>3.4559999999999995</v>
      </c>
      <c r="W49" s="158" t="str">
        <f t="shared" si="0"/>
        <v/>
      </c>
      <c r="X49" s="174" t="str">
        <f t="shared" si="1"/>
        <v/>
      </c>
      <c r="AS49" s="152">
        <v>50</v>
      </c>
      <c r="AT49" s="152">
        <v>50</v>
      </c>
      <c r="AU49" s="152">
        <v>50</v>
      </c>
      <c r="AV49" s="152">
        <v>40</v>
      </c>
      <c r="AW49" s="152">
        <v>40</v>
      </c>
      <c r="AX49" s="152">
        <v>50</v>
      </c>
      <c r="BH49" s="152">
        <v>180</v>
      </c>
      <c r="BI49" s="152">
        <v>180</v>
      </c>
      <c r="BJ49" s="152">
        <v>180</v>
      </c>
      <c r="BL49" s="152">
        <v>180</v>
      </c>
      <c r="BM49" s="152">
        <v>180</v>
      </c>
      <c r="BO49" s="152">
        <v>180</v>
      </c>
      <c r="DD49" s="152">
        <v>180</v>
      </c>
      <c r="DE49" s="155">
        <v>120</v>
      </c>
      <c r="DF49" s="155">
        <v>120</v>
      </c>
      <c r="DI49" s="152">
        <v>180</v>
      </c>
    </row>
    <row r="50" spans="1:113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821</v>
      </c>
      <c r="H50" s="56">
        <v>5</v>
      </c>
      <c r="I50" s="56" t="s">
        <v>1056</v>
      </c>
      <c r="J50" s="56" t="s">
        <v>1071</v>
      </c>
      <c r="L50" s="161">
        <v>360</v>
      </c>
      <c r="N50" s="56" t="s">
        <v>1318</v>
      </c>
      <c r="O50" s="56">
        <f t="shared" si="3"/>
        <v>150</v>
      </c>
      <c r="P50" s="10">
        <v>5</v>
      </c>
      <c r="Q50" s="158">
        <f t="shared" si="4"/>
        <v>0.88486174114429406</v>
      </c>
      <c r="R50" s="174">
        <f t="shared" si="5"/>
        <v>2.16</v>
      </c>
      <c r="W50" s="158" t="str">
        <f t="shared" si="0"/>
        <v/>
      </c>
      <c r="X50" s="174" t="str">
        <f t="shared" si="1"/>
        <v/>
      </c>
      <c r="AS50" s="152">
        <v>20</v>
      </c>
      <c r="AT50" s="152">
        <v>20</v>
      </c>
      <c r="AU50" s="152">
        <v>20</v>
      </c>
      <c r="AV50" s="152">
        <v>10</v>
      </c>
      <c r="AW50" s="152">
        <v>10</v>
      </c>
      <c r="AX50" s="152">
        <v>20</v>
      </c>
      <c r="BH50" s="152">
        <v>210</v>
      </c>
      <c r="BI50" s="152">
        <v>210</v>
      </c>
      <c r="BJ50" s="152">
        <v>210</v>
      </c>
      <c r="BL50" s="152">
        <v>210</v>
      </c>
      <c r="BM50" s="152">
        <v>210</v>
      </c>
      <c r="BO50" s="152">
        <v>210</v>
      </c>
      <c r="DD50" s="152">
        <v>210</v>
      </c>
      <c r="DE50" s="155">
        <v>130</v>
      </c>
      <c r="DF50" s="155">
        <v>130</v>
      </c>
      <c r="DI50" s="152">
        <v>210</v>
      </c>
    </row>
    <row r="51" spans="1:113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867</v>
      </c>
      <c r="H51" s="56">
        <v>1</v>
      </c>
      <c r="I51" s="56" t="s">
        <v>1057</v>
      </c>
      <c r="J51" s="56" t="s">
        <v>1070</v>
      </c>
      <c r="L51" s="161">
        <v>360</v>
      </c>
      <c r="N51" s="56" t="s">
        <v>1320</v>
      </c>
      <c r="O51" s="56">
        <f t="shared" si="3"/>
        <v>300</v>
      </c>
      <c r="P51" s="10">
        <v>10</v>
      </c>
      <c r="Q51" s="158">
        <f t="shared" si="4"/>
        <v>0.98678619270966395</v>
      </c>
      <c r="R51" s="174">
        <f t="shared" si="5"/>
        <v>4.32</v>
      </c>
      <c r="W51" s="158" t="str">
        <f t="shared" si="0"/>
        <v/>
      </c>
      <c r="X51" s="174" t="str">
        <f t="shared" si="1"/>
        <v/>
      </c>
      <c r="AS51" s="152">
        <v>70</v>
      </c>
      <c r="AT51" s="152">
        <v>70</v>
      </c>
      <c r="AU51" s="152">
        <v>70</v>
      </c>
      <c r="AV51" s="152">
        <v>150</v>
      </c>
      <c r="AW51" s="152">
        <v>150</v>
      </c>
      <c r="AX51" s="152">
        <v>70</v>
      </c>
      <c r="BH51" s="152">
        <v>150</v>
      </c>
      <c r="BI51" s="152">
        <v>150</v>
      </c>
      <c r="BJ51" s="152">
        <v>150</v>
      </c>
      <c r="BL51" s="157">
        <v>70</v>
      </c>
      <c r="DD51" s="157">
        <v>70</v>
      </c>
      <c r="DE51" s="155">
        <v>110</v>
      </c>
      <c r="DF51" s="155">
        <v>110</v>
      </c>
      <c r="DI51" s="152">
        <v>150</v>
      </c>
    </row>
    <row r="52" spans="1:113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868</v>
      </c>
      <c r="H52" s="56">
        <v>3</v>
      </c>
      <c r="I52" s="56" t="s">
        <v>1057</v>
      </c>
      <c r="J52" s="56" t="s">
        <v>1070</v>
      </c>
      <c r="L52" s="161">
        <v>360</v>
      </c>
      <c r="N52" s="56" t="s">
        <v>1322</v>
      </c>
      <c r="O52" s="56">
        <f t="shared" si="3"/>
        <v>240</v>
      </c>
      <c r="P52" s="10">
        <v>8</v>
      </c>
      <c r="Q52" s="158">
        <f t="shared" si="4"/>
        <v>0.96857507299959522</v>
      </c>
      <c r="R52" s="174">
        <f t="shared" si="5"/>
        <v>3.4559999999999995</v>
      </c>
      <c r="W52" s="158" t="str">
        <f t="shared" si="0"/>
        <v/>
      </c>
      <c r="X52" s="174" t="str">
        <f t="shared" si="1"/>
        <v/>
      </c>
      <c r="AS52" s="152">
        <v>50</v>
      </c>
      <c r="AT52" s="152">
        <v>50</v>
      </c>
      <c r="AU52" s="152">
        <v>50</v>
      </c>
      <c r="AV52" s="152">
        <v>180</v>
      </c>
      <c r="AW52" s="152">
        <v>180</v>
      </c>
      <c r="AX52" s="152">
        <v>50</v>
      </c>
      <c r="BH52" s="152">
        <v>180</v>
      </c>
      <c r="BI52" s="152">
        <v>180</v>
      </c>
      <c r="BJ52" s="152">
        <v>180</v>
      </c>
      <c r="BL52" s="157">
        <v>50</v>
      </c>
      <c r="DD52" s="157">
        <v>50</v>
      </c>
      <c r="DE52" s="155">
        <v>120</v>
      </c>
      <c r="DF52" s="155">
        <v>120</v>
      </c>
      <c r="DI52" s="152">
        <v>180</v>
      </c>
    </row>
    <row r="53" spans="1:113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869</v>
      </c>
      <c r="H53" s="56">
        <v>5</v>
      </c>
      <c r="I53" s="56" t="s">
        <v>1057</v>
      </c>
      <c r="J53" s="56" t="s">
        <v>1070</v>
      </c>
      <c r="L53" s="161">
        <v>360</v>
      </c>
      <c r="N53" s="56" t="s">
        <v>1321</v>
      </c>
      <c r="O53" s="56">
        <f t="shared" si="3"/>
        <v>150</v>
      </c>
      <c r="P53" s="10">
        <v>5</v>
      </c>
      <c r="Q53" s="158">
        <f t="shared" si="4"/>
        <v>0.88486174114429406</v>
      </c>
      <c r="R53" s="174">
        <f t="shared" si="5"/>
        <v>2.16</v>
      </c>
      <c r="W53" s="158" t="str">
        <f t="shared" si="0"/>
        <v/>
      </c>
      <c r="X53" s="174" t="str">
        <f t="shared" si="1"/>
        <v/>
      </c>
      <c r="AS53" s="152">
        <v>20</v>
      </c>
      <c r="AT53" s="152">
        <v>20</v>
      </c>
      <c r="AU53" s="152">
        <v>20</v>
      </c>
      <c r="AV53" s="152">
        <v>200</v>
      </c>
      <c r="AW53" s="152">
        <v>200</v>
      </c>
      <c r="AX53" s="152">
        <v>20</v>
      </c>
      <c r="BH53" s="152">
        <v>210</v>
      </c>
      <c r="BI53" s="152">
        <v>210</v>
      </c>
      <c r="BJ53" s="152">
        <v>210</v>
      </c>
      <c r="BL53" s="157">
        <v>20</v>
      </c>
      <c r="DD53" s="157">
        <v>20</v>
      </c>
      <c r="DE53" s="155">
        <v>130</v>
      </c>
      <c r="DF53" s="155">
        <v>130</v>
      </c>
      <c r="DI53" s="152">
        <v>210</v>
      </c>
    </row>
    <row r="54" spans="1:113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976</v>
      </c>
      <c r="H54" s="56">
        <v>1</v>
      </c>
      <c r="I54" s="56" t="s">
        <v>1326</v>
      </c>
      <c r="J54" s="56" t="s">
        <v>1327</v>
      </c>
      <c r="L54" s="161">
        <v>360</v>
      </c>
      <c r="N54" s="56" t="s">
        <v>1323</v>
      </c>
      <c r="O54" s="56">
        <f t="shared" si="3"/>
        <v>300</v>
      </c>
      <c r="P54" s="10">
        <v>10</v>
      </c>
      <c r="Q54" s="158">
        <f t="shared" si="4"/>
        <v>0.98678619270966395</v>
      </c>
      <c r="R54" s="174">
        <f t="shared" si="5"/>
        <v>4.32</v>
      </c>
      <c r="W54" s="158" t="str">
        <f t="shared" si="0"/>
        <v/>
      </c>
      <c r="X54" s="174" t="str">
        <f t="shared" si="1"/>
        <v/>
      </c>
      <c r="AA54" s="152">
        <v>30</v>
      </c>
      <c r="AJ54" s="152">
        <v>70</v>
      </c>
      <c r="AK54" s="152">
        <v>70</v>
      </c>
      <c r="AL54" s="152">
        <v>70</v>
      </c>
      <c r="AO54" s="152">
        <v>70</v>
      </c>
      <c r="AP54" s="152"/>
      <c r="AQ54" s="152"/>
      <c r="AS54" s="152">
        <v>70</v>
      </c>
      <c r="AT54" s="152">
        <v>70</v>
      </c>
      <c r="AU54" s="152">
        <v>70</v>
      </c>
      <c r="AX54" s="152">
        <v>70</v>
      </c>
      <c r="AY54" s="152">
        <v>200</v>
      </c>
      <c r="AZ54" s="152"/>
      <c r="BB54" s="152"/>
      <c r="BC54" s="152"/>
      <c r="BD54" s="152">
        <v>50</v>
      </c>
      <c r="BF54" s="152">
        <v>150</v>
      </c>
      <c r="BH54" s="152">
        <v>150</v>
      </c>
      <c r="BI54" s="152">
        <v>150</v>
      </c>
      <c r="BJ54" s="152">
        <v>150</v>
      </c>
      <c r="BM54" s="152">
        <v>150</v>
      </c>
      <c r="BO54" s="152">
        <v>150</v>
      </c>
      <c r="DE54" s="155">
        <v>110</v>
      </c>
      <c r="DF54" s="155">
        <v>110</v>
      </c>
      <c r="DI54" s="152">
        <v>150</v>
      </c>
    </row>
    <row r="55" spans="1:113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977</v>
      </c>
      <c r="H55" s="56">
        <v>3</v>
      </c>
      <c r="I55" s="56" t="s">
        <v>1326</v>
      </c>
      <c r="J55" s="56" t="s">
        <v>1327</v>
      </c>
      <c r="K55" s="56"/>
      <c r="L55" s="161">
        <v>360</v>
      </c>
      <c r="M55" s="10"/>
      <c r="N55" s="56" t="s">
        <v>1325</v>
      </c>
      <c r="O55" s="56">
        <f t="shared" si="3"/>
        <v>240</v>
      </c>
      <c r="P55" s="10">
        <v>8</v>
      </c>
      <c r="Q55" s="158">
        <f t="shared" si="4"/>
        <v>0.96857507299959522</v>
      </c>
      <c r="R55" s="174">
        <f t="shared" si="5"/>
        <v>3.4559999999999995</v>
      </c>
      <c r="S55" s="164"/>
      <c r="T55" s="56"/>
      <c r="U55" s="56"/>
      <c r="V55" s="56"/>
      <c r="W55" s="158" t="str">
        <f t="shared" si="0"/>
        <v/>
      </c>
      <c r="X55" s="174" t="str">
        <f t="shared" si="1"/>
        <v/>
      </c>
      <c r="Y55" s="168"/>
      <c r="Z55" s="10"/>
      <c r="AA55" s="152">
        <v>15</v>
      </c>
      <c r="AB55" s="56"/>
      <c r="AC55" s="56"/>
      <c r="AD55" s="56"/>
      <c r="AE55" s="56"/>
      <c r="AF55" s="170"/>
      <c r="AG55" s="56"/>
      <c r="AH55" s="56"/>
      <c r="AI55" s="168"/>
      <c r="AJ55" s="152">
        <v>50</v>
      </c>
      <c r="AK55" s="152">
        <v>50</v>
      </c>
      <c r="AL55" s="152">
        <v>50</v>
      </c>
      <c r="AM55" s="56"/>
      <c r="AN55" s="56"/>
      <c r="AO55" s="152">
        <v>50</v>
      </c>
      <c r="AP55" s="152"/>
      <c r="AQ55" s="152"/>
      <c r="AR55" s="168"/>
      <c r="AS55" s="152">
        <v>50</v>
      </c>
      <c r="AT55" s="152">
        <v>50</v>
      </c>
      <c r="AU55" s="152">
        <v>50</v>
      </c>
      <c r="AV55" s="56"/>
      <c r="AW55" s="56"/>
      <c r="AX55" s="152">
        <v>50</v>
      </c>
      <c r="AY55" s="152">
        <v>400</v>
      </c>
      <c r="AZ55" s="152"/>
      <c r="BA55" s="168"/>
      <c r="BB55" s="152">
        <v>40</v>
      </c>
      <c r="BC55" s="152">
        <v>40</v>
      </c>
      <c r="BD55" s="152">
        <v>35</v>
      </c>
      <c r="BE55" s="168"/>
      <c r="BF55" s="152">
        <v>200</v>
      </c>
      <c r="BG55" s="10"/>
      <c r="BH55" s="152">
        <v>180</v>
      </c>
      <c r="BI55" s="152">
        <v>180</v>
      </c>
      <c r="BJ55" s="152">
        <v>180</v>
      </c>
      <c r="BK55" s="56"/>
      <c r="BM55" s="152">
        <v>180</v>
      </c>
      <c r="BO55" s="152">
        <v>180</v>
      </c>
      <c r="BS55" s="144"/>
      <c r="CM55" s="144"/>
      <c r="DC55" s="144"/>
      <c r="DE55" s="155">
        <v>120</v>
      </c>
      <c r="DF55" s="155">
        <v>120</v>
      </c>
      <c r="DI55" s="152">
        <v>180</v>
      </c>
    </row>
    <row r="56" spans="1:113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978</v>
      </c>
      <c r="H56" s="56">
        <v>5</v>
      </c>
      <c r="I56" s="56" t="s">
        <v>1326</v>
      </c>
      <c r="J56" s="56" t="s">
        <v>1327</v>
      </c>
      <c r="K56" s="56"/>
      <c r="L56" s="161">
        <v>360</v>
      </c>
      <c r="M56" s="10"/>
      <c r="N56" s="56" t="s">
        <v>1324</v>
      </c>
      <c r="O56" s="56">
        <f t="shared" si="3"/>
        <v>150</v>
      </c>
      <c r="P56" s="10">
        <v>5</v>
      </c>
      <c r="Q56" s="158">
        <f t="shared" si="4"/>
        <v>0.88486174114429406</v>
      </c>
      <c r="R56" s="174">
        <f t="shared" si="5"/>
        <v>2.16</v>
      </c>
      <c r="S56" s="164"/>
      <c r="T56" s="56"/>
      <c r="U56" s="56"/>
      <c r="V56" s="56"/>
      <c r="W56" s="158" t="str">
        <f t="shared" si="0"/>
        <v/>
      </c>
      <c r="X56" s="174" t="str">
        <f t="shared" si="1"/>
        <v/>
      </c>
      <c r="Y56" s="168"/>
      <c r="Z56" s="10"/>
      <c r="AA56" s="152">
        <v>10</v>
      </c>
      <c r="AB56" s="56"/>
      <c r="AC56" s="56"/>
      <c r="AD56" s="56"/>
      <c r="AE56" s="56"/>
      <c r="AF56" s="170"/>
      <c r="AG56" s="56"/>
      <c r="AH56" s="56"/>
      <c r="AI56" s="168"/>
      <c r="AJ56" s="152">
        <v>20</v>
      </c>
      <c r="AK56" s="152">
        <v>20</v>
      </c>
      <c r="AL56" s="152">
        <v>20</v>
      </c>
      <c r="AM56" s="56"/>
      <c r="AN56" s="56"/>
      <c r="AO56" s="152">
        <v>20</v>
      </c>
      <c r="AP56" s="152"/>
      <c r="AQ56" s="152"/>
      <c r="AR56" s="168"/>
      <c r="AS56" s="152">
        <v>20</v>
      </c>
      <c r="AT56" s="152">
        <v>20</v>
      </c>
      <c r="AU56" s="152">
        <v>20</v>
      </c>
      <c r="AV56" s="56"/>
      <c r="AW56" s="56"/>
      <c r="AX56" s="152">
        <v>20</v>
      </c>
      <c r="AY56" s="152">
        <v>600</v>
      </c>
      <c r="AZ56" s="152"/>
      <c r="BA56" s="168"/>
      <c r="BB56" s="152">
        <v>10</v>
      </c>
      <c r="BC56" s="152">
        <v>10</v>
      </c>
      <c r="BD56" s="152">
        <v>20</v>
      </c>
      <c r="BE56" s="168"/>
      <c r="BF56" s="152">
        <v>300</v>
      </c>
      <c r="BG56" s="10"/>
      <c r="BH56" s="152">
        <v>210</v>
      </c>
      <c r="BI56" s="152">
        <v>210</v>
      </c>
      <c r="BJ56" s="152">
        <v>210</v>
      </c>
      <c r="BK56" s="56"/>
      <c r="BM56" s="152">
        <v>210</v>
      </c>
      <c r="BO56" s="152">
        <v>210</v>
      </c>
      <c r="BS56" s="144"/>
      <c r="CM56" s="144"/>
      <c r="DC56" s="144"/>
      <c r="DE56" s="155">
        <v>130</v>
      </c>
      <c r="DF56" s="155">
        <v>130</v>
      </c>
      <c r="DI56" s="152">
        <v>210</v>
      </c>
    </row>
    <row r="57" spans="1:113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1058</v>
      </c>
      <c r="H57" s="56">
        <v>1</v>
      </c>
      <c r="I57" s="56" t="s">
        <v>1059</v>
      </c>
      <c r="J57" s="56" t="s">
        <v>1072</v>
      </c>
      <c r="K57" s="56"/>
      <c r="L57" s="161">
        <v>360</v>
      </c>
      <c r="M57" s="10"/>
      <c r="N57" s="56" t="s">
        <v>1328</v>
      </c>
      <c r="O57" s="56">
        <f t="shared" si="3"/>
        <v>300</v>
      </c>
      <c r="P57" s="10">
        <v>10</v>
      </c>
      <c r="Q57" s="158">
        <f t="shared" si="4"/>
        <v>0.98678619270966395</v>
      </c>
      <c r="R57" s="174">
        <f t="shared" si="5"/>
        <v>4.32</v>
      </c>
      <c r="S57" s="164"/>
      <c r="T57" s="56"/>
      <c r="U57" s="56"/>
      <c r="V57" s="56"/>
      <c r="W57" s="158" t="str">
        <f t="shared" si="0"/>
        <v/>
      </c>
      <c r="X57" s="174" t="str">
        <f t="shared" si="1"/>
        <v/>
      </c>
      <c r="Y57" s="168"/>
      <c r="Z57" s="10"/>
      <c r="AA57" s="56"/>
      <c r="AB57" s="56"/>
      <c r="AC57" s="56"/>
      <c r="AD57" s="56"/>
      <c r="AE57" s="56"/>
      <c r="AF57" s="170"/>
      <c r="AG57" s="56"/>
      <c r="AH57" s="56"/>
      <c r="AI57" s="168"/>
      <c r="AJ57" s="56"/>
      <c r="AK57" s="56"/>
      <c r="AL57" s="56"/>
      <c r="AM57" s="56"/>
      <c r="AN57" s="56"/>
      <c r="AO57" s="56"/>
      <c r="AP57" s="56"/>
      <c r="AQ57" s="56"/>
      <c r="AR57" s="168"/>
      <c r="AS57" s="56"/>
      <c r="AT57" s="56"/>
      <c r="AU57" s="56"/>
      <c r="AV57" s="56"/>
      <c r="AW57" s="56"/>
      <c r="AX57" s="56"/>
      <c r="AY57" s="56"/>
      <c r="AZ57" s="56"/>
      <c r="BA57" s="168"/>
      <c r="BB57" s="152">
        <v>50</v>
      </c>
      <c r="BC57" s="152">
        <v>50</v>
      </c>
      <c r="BD57" s="152"/>
      <c r="BE57" s="168"/>
      <c r="BF57" s="56"/>
      <c r="BG57" s="10"/>
      <c r="BH57" s="56"/>
      <c r="BI57" s="56"/>
      <c r="BJ57" s="56"/>
      <c r="BK57" s="56"/>
      <c r="BS57" s="144"/>
      <c r="CM57" s="144"/>
      <c r="DC57" s="144"/>
    </row>
    <row r="58" spans="1:113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870</v>
      </c>
      <c r="H58" s="56">
        <v>3</v>
      </c>
      <c r="I58" s="56" t="s">
        <v>1059</v>
      </c>
      <c r="J58" s="56" t="s">
        <v>1072</v>
      </c>
      <c r="K58" s="56"/>
      <c r="L58" s="161">
        <v>360</v>
      </c>
      <c r="M58" s="10"/>
      <c r="N58" s="56" t="s">
        <v>1330</v>
      </c>
      <c r="O58" s="56">
        <f t="shared" si="3"/>
        <v>240</v>
      </c>
      <c r="P58" s="10">
        <v>8</v>
      </c>
      <c r="Q58" s="158">
        <f t="shared" si="4"/>
        <v>0.96857507299959522</v>
      </c>
      <c r="R58" s="174">
        <f t="shared" si="5"/>
        <v>3.4559999999999995</v>
      </c>
      <c r="S58" s="164"/>
      <c r="T58" s="56"/>
      <c r="U58" s="56"/>
      <c r="V58" s="56"/>
      <c r="W58" s="158" t="str">
        <f t="shared" si="0"/>
        <v/>
      </c>
      <c r="X58" s="174" t="str">
        <f t="shared" si="1"/>
        <v/>
      </c>
      <c r="Y58" s="168"/>
      <c r="Z58" s="10"/>
      <c r="AA58" s="56"/>
      <c r="AB58" s="56"/>
      <c r="AC58" s="56"/>
      <c r="AD58" s="56"/>
      <c r="AE58" s="56"/>
      <c r="AF58" s="170"/>
      <c r="AG58" s="56"/>
      <c r="AH58" s="56"/>
      <c r="AI58" s="168"/>
      <c r="AJ58" s="56"/>
      <c r="AK58" s="56"/>
      <c r="AL58" s="56"/>
      <c r="AM58" s="56"/>
      <c r="AN58" s="56"/>
      <c r="AO58" s="56"/>
      <c r="AP58" s="56"/>
      <c r="AQ58" s="56"/>
      <c r="AR58" s="168"/>
      <c r="AS58" s="56"/>
      <c r="AT58" s="56"/>
      <c r="AU58" s="56"/>
      <c r="AV58" s="56"/>
      <c r="AW58" s="56"/>
      <c r="AX58" s="56"/>
      <c r="AY58" s="56"/>
      <c r="AZ58" s="56"/>
      <c r="BA58" s="168"/>
      <c r="BB58" s="152">
        <v>30</v>
      </c>
      <c r="BC58" s="152">
        <v>30</v>
      </c>
      <c r="BD58" s="152"/>
      <c r="BE58" s="168"/>
      <c r="BF58" s="56"/>
      <c r="BG58" s="10"/>
      <c r="BH58" s="56"/>
      <c r="BI58" s="56"/>
      <c r="BJ58" s="56"/>
      <c r="BK58" s="56"/>
      <c r="BS58" s="144"/>
      <c r="CM58" s="144"/>
      <c r="DC58" s="144"/>
    </row>
    <row r="59" spans="1:113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871</v>
      </c>
      <c r="H59" s="56">
        <v>5</v>
      </c>
      <c r="I59" s="56" t="s">
        <v>1059</v>
      </c>
      <c r="J59" s="56" t="s">
        <v>1072</v>
      </c>
      <c r="K59" s="56"/>
      <c r="L59" s="161">
        <v>360</v>
      </c>
      <c r="M59" s="10"/>
      <c r="N59" s="56" t="s">
        <v>1329</v>
      </c>
      <c r="O59" s="56">
        <f t="shared" si="3"/>
        <v>150</v>
      </c>
      <c r="P59" s="10">
        <v>5</v>
      </c>
      <c r="Q59" s="158">
        <f t="shared" si="4"/>
        <v>0.88486174114429406</v>
      </c>
      <c r="R59" s="174">
        <f t="shared" si="5"/>
        <v>2.16</v>
      </c>
      <c r="S59" s="164"/>
      <c r="T59" s="56"/>
      <c r="U59" s="56"/>
      <c r="V59" s="56"/>
      <c r="W59" s="158" t="str">
        <f t="shared" si="0"/>
        <v/>
      </c>
      <c r="X59" s="174" t="str">
        <f t="shared" si="1"/>
        <v/>
      </c>
      <c r="Y59" s="168"/>
      <c r="Z59" s="10"/>
      <c r="AA59" s="56"/>
      <c r="AB59" s="56"/>
      <c r="AC59" s="56"/>
      <c r="AD59" s="56"/>
      <c r="AE59" s="56"/>
      <c r="AF59" s="170"/>
      <c r="AG59" s="56"/>
      <c r="AH59" s="56"/>
      <c r="AI59" s="168"/>
      <c r="AJ59" s="56"/>
      <c r="AK59" s="56"/>
      <c r="AL59" s="56"/>
      <c r="AM59" s="56"/>
      <c r="AN59" s="56"/>
      <c r="AO59" s="56"/>
      <c r="AP59" s="56"/>
      <c r="AQ59" s="56"/>
      <c r="AR59" s="168"/>
      <c r="AS59" s="56"/>
      <c r="AT59" s="56"/>
      <c r="AU59" s="56"/>
      <c r="AV59" s="56"/>
      <c r="AW59" s="56"/>
      <c r="AX59" s="56"/>
      <c r="AY59" s="56"/>
      <c r="AZ59" s="56"/>
      <c r="BA59" s="168"/>
      <c r="BB59" s="152">
        <v>0</v>
      </c>
      <c r="BC59" s="152">
        <v>0</v>
      </c>
      <c r="BD59" s="152"/>
      <c r="BE59" s="168"/>
      <c r="BF59" s="56"/>
      <c r="BG59" s="10"/>
      <c r="BH59" s="56"/>
      <c r="BI59" s="56"/>
      <c r="BJ59" s="56"/>
      <c r="BK59" s="56"/>
      <c r="BS59" s="144"/>
      <c r="CM59" s="144"/>
      <c r="DC59" s="144"/>
    </row>
    <row r="60" spans="1:113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824</v>
      </c>
      <c r="H60" s="56">
        <v>1</v>
      </c>
      <c r="I60" s="56" t="s">
        <v>1060</v>
      </c>
      <c r="J60" s="56" t="s">
        <v>1073</v>
      </c>
      <c r="K60" s="56"/>
      <c r="L60" s="161">
        <v>360</v>
      </c>
      <c r="M60" s="10"/>
      <c r="N60" s="56" t="s">
        <v>1331</v>
      </c>
      <c r="O60" s="56">
        <f t="shared" si="3"/>
        <v>300</v>
      </c>
      <c r="P60" s="10">
        <v>10</v>
      </c>
      <c r="Q60" s="158">
        <f t="shared" si="4"/>
        <v>0.98678619270966395</v>
      </c>
      <c r="R60" s="174">
        <f t="shared" si="5"/>
        <v>4.32</v>
      </c>
      <c r="S60" s="164"/>
      <c r="T60" s="56"/>
      <c r="U60" s="56"/>
      <c r="V60" s="56"/>
      <c r="W60" s="158" t="str">
        <f t="shared" si="0"/>
        <v/>
      </c>
      <c r="X60" s="174" t="str">
        <f t="shared" si="1"/>
        <v/>
      </c>
      <c r="Y60" s="168"/>
      <c r="Z60" s="10"/>
      <c r="AA60" s="56"/>
      <c r="AB60" s="56"/>
      <c r="AC60" s="56"/>
      <c r="AD60" s="56"/>
      <c r="AE60" s="56"/>
      <c r="AF60" s="170"/>
      <c r="AG60" s="56"/>
      <c r="AH60" s="56"/>
      <c r="AI60" s="168"/>
      <c r="AJ60" s="152">
        <v>60</v>
      </c>
      <c r="AK60" s="152">
        <v>60</v>
      </c>
      <c r="AL60" s="152">
        <v>60</v>
      </c>
      <c r="AM60" s="56"/>
      <c r="AN60" s="56"/>
      <c r="AO60" s="152">
        <v>60</v>
      </c>
      <c r="AP60" s="152"/>
      <c r="AQ60" s="152"/>
      <c r="AR60" s="168"/>
      <c r="AS60" s="152">
        <v>60</v>
      </c>
      <c r="AT60" s="152">
        <v>60</v>
      </c>
      <c r="AU60" s="152">
        <v>60</v>
      </c>
      <c r="AV60" s="56"/>
      <c r="AW60" s="56"/>
      <c r="AX60" s="152">
        <v>60</v>
      </c>
      <c r="AY60" s="56"/>
      <c r="AZ60" s="56"/>
      <c r="BA60" s="168"/>
      <c r="BB60" s="56"/>
      <c r="BC60" s="56"/>
      <c r="BD60" s="56"/>
      <c r="BE60" s="168"/>
      <c r="BF60" s="56"/>
      <c r="BG60" s="10"/>
      <c r="BH60" s="152">
        <v>150</v>
      </c>
      <c r="BI60" s="152">
        <v>150</v>
      </c>
      <c r="BJ60" s="152">
        <v>150</v>
      </c>
      <c r="BK60" s="56"/>
      <c r="BM60" s="152">
        <v>150</v>
      </c>
      <c r="BO60" s="152">
        <v>150</v>
      </c>
      <c r="BS60" s="144"/>
      <c r="CM60" s="144"/>
      <c r="DC60" s="144"/>
      <c r="DE60" s="155">
        <v>110</v>
      </c>
      <c r="DF60" s="155">
        <v>110</v>
      </c>
      <c r="DI60" s="152">
        <v>150</v>
      </c>
    </row>
    <row r="61" spans="1:113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825</v>
      </c>
      <c r="H61" s="56">
        <v>3</v>
      </c>
      <c r="I61" s="56" t="s">
        <v>1060</v>
      </c>
      <c r="J61" s="56" t="s">
        <v>1073</v>
      </c>
      <c r="K61" s="56"/>
      <c r="L61" s="161">
        <v>360</v>
      </c>
      <c r="M61" s="10"/>
      <c r="N61" s="56" t="s">
        <v>1333</v>
      </c>
      <c r="O61" s="56">
        <f t="shared" si="3"/>
        <v>240</v>
      </c>
      <c r="P61" s="10">
        <v>8</v>
      </c>
      <c r="Q61" s="158">
        <f t="shared" si="4"/>
        <v>0.96857507299959522</v>
      </c>
      <c r="R61" s="174">
        <f t="shared" si="5"/>
        <v>3.4559999999999995</v>
      </c>
      <c r="S61" s="164"/>
      <c r="T61" s="56"/>
      <c r="U61" s="56"/>
      <c r="V61" s="56"/>
      <c r="W61" s="158" t="str">
        <f t="shared" si="0"/>
        <v/>
      </c>
      <c r="X61" s="174" t="str">
        <f t="shared" si="1"/>
        <v/>
      </c>
      <c r="Y61" s="168"/>
      <c r="Z61" s="10"/>
      <c r="AA61" s="56"/>
      <c r="AB61" s="56"/>
      <c r="AC61" s="56"/>
      <c r="AD61" s="56"/>
      <c r="AE61" s="56"/>
      <c r="AF61" s="170"/>
      <c r="AG61" s="56"/>
      <c r="AH61" s="56"/>
      <c r="AI61" s="168"/>
      <c r="AJ61" s="152">
        <v>30</v>
      </c>
      <c r="AK61" s="152">
        <v>30</v>
      </c>
      <c r="AL61" s="152">
        <v>30</v>
      </c>
      <c r="AM61" s="56"/>
      <c r="AN61" s="56"/>
      <c r="AO61" s="152">
        <v>30</v>
      </c>
      <c r="AP61" s="152"/>
      <c r="AQ61" s="152"/>
      <c r="AR61" s="168"/>
      <c r="AS61" s="152">
        <v>30</v>
      </c>
      <c r="AT61" s="152">
        <v>30</v>
      </c>
      <c r="AU61" s="152">
        <v>30</v>
      </c>
      <c r="AV61" s="56"/>
      <c r="AW61" s="56"/>
      <c r="AX61" s="152">
        <v>30</v>
      </c>
      <c r="AY61" s="56"/>
      <c r="AZ61" s="56"/>
      <c r="BA61" s="168"/>
      <c r="BB61" s="56"/>
      <c r="BC61" s="56"/>
      <c r="BD61" s="56"/>
      <c r="BE61" s="168"/>
      <c r="BF61" s="56"/>
      <c r="BG61" s="10"/>
      <c r="BH61" s="152">
        <v>180</v>
      </c>
      <c r="BI61" s="152">
        <v>180</v>
      </c>
      <c r="BJ61" s="152">
        <v>180</v>
      </c>
      <c r="BK61" s="56"/>
      <c r="BM61" s="152">
        <v>180</v>
      </c>
      <c r="BO61" s="152">
        <v>180</v>
      </c>
      <c r="BS61" s="144"/>
      <c r="CM61" s="144"/>
      <c r="DC61" s="144"/>
      <c r="DE61" s="155">
        <v>120</v>
      </c>
      <c r="DF61" s="155">
        <v>120</v>
      </c>
      <c r="DI61" s="152">
        <v>180</v>
      </c>
    </row>
    <row r="62" spans="1:113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826</v>
      </c>
      <c r="H62" s="56">
        <v>5</v>
      </c>
      <c r="I62" s="56" t="s">
        <v>1060</v>
      </c>
      <c r="J62" s="56" t="s">
        <v>1073</v>
      </c>
      <c r="K62" s="56"/>
      <c r="L62" s="161">
        <v>360</v>
      </c>
      <c r="M62" s="10"/>
      <c r="N62" s="56" t="s">
        <v>1332</v>
      </c>
      <c r="O62" s="56">
        <f t="shared" si="3"/>
        <v>150</v>
      </c>
      <c r="P62" s="10">
        <v>5</v>
      </c>
      <c r="Q62" s="158">
        <f t="shared" si="4"/>
        <v>0.88486174114429406</v>
      </c>
      <c r="R62" s="174">
        <f t="shared" si="5"/>
        <v>2.16</v>
      </c>
      <c r="S62" s="164"/>
      <c r="T62" s="56"/>
      <c r="U62" s="56"/>
      <c r="V62" s="56"/>
      <c r="W62" s="158" t="str">
        <f t="shared" si="0"/>
        <v/>
      </c>
      <c r="X62" s="174" t="str">
        <f t="shared" si="1"/>
        <v/>
      </c>
      <c r="Y62" s="168"/>
      <c r="Z62" s="10"/>
      <c r="AA62" s="56"/>
      <c r="AB62" s="56"/>
      <c r="AC62" s="56"/>
      <c r="AD62" s="56"/>
      <c r="AE62" s="56"/>
      <c r="AF62" s="170"/>
      <c r="AG62" s="56"/>
      <c r="AH62" s="56"/>
      <c r="AI62" s="168"/>
      <c r="AJ62" s="152">
        <v>0</v>
      </c>
      <c r="AK62" s="152">
        <v>0</v>
      </c>
      <c r="AL62" s="152">
        <v>0</v>
      </c>
      <c r="AM62" s="56"/>
      <c r="AN62" s="56"/>
      <c r="AO62" s="152">
        <v>0</v>
      </c>
      <c r="AP62" s="152"/>
      <c r="AQ62" s="152"/>
      <c r="AR62" s="168"/>
      <c r="AS62" s="152">
        <v>0</v>
      </c>
      <c r="AT62" s="152">
        <v>0</v>
      </c>
      <c r="AU62" s="152">
        <v>0</v>
      </c>
      <c r="AV62" s="56"/>
      <c r="AW62" s="56"/>
      <c r="AX62" s="152">
        <v>0</v>
      </c>
      <c r="AY62" s="56"/>
      <c r="AZ62" s="56"/>
      <c r="BA62" s="168"/>
      <c r="BB62" s="56"/>
      <c r="BC62" s="56"/>
      <c r="BD62" s="56"/>
      <c r="BE62" s="168"/>
      <c r="BF62" s="56"/>
      <c r="BG62" s="10"/>
      <c r="BH62" s="152">
        <v>260</v>
      </c>
      <c r="BI62" s="152">
        <v>260</v>
      </c>
      <c r="BJ62" s="152">
        <v>260</v>
      </c>
      <c r="BK62" s="56"/>
      <c r="BM62" s="152">
        <v>260</v>
      </c>
      <c r="BO62" s="152">
        <v>260</v>
      </c>
      <c r="BS62" s="144"/>
      <c r="CM62" s="144"/>
      <c r="DC62" s="144"/>
      <c r="DE62" s="155">
        <v>130</v>
      </c>
      <c r="DF62" s="155">
        <v>130</v>
      </c>
      <c r="DI62" s="152">
        <v>260</v>
      </c>
    </row>
    <row r="63" spans="1:113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872</v>
      </c>
      <c r="H63" s="56">
        <v>1</v>
      </c>
      <c r="I63" s="56" t="s">
        <v>1061</v>
      </c>
      <c r="J63" s="56" t="s">
        <v>1074</v>
      </c>
      <c r="K63" s="56"/>
      <c r="L63" s="161">
        <v>360</v>
      </c>
      <c r="M63" s="10"/>
      <c r="N63" s="56" t="s">
        <v>1334</v>
      </c>
      <c r="O63" s="56">
        <f t="shared" si="3"/>
        <v>300</v>
      </c>
      <c r="P63" s="10">
        <v>10</v>
      </c>
      <c r="Q63" s="158">
        <f t="shared" si="4"/>
        <v>0.98678619270966395</v>
      </c>
      <c r="R63" s="174">
        <f t="shared" si="5"/>
        <v>4.32</v>
      </c>
      <c r="S63" s="164"/>
      <c r="T63" s="56"/>
      <c r="U63" s="56"/>
      <c r="V63" s="56"/>
      <c r="W63" s="158" t="str">
        <f t="shared" si="0"/>
        <v/>
      </c>
      <c r="X63" s="174" t="str">
        <f t="shared" si="1"/>
        <v/>
      </c>
      <c r="Y63" s="168"/>
      <c r="Z63" s="10"/>
      <c r="AA63" s="56"/>
      <c r="AB63" s="56"/>
      <c r="AC63" s="56"/>
      <c r="AD63" s="56"/>
      <c r="AE63" s="56"/>
      <c r="AF63" s="170"/>
      <c r="AG63" s="56"/>
      <c r="AH63" s="56"/>
      <c r="AI63" s="168"/>
      <c r="AJ63" s="152">
        <v>60</v>
      </c>
      <c r="AK63" s="56"/>
      <c r="AL63" s="56"/>
      <c r="AM63" s="56"/>
      <c r="AN63" s="56"/>
      <c r="AO63" s="56"/>
      <c r="AP63" s="56"/>
      <c r="AQ63" s="56"/>
      <c r="AR63" s="168"/>
      <c r="AS63" s="152">
        <v>60</v>
      </c>
      <c r="AT63" s="56"/>
      <c r="AU63" s="56"/>
      <c r="AV63" s="56"/>
      <c r="AW63" s="56"/>
      <c r="AX63" s="56"/>
      <c r="AY63" s="56"/>
      <c r="AZ63" s="56"/>
      <c r="BA63" s="168"/>
      <c r="BB63" s="56"/>
      <c r="BC63" s="56"/>
      <c r="BD63" s="56"/>
      <c r="BE63" s="168"/>
      <c r="BF63" s="56"/>
      <c r="BG63" s="10"/>
      <c r="BH63" s="152">
        <v>150</v>
      </c>
      <c r="BI63" s="56"/>
      <c r="BJ63" s="56"/>
      <c r="BK63" s="56"/>
      <c r="BS63" s="144"/>
      <c r="CM63" s="144"/>
      <c r="DC63" s="144"/>
      <c r="DF63" s="155">
        <v>110</v>
      </c>
    </row>
    <row r="64" spans="1:113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873</v>
      </c>
      <c r="H64" s="56">
        <v>3</v>
      </c>
      <c r="I64" s="56" t="s">
        <v>1061</v>
      </c>
      <c r="J64" s="56" t="s">
        <v>1074</v>
      </c>
      <c r="K64" s="56"/>
      <c r="L64" s="161">
        <v>360</v>
      </c>
      <c r="M64" s="10"/>
      <c r="N64" s="56" t="s">
        <v>1336</v>
      </c>
      <c r="O64" s="56">
        <f t="shared" si="3"/>
        <v>240</v>
      </c>
      <c r="P64" s="10">
        <v>8</v>
      </c>
      <c r="Q64" s="158">
        <f t="shared" si="4"/>
        <v>0.96857507299959522</v>
      </c>
      <c r="R64" s="174">
        <f t="shared" si="5"/>
        <v>3.4559999999999995</v>
      </c>
      <c r="S64" s="164"/>
      <c r="T64" s="56"/>
      <c r="U64" s="56"/>
      <c r="V64" s="56"/>
      <c r="W64" s="158" t="str">
        <f t="shared" si="0"/>
        <v/>
      </c>
      <c r="X64" s="174" t="str">
        <f t="shared" si="1"/>
        <v/>
      </c>
      <c r="Y64" s="168"/>
      <c r="Z64" s="10"/>
      <c r="AA64" s="56"/>
      <c r="AB64" s="56"/>
      <c r="AC64" s="56"/>
      <c r="AD64" s="56"/>
      <c r="AE64" s="56"/>
      <c r="AF64" s="170"/>
      <c r="AG64" s="56"/>
      <c r="AH64" s="56"/>
      <c r="AI64" s="168"/>
      <c r="AJ64" s="152">
        <v>30</v>
      </c>
      <c r="AK64" s="56"/>
      <c r="AL64" s="56"/>
      <c r="AM64" s="56"/>
      <c r="AN64" s="56"/>
      <c r="AO64" s="56"/>
      <c r="AP64" s="56"/>
      <c r="AQ64" s="56"/>
      <c r="AR64" s="168"/>
      <c r="AS64" s="152">
        <v>30</v>
      </c>
      <c r="AT64" s="56"/>
      <c r="AU64" s="56"/>
      <c r="AV64" s="56"/>
      <c r="AW64" s="56"/>
      <c r="AX64" s="56"/>
      <c r="AY64" s="56"/>
      <c r="AZ64" s="56"/>
      <c r="BA64" s="168"/>
      <c r="BB64" s="56"/>
      <c r="BC64" s="56"/>
      <c r="BD64" s="56"/>
      <c r="BE64" s="168"/>
      <c r="BF64" s="56"/>
      <c r="BG64" s="10"/>
      <c r="BH64" s="152">
        <v>180</v>
      </c>
      <c r="BI64" s="56"/>
      <c r="BJ64" s="56"/>
      <c r="BK64" s="56"/>
      <c r="BS64" s="144"/>
      <c r="CM64" s="144"/>
      <c r="DC64" s="144"/>
      <c r="DF64" s="155">
        <v>120</v>
      </c>
    </row>
    <row r="65" spans="1:113" s="96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874</v>
      </c>
      <c r="H65" s="56">
        <v>5</v>
      </c>
      <c r="I65" s="56" t="s">
        <v>1061</v>
      </c>
      <c r="J65" s="56" t="s">
        <v>1074</v>
      </c>
      <c r="K65" s="56"/>
      <c r="L65" s="161">
        <v>360</v>
      </c>
      <c r="M65" s="10"/>
      <c r="N65" s="56" t="s">
        <v>1335</v>
      </c>
      <c r="O65" s="56">
        <f t="shared" si="3"/>
        <v>150</v>
      </c>
      <c r="P65" s="10">
        <v>5</v>
      </c>
      <c r="Q65" s="158">
        <f t="shared" si="4"/>
        <v>0.88486174114429406</v>
      </c>
      <c r="R65" s="174">
        <f t="shared" si="5"/>
        <v>2.16</v>
      </c>
      <c r="S65" s="164"/>
      <c r="T65" s="56"/>
      <c r="U65" s="56"/>
      <c r="V65" s="56"/>
      <c r="W65" s="158" t="str">
        <f t="shared" si="0"/>
        <v/>
      </c>
      <c r="X65" s="174" t="str">
        <f t="shared" si="1"/>
        <v/>
      </c>
      <c r="Y65" s="168"/>
      <c r="Z65" s="10"/>
      <c r="AA65" s="56"/>
      <c r="AB65" s="56"/>
      <c r="AC65" s="56"/>
      <c r="AD65" s="56"/>
      <c r="AE65" s="56"/>
      <c r="AF65" s="170"/>
      <c r="AG65" s="56"/>
      <c r="AH65" s="56"/>
      <c r="AI65" s="168"/>
      <c r="AJ65" s="152">
        <v>0</v>
      </c>
      <c r="AK65" s="56"/>
      <c r="AL65" s="56"/>
      <c r="AM65" s="56"/>
      <c r="AN65" s="56"/>
      <c r="AO65" s="56"/>
      <c r="AP65" s="56"/>
      <c r="AQ65" s="56"/>
      <c r="AR65" s="168"/>
      <c r="AS65" s="152">
        <v>0</v>
      </c>
      <c r="AT65" s="56"/>
      <c r="AU65" s="56"/>
      <c r="AV65" s="56"/>
      <c r="AW65" s="56"/>
      <c r="AX65" s="56"/>
      <c r="AY65" s="56"/>
      <c r="AZ65" s="56"/>
      <c r="BA65" s="168"/>
      <c r="BB65" s="56"/>
      <c r="BC65" s="56"/>
      <c r="BD65" s="56"/>
      <c r="BE65" s="168"/>
      <c r="BF65" s="56"/>
      <c r="BG65" s="10"/>
      <c r="BH65" s="152">
        <v>260</v>
      </c>
      <c r="BI65" s="56"/>
      <c r="BJ65" s="56"/>
      <c r="BK65" s="56"/>
      <c r="BS65" s="144"/>
      <c r="CM65" s="144"/>
      <c r="DC65" s="144"/>
      <c r="DF65" s="155">
        <v>130</v>
      </c>
    </row>
    <row r="66" spans="1:113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968</v>
      </c>
      <c r="H66" s="56">
        <v>1</v>
      </c>
      <c r="I66" s="56" t="s">
        <v>1062</v>
      </c>
      <c r="J66" s="56" t="s">
        <v>1075</v>
      </c>
      <c r="L66" s="161">
        <v>360</v>
      </c>
      <c r="N66" s="56" t="s">
        <v>1337</v>
      </c>
      <c r="O66" s="56">
        <f t="shared" si="3"/>
        <v>750</v>
      </c>
      <c r="P66" s="10">
        <v>25</v>
      </c>
      <c r="Q66" s="158">
        <f t="shared" si="4"/>
        <v>0.99998041415890593</v>
      </c>
      <c r="R66" s="174">
        <f t="shared" si="5"/>
        <v>10.799999999999999</v>
      </c>
      <c r="W66" s="158" t="str">
        <f t="shared" si="0"/>
        <v/>
      </c>
      <c r="X66" s="174" t="str">
        <f t="shared" si="1"/>
        <v/>
      </c>
      <c r="AA66" s="152">
        <v>90</v>
      </c>
      <c r="AS66" s="152">
        <v>130</v>
      </c>
      <c r="AT66" s="152">
        <v>130</v>
      </c>
      <c r="AU66" s="152">
        <v>130</v>
      </c>
      <c r="AX66" s="152">
        <v>130</v>
      </c>
      <c r="BD66" s="152">
        <v>120</v>
      </c>
      <c r="BH66" s="152">
        <v>80</v>
      </c>
      <c r="BI66" s="152">
        <v>80</v>
      </c>
      <c r="BJ66" s="152">
        <v>80</v>
      </c>
      <c r="BK66" s="152">
        <v>130</v>
      </c>
      <c r="BL66" s="108"/>
      <c r="BM66" s="152">
        <v>80</v>
      </c>
      <c r="BO66" s="152">
        <v>80</v>
      </c>
      <c r="DD66" s="152">
        <v>80</v>
      </c>
      <c r="DE66" s="152">
        <v>80</v>
      </c>
      <c r="DF66" s="152">
        <v>80</v>
      </c>
      <c r="DG66" s="155">
        <v>130</v>
      </c>
      <c r="DI66" s="152">
        <v>80</v>
      </c>
    </row>
    <row r="67" spans="1:113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969</v>
      </c>
      <c r="H67" s="56">
        <v>3</v>
      </c>
      <c r="I67" s="56" t="s">
        <v>1062</v>
      </c>
      <c r="J67" s="56" t="s">
        <v>1075</v>
      </c>
      <c r="L67" s="161">
        <v>360</v>
      </c>
      <c r="N67" s="56" t="s">
        <v>1338</v>
      </c>
      <c r="O67" s="56">
        <f t="shared" si="3"/>
        <v>600</v>
      </c>
      <c r="P67" s="10">
        <v>20</v>
      </c>
      <c r="Q67" s="158">
        <f t="shared" si="4"/>
        <v>0.99982765704618048</v>
      </c>
      <c r="R67" s="174">
        <f t="shared" si="5"/>
        <v>8.64</v>
      </c>
      <c r="W67" s="158" t="str">
        <f t="shared" si="0"/>
        <v/>
      </c>
      <c r="X67" s="174" t="str">
        <f t="shared" si="1"/>
        <v/>
      </c>
      <c r="AA67" s="152">
        <v>80</v>
      </c>
      <c r="AS67" s="152">
        <v>160</v>
      </c>
      <c r="AT67" s="152">
        <v>160</v>
      </c>
      <c r="AU67" s="152">
        <v>160</v>
      </c>
      <c r="AX67" s="152">
        <v>160</v>
      </c>
      <c r="BD67" s="152">
        <v>150</v>
      </c>
      <c r="BH67" s="152">
        <v>70</v>
      </c>
      <c r="BI67" s="152">
        <v>70</v>
      </c>
      <c r="BJ67" s="152">
        <v>70</v>
      </c>
      <c r="BK67" s="152">
        <v>150</v>
      </c>
      <c r="BL67" s="108"/>
      <c r="BM67" s="152">
        <v>70</v>
      </c>
      <c r="BO67" s="152">
        <v>70</v>
      </c>
      <c r="DD67" s="152">
        <v>70</v>
      </c>
      <c r="DE67" s="152">
        <v>70</v>
      </c>
      <c r="DF67" s="152">
        <v>70</v>
      </c>
      <c r="DG67" s="155">
        <v>140</v>
      </c>
      <c r="DI67" s="152">
        <v>70</v>
      </c>
    </row>
    <row r="68" spans="1:113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970</v>
      </c>
      <c r="H68" s="56">
        <v>5</v>
      </c>
      <c r="I68" s="56" t="s">
        <v>1062</v>
      </c>
      <c r="J68" s="56" t="s">
        <v>1075</v>
      </c>
      <c r="L68" s="161">
        <v>360</v>
      </c>
      <c r="N68" s="56" t="s">
        <v>1339</v>
      </c>
      <c r="O68" s="56">
        <f t="shared" si="3"/>
        <v>300</v>
      </c>
      <c r="P68" s="10">
        <v>10</v>
      </c>
      <c r="Q68" s="158">
        <f t="shared" si="4"/>
        <v>0.98678619270966395</v>
      </c>
      <c r="R68" s="174">
        <f t="shared" si="5"/>
        <v>4.32</v>
      </c>
      <c r="W68" s="158" t="str">
        <f t="shared" si="0"/>
        <v/>
      </c>
      <c r="X68" s="174" t="str">
        <f t="shared" si="1"/>
        <v/>
      </c>
      <c r="AA68" s="152">
        <v>70</v>
      </c>
      <c r="AS68" s="152">
        <v>200</v>
      </c>
      <c r="AT68" s="152">
        <v>200</v>
      </c>
      <c r="AU68" s="152">
        <v>200</v>
      </c>
      <c r="AX68" s="152">
        <v>200</v>
      </c>
      <c r="BD68" s="152">
        <v>180</v>
      </c>
      <c r="BH68" s="152">
        <v>50</v>
      </c>
      <c r="BI68" s="152">
        <v>50</v>
      </c>
      <c r="BJ68" s="152">
        <v>50</v>
      </c>
      <c r="BK68" s="152">
        <v>200</v>
      </c>
      <c r="BM68" s="152">
        <v>50</v>
      </c>
      <c r="BO68" s="152">
        <v>50</v>
      </c>
      <c r="DD68" s="152">
        <v>50</v>
      </c>
      <c r="DE68" s="152">
        <v>50</v>
      </c>
      <c r="DF68" s="152">
        <v>50</v>
      </c>
      <c r="DG68" s="155">
        <v>150</v>
      </c>
      <c r="DI68" s="152">
        <v>50</v>
      </c>
    </row>
    <row r="69" spans="1:113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O69" s="56">
        <f t="shared" si="3"/>
        <v>0</v>
      </c>
      <c r="Q69" s="158" t="str">
        <f t="shared" si="4"/>
        <v/>
      </c>
      <c r="R69" s="174" t="str">
        <f t="shared" si="5"/>
        <v/>
      </c>
      <c r="W69" s="158" t="str">
        <f t="shared" ref="W69:W84" si="7">IF((1-(1-T69/100000)^L69)=0,"",1-(1-T69/100000)^L69)</f>
        <v/>
      </c>
      <c r="X69" s="174" t="str">
        <f t="shared" si="1"/>
        <v/>
      </c>
    </row>
    <row r="70" spans="1:113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O70" s="56">
        <f t="shared" ref="O70:O133" si="8">P70*30</f>
        <v>0</v>
      </c>
      <c r="Q70" s="158" t="str">
        <f t="shared" ref="Q70:Q133" si="9">IF((1-(1-O70/100000)^1440)=0,"",1-(1-O70/100000)^1440)</f>
        <v/>
      </c>
      <c r="R70" s="174" t="str">
        <f t="shared" ref="R70:R133" si="10">IF((O70/100000)*1440=0,"",(O70/100000)*1440)</f>
        <v/>
      </c>
      <c r="W70" s="158" t="str">
        <f t="shared" si="7"/>
        <v/>
      </c>
      <c r="X70" s="174" t="str">
        <f t="shared" ref="X70:X84" si="11">IF((T70/100000)*L70=0,"",(T70/100000)*L70)</f>
        <v/>
      </c>
    </row>
    <row r="71" spans="1:113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O71" s="56">
        <f t="shared" si="8"/>
        <v>0</v>
      </c>
      <c r="Q71" s="158" t="str">
        <f t="shared" si="9"/>
        <v/>
      </c>
      <c r="R71" s="174" t="str">
        <f t="shared" si="10"/>
        <v/>
      </c>
      <c r="W71" s="158" t="str">
        <f t="shared" si="7"/>
        <v/>
      </c>
      <c r="X71" s="174" t="str">
        <f t="shared" si="11"/>
        <v/>
      </c>
    </row>
    <row r="72" spans="1:113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6">
        <f t="shared" si="8"/>
        <v>0</v>
      </c>
      <c r="Q72" s="158" t="str">
        <f t="shared" si="9"/>
        <v/>
      </c>
      <c r="R72" s="174" t="str">
        <f t="shared" si="10"/>
        <v/>
      </c>
      <c r="W72" s="158" t="str">
        <f t="shared" si="7"/>
        <v/>
      </c>
      <c r="X72" s="174" t="str">
        <f t="shared" si="11"/>
        <v/>
      </c>
    </row>
    <row r="73" spans="1:113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6">
        <f t="shared" si="8"/>
        <v>0</v>
      </c>
      <c r="Q73" s="158" t="str">
        <f t="shared" si="9"/>
        <v/>
      </c>
      <c r="R73" s="174" t="str">
        <f t="shared" si="10"/>
        <v/>
      </c>
      <c r="W73" s="158" t="str">
        <f t="shared" si="7"/>
        <v/>
      </c>
      <c r="X73" s="174" t="str">
        <f t="shared" si="11"/>
        <v/>
      </c>
    </row>
    <row r="74" spans="1:113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6">
        <f t="shared" si="8"/>
        <v>0</v>
      </c>
      <c r="Q74" s="158" t="str">
        <f t="shared" si="9"/>
        <v/>
      </c>
      <c r="R74" s="174" t="str">
        <f t="shared" si="10"/>
        <v/>
      </c>
      <c r="W74" s="158" t="str">
        <f t="shared" si="7"/>
        <v/>
      </c>
      <c r="X74" s="174" t="str">
        <f t="shared" si="11"/>
        <v/>
      </c>
    </row>
    <row r="75" spans="1:113" s="96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1"/>
      <c r="M75" s="10"/>
      <c r="N75" s="56"/>
      <c r="O75" s="56">
        <f t="shared" si="8"/>
        <v>0</v>
      </c>
      <c r="P75" s="10"/>
      <c r="Q75" s="158" t="str">
        <f t="shared" si="9"/>
        <v/>
      </c>
      <c r="R75" s="174" t="str">
        <f t="shared" si="10"/>
        <v/>
      </c>
      <c r="S75" s="164"/>
      <c r="T75" s="56"/>
      <c r="U75" s="56"/>
      <c r="V75" s="56"/>
      <c r="W75" s="158" t="str">
        <f t="shared" si="7"/>
        <v/>
      </c>
      <c r="X75" s="174" t="str">
        <f t="shared" si="11"/>
        <v/>
      </c>
      <c r="Y75" s="168"/>
      <c r="Z75" s="10"/>
      <c r="AA75" s="56"/>
      <c r="AB75" s="56"/>
      <c r="AC75" s="56"/>
      <c r="AD75" s="56"/>
      <c r="AE75" s="56"/>
      <c r="AF75" s="170"/>
      <c r="AG75" s="56"/>
      <c r="AH75" s="56"/>
      <c r="AI75" s="168"/>
      <c r="AJ75" s="56"/>
      <c r="AK75" s="56"/>
      <c r="AL75" s="56"/>
      <c r="AM75" s="56"/>
      <c r="AN75" s="56"/>
      <c r="AO75" s="56"/>
      <c r="AP75" s="56"/>
      <c r="AQ75" s="56"/>
      <c r="AR75" s="168"/>
      <c r="AS75" s="56"/>
      <c r="AT75" s="56"/>
      <c r="AU75" s="56"/>
      <c r="AV75" s="56"/>
      <c r="AW75" s="56"/>
      <c r="AX75" s="56"/>
      <c r="AY75" s="56"/>
      <c r="AZ75" s="56"/>
      <c r="BA75" s="168"/>
      <c r="BB75" s="56"/>
      <c r="BC75" s="56"/>
      <c r="BD75" s="56"/>
      <c r="BE75" s="168"/>
      <c r="BF75" s="56"/>
      <c r="BG75" s="10"/>
      <c r="BH75" s="56"/>
      <c r="BI75" s="56"/>
      <c r="BJ75" s="56"/>
      <c r="BK75" s="56"/>
      <c r="BS75" s="144"/>
      <c r="CM75" s="144"/>
      <c r="DC75" s="144"/>
    </row>
    <row r="76" spans="1:113" s="96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1"/>
      <c r="M76" s="10"/>
      <c r="N76" s="56"/>
      <c r="O76" s="56">
        <f t="shared" si="8"/>
        <v>0</v>
      </c>
      <c r="P76" s="10"/>
      <c r="Q76" s="158" t="str">
        <f t="shared" si="9"/>
        <v/>
      </c>
      <c r="R76" s="174" t="str">
        <f t="shared" si="10"/>
        <v/>
      </c>
      <c r="S76" s="164"/>
      <c r="T76" s="56"/>
      <c r="U76" s="56"/>
      <c r="V76" s="56"/>
      <c r="W76" s="158" t="str">
        <f t="shared" si="7"/>
        <v/>
      </c>
      <c r="X76" s="174" t="str">
        <f t="shared" si="11"/>
        <v/>
      </c>
      <c r="Y76" s="168"/>
      <c r="Z76" s="10"/>
      <c r="AA76" s="56"/>
      <c r="AB76" s="56"/>
      <c r="AC76" s="56"/>
      <c r="AD76" s="56"/>
      <c r="AE76" s="56"/>
      <c r="AF76" s="170"/>
      <c r="AG76" s="56"/>
      <c r="AH76" s="56"/>
      <c r="AI76" s="168"/>
      <c r="AJ76" s="56"/>
      <c r="AK76" s="56"/>
      <c r="AL76" s="56"/>
      <c r="AM76" s="56"/>
      <c r="AN76" s="56"/>
      <c r="AO76" s="56"/>
      <c r="AP76" s="56"/>
      <c r="AQ76" s="56"/>
      <c r="AR76" s="168"/>
      <c r="AS76" s="56"/>
      <c r="AT76" s="56"/>
      <c r="AU76" s="56"/>
      <c r="AV76" s="56"/>
      <c r="AW76" s="56"/>
      <c r="AX76" s="56"/>
      <c r="AY76" s="56"/>
      <c r="AZ76" s="56"/>
      <c r="BA76" s="168"/>
      <c r="BB76" s="56"/>
      <c r="BC76" s="56"/>
      <c r="BD76" s="56"/>
      <c r="BE76" s="168"/>
      <c r="BF76" s="56"/>
      <c r="BG76" s="10"/>
      <c r="BH76" s="56"/>
      <c r="BI76" s="56"/>
      <c r="BJ76" s="56"/>
      <c r="BK76" s="56"/>
      <c r="BS76" s="144"/>
      <c r="CM76" s="144"/>
      <c r="DC76" s="144"/>
    </row>
    <row r="77" spans="1:113" s="96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1"/>
      <c r="M77" s="10"/>
      <c r="N77" s="56"/>
      <c r="O77" s="56">
        <f t="shared" si="8"/>
        <v>0</v>
      </c>
      <c r="P77" s="10"/>
      <c r="Q77" s="158" t="str">
        <f t="shared" si="9"/>
        <v/>
      </c>
      <c r="R77" s="174" t="str">
        <f t="shared" si="10"/>
        <v/>
      </c>
      <c r="S77" s="164"/>
      <c r="T77" s="56"/>
      <c r="U77" s="56"/>
      <c r="V77" s="56"/>
      <c r="W77" s="158" t="str">
        <f t="shared" si="7"/>
        <v/>
      </c>
      <c r="X77" s="174" t="str">
        <f t="shared" si="11"/>
        <v/>
      </c>
      <c r="Y77" s="168"/>
      <c r="Z77" s="10"/>
      <c r="AA77" s="56"/>
      <c r="AB77" s="56"/>
      <c r="AC77" s="56"/>
      <c r="AD77" s="56"/>
      <c r="AE77" s="56"/>
      <c r="AF77" s="170"/>
      <c r="AG77" s="56"/>
      <c r="AH77" s="56"/>
      <c r="AI77" s="168"/>
      <c r="AJ77" s="56"/>
      <c r="AK77" s="56"/>
      <c r="AL77" s="56"/>
      <c r="AM77" s="56"/>
      <c r="AN77" s="56"/>
      <c r="AO77" s="56"/>
      <c r="AP77" s="56"/>
      <c r="AQ77" s="56"/>
      <c r="AR77" s="168"/>
      <c r="AS77" s="56"/>
      <c r="AT77" s="56"/>
      <c r="AU77" s="56"/>
      <c r="AV77" s="56"/>
      <c r="AW77" s="56"/>
      <c r="AX77" s="56"/>
      <c r="AY77" s="56"/>
      <c r="AZ77" s="56"/>
      <c r="BA77" s="168"/>
      <c r="BB77" s="56"/>
      <c r="BC77" s="56"/>
      <c r="BD77" s="56"/>
      <c r="BE77" s="168"/>
      <c r="BF77" s="56"/>
      <c r="BG77" s="10"/>
      <c r="BH77" s="56"/>
      <c r="BI77" s="56"/>
      <c r="BJ77" s="56"/>
      <c r="BK77" s="56"/>
      <c r="BS77" s="144"/>
      <c r="CM77" s="144"/>
      <c r="DC77" s="144"/>
    </row>
    <row r="78" spans="1:113" s="96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1"/>
      <c r="M78" s="10"/>
      <c r="N78" s="56"/>
      <c r="O78" s="56">
        <f t="shared" si="8"/>
        <v>0</v>
      </c>
      <c r="P78" s="10"/>
      <c r="Q78" s="158" t="str">
        <f t="shared" si="9"/>
        <v/>
      </c>
      <c r="R78" s="174" t="str">
        <f t="shared" si="10"/>
        <v/>
      </c>
      <c r="S78" s="164"/>
      <c r="T78" s="56"/>
      <c r="U78" s="56"/>
      <c r="V78" s="56"/>
      <c r="W78" s="158" t="str">
        <f t="shared" si="7"/>
        <v/>
      </c>
      <c r="X78" s="174" t="str">
        <f t="shared" si="11"/>
        <v/>
      </c>
      <c r="Y78" s="168"/>
      <c r="Z78" s="10"/>
      <c r="AA78" s="56"/>
      <c r="AB78" s="56"/>
      <c r="AC78" s="56"/>
      <c r="AD78" s="56"/>
      <c r="AE78" s="56"/>
      <c r="AF78" s="170"/>
      <c r="AG78" s="56"/>
      <c r="AH78" s="56"/>
      <c r="AI78" s="168"/>
      <c r="AJ78" s="56"/>
      <c r="AK78" s="56"/>
      <c r="AL78" s="56"/>
      <c r="AM78" s="56"/>
      <c r="AN78" s="56"/>
      <c r="AO78" s="56"/>
      <c r="AP78" s="56"/>
      <c r="AQ78" s="56"/>
      <c r="AR78" s="168"/>
      <c r="AS78" s="56"/>
      <c r="AT78" s="56"/>
      <c r="AU78" s="56"/>
      <c r="AV78" s="56"/>
      <c r="AW78" s="56"/>
      <c r="AX78" s="56"/>
      <c r="AY78" s="56"/>
      <c r="AZ78" s="56"/>
      <c r="BA78" s="168"/>
      <c r="BB78" s="56"/>
      <c r="BC78" s="56"/>
      <c r="BD78" s="56"/>
      <c r="BE78" s="168"/>
      <c r="BF78" s="56"/>
      <c r="BG78" s="10"/>
      <c r="BH78" s="56"/>
      <c r="BI78" s="56"/>
      <c r="BJ78" s="56"/>
      <c r="BK78" s="56"/>
      <c r="BS78" s="144"/>
      <c r="CM78" s="144"/>
      <c r="DC78" s="144"/>
    </row>
    <row r="79" spans="1:113" s="96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1"/>
      <c r="M79" s="10"/>
      <c r="N79" s="56"/>
      <c r="O79" s="56">
        <f t="shared" si="8"/>
        <v>0</v>
      </c>
      <c r="P79" s="10"/>
      <c r="Q79" s="158" t="str">
        <f t="shared" si="9"/>
        <v/>
      </c>
      <c r="R79" s="174" t="str">
        <f t="shared" si="10"/>
        <v/>
      </c>
      <c r="S79" s="164"/>
      <c r="T79" s="56"/>
      <c r="U79" s="56"/>
      <c r="V79" s="56"/>
      <c r="W79" s="158" t="str">
        <f t="shared" si="7"/>
        <v/>
      </c>
      <c r="X79" s="174" t="str">
        <f t="shared" si="11"/>
        <v/>
      </c>
      <c r="Y79" s="168"/>
      <c r="Z79" s="10"/>
      <c r="AA79" s="56"/>
      <c r="AB79" s="56"/>
      <c r="AC79" s="56"/>
      <c r="AD79" s="56"/>
      <c r="AE79" s="56"/>
      <c r="AF79" s="170"/>
      <c r="AG79" s="56"/>
      <c r="AH79" s="56"/>
      <c r="AI79" s="168"/>
      <c r="AJ79" s="56"/>
      <c r="AK79" s="56"/>
      <c r="AL79" s="56"/>
      <c r="AM79" s="56"/>
      <c r="AN79" s="56"/>
      <c r="AO79" s="56"/>
      <c r="AP79" s="56"/>
      <c r="AQ79" s="56"/>
      <c r="AR79" s="168"/>
      <c r="AS79" s="56"/>
      <c r="AT79" s="56"/>
      <c r="AU79" s="56"/>
      <c r="AV79" s="56"/>
      <c r="AW79" s="56"/>
      <c r="AX79" s="56"/>
      <c r="AY79" s="56"/>
      <c r="AZ79" s="56"/>
      <c r="BA79" s="168"/>
      <c r="BB79" s="56"/>
      <c r="BC79" s="56"/>
      <c r="BD79" s="56"/>
      <c r="BE79" s="168"/>
      <c r="BF79" s="56"/>
      <c r="BG79" s="10"/>
      <c r="BH79" s="56"/>
      <c r="BI79" s="56"/>
      <c r="BJ79" s="56"/>
      <c r="BK79" s="56"/>
      <c r="BS79" s="144"/>
      <c r="CM79" s="144"/>
      <c r="DC79" s="144"/>
    </row>
    <row r="80" spans="1:113" s="96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1"/>
      <c r="M80" s="10"/>
      <c r="N80" s="56"/>
      <c r="O80" s="56">
        <f t="shared" si="8"/>
        <v>0</v>
      </c>
      <c r="P80" s="10"/>
      <c r="Q80" s="158" t="str">
        <f t="shared" si="9"/>
        <v/>
      </c>
      <c r="R80" s="174" t="str">
        <f t="shared" si="10"/>
        <v/>
      </c>
      <c r="S80" s="164"/>
      <c r="T80" s="56"/>
      <c r="U80" s="56"/>
      <c r="V80" s="56"/>
      <c r="W80" s="158" t="str">
        <f t="shared" si="7"/>
        <v/>
      </c>
      <c r="X80" s="174" t="str">
        <f t="shared" si="11"/>
        <v/>
      </c>
      <c r="Y80" s="168"/>
      <c r="Z80" s="10"/>
      <c r="AA80" s="56"/>
      <c r="AB80" s="56"/>
      <c r="AC80" s="56"/>
      <c r="AD80" s="56"/>
      <c r="AE80" s="56"/>
      <c r="AF80" s="170"/>
      <c r="AG80" s="56"/>
      <c r="AH80" s="56"/>
      <c r="AI80" s="168"/>
      <c r="AJ80" s="56"/>
      <c r="AK80" s="56"/>
      <c r="AL80" s="56"/>
      <c r="AM80" s="56"/>
      <c r="AN80" s="56"/>
      <c r="AO80" s="56"/>
      <c r="AP80" s="56"/>
      <c r="AQ80" s="56"/>
      <c r="AR80" s="168"/>
      <c r="AS80" s="56"/>
      <c r="AT80" s="56"/>
      <c r="AU80" s="56"/>
      <c r="AV80" s="56"/>
      <c r="AW80" s="56"/>
      <c r="AX80" s="56"/>
      <c r="AY80" s="56"/>
      <c r="AZ80" s="56"/>
      <c r="BA80" s="168"/>
      <c r="BB80" s="56"/>
      <c r="BC80" s="56"/>
      <c r="BD80" s="56"/>
      <c r="BE80" s="168"/>
      <c r="BF80" s="56"/>
      <c r="BG80" s="10"/>
      <c r="BH80" s="56"/>
      <c r="BI80" s="56"/>
      <c r="BJ80" s="56"/>
      <c r="BK80" s="56"/>
      <c r="BS80" s="144"/>
      <c r="CM80" s="144"/>
      <c r="DC80" s="144"/>
    </row>
    <row r="81" spans="1:110" s="96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1"/>
      <c r="M81" s="10"/>
      <c r="N81" s="56"/>
      <c r="O81" s="56">
        <f t="shared" si="8"/>
        <v>0</v>
      </c>
      <c r="P81" s="10"/>
      <c r="Q81" s="158" t="str">
        <f t="shared" si="9"/>
        <v/>
      </c>
      <c r="R81" s="174" t="str">
        <f t="shared" si="10"/>
        <v/>
      </c>
      <c r="S81" s="164"/>
      <c r="T81" s="56"/>
      <c r="U81" s="56"/>
      <c r="V81" s="56"/>
      <c r="W81" s="158" t="str">
        <f t="shared" si="7"/>
        <v/>
      </c>
      <c r="X81" s="174" t="str">
        <f t="shared" si="11"/>
        <v/>
      </c>
      <c r="Y81" s="168"/>
      <c r="Z81" s="10"/>
      <c r="AA81" s="56"/>
      <c r="AB81" s="56"/>
      <c r="AC81" s="56"/>
      <c r="AD81" s="56"/>
      <c r="AE81" s="56"/>
      <c r="AF81" s="170"/>
      <c r="AG81" s="56"/>
      <c r="AH81" s="56"/>
      <c r="AI81" s="168"/>
      <c r="AJ81" s="56"/>
      <c r="AK81" s="56"/>
      <c r="AL81" s="56"/>
      <c r="AM81" s="56"/>
      <c r="AN81" s="56"/>
      <c r="AO81" s="56"/>
      <c r="AP81" s="56"/>
      <c r="AQ81" s="56"/>
      <c r="AR81" s="168"/>
      <c r="AS81" s="56"/>
      <c r="AT81" s="56"/>
      <c r="AU81" s="56"/>
      <c r="AV81" s="56"/>
      <c r="AW81" s="56"/>
      <c r="AX81" s="56"/>
      <c r="AY81" s="56"/>
      <c r="AZ81" s="56"/>
      <c r="BA81" s="168"/>
      <c r="BB81" s="56"/>
      <c r="BC81" s="56"/>
      <c r="BD81" s="56"/>
      <c r="BE81" s="168"/>
      <c r="BF81" s="56"/>
      <c r="BG81" s="10"/>
      <c r="BH81" s="56"/>
      <c r="BI81" s="56"/>
      <c r="BJ81" s="56"/>
      <c r="BK81" s="56"/>
      <c r="BS81" s="144"/>
      <c r="CM81" s="144"/>
      <c r="DC81" s="144"/>
    </row>
    <row r="82" spans="1:110" s="96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1"/>
      <c r="M82" s="10"/>
      <c r="N82" s="56"/>
      <c r="O82" s="56">
        <f t="shared" si="8"/>
        <v>0</v>
      </c>
      <c r="P82" s="10"/>
      <c r="Q82" s="158" t="str">
        <f t="shared" si="9"/>
        <v/>
      </c>
      <c r="R82" s="174" t="str">
        <f t="shared" si="10"/>
        <v/>
      </c>
      <c r="S82" s="164"/>
      <c r="T82" s="56"/>
      <c r="U82" s="56"/>
      <c r="V82" s="56"/>
      <c r="W82" s="158" t="str">
        <f t="shared" si="7"/>
        <v/>
      </c>
      <c r="X82" s="174" t="str">
        <f t="shared" si="11"/>
        <v/>
      </c>
      <c r="Y82" s="168"/>
      <c r="Z82" s="10"/>
      <c r="AA82" s="56"/>
      <c r="AB82" s="56"/>
      <c r="AC82" s="56"/>
      <c r="AD82" s="56"/>
      <c r="AE82" s="56"/>
      <c r="AF82" s="170"/>
      <c r="AG82" s="56"/>
      <c r="AH82" s="56"/>
      <c r="AI82" s="168"/>
      <c r="AJ82" s="56"/>
      <c r="AK82" s="56"/>
      <c r="AL82" s="56"/>
      <c r="AM82" s="56"/>
      <c r="AN82" s="56"/>
      <c r="AO82" s="56"/>
      <c r="AP82" s="56"/>
      <c r="AQ82" s="56"/>
      <c r="AR82" s="168"/>
      <c r="AS82" s="56"/>
      <c r="AT82" s="56"/>
      <c r="AU82" s="56"/>
      <c r="AV82" s="56"/>
      <c r="AW82" s="56"/>
      <c r="AX82" s="56"/>
      <c r="AY82" s="56"/>
      <c r="AZ82" s="56"/>
      <c r="BA82" s="168"/>
      <c r="BB82" s="56"/>
      <c r="BC82" s="56"/>
      <c r="BD82" s="56"/>
      <c r="BE82" s="168"/>
      <c r="BF82" s="56"/>
      <c r="BG82" s="10"/>
      <c r="BH82" s="56"/>
      <c r="BI82" s="56"/>
      <c r="BJ82" s="56"/>
      <c r="BK82" s="56"/>
      <c r="BS82" s="144"/>
      <c r="CM82" s="144"/>
      <c r="DC82" s="144"/>
    </row>
    <row r="83" spans="1:110" s="96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1"/>
      <c r="M83" s="10"/>
      <c r="N83" s="56"/>
      <c r="O83" s="56">
        <f t="shared" si="8"/>
        <v>0</v>
      </c>
      <c r="P83" s="10"/>
      <c r="Q83" s="158" t="str">
        <f t="shared" si="9"/>
        <v/>
      </c>
      <c r="R83" s="174" t="str">
        <f t="shared" si="10"/>
        <v/>
      </c>
      <c r="S83" s="164"/>
      <c r="T83" s="56"/>
      <c r="U83" s="56"/>
      <c r="V83" s="56"/>
      <c r="W83" s="158" t="str">
        <f t="shared" si="7"/>
        <v/>
      </c>
      <c r="X83" s="174" t="str">
        <f t="shared" si="11"/>
        <v/>
      </c>
      <c r="Y83" s="168"/>
      <c r="Z83" s="10"/>
      <c r="AA83" s="56"/>
      <c r="AB83" s="56"/>
      <c r="AC83" s="56"/>
      <c r="AD83" s="56"/>
      <c r="AE83" s="56"/>
      <c r="AF83" s="170"/>
      <c r="AG83" s="56"/>
      <c r="AH83" s="56"/>
      <c r="AI83" s="168"/>
      <c r="AJ83" s="56"/>
      <c r="AK83" s="56"/>
      <c r="AL83" s="56"/>
      <c r="AM83" s="56"/>
      <c r="AN83" s="56"/>
      <c r="AO83" s="56"/>
      <c r="AP83" s="56"/>
      <c r="AQ83" s="56"/>
      <c r="AR83" s="168"/>
      <c r="AS83" s="56"/>
      <c r="AT83" s="56"/>
      <c r="AU83" s="56"/>
      <c r="AV83" s="56"/>
      <c r="AW83" s="56"/>
      <c r="AX83" s="56"/>
      <c r="AY83" s="56"/>
      <c r="AZ83" s="56"/>
      <c r="BA83" s="168"/>
      <c r="BB83" s="56"/>
      <c r="BC83" s="56"/>
      <c r="BD83" s="56"/>
      <c r="BE83" s="168"/>
      <c r="BF83" s="56"/>
      <c r="BG83" s="10"/>
      <c r="BH83" s="56"/>
      <c r="BI83" s="56"/>
      <c r="BJ83" s="56"/>
      <c r="BK83" s="56"/>
      <c r="BS83" s="144"/>
      <c r="CM83" s="144"/>
      <c r="DC83" s="144"/>
    </row>
    <row r="84" spans="1:110" s="96" customFormat="1" ht="17.25" thickBot="1" x14ac:dyDescent="0.2">
      <c r="A84" s="11">
        <f t="shared" si="6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1"/>
      <c r="M84" s="10"/>
      <c r="N84" s="56"/>
      <c r="O84" s="56">
        <f t="shared" si="8"/>
        <v>0</v>
      </c>
      <c r="P84" s="10"/>
      <c r="Q84" s="158" t="str">
        <f t="shared" si="9"/>
        <v/>
      </c>
      <c r="R84" s="174" t="str">
        <f t="shared" si="10"/>
        <v/>
      </c>
      <c r="S84" s="164"/>
      <c r="T84" s="56"/>
      <c r="U84" s="56"/>
      <c r="V84" s="56"/>
      <c r="W84" s="158" t="str">
        <f t="shared" si="7"/>
        <v/>
      </c>
      <c r="X84" s="174" t="str">
        <f t="shared" si="11"/>
        <v/>
      </c>
      <c r="Y84" s="168"/>
      <c r="Z84" s="10"/>
      <c r="AA84" s="56"/>
      <c r="AB84" s="56"/>
      <c r="AC84" s="56"/>
      <c r="AD84" s="56"/>
      <c r="AE84" s="56"/>
      <c r="AF84" s="170"/>
      <c r="AG84" s="56"/>
      <c r="AH84" s="56"/>
      <c r="AI84" s="168"/>
      <c r="AJ84" s="56"/>
      <c r="AK84" s="56"/>
      <c r="AL84" s="56"/>
      <c r="AM84" s="56"/>
      <c r="AN84" s="56"/>
      <c r="AO84" s="56"/>
      <c r="AP84" s="56"/>
      <c r="AQ84" s="56"/>
      <c r="AR84" s="168"/>
      <c r="AS84" s="56"/>
      <c r="AT84" s="56"/>
      <c r="AU84" s="56"/>
      <c r="AV84" s="56"/>
      <c r="AW84" s="56"/>
      <c r="AX84" s="56"/>
      <c r="AY84" s="56"/>
      <c r="AZ84" s="56"/>
      <c r="BA84" s="168"/>
      <c r="BB84" s="56"/>
      <c r="BC84" s="56"/>
      <c r="BD84" s="56"/>
      <c r="BE84" s="168"/>
      <c r="BF84" s="56"/>
      <c r="BG84" s="10"/>
      <c r="BH84" s="56"/>
      <c r="BI84" s="56"/>
      <c r="BJ84" s="56"/>
      <c r="BK84" s="56"/>
      <c r="BS84" s="144"/>
      <c r="CM84" s="144"/>
      <c r="DC84" s="144"/>
    </row>
    <row r="85" spans="1:110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827</v>
      </c>
      <c r="H85" s="57">
        <v>1</v>
      </c>
      <c r="I85" s="57"/>
      <c r="J85" s="57"/>
      <c r="K85" s="57"/>
      <c r="L85" s="163">
        <v>360</v>
      </c>
      <c r="M85" s="17"/>
      <c r="N85" s="57" t="s">
        <v>1340</v>
      </c>
      <c r="O85" s="57">
        <f t="shared" si="8"/>
        <v>0</v>
      </c>
      <c r="P85" s="17">
        <v>0</v>
      </c>
      <c r="Q85" s="159" t="str">
        <f t="shared" si="9"/>
        <v/>
      </c>
      <c r="R85" s="175" t="str">
        <f t="shared" si="10"/>
        <v/>
      </c>
      <c r="S85" s="167" t="s">
        <v>998</v>
      </c>
      <c r="T85" s="57">
        <v>100</v>
      </c>
      <c r="U85" s="57" t="s">
        <v>1002</v>
      </c>
      <c r="V85" s="57" t="s">
        <v>1003</v>
      </c>
      <c r="W85" s="159">
        <f>IF((1-(1-T85/100000)^L85)=0,"",1-(1-T85/100000)^L85)</f>
        <v>0.30244932813489689</v>
      </c>
      <c r="X85" s="175">
        <f>IF((T85/100000)*L85=0,"",(T85/100000)*L85)</f>
        <v>0.36</v>
      </c>
      <c r="Y85" s="169"/>
      <c r="Z85" s="17"/>
      <c r="AA85" s="57"/>
      <c r="AB85" s="57"/>
      <c r="AC85" s="57"/>
      <c r="AD85" s="57"/>
      <c r="AE85" s="57"/>
      <c r="AF85" s="172"/>
      <c r="AG85" s="153">
        <v>90</v>
      </c>
      <c r="AH85" s="153">
        <v>90</v>
      </c>
      <c r="AI85" s="169"/>
      <c r="AJ85" s="57"/>
      <c r="AK85" s="57"/>
      <c r="AL85" s="57"/>
      <c r="AM85" s="57"/>
      <c r="AN85" s="57"/>
      <c r="AO85" s="57"/>
      <c r="AP85" s="57"/>
      <c r="AQ85" s="57"/>
      <c r="AR85" s="169"/>
      <c r="AS85" s="57"/>
      <c r="AT85" s="57"/>
      <c r="AU85" s="57"/>
      <c r="AV85" s="57"/>
      <c r="AW85" s="57"/>
      <c r="AX85" s="57"/>
      <c r="AY85" s="57"/>
      <c r="AZ85" s="57"/>
      <c r="BA85" s="169"/>
      <c r="BB85" s="57"/>
      <c r="BC85" s="57"/>
      <c r="BD85" s="57"/>
      <c r="BE85" s="169"/>
      <c r="BF85" s="57"/>
      <c r="BG85" s="17"/>
      <c r="BH85" s="57"/>
      <c r="BI85" s="153">
        <v>150</v>
      </c>
      <c r="BJ85" s="153">
        <v>150</v>
      </c>
      <c r="BK85" s="57"/>
      <c r="BR85" s="153">
        <v>250</v>
      </c>
      <c r="BS85" s="143"/>
      <c r="CM85" s="143"/>
      <c r="DC85" s="143"/>
      <c r="DE85" s="154">
        <v>90</v>
      </c>
      <c r="DF85" s="154">
        <v>80</v>
      </c>
    </row>
    <row r="86" spans="1:110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828</v>
      </c>
      <c r="H86" s="56">
        <v>3</v>
      </c>
      <c r="L86" s="161">
        <v>360</v>
      </c>
      <c r="N86" s="56" t="s">
        <v>1341</v>
      </c>
      <c r="O86" s="56">
        <f t="shared" si="8"/>
        <v>0</v>
      </c>
      <c r="P86" s="10">
        <v>0</v>
      </c>
      <c r="Q86" s="158" t="str">
        <f t="shared" si="9"/>
        <v/>
      </c>
      <c r="R86" s="174" t="str">
        <f t="shared" si="10"/>
        <v/>
      </c>
      <c r="S86" s="98" t="s">
        <v>999</v>
      </c>
      <c r="T86" s="56">
        <v>200</v>
      </c>
      <c r="U86" s="56" t="s">
        <v>1002</v>
      </c>
      <c r="V86" s="56" t="s">
        <v>1004</v>
      </c>
      <c r="W86" s="158">
        <f t="shared" ref="W86:W149" si="12">IF((1-(1-T86/100000)^L86)=0,"",1-(1-T86/100000)^L86)</f>
        <v>0.51359854717556819</v>
      </c>
      <c r="X86" s="174">
        <f t="shared" ref="X86:X149" si="13">IF((T86/100000)*L86=0,"",(T86/100000)*L86)</f>
        <v>0.72</v>
      </c>
      <c r="AG86" s="152">
        <v>80</v>
      </c>
      <c r="AH86" s="152">
        <v>80</v>
      </c>
      <c r="BI86" s="152">
        <v>180</v>
      </c>
      <c r="BJ86" s="152">
        <v>180</v>
      </c>
      <c r="BL86" s="108"/>
      <c r="BR86" s="152">
        <v>280</v>
      </c>
      <c r="DE86" s="155">
        <v>70</v>
      </c>
      <c r="DF86" s="155">
        <v>60</v>
      </c>
    </row>
    <row r="87" spans="1:110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829</v>
      </c>
      <c r="H87" s="56">
        <v>5</v>
      </c>
      <c r="L87" s="161">
        <v>360</v>
      </c>
      <c r="N87" s="56" t="s">
        <v>1342</v>
      </c>
      <c r="O87" s="56">
        <f t="shared" si="8"/>
        <v>0</v>
      </c>
      <c r="P87" s="10">
        <v>0</v>
      </c>
      <c r="Q87" s="158" t="str">
        <f t="shared" si="9"/>
        <v/>
      </c>
      <c r="R87" s="174" t="str">
        <f t="shared" si="10"/>
        <v/>
      </c>
      <c r="S87" s="98" t="s">
        <v>999</v>
      </c>
      <c r="T87" s="56">
        <v>300</v>
      </c>
      <c r="U87" s="56" t="s">
        <v>1002</v>
      </c>
      <c r="V87" s="56" t="s">
        <v>1005</v>
      </c>
      <c r="W87" s="158">
        <f t="shared" si="12"/>
        <v>0.66095527471417181</v>
      </c>
      <c r="X87" s="174">
        <f t="shared" si="13"/>
        <v>1.08</v>
      </c>
      <c r="AG87" s="152">
        <v>70</v>
      </c>
      <c r="AH87" s="152">
        <v>70</v>
      </c>
      <c r="BI87" s="152">
        <v>260</v>
      </c>
      <c r="BJ87" s="152">
        <v>260</v>
      </c>
      <c r="BL87" s="108"/>
      <c r="BR87" s="152">
        <v>360</v>
      </c>
      <c r="DE87" s="155">
        <v>60</v>
      </c>
      <c r="DF87" s="155">
        <v>50</v>
      </c>
    </row>
    <row r="88" spans="1:110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875</v>
      </c>
      <c r="H88" s="56">
        <v>1</v>
      </c>
      <c r="L88" s="161">
        <v>360</v>
      </c>
      <c r="N88" s="56" t="s">
        <v>1343</v>
      </c>
      <c r="O88" s="56">
        <f t="shared" si="8"/>
        <v>0</v>
      </c>
      <c r="P88" s="10">
        <v>0</v>
      </c>
      <c r="Q88" s="158" t="str">
        <f t="shared" si="9"/>
        <v/>
      </c>
      <c r="R88" s="174" t="str">
        <f t="shared" si="10"/>
        <v/>
      </c>
      <c r="S88" s="98" t="s">
        <v>999</v>
      </c>
      <c r="T88" s="56">
        <v>100</v>
      </c>
      <c r="W88" s="158">
        <f t="shared" si="12"/>
        <v>0.30244932813489689</v>
      </c>
      <c r="X88" s="174">
        <f t="shared" si="13"/>
        <v>0.36</v>
      </c>
      <c r="AG88" s="152">
        <v>90</v>
      </c>
      <c r="AH88" s="152">
        <v>90</v>
      </c>
      <c r="BD88" s="56">
        <v>80</v>
      </c>
      <c r="BI88" s="152">
        <v>150</v>
      </c>
      <c r="BJ88" s="152">
        <v>150</v>
      </c>
      <c r="BR88" s="152">
        <v>250</v>
      </c>
    </row>
    <row r="89" spans="1:110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876</v>
      </c>
      <c r="H89" s="56">
        <v>3</v>
      </c>
      <c r="L89" s="161">
        <v>360</v>
      </c>
      <c r="N89" s="56" t="s">
        <v>1344</v>
      </c>
      <c r="O89" s="56">
        <f t="shared" si="8"/>
        <v>0</v>
      </c>
      <c r="P89" s="10">
        <v>0</v>
      </c>
      <c r="Q89" s="158" t="str">
        <f t="shared" si="9"/>
        <v/>
      </c>
      <c r="R89" s="174" t="str">
        <f t="shared" si="10"/>
        <v/>
      </c>
      <c r="S89" s="98" t="s">
        <v>999</v>
      </c>
      <c r="T89" s="56">
        <v>200</v>
      </c>
      <c r="W89" s="158">
        <f t="shared" si="12"/>
        <v>0.51359854717556819</v>
      </c>
      <c r="X89" s="174">
        <f t="shared" si="13"/>
        <v>0.72</v>
      </c>
      <c r="AG89" s="152">
        <v>80</v>
      </c>
      <c r="AH89" s="152">
        <v>80</v>
      </c>
      <c r="BD89" s="56">
        <v>70</v>
      </c>
      <c r="BI89" s="152">
        <v>180</v>
      </c>
      <c r="BJ89" s="152">
        <v>180</v>
      </c>
      <c r="BR89" s="152">
        <v>280</v>
      </c>
    </row>
    <row r="90" spans="1:110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877</v>
      </c>
      <c r="H90" s="56">
        <v>5</v>
      </c>
      <c r="L90" s="161">
        <v>360</v>
      </c>
      <c r="N90" s="56" t="s">
        <v>1345</v>
      </c>
      <c r="O90" s="56">
        <f t="shared" si="8"/>
        <v>0</v>
      </c>
      <c r="P90" s="10">
        <v>0</v>
      </c>
      <c r="Q90" s="158" t="str">
        <f t="shared" si="9"/>
        <v/>
      </c>
      <c r="R90" s="174" t="str">
        <f t="shared" si="10"/>
        <v/>
      </c>
      <c r="S90" s="98" t="s">
        <v>999</v>
      </c>
      <c r="T90" s="56">
        <v>300</v>
      </c>
      <c r="W90" s="158">
        <f t="shared" si="12"/>
        <v>0.66095527471417181</v>
      </c>
      <c r="X90" s="174">
        <f t="shared" si="13"/>
        <v>1.08</v>
      </c>
      <c r="AG90" s="152">
        <v>70</v>
      </c>
      <c r="AH90" s="152">
        <v>70</v>
      </c>
      <c r="BD90" s="56">
        <v>60</v>
      </c>
      <c r="BI90" s="152">
        <v>260</v>
      </c>
      <c r="BJ90" s="152">
        <v>260</v>
      </c>
      <c r="BR90" s="152">
        <v>360</v>
      </c>
    </row>
    <row r="91" spans="1:110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6">
        <f t="shared" si="8"/>
        <v>0</v>
      </c>
      <c r="Q91" s="158" t="str">
        <f t="shared" si="9"/>
        <v/>
      </c>
      <c r="R91" s="174" t="str">
        <f t="shared" si="10"/>
        <v/>
      </c>
      <c r="W91" s="158" t="str">
        <f t="shared" si="12"/>
        <v/>
      </c>
      <c r="X91" s="174" t="str">
        <f t="shared" si="13"/>
        <v/>
      </c>
    </row>
    <row r="92" spans="1:110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6">
        <f t="shared" si="8"/>
        <v>0</v>
      </c>
      <c r="Q92" s="158" t="str">
        <f t="shared" si="9"/>
        <v/>
      </c>
      <c r="R92" s="174" t="str">
        <f t="shared" si="10"/>
        <v/>
      </c>
      <c r="W92" s="158" t="str">
        <f t="shared" si="12"/>
        <v/>
      </c>
      <c r="X92" s="174" t="str">
        <f t="shared" si="13"/>
        <v/>
      </c>
    </row>
    <row r="93" spans="1:110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6">
        <f t="shared" si="8"/>
        <v>0</v>
      </c>
      <c r="Q93" s="158" t="str">
        <f t="shared" si="9"/>
        <v/>
      </c>
      <c r="R93" s="174" t="str">
        <f t="shared" si="10"/>
        <v/>
      </c>
      <c r="W93" s="158" t="str">
        <f t="shared" si="12"/>
        <v/>
      </c>
      <c r="X93" s="174" t="str">
        <f t="shared" si="13"/>
        <v/>
      </c>
    </row>
    <row r="94" spans="1:110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6">
        <f t="shared" si="8"/>
        <v>0</v>
      </c>
      <c r="Q94" s="158" t="str">
        <f t="shared" si="9"/>
        <v/>
      </c>
      <c r="R94" s="174" t="str">
        <f t="shared" si="10"/>
        <v/>
      </c>
      <c r="W94" s="158" t="str">
        <f t="shared" si="12"/>
        <v/>
      </c>
      <c r="X94" s="174" t="str">
        <f t="shared" si="13"/>
        <v/>
      </c>
    </row>
    <row r="95" spans="1:110" s="96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1"/>
      <c r="M95" s="10"/>
      <c r="N95" s="56"/>
      <c r="O95" s="56">
        <f t="shared" si="8"/>
        <v>0</v>
      </c>
      <c r="P95" s="10"/>
      <c r="Q95" s="158" t="str">
        <f t="shared" si="9"/>
        <v/>
      </c>
      <c r="R95" s="174" t="str">
        <f t="shared" si="10"/>
        <v/>
      </c>
      <c r="S95" s="164"/>
      <c r="T95" s="56"/>
      <c r="U95" s="56"/>
      <c r="V95" s="56"/>
      <c r="W95" s="158" t="str">
        <f t="shared" si="12"/>
        <v/>
      </c>
      <c r="X95" s="174" t="str">
        <f t="shared" si="13"/>
        <v/>
      </c>
      <c r="Y95" s="168"/>
      <c r="Z95" s="10"/>
      <c r="AA95" s="56"/>
      <c r="AB95" s="56"/>
      <c r="AC95" s="56"/>
      <c r="AD95" s="56"/>
      <c r="AE95" s="56"/>
      <c r="AF95" s="170"/>
      <c r="AG95" s="56"/>
      <c r="AH95" s="56"/>
      <c r="AI95" s="168"/>
      <c r="AJ95" s="56"/>
      <c r="AK95" s="56"/>
      <c r="AL95" s="56"/>
      <c r="AM95" s="56"/>
      <c r="AN95" s="56"/>
      <c r="AO95" s="56"/>
      <c r="AP95" s="56"/>
      <c r="AQ95" s="56"/>
      <c r="AR95" s="168"/>
      <c r="AS95" s="56"/>
      <c r="AT95" s="56"/>
      <c r="AU95" s="56"/>
      <c r="AV95" s="56"/>
      <c r="AW95" s="56"/>
      <c r="AX95" s="56"/>
      <c r="AY95" s="56"/>
      <c r="AZ95" s="56"/>
      <c r="BA95" s="168"/>
      <c r="BB95" s="56"/>
      <c r="BC95" s="56"/>
      <c r="BD95" s="56"/>
      <c r="BE95" s="168"/>
      <c r="BF95" s="56"/>
      <c r="BG95" s="10"/>
      <c r="BH95" s="56"/>
      <c r="BI95" s="56"/>
      <c r="BJ95" s="56"/>
      <c r="BK95" s="56"/>
      <c r="BS95" s="144"/>
      <c r="CM95" s="144"/>
      <c r="DC95" s="144"/>
    </row>
    <row r="96" spans="1:110" s="96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1"/>
      <c r="M96" s="10"/>
      <c r="N96" s="56"/>
      <c r="O96" s="56">
        <f t="shared" si="8"/>
        <v>0</v>
      </c>
      <c r="P96" s="10"/>
      <c r="Q96" s="158" t="str">
        <f t="shared" si="9"/>
        <v/>
      </c>
      <c r="R96" s="174" t="str">
        <f t="shared" si="10"/>
        <v/>
      </c>
      <c r="S96" s="164"/>
      <c r="T96" s="56"/>
      <c r="U96" s="56"/>
      <c r="V96" s="56"/>
      <c r="W96" s="158" t="str">
        <f t="shared" si="12"/>
        <v/>
      </c>
      <c r="X96" s="174" t="str">
        <f t="shared" si="13"/>
        <v/>
      </c>
      <c r="Y96" s="168"/>
      <c r="Z96" s="10"/>
      <c r="AA96" s="56"/>
      <c r="AB96" s="56"/>
      <c r="AC96" s="56"/>
      <c r="AD96" s="56"/>
      <c r="AE96" s="56"/>
      <c r="AF96" s="170"/>
      <c r="AG96" s="56"/>
      <c r="AH96" s="56"/>
      <c r="AI96" s="168"/>
      <c r="AJ96" s="56"/>
      <c r="AK96" s="56"/>
      <c r="AL96" s="56"/>
      <c r="AM96" s="56"/>
      <c r="AN96" s="56"/>
      <c r="AO96" s="56"/>
      <c r="AP96" s="56"/>
      <c r="AQ96" s="56"/>
      <c r="AR96" s="168"/>
      <c r="AS96" s="56"/>
      <c r="AT96" s="56"/>
      <c r="AU96" s="56"/>
      <c r="AV96" s="56"/>
      <c r="AW96" s="56"/>
      <c r="AX96" s="56"/>
      <c r="AY96" s="56"/>
      <c r="AZ96" s="56"/>
      <c r="BA96" s="168"/>
      <c r="BB96" s="56"/>
      <c r="BC96" s="56"/>
      <c r="BD96" s="56"/>
      <c r="BE96" s="168"/>
      <c r="BF96" s="56"/>
      <c r="BG96" s="10"/>
      <c r="BH96" s="56"/>
      <c r="BI96" s="56"/>
      <c r="BJ96" s="56"/>
      <c r="BK96" s="56"/>
      <c r="BS96" s="144"/>
      <c r="CM96" s="144"/>
      <c r="DC96" s="144"/>
    </row>
    <row r="97" spans="1:107" s="96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1"/>
      <c r="M97" s="10"/>
      <c r="N97" s="56"/>
      <c r="O97" s="56">
        <f t="shared" si="8"/>
        <v>0</v>
      </c>
      <c r="P97" s="10"/>
      <c r="Q97" s="158" t="str">
        <f t="shared" si="9"/>
        <v/>
      </c>
      <c r="R97" s="174" t="str">
        <f t="shared" si="10"/>
        <v/>
      </c>
      <c r="S97" s="164"/>
      <c r="T97" s="56"/>
      <c r="U97" s="56"/>
      <c r="V97" s="56"/>
      <c r="W97" s="158" t="str">
        <f t="shared" si="12"/>
        <v/>
      </c>
      <c r="X97" s="174" t="str">
        <f t="shared" si="13"/>
        <v/>
      </c>
      <c r="Y97" s="168"/>
      <c r="Z97" s="10"/>
      <c r="AA97" s="56"/>
      <c r="AB97" s="56"/>
      <c r="AC97" s="56"/>
      <c r="AD97" s="56"/>
      <c r="AE97" s="56"/>
      <c r="AF97" s="170"/>
      <c r="AG97" s="56"/>
      <c r="AH97" s="56"/>
      <c r="AI97" s="168"/>
      <c r="AJ97" s="56"/>
      <c r="AK97" s="56"/>
      <c r="AL97" s="56"/>
      <c r="AM97" s="56"/>
      <c r="AN97" s="56"/>
      <c r="AO97" s="56"/>
      <c r="AP97" s="56"/>
      <c r="AQ97" s="56"/>
      <c r="AR97" s="168"/>
      <c r="AS97" s="56"/>
      <c r="AT97" s="56"/>
      <c r="AU97" s="56"/>
      <c r="AV97" s="56"/>
      <c r="AW97" s="56"/>
      <c r="AX97" s="56"/>
      <c r="AY97" s="56"/>
      <c r="AZ97" s="56"/>
      <c r="BA97" s="168"/>
      <c r="BB97" s="56"/>
      <c r="BC97" s="56"/>
      <c r="BD97" s="56"/>
      <c r="BE97" s="168"/>
      <c r="BF97" s="56"/>
      <c r="BG97" s="10"/>
      <c r="BH97" s="56"/>
      <c r="BI97" s="56"/>
      <c r="BJ97" s="56"/>
      <c r="BK97" s="56"/>
      <c r="BS97" s="144"/>
      <c r="CM97" s="144"/>
      <c r="DC97" s="144"/>
    </row>
    <row r="98" spans="1:107" s="96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1"/>
      <c r="M98" s="10"/>
      <c r="N98" s="56"/>
      <c r="O98" s="56">
        <f t="shared" si="8"/>
        <v>0</v>
      </c>
      <c r="P98" s="10"/>
      <c r="Q98" s="158" t="str">
        <f t="shared" si="9"/>
        <v/>
      </c>
      <c r="R98" s="174" t="str">
        <f t="shared" si="10"/>
        <v/>
      </c>
      <c r="S98" s="164"/>
      <c r="T98" s="56"/>
      <c r="U98" s="56"/>
      <c r="V98" s="56"/>
      <c r="W98" s="158" t="str">
        <f t="shared" si="12"/>
        <v/>
      </c>
      <c r="X98" s="174" t="str">
        <f t="shared" si="13"/>
        <v/>
      </c>
      <c r="Y98" s="168"/>
      <c r="Z98" s="10"/>
      <c r="AA98" s="56"/>
      <c r="AB98" s="56"/>
      <c r="AC98" s="56"/>
      <c r="AD98" s="56"/>
      <c r="AE98" s="56"/>
      <c r="AF98" s="170"/>
      <c r="AG98" s="56"/>
      <c r="AH98" s="56"/>
      <c r="AI98" s="168"/>
      <c r="AJ98" s="56"/>
      <c r="AK98" s="56"/>
      <c r="AL98" s="56"/>
      <c r="AM98" s="56"/>
      <c r="AN98" s="56"/>
      <c r="AO98" s="56"/>
      <c r="AP98" s="56"/>
      <c r="AQ98" s="56"/>
      <c r="AR98" s="168"/>
      <c r="AS98" s="56"/>
      <c r="AT98" s="56"/>
      <c r="AU98" s="56"/>
      <c r="AV98" s="56"/>
      <c r="AW98" s="56"/>
      <c r="AX98" s="56"/>
      <c r="AY98" s="56"/>
      <c r="AZ98" s="56"/>
      <c r="BA98" s="168"/>
      <c r="BB98" s="56"/>
      <c r="BC98" s="56"/>
      <c r="BD98" s="56"/>
      <c r="BE98" s="168"/>
      <c r="BF98" s="56"/>
      <c r="BG98" s="10"/>
      <c r="BH98" s="56"/>
      <c r="BI98" s="56"/>
      <c r="BJ98" s="56"/>
      <c r="BK98" s="56"/>
      <c r="BS98" s="144"/>
      <c r="CM98" s="144"/>
      <c r="DC98" s="144"/>
    </row>
    <row r="99" spans="1:107" s="96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1"/>
      <c r="M99" s="10"/>
      <c r="N99" s="56"/>
      <c r="O99" s="56">
        <f t="shared" si="8"/>
        <v>0</v>
      </c>
      <c r="P99" s="10"/>
      <c r="Q99" s="158" t="str">
        <f t="shared" si="9"/>
        <v/>
      </c>
      <c r="R99" s="174" t="str">
        <f t="shared" si="10"/>
        <v/>
      </c>
      <c r="S99" s="164"/>
      <c r="T99" s="56"/>
      <c r="U99" s="56"/>
      <c r="V99" s="56"/>
      <c r="W99" s="158" t="str">
        <f t="shared" si="12"/>
        <v/>
      </c>
      <c r="X99" s="174" t="str">
        <f t="shared" si="13"/>
        <v/>
      </c>
      <c r="Y99" s="168"/>
      <c r="Z99" s="10"/>
      <c r="AA99" s="56"/>
      <c r="AB99" s="56"/>
      <c r="AC99" s="56"/>
      <c r="AD99" s="56"/>
      <c r="AE99" s="56"/>
      <c r="AF99" s="170"/>
      <c r="AG99" s="56"/>
      <c r="AH99" s="56"/>
      <c r="AI99" s="168"/>
      <c r="AJ99" s="56"/>
      <c r="AK99" s="56"/>
      <c r="AL99" s="56"/>
      <c r="AM99" s="56"/>
      <c r="AN99" s="56"/>
      <c r="AO99" s="56"/>
      <c r="AP99" s="56"/>
      <c r="AQ99" s="56"/>
      <c r="AR99" s="168"/>
      <c r="AS99" s="56"/>
      <c r="AT99" s="56"/>
      <c r="AU99" s="56"/>
      <c r="AV99" s="56"/>
      <c r="AW99" s="56"/>
      <c r="AX99" s="56"/>
      <c r="AY99" s="56"/>
      <c r="AZ99" s="56"/>
      <c r="BA99" s="168"/>
      <c r="BB99" s="56"/>
      <c r="BC99" s="56"/>
      <c r="BD99" s="56"/>
      <c r="BE99" s="168"/>
      <c r="BF99" s="56"/>
      <c r="BG99" s="10"/>
      <c r="BH99" s="56"/>
      <c r="BI99" s="56"/>
      <c r="BJ99" s="56"/>
      <c r="BK99" s="56"/>
      <c r="BS99" s="144"/>
      <c r="CM99" s="144"/>
      <c r="DC99" s="144"/>
    </row>
    <row r="100" spans="1:107" s="96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1"/>
      <c r="M100" s="10"/>
      <c r="N100" s="56"/>
      <c r="O100" s="56">
        <f t="shared" si="8"/>
        <v>0</v>
      </c>
      <c r="P100" s="10"/>
      <c r="Q100" s="158" t="str">
        <f t="shared" si="9"/>
        <v/>
      </c>
      <c r="R100" s="174" t="str">
        <f t="shared" si="10"/>
        <v/>
      </c>
      <c r="S100" s="164"/>
      <c r="T100" s="56"/>
      <c r="U100" s="56"/>
      <c r="V100" s="56"/>
      <c r="W100" s="158" t="str">
        <f t="shared" si="12"/>
        <v/>
      </c>
      <c r="X100" s="174" t="str">
        <f t="shared" si="13"/>
        <v/>
      </c>
      <c r="Y100" s="168"/>
      <c r="Z100" s="10"/>
      <c r="AA100" s="56"/>
      <c r="AB100" s="56"/>
      <c r="AC100" s="56"/>
      <c r="AD100" s="56"/>
      <c r="AE100" s="56"/>
      <c r="AF100" s="170"/>
      <c r="AG100" s="56"/>
      <c r="AH100" s="56"/>
      <c r="AI100" s="168"/>
      <c r="AJ100" s="56"/>
      <c r="AK100" s="56"/>
      <c r="AL100" s="56"/>
      <c r="AM100" s="56"/>
      <c r="AN100" s="56"/>
      <c r="AO100" s="56"/>
      <c r="AP100" s="56"/>
      <c r="AQ100" s="56"/>
      <c r="AR100" s="168"/>
      <c r="AS100" s="56"/>
      <c r="AT100" s="56"/>
      <c r="AU100" s="56"/>
      <c r="AV100" s="56"/>
      <c r="AW100" s="56"/>
      <c r="AX100" s="56"/>
      <c r="AY100" s="56"/>
      <c r="AZ100" s="56"/>
      <c r="BA100" s="168"/>
      <c r="BB100" s="56"/>
      <c r="BC100" s="56"/>
      <c r="BD100" s="56"/>
      <c r="BE100" s="168"/>
      <c r="BF100" s="56"/>
      <c r="BG100" s="10"/>
      <c r="BH100" s="56"/>
      <c r="BI100" s="56"/>
      <c r="BJ100" s="56"/>
      <c r="BK100" s="56"/>
      <c r="BS100" s="144"/>
      <c r="CM100" s="144"/>
      <c r="DC100" s="144"/>
    </row>
    <row r="101" spans="1:107" s="96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1"/>
      <c r="M101" s="10"/>
      <c r="N101" s="56"/>
      <c r="O101" s="56">
        <f t="shared" si="8"/>
        <v>0</v>
      </c>
      <c r="P101" s="10"/>
      <c r="Q101" s="158" t="str">
        <f t="shared" si="9"/>
        <v/>
      </c>
      <c r="R101" s="174" t="str">
        <f t="shared" si="10"/>
        <v/>
      </c>
      <c r="S101" s="164"/>
      <c r="T101" s="56"/>
      <c r="U101" s="56"/>
      <c r="V101" s="56"/>
      <c r="W101" s="158" t="str">
        <f t="shared" si="12"/>
        <v/>
      </c>
      <c r="X101" s="174" t="str">
        <f t="shared" si="13"/>
        <v/>
      </c>
      <c r="Y101" s="168"/>
      <c r="Z101" s="10"/>
      <c r="AA101" s="56"/>
      <c r="AB101" s="56"/>
      <c r="AC101" s="56"/>
      <c r="AD101" s="56"/>
      <c r="AE101" s="56"/>
      <c r="AF101" s="170"/>
      <c r="AG101" s="56"/>
      <c r="AH101" s="56"/>
      <c r="AI101" s="168"/>
      <c r="AJ101" s="56"/>
      <c r="AK101" s="56"/>
      <c r="AL101" s="56"/>
      <c r="AM101" s="56"/>
      <c r="AN101" s="56"/>
      <c r="AO101" s="56"/>
      <c r="AP101" s="56"/>
      <c r="AQ101" s="56"/>
      <c r="AR101" s="168"/>
      <c r="AS101" s="56"/>
      <c r="AT101" s="56"/>
      <c r="AU101" s="56"/>
      <c r="AV101" s="56"/>
      <c r="AW101" s="56"/>
      <c r="AX101" s="56"/>
      <c r="AY101" s="56"/>
      <c r="AZ101" s="56"/>
      <c r="BA101" s="168"/>
      <c r="BB101" s="56"/>
      <c r="BC101" s="56"/>
      <c r="BD101" s="56"/>
      <c r="BE101" s="168"/>
      <c r="BF101" s="56"/>
      <c r="BG101" s="10"/>
      <c r="BH101" s="56"/>
      <c r="BI101" s="56"/>
      <c r="BJ101" s="56"/>
      <c r="BK101" s="56"/>
      <c r="BS101" s="144"/>
      <c r="CM101" s="144"/>
      <c r="DC101" s="144"/>
    </row>
    <row r="102" spans="1:107" s="96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1"/>
      <c r="M102" s="10"/>
      <c r="N102" s="56"/>
      <c r="O102" s="56">
        <f t="shared" si="8"/>
        <v>0</v>
      </c>
      <c r="P102" s="10"/>
      <c r="Q102" s="158" t="str">
        <f t="shared" si="9"/>
        <v/>
      </c>
      <c r="R102" s="174" t="str">
        <f t="shared" si="10"/>
        <v/>
      </c>
      <c r="S102" s="164"/>
      <c r="T102" s="56"/>
      <c r="U102" s="56"/>
      <c r="V102" s="56"/>
      <c r="W102" s="158" t="str">
        <f t="shared" si="12"/>
        <v/>
      </c>
      <c r="X102" s="174" t="str">
        <f t="shared" si="13"/>
        <v/>
      </c>
      <c r="Y102" s="168"/>
      <c r="Z102" s="10"/>
      <c r="AA102" s="56"/>
      <c r="AB102" s="56"/>
      <c r="AC102" s="56"/>
      <c r="AD102" s="56"/>
      <c r="AE102" s="56"/>
      <c r="AF102" s="170"/>
      <c r="AG102" s="56"/>
      <c r="AH102" s="56"/>
      <c r="AI102" s="168"/>
      <c r="AJ102" s="56"/>
      <c r="AK102" s="56"/>
      <c r="AL102" s="56"/>
      <c r="AM102" s="56"/>
      <c r="AN102" s="56"/>
      <c r="AO102" s="56"/>
      <c r="AP102" s="56"/>
      <c r="AQ102" s="56"/>
      <c r="AR102" s="168"/>
      <c r="AS102" s="56"/>
      <c r="AT102" s="56"/>
      <c r="AU102" s="56"/>
      <c r="AV102" s="56"/>
      <c r="AW102" s="56"/>
      <c r="AX102" s="56"/>
      <c r="AY102" s="56"/>
      <c r="AZ102" s="56"/>
      <c r="BA102" s="168"/>
      <c r="BB102" s="56"/>
      <c r="BC102" s="56"/>
      <c r="BD102" s="56"/>
      <c r="BE102" s="168"/>
      <c r="BF102" s="56"/>
      <c r="BG102" s="10"/>
      <c r="BH102" s="56"/>
      <c r="BI102" s="56"/>
      <c r="BJ102" s="56"/>
      <c r="BK102" s="56"/>
      <c r="BS102" s="144"/>
      <c r="CM102" s="144"/>
      <c r="DC102" s="144"/>
    </row>
    <row r="103" spans="1:107" s="96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1"/>
      <c r="M103" s="10"/>
      <c r="N103" s="56"/>
      <c r="O103" s="56">
        <f t="shared" si="8"/>
        <v>0</v>
      </c>
      <c r="P103" s="10"/>
      <c r="Q103" s="158" t="str">
        <f t="shared" si="9"/>
        <v/>
      </c>
      <c r="R103" s="174" t="str">
        <f t="shared" si="10"/>
        <v/>
      </c>
      <c r="S103" s="164"/>
      <c r="T103" s="56"/>
      <c r="U103" s="56"/>
      <c r="V103" s="56"/>
      <c r="W103" s="158" t="str">
        <f t="shared" si="12"/>
        <v/>
      </c>
      <c r="X103" s="174" t="str">
        <f t="shared" si="13"/>
        <v/>
      </c>
      <c r="Y103" s="168"/>
      <c r="Z103" s="10"/>
      <c r="AA103" s="56"/>
      <c r="AB103" s="56"/>
      <c r="AC103" s="56"/>
      <c r="AD103" s="56"/>
      <c r="AE103" s="56"/>
      <c r="AF103" s="170"/>
      <c r="AG103" s="56"/>
      <c r="AH103" s="56"/>
      <c r="AI103" s="168"/>
      <c r="AJ103" s="56"/>
      <c r="AK103" s="56"/>
      <c r="AL103" s="56"/>
      <c r="AM103" s="56"/>
      <c r="AN103" s="56"/>
      <c r="AO103" s="56"/>
      <c r="AP103" s="56"/>
      <c r="AQ103" s="56"/>
      <c r="AR103" s="168"/>
      <c r="AS103" s="56"/>
      <c r="AT103" s="56"/>
      <c r="AU103" s="56"/>
      <c r="AV103" s="56"/>
      <c r="AW103" s="56"/>
      <c r="AX103" s="56"/>
      <c r="AY103" s="56"/>
      <c r="AZ103" s="56"/>
      <c r="BA103" s="168"/>
      <c r="BB103" s="56"/>
      <c r="BC103" s="56"/>
      <c r="BD103" s="56"/>
      <c r="BE103" s="168"/>
      <c r="BF103" s="56"/>
      <c r="BG103" s="10"/>
      <c r="BH103" s="56"/>
      <c r="BI103" s="56"/>
      <c r="BJ103" s="56"/>
      <c r="BK103" s="56"/>
      <c r="BS103" s="144"/>
      <c r="CM103" s="144"/>
      <c r="DC103" s="144"/>
    </row>
    <row r="104" spans="1:107" s="96" customFormat="1" ht="17.25" thickBot="1" x14ac:dyDescent="0.2">
      <c r="A104" s="11">
        <f t="shared" si="14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1"/>
      <c r="M104" s="10"/>
      <c r="N104" s="56"/>
      <c r="O104" s="56">
        <f t="shared" si="8"/>
        <v>0</v>
      </c>
      <c r="P104" s="10"/>
      <c r="Q104" s="158" t="str">
        <f t="shared" si="9"/>
        <v/>
      </c>
      <c r="R104" s="174" t="str">
        <f t="shared" si="10"/>
        <v/>
      </c>
      <c r="S104" s="164"/>
      <c r="T104" s="56"/>
      <c r="U104" s="56"/>
      <c r="V104" s="56"/>
      <c r="W104" s="158" t="str">
        <f t="shared" si="12"/>
        <v/>
      </c>
      <c r="X104" s="174" t="str">
        <f t="shared" si="13"/>
        <v/>
      </c>
      <c r="Y104" s="168"/>
      <c r="Z104" s="10"/>
      <c r="AA104" s="56"/>
      <c r="AB104" s="56"/>
      <c r="AC104" s="56"/>
      <c r="AD104" s="56"/>
      <c r="AE104" s="56"/>
      <c r="AF104" s="170"/>
      <c r="AG104" s="56"/>
      <c r="AH104" s="56"/>
      <c r="AI104" s="168"/>
      <c r="AJ104" s="56"/>
      <c r="AK104" s="56"/>
      <c r="AL104" s="56"/>
      <c r="AM104" s="56"/>
      <c r="AN104" s="56"/>
      <c r="AO104" s="56"/>
      <c r="AP104" s="56"/>
      <c r="AQ104" s="56"/>
      <c r="AR104" s="168"/>
      <c r="AS104" s="56"/>
      <c r="AT104" s="56"/>
      <c r="AU104" s="56"/>
      <c r="AV104" s="56"/>
      <c r="AW104" s="56"/>
      <c r="AX104" s="56"/>
      <c r="AY104" s="56"/>
      <c r="AZ104" s="56"/>
      <c r="BA104" s="168"/>
      <c r="BB104" s="56"/>
      <c r="BC104" s="56"/>
      <c r="BD104" s="56"/>
      <c r="BE104" s="168"/>
      <c r="BF104" s="56"/>
      <c r="BG104" s="10"/>
      <c r="BH104" s="56"/>
      <c r="BI104" s="56"/>
      <c r="BJ104" s="56"/>
      <c r="BK104" s="56"/>
      <c r="BS104" s="144"/>
      <c r="CM104" s="144"/>
      <c r="DC104" s="144"/>
    </row>
    <row r="105" spans="1:107" s="113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3"/>
      <c r="M105" s="17"/>
      <c r="N105" s="57"/>
      <c r="O105" s="57">
        <f t="shared" si="8"/>
        <v>0</v>
      </c>
      <c r="P105" s="17"/>
      <c r="Q105" s="159" t="str">
        <f t="shared" si="9"/>
        <v/>
      </c>
      <c r="R105" s="175" t="str">
        <f t="shared" si="10"/>
        <v/>
      </c>
      <c r="S105" s="165"/>
      <c r="T105" s="57"/>
      <c r="U105" s="57"/>
      <c r="V105" s="57"/>
      <c r="W105" s="159" t="str">
        <f t="shared" si="12"/>
        <v/>
      </c>
      <c r="X105" s="175" t="str">
        <f t="shared" si="13"/>
        <v/>
      </c>
      <c r="Y105" s="169"/>
      <c r="Z105" s="17"/>
      <c r="AA105" s="57"/>
      <c r="AB105" s="57"/>
      <c r="AC105" s="57"/>
      <c r="AD105" s="57"/>
      <c r="AE105" s="57"/>
      <c r="AF105" s="172"/>
      <c r="AG105" s="57"/>
      <c r="AH105" s="57"/>
      <c r="AI105" s="169"/>
      <c r="AJ105" s="57"/>
      <c r="AK105" s="57"/>
      <c r="AL105" s="57"/>
      <c r="AM105" s="57"/>
      <c r="AN105" s="57"/>
      <c r="AO105" s="57"/>
      <c r="AP105" s="57"/>
      <c r="AQ105" s="57"/>
      <c r="AR105" s="169"/>
      <c r="AS105" s="57"/>
      <c r="AT105" s="57"/>
      <c r="AU105" s="57"/>
      <c r="AV105" s="57"/>
      <c r="AW105" s="57"/>
      <c r="AX105" s="57"/>
      <c r="AY105" s="57"/>
      <c r="AZ105" s="57"/>
      <c r="BA105" s="169"/>
      <c r="BB105" s="57"/>
      <c r="BC105" s="57"/>
      <c r="BD105" s="57"/>
      <c r="BE105" s="169"/>
      <c r="BF105" s="57"/>
      <c r="BG105" s="17"/>
      <c r="BH105" s="57"/>
      <c r="BI105" s="57"/>
      <c r="BJ105" s="57"/>
      <c r="BK105" s="57"/>
      <c r="BS105" s="143"/>
      <c r="CM105" s="143"/>
      <c r="DC105" s="143"/>
    </row>
    <row r="106" spans="1:107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O106" s="56">
        <f t="shared" si="8"/>
        <v>0</v>
      </c>
      <c r="Q106" s="158" t="str">
        <f t="shared" si="9"/>
        <v/>
      </c>
      <c r="R106" s="174" t="str">
        <f t="shared" si="10"/>
        <v/>
      </c>
      <c r="W106" s="158" t="str">
        <f t="shared" si="12"/>
        <v/>
      </c>
      <c r="X106" s="174" t="str">
        <f t="shared" si="13"/>
        <v/>
      </c>
      <c r="BL106" s="108"/>
    </row>
    <row r="107" spans="1:107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O107" s="56">
        <f t="shared" si="8"/>
        <v>0</v>
      </c>
      <c r="Q107" s="158" t="str">
        <f t="shared" si="9"/>
        <v/>
      </c>
      <c r="R107" s="174" t="str">
        <f t="shared" si="10"/>
        <v/>
      </c>
      <c r="W107" s="158" t="str">
        <f t="shared" si="12"/>
        <v/>
      </c>
      <c r="X107" s="174" t="str">
        <f t="shared" si="13"/>
        <v/>
      </c>
      <c r="BL107" s="108"/>
    </row>
    <row r="108" spans="1:107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O108" s="56">
        <f t="shared" si="8"/>
        <v>0</v>
      </c>
      <c r="Q108" s="158" t="str">
        <f t="shared" si="9"/>
        <v/>
      </c>
      <c r="R108" s="174" t="str">
        <f t="shared" si="10"/>
        <v/>
      </c>
      <c r="W108" s="158" t="str">
        <f t="shared" si="12"/>
        <v/>
      </c>
      <c r="X108" s="174" t="str">
        <f t="shared" si="13"/>
        <v/>
      </c>
    </row>
    <row r="109" spans="1:107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O109" s="56">
        <f t="shared" si="8"/>
        <v>0</v>
      </c>
      <c r="Q109" s="158" t="str">
        <f t="shared" si="9"/>
        <v/>
      </c>
      <c r="R109" s="174" t="str">
        <f t="shared" si="10"/>
        <v/>
      </c>
      <c r="W109" s="158" t="str">
        <f t="shared" si="12"/>
        <v/>
      </c>
      <c r="X109" s="174" t="str">
        <f t="shared" si="13"/>
        <v/>
      </c>
    </row>
    <row r="110" spans="1:107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O110" s="56">
        <f t="shared" si="8"/>
        <v>0</v>
      </c>
      <c r="Q110" s="158" t="str">
        <f t="shared" si="9"/>
        <v/>
      </c>
      <c r="R110" s="174" t="str">
        <f t="shared" si="10"/>
        <v/>
      </c>
      <c r="W110" s="158" t="str">
        <f t="shared" si="12"/>
        <v/>
      </c>
      <c r="X110" s="174" t="str">
        <f t="shared" si="13"/>
        <v/>
      </c>
    </row>
    <row r="111" spans="1:107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6">
        <f t="shared" si="8"/>
        <v>0</v>
      </c>
      <c r="Q111" s="158" t="str">
        <f t="shared" si="9"/>
        <v/>
      </c>
      <c r="R111" s="174" t="str">
        <f t="shared" si="10"/>
        <v/>
      </c>
      <c r="W111" s="158" t="str">
        <f t="shared" si="12"/>
        <v/>
      </c>
      <c r="X111" s="174" t="str">
        <f t="shared" si="13"/>
        <v/>
      </c>
    </row>
    <row r="112" spans="1:107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6">
        <f t="shared" si="8"/>
        <v>0</v>
      </c>
      <c r="Q112" s="158" t="str">
        <f t="shared" si="9"/>
        <v/>
      </c>
      <c r="R112" s="174" t="str">
        <f t="shared" si="10"/>
        <v/>
      </c>
      <c r="W112" s="158" t="str">
        <f t="shared" si="12"/>
        <v/>
      </c>
      <c r="X112" s="174" t="str">
        <f t="shared" si="13"/>
        <v/>
      </c>
    </row>
    <row r="113" spans="1:107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6">
        <f t="shared" si="8"/>
        <v>0</v>
      </c>
      <c r="Q113" s="158" t="str">
        <f t="shared" si="9"/>
        <v/>
      </c>
      <c r="R113" s="174" t="str">
        <f t="shared" si="10"/>
        <v/>
      </c>
      <c r="W113" s="158" t="str">
        <f t="shared" si="12"/>
        <v/>
      </c>
      <c r="X113" s="174" t="str">
        <f t="shared" si="13"/>
        <v/>
      </c>
    </row>
    <row r="114" spans="1:107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6">
        <f t="shared" si="8"/>
        <v>0</v>
      </c>
      <c r="Q114" s="158" t="str">
        <f t="shared" si="9"/>
        <v/>
      </c>
      <c r="R114" s="174" t="str">
        <f t="shared" si="10"/>
        <v/>
      </c>
      <c r="W114" s="158" t="str">
        <f t="shared" si="12"/>
        <v/>
      </c>
      <c r="X114" s="174" t="str">
        <f t="shared" si="13"/>
        <v/>
      </c>
    </row>
    <row r="115" spans="1:107" s="96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1"/>
      <c r="M115" s="10"/>
      <c r="N115" s="56"/>
      <c r="O115" s="56">
        <f t="shared" si="8"/>
        <v>0</v>
      </c>
      <c r="P115" s="10"/>
      <c r="Q115" s="158" t="str">
        <f t="shared" si="9"/>
        <v/>
      </c>
      <c r="R115" s="174" t="str">
        <f t="shared" si="10"/>
        <v/>
      </c>
      <c r="S115" s="164"/>
      <c r="T115" s="56"/>
      <c r="U115" s="56"/>
      <c r="V115" s="56"/>
      <c r="W115" s="158" t="str">
        <f t="shared" si="12"/>
        <v/>
      </c>
      <c r="X115" s="174" t="str">
        <f t="shared" si="13"/>
        <v/>
      </c>
      <c r="Y115" s="168"/>
      <c r="Z115" s="10"/>
      <c r="AA115" s="56"/>
      <c r="AB115" s="56"/>
      <c r="AC115" s="56"/>
      <c r="AD115" s="56"/>
      <c r="AE115" s="56"/>
      <c r="AF115" s="170"/>
      <c r="AG115" s="56"/>
      <c r="AH115" s="56"/>
      <c r="AI115" s="168"/>
      <c r="AJ115" s="56"/>
      <c r="AK115" s="56"/>
      <c r="AL115" s="56"/>
      <c r="AM115" s="56"/>
      <c r="AN115" s="56"/>
      <c r="AO115" s="56"/>
      <c r="AP115" s="56"/>
      <c r="AQ115" s="56"/>
      <c r="AR115" s="168"/>
      <c r="AS115" s="56"/>
      <c r="AT115" s="56"/>
      <c r="AU115" s="56"/>
      <c r="AV115" s="56"/>
      <c r="AW115" s="56"/>
      <c r="AX115" s="56"/>
      <c r="AY115" s="56"/>
      <c r="AZ115" s="56"/>
      <c r="BA115" s="168"/>
      <c r="BB115" s="56"/>
      <c r="BC115" s="56"/>
      <c r="BD115" s="56"/>
      <c r="BE115" s="168"/>
      <c r="BF115" s="56"/>
      <c r="BG115" s="10"/>
      <c r="BH115" s="56"/>
      <c r="BI115" s="56"/>
      <c r="BJ115" s="56"/>
      <c r="BK115" s="56"/>
      <c r="BS115" s="144"/>
      <c r="CM115" s="144"/>
      <c r="DC115" s="144"/>
    </row>
    <row r="116" spans="1:107" s="96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1"/>
      <c r="M116" s="10"/>
      <c r="N116" s="56"/>
      <c r="O116" s="56">
        <f t="shared" si="8"/>
        <v>0</v>
      </c>
      <c r="P116" s="10"/>
      <c r="Q116" s="158" t="str">
        <f t="shared" si="9"/>
        <v/>
      </c>
      <c r="R116" s="174" t="str">
        <f t="shared" si="10"/>
        <v/>
      </c>
      <c r="S116" s="164"/>
      <c r="T116" s="56"/>
      <c r="U116" s="56"/>
      <c r="V116" s="56"/>
      <c r="W116" s="158" t="str">
        <f t="shared" si="12"/>
        <v/>
      </c>
      <c r="X116" s="174" t="str">
        <f t="shared" si="13"/>
        <v/>
      </c>
      <c r="Y116" s="168"/>
      <c r="Z116" s="10"/>
      <c r="AA116" s="56"/>
      <c r="AB116" s="56"/>
      <c r="AC116" s="56"/>
      <c r="AD116" s="56"/>
      <c r="AE116" s="56"/>
      <c r="AF116" s="170"/>
      <c r="AG116" s="56"/>
      <c r="AH116" s="56"/>
      <c r="AI116" s="168"/>
      <c r="AJ116" s="56"/>
      <c r="AK116" s="56"/>
      <c r="AL116" s="56"/>
      <c r="AM116" s="56"/>
      <c r="AN116" s="56"/>
      <c r="AO116" s="56"/>
      <c r="AP116" s="56"/>
      <c r="AQ116" s="56"/>
      <c r="AR116" s="168"/>
      <c r="AS116" s="56"/>
      <c r="AT116" s="56"/>
      <c r="AU116" s="56"/>
      <c r="AV116" s="56"/>
      <c r="AW116" s="56"/>
      <c r="AX116" s="56"/>
      <c r="AY116" s="56"/>
      <c r="AZ116" s="56"/>
      <c r="BA116" s="168"/>
      <c r="BB116" s="56"/>
      <c r="BC116" s="56"/>
      <c r="BD116" s="56"/>
      <c r="BE116" s="168"/>
      <c r="BF116" s="56"/>
      <c r="BG116" s="10"/>
      <c r="BH116" s="56"/>
      <c r="BI116" s="56"/>
      <c r="BJ116" s="56"/>
      <c r="BK116" s="56"/>
      <c r="BS116" s="144"/>
      <c r="CM116" s="144"/>
      <c r="DC116" s="144"/>
    </row>
    <row r="117" spans="1:107" s="96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1"/>
      <c r="M117" s="10"/>
      <c r="N117" s="56"/>
      <c r="O117" s="56">
        <f t="shared" si="8"/>
        <v>0</v>
      </c>
      <c r="P117" s="10"/>
      <c r="Q117" s="158" t="str">
        <f t="shared" si="9"/>
        <v/>
      </c>
      <c r="R117" s="174" t="str">
        <f t="shared" si="10"/>
        <v/>
      </c>
      <c r="S117" s="164"/>
      <c r="T117" s="56"/>
      <c r="U117" s="56"/>
      <c r="V117" s="56"/>
      <c r="W117" s="158" t="str">
        <f t="shared" si="12"/>
        <v/>
      </c>
      <c r="X117" s="174" t="str">
        <f t="shared" si="13"/>
        <v/>
      </c>
      <c r="Y117" s="168"/>
      <c r="Z117" s="10"/>
      <c r="AA117" s="56"/>
      <c r="AB117" s="56"/>
      <c r="AC117" s="56"/>
      <c r="AD117" s="56"/>
      <c r="AE117" s="56"/>
      <c r="AF117" s="170"/>
      <c r="AG117" s="56"/>
      <c r="AH117" s="56"/>
      <c r="AI117" s="168"/>
      <c r="AJ117" s="56"/>
      <c r="AK117" s="56"/>
      <c r="AL117" s="56"/>
      <c r="AM117" s="56"/>
      <c r="AN117" s="56"/>
      <c r="AO117" s="56"/>
      <c r="AP117" s="56"/>
      <c r="AQ117" s="56"/>
      <c r="AR117" s="168"/>
      <c r="AS117" s="56"/>
      <c r="AT117" s="56"/>
      <c r="AU117" s="56"/>
      <c r="AV117" s="56"/>
      <c r="AW117" s="56"/>
      <c r="AX117" s="56"/>
      <c r="AY117" s="56"/>
      <c r="AZ117" s="56"/>
      <c r="BA117" s="168"/>
      <c r="BB117" s="56"/>
      <c r="BC117" s="56"/>
      <c r="BD117" s="56"/>
      <c r="BE117" s="168"/>
      <c r="BF117" s="56"/>
      <c r="BG117" s="10"/>
      <c r="BH117" s="56"/>
      <c r="BI117" s="56"/>
      <c r="BJ117" s="56"/>
      <c r="BK117" s="56"/>
      <c r="BS117" s="144"/>
      <c r="CM117" s="144"/>
      <c r="DC117" s="144"/>
    </row>
    <row r="118" spans="1:107" s="96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1"/>
      <c r="M118" s="10"/>
      <c r="N118" s="56"/>
      <c r="O118" s="56">
        <f t="shared" si="8"/>
        <v>0</v>
      </c>
      <c r="P118" s="10"/>
      <c r="Q118" s="158" t="str">
        <f t="shared" si="9"/>
        <v/>
      </c>
      <c r="R118" s="174" t="str">
        <f t="shared" si="10"/>
        <v/>
      </c>
      <c r="S118" s="164"/>
      <c r="T118" s="56"/>
      <c r="U118" s="56"/>
      <c r="V118" s="56"/>
      <c r="W118" s="158" t="str">
        <f t="shared" si="12"/>
        <v/>
      </c>
      <c r="X118" s="174" t="str">
        <f t="shared" si="13"/>
        <v/>
      </c>
      <c r="Y118" s="168"/>
      <c r="Z118" s="10"/>
      <c r="AA118" s="56"/>
      <c r="AB118" s="56"/>
      <c r="AC118" s="56"/>
      <c r="AD118" s="56"/>
      <c r="AE118" s="56"/>
      <c r="AF118" s="170"/>
      <c r="AG118" s="56"/>
      <c r="AH118" s="56"/>
      <c r="AI118" s="168"/>
      <c r="AJ118" s="56"/>
      <c r="AK118" s="56"/>
      <c r="AL118" s="56"/>
      <c r="AM118" s="56"/>
      <c r="AN118" s="56"/>
      <c r="AO118" s="56"/>
      <c r="AP118" s="56"/>
      <c r="AQ118" s="56"/>
      <c r="AR118" s="168"/>
      <c r="AS118" s="56"/>
      <c r="AT118" s="56"/>
      <c r="AU118" s="56"/>
      <c r="AV118" s="56"/>
      <c r="AW118" s="56"/>
      <c r="AX118" s="56"/>
      <c r="AY118" s="56"/>
      <c r="AZ118" s="56"/>
      <c r="BA118" s="168"/>
      <c r="BB118" s="56"/>
      <c r="BC118" s="56"/>
      <c r="BD118" s="56"/>
      <c r="BE118" s="168"/>
      <c r="BF118" s="56"/>
      <c r="BG118" s="10"/>
      <c r="BH118" s="56"/>
      <c r="BI118" s="56"/>
      <c r="BJ118" s="56"/>
      <c r="BK118" s="56"/>
      <c r="BS118" s="144"/>
      <c r="CM118" s="144"/>
      <c r="DC118" s="144"/>
    </row>
    <row r="119" spans="1:107" s="96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1"/>
      <c r="M119" s="10"/>
      <c r="N119" s="56"/>
      <c r="O119" s="56">
        <f t="shared" si="8"/>
        <v>0</v>
      </c>
      <c r="P119" s="10"/>
      <c r="Q119" s="158" t="str">
        <f t="shared" si="9"/>
        <v/>
      </c>
      <c r="R119" s="174" t="str">
        <f t="shared" si="10"/>
        <v/>
      </c>
      <c r="S119" s="164"/>
      <c r="T119" s="56"/>
      <c r="U119" s="56"/>
      <c r="V119" s="56"/>
      <c r="W119" s="158" t="str">
        <f t="shared" si="12"/>
        <v/>
      </c>
      <c r="X119" s="174" t="str">
        <f t="shared" si="13"/>
        <v/>
      </c>
      <c r="Y119" s="168"/>
      <c r="Z119" s="10"/>
      <c r="AA119" s="56"/>
      <c r="AB119" s="56"/>
      <c r="AC119" s="56"/>
      <c r="AD119" s="56"/>
      <c r="AE119" s="56"/>
      <c r="AF119" s="170"/>
      <c r="AG119" s="56"/>
      <c r="AH119" s="56"/>
      <c r="AI119" s="168"/>
      <c r="AJ119" s="56"/>
      <c r="AK119" s="56"/>
      <c r="AL119" s="56"/>
      <c r="AM119" s="56"/>
      <c r="AN119" s="56"/>
      <c r="AO119" s="56"/>
      <c r="AP119" s="56"/>
      <c r="AQ119" s="56"/>
      <c r="AR119" s="168"/>
      <c r="AS119" s="56"/>
      <c r="AT119" s="56"/>
      <c r="AU119" s="56"/>
      <c r="AV119" s="56"/>
      <c r="AW119" s="56"/>
      <c r="AX119" s="56"/>
      <c r="AY119" s="56"/>
      <c r="AZ119" s="56"/>
      <c r="BA119" s="168"/>
      <c r="BB119" s="56"/>
      <c r="BC119" s="56"/>
      <c r="BD119" s="56"/>
      <c r="BE119" s="168"/>
      <c r="BF119" s="56"/>
      <c r="BG119" s="10"/>
      <c r="BH119" s="56"/>
      <c r="BI119" s="56"/>
      <c r="BJ119" s="56"/>
      <c r="BK119" s="56"/>
      <c r="BS119" s="144"/>
      <c r="CM119" s="144"/>
      <c r="DC119" s="144"/>
    </row>
    <row r="120" spans="1:107" s="96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1"/>
      <c r="M120" s="10"/>
      <c r="N120" s="56"/>
      <c r="O120" s="56">
        <f t="shared" si="8"/>
        <v>0</v>
      </c>
      <c r="P120" s="10"/>
      <c r="Q120" s="158" t="str">
        <f t="shared" si="9"/>
        <v/>
      </c>
      <c r="R120" s="174" t="str">
        <f t="shared" si="10"/>
        <v/>
      </c>
      <c r="S120" s="164"/>
      <c r="T120" s="56"/>
      <c r="U120" s="56"/>
      <c r="V120" s="56"/>
      <c r="W120" s="158" t="str">
        <f t="shared" si="12"/>
        <v/>
      </c>
      <c r="X120" s="174" t="str">
        <f t="shared" si="13"/>
        <v/>
      </c>
      <c r="Y120" s="168"/>
      <c r="Z120" s="10"/>
      <c r="AA120" s="56"/>
      <c r="AB120" s="56"/>
      <c r="AC120" s="56"/>
      <c r="AD120" s="56"/>
      <c r="AE120" s="56"/>
      <c r="AF120" s="170"/>
      <c r="AG120" s="56"/>
      <c r="AH120" s="56"/>
      <c r="AI120" s="168"/>
      <c r="AJ120" s="56"/>
      <c r="AK120" s="56"/>
      <c r="AL120" s="56"/>
      <c r="AM120" s="56"/>
      <c r="AN120" s="56"/>
      <c r="AO120" s="56"/>
      <c r="AP120" s="56"/>
      <c r="AQ120" s="56"/>
      <c r="AR120" s="168"/>
      <c r="AS120" s="56"/>
      <c r="AT120" s="56"/>
      <c r="AU120" s="56"/>
      <c r="AV120" s="56"/>
      <c r="AW120" s="56"/>
      <c r="AX120" s="56"/>
      <c r="AY120" s="56"/>
      <c r="AZ120" s="56"/>
      <c r="BA120" s="168"/>
      <c r="BB120" s="56"/>
      <c r="BC120" s="56"/>
      <c r="BD120" s="56"/>
      <c r="BE120" s="168"/>
      <c r="BF120" s="56"/>
      <c r="BG120" s="10"/>
      <c r="BH120" s="56"/>
      <c r="BI120" s="56"/>
      <c r="BJ120" s="56"/>
      <c r="BK120" s="56"/>
      <c r="BS120" s="144"/>
      <c r="CM120" s="144"/>
      <c r="DC120" s="144"/>
    </row>
    <row r="121" spans="1:107" s="96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1"/>
      <c r="M121" s="10"/>
      <c r="N121" s="56"/>
      <c r="O121" s="56">
        <f t="shared" si="8"/>
        <v>0</v>
      </c>
      <c r="P121" s="10"/>
      <c r="Q121" s="158" t="str">
        <f t="shared" si="9"/>
        <v/>
      </c>
      <c r="R121" s="174" t="str">
        <f t="shared" si="10"/>
        <v/>
      </c>
      <c r="S121" s="164"/>
      <c r="T121" s="56"/>
      <c r="U121" s="56"/>
      <c r="V121" s="56"/>
      <c r="W121" s="158" t="str">
        <f t="shared" si="12"/>
        <v/>
      </c>
      <c r="X121" s="174" t="str">
        <f t="shared" si="13"/>
        <v/>
      </c>
      <c r="Y121" s="168"/>
      <c r="Z121" s="10"/>
      <c r="AA121" s="56"/>
      <c r="AB121" s="56"/>
      <c r="AC121" s="56"/>
      <c r="AD121" s="56"/>
      <c r="AE121" s="56"/>
      <c r="AF121" s="170"/>
      <c r="AG121" s="56"/>
      <c r="AH121" s="56"/>
      <c r="AI121" s="168"/>
      <c r="AJ121" s="56"/>
      <c r="AK121" s="56"/>
      <c r="AL121" s="56"/>
      <c r="AM121" s="56"/>
      <c r="AN121" s="56"/>
      <c r="AO121" s="56"/>
      <c r="AP121" s="56"/>
      <c r="AQ121" s="56"/>
      <c r="AR121" s="168"/>
      <c r="AS121" s="56"/>
      <c r="AT121" s="56"/>
      <c r="AU121" s="56"/>
      <c r="AV121" s="56"/>
      <c r="AW121" s="56"/>
      <c r="AX121" s="56"/>
      <c r="AY121" s="56"/>
      <c r="AZ121" s="56"/>
      <c r="BA121" s="168"/>
      <c r="BB121" s="56"/>
      <c r="BC121" s="56"/>
      <c r="BD121" s="56"/>
      <c r="BE121" s="168"/>
      <c r="BF121" s="56"/>
      <c r="BG121" s="10"/>
      <c r="BH121" s="56"/>
      <c r="BI121" s="56"/>
      <c r="BJ121" s="56"/>
      <c r="BK121" s="56"/>
      <c r="BS121" s="144"/>
      <c r="CM121" s="144"/>
      <c r="DC121" s="144"/>
    </row>
    <row r="122" spans="1:107" s="96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1"/>
      <c r="M122" s="10"/>
      <c r="N122" s="56"/>
      <c r="O122" s="56">
        <f t="shared" si="8"/>
        <v>0</v>
      </c>
      <c r="P122" s="10"/>
      <c r="Q122" s="158" t="str">
        <f t="shared" si="9"/>
        <v/>
      </c>
      <c r="R122" s="174" t="str">
        <f t="shared" si="10"/>
        <v/>
      </c>
      <c r="S122" s="164"/>
      <c r="T122" s="56"/>
      <c r="U122" s="56"/>
      <c r="V122" s="56"/>
      <c r="W122" s="158" t="str">
        <f t="shared" si="12"/>
        <v/>
      </c>
      <c r="X122" s="174" t="str">
        <f t="shared" si="13"/>
        <v/>
      </c>
      <c r="Y122" s="168"/>
      <c r="Z122" s="10"/>
      <c r="AA122" s="56"/>
      <c r="AB122" s="56"/>
      <c r="AC122" s="56"/>
      <c r="AD122" s="56"/>
      <c r="AE122" s="56"/>
      <c r="AF122" s="170"/>
      <c r="AG122" s="56"/>
      <c r="AH122" s="56"/>
      <c r="AI122" s="168"/>
      <c r="AJ122" s="56"/>
      <c r="AK122" s="56"/>
      <c r="AL122" s="56"/>
      <c r="AM122" s="56"/>
      <c r="AN122" s="56"/>
      <c r="AO122" s="56"/>
      <c r="AP122" s="56"/>
      <c r="AQ122" s="56"/>
      <c r="AR122" s="168"/>
      <c r="AS122" s="56"/>
      <c r="AT122" s="56"/>
      <c r="AU122" s="56"/>
      <c r="AV122" s="56"/>
      <c r="AW122" s="56"/>
      <c r="AX122" s="56"/>
      <c r="AY122" s="56"/>
      <c r="AZ122" s="56"/>
      <c r="BA122" s="168"/>
      <c r="BB122" s="56"/>
      <c r="BC122" s="56"/>
      <c r="BD122" s="56"/>
      <c r="BE122" s="168"/>
      <c r="BF122" s="56"/>
      <c r="BG122" s="10"/>
      <c r="BH122" s="56"/>
      <c r="BI122" s="56"/>
      <c r="BJ122" s="56"/>
      <c r="BK122" s="56"/>
      <c r="BS122" s="144"/>
      <c r="CM122" s="144"/>
      <c r="DC122" s="144"/>
    </row>
    <row r="123" spans="1:107" s="96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1"/>
      <c r="M123" s="10"/>
      <c r="N123" s="56"/>
      <c r="O123" s="56">
        <f t="shared" si="8"/>
        <v>0</v>
      </c>
      <c r="P123" s="10"/>
      <c r="Q123" s="158" t="str">
        <f t="shared" si="9"/>
        <v/>
      </c>
      <c r="R123" s="174" t="str">
        <f t="shared" si="10"/>
        <v/>
      </c>
      <c r="S123" s="164"/>
      <c r="T123" s="56"/>
      <c r="U123" s="56"/>
      <c r="V123" s="56"/>
      <c r="W123" s="158" t="str">
        <f t="shared" si="12"/>
        <v/>
      </c>
      <c r="X123" s="174" t="str">
        <f t="shared" si="13"/>
        <v/>
      </c>
      <c r="Y123" s="168"/>
      <c r="Z123" s="10"/>
      <c r="AA123" s="56"/>
      <c r="AB123" s="56"/>
      <c r="AC123" s="56"/>
      <c r="AD123" s="56"/>
      <c r="AE123" s="56"/>
      <c r="AF123" s="170"/>
      <c r="AG123" s="56"/>
      <c r="AH123" s="56"/>
      <c r="AI123" s="168"/>
      <c r="AJ123" s="56"/>
      <c r="AK123" s="56"/>
      <c r="AL123" s="56"/>
      <c r="AM123" s="56"/>
      <c r="AN123" s="56"/>
      <c r="AO123" s="56"/>
      <c r="AP123" s="56"/>
      <c r="AQ123" s="56"/>
      <c r="AR123" s="168"/>
      <c r="AS123" s="56"/>
      <c r="AT123" s="56"/>
      <c r="AU123" s="56"/>
      <c r="AV123" s="56"/>
      <c r="AW123" s="56"/>
      <c r="AX123" s="56"/>
      <c r="AY123" s="56"/>
      <c r="AZ123" s="56"/>
      <c r="BA123" s="168"/>
      <c r="BB123" s="56"/>
      <c r="BC123" s="56"/>
      <c r="BD123" s="56"/>
      <c r="BE123" s="168"/>
      <c r="BF123" s="56"/>
      <c r="BG123" s="10"/>
      <c r="BH123" s="56"/>
      <c r="BI123" s="56"/>
      <c r="BJ123" s="56"/>
      <c r="BK123" s="56"/>
      <c r="BS123" s="144"/>
      <c r="CM123" s="144"/>
      <c r="DC123" s="144"/>
    </row>
    <row r="124" spans="1:107" s="96" customFormat="1" ht="17.25" thickBot="1" x14ac:dyDescent="0.2">
      <c r="A124" s="11">
        <f t="shared" si="14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1"/>
      <c r="M124" s="10"/>
      <c r="N124" s="56"/>
      <c r="O124" s="56">
        <f t="shared" si="8"/>
        <v>0</v>
      </c>
      <c r="P124" s="10"/>
      <c r="Q124" s="158" t="str">
        <f t="shared" si="9"/>
        <v/>
      </c>
      <c r="R124" s="174" t="str">
        <f t="shared" si="10"/>
        <v/>
      </c>
      <c r="S124" s="164"/>
      <c r="T124" s="56"/>
      <c r="U124" s="56"/>
      <c r="V124" s="56"/>
      <c r="W124" s="158" t="str">
        <f t="shared" si="12"/>
        <v/>
      </c>
      <c r="X124" s="174" t="str">
        <f t="shared" si="13"/>
        <v/>
      </c>
      <c r="Y124" s="168"/>
      <c r="Z124" s="10"/>
      <c r="AA124" s="56"/>
      <c r="AB124" s="56"/>
      <c r="AC124" s="56"/>
      <c r="AD124" s="56"/>
      <c r="AE124" s="56"/>
      <c r="AF124" s="170"/>
      <c r="AG124" s="56"/>
      <c r="AH124" s="56"/>
      <c r="AI124" s="168"/>
      <c r="AJ124" s="56"/>
      <c r="AK124" s="56"/>
      <c r="AL124" s="56"/>
      <c r="AM124" s="56"/>
      <c r="AN124" s="56"/>
      <c r="AO124" s="56"/>
      <c r="AP124" s="56"/>
      <c r="AQ124" s="56"/>
      <c r="AR124" s="168"/>
      <c r="AS124" s="56"/>
      <c r="AT124" s="56"/>
      <c r="AU124" s="56"/>
      <c r="AV124" s="56"/>
      <c r="AW124" s="56"/>
      <c r="AX124" s="56"/>
      <c r="AY124" s="56"/>
      <c r="AZ124" s="56"/>
      <c r="BA124" s="168"/>
      <c r="BB124" s="56"/>
      <c r="BC124" s="56"/>
      <c r="BD124" s="56"/>
      <c r="BE124" s="168"/>
      <c r="BF124" s="56"/>
      <c r="BG124" s="10"/>
      <c r="BH124" s="56"/>
      <c r="BI124" s="56"/>
      <c r="BJ124" s="56"/>
      <c r="BK124" s="56"/>
      <c r="BS124" s="144"/>
      <c r="CM124" s="144"/>
      <c r="DC124" s="144"/>
    </row>
    <row r="125" spans="1:107" s="113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3"/>
      <c r="M125" s="17"/>
      <c r="N125" s="57"/>
      <c r="O125" s="57">
        <f t="shared" si="8"/>
        <v>0</v>
      </c>
      <c r="P125" s="17"/>
      <c r="Q125" s="159" t="str">
        <f t="shared" si="9"/>
        <v/>
      </c>
      <c r="R125" s="175" t="str">
        <f t="shared" si="10"/>
        <v/>
      </c>
      <c r="S125" s="165"/>
      <c r="T125" s="57"/>
      <c r="U125" s="57"/>
      <c r="V125" s="57"/>
      <c r="W125" s="159" t="str">
        <f t="shared" si="12"/>
        <v/>
      </c>
      <c r="X125" s="175" t="str">
        <f t="shared" si="13"/>
        <v/>
      </c>
      <c r="Y125" s="169"/>
      <c r="Z125" s="17"/>
      <c r="AA125" s="57"/>
      <c r="AB125" s="57"/>
      <c r="AC125" s="57"/>
      <c r="AD125" s="57"/>
      <c r="AE125" s="57"/>
      <c r="AF125" s="172"/>
      <c r="AG125" s="57"/>
      <c r="AH125" s="57"/>
      <c r="AI125" s="169"/>
      <c r="AJ125" s="57"/>
      <c r="AK125" s="57"/>
      <c r="AL125" s="57"/>
      <c r="AM125" s="57"/>
      <c r="AN125" s="57"/>
      <c r="AO125" s="57"/>
      <c r="AP125" s="57"/>
      <c r="AQ125" s="57"/>
      <c r="AR125" s="169"/>
      <c r="AS125" s="57"/>
      <c r="AT125" s="57"/>
      <c r="AU125" s="57"/>
      <c r="AV125" s="57"/>
      <c r="AW125" s="57"/>
      <c r="AX125" s="57"/>
      <c r="AY125" s="57"/>
      <c r="AZ125" s="57"/>
      <c r="BA125" s="169"/>
      <c r="BB125" s="57"/>
      <c r="BC125" s="57"/>
      <c r="BD125" s="57"/>
      <c r="BE125" s="169"/>
      <c r="BF125" s="57"/>
      <c r="BG125" s="17"/>
      <c r="BH125" s="57"/>
      <c r="BI125" s="57"/>
      <c r="BJ125" s="57"/>
      <c r="BK125" s="57"/>
      <c r="BS125" s="143"/>
      <c r="CM125" s="143"/>
      <c r="DC125" s="143"/>
    </row>
    <row r="126" spans="1:107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6">
        <f t="shared" si="8"/>
        <v>0</v>
      </c>
      <c r="Q126" s="158" t="str">
        <f t="shared" si="9"/>
        <v/>
      </c>
      <c r="R126" s="174" t="str">
        <f t="shared" si="10"/>
        <v/>
      </c>
      <c r="W126" s="158" t="str">
        <f t="shared" si="12"/>
        <v/>
      </c>
      <c r="X126" s="174" t="str">
        <f t="shared" si="13"/>
        <v/>
      </c>
      <c r="BL126" s="108"/>
    </row>
    <row r="127" spans="1:107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6">
        <f t="shared" si="8"/>
        <v>0</v>
      </c>
      <c r="Q127" s="158" t="str">
        <f t="shared" si="9"/>
        <v/>
      </c>
      <c r="R127" s="174" t="str">
        <f t="shared" si="10"/>
        <v/>
      </c>
      <c r="W127" s="158" t="str">
        <f t="shared" si="12"/>
        <v/>
      </c>
      <c r="X127" s="174" t="str">
        <f t="shared" si="13"/>
        <v/>
      </c>
      <c r="BL127" s="108"/>
    </row>
    <row r="128" spans="1:107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6">
        <f t="shared" si="8"/>
        <v>0</v>
      </c>
      <c r="Q128" s="158" t="str">
        <f t="shared" si="9"/>
        <v/>
      </c>
      <c r="R128" s="174" t="str">
        <f t="shared" si="10"/>
        <v/>
      </c>
      <c r="W128" s="158" t="str">
        <f t="shared" si="12"/>
        <v/>
      </c>
      <c r="X128" s="174" t="str">
        <f t="shared" si="13"/>
        <v/>
      </c>
    </row>
    <row r="129" spans="1:107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6">
        <f t="shared" si="8"/>
        <v>0</v>
      </c>
      <c r="Q129" s="158" t="str">
        <f t="shared" si="9"/>
        <v/>
      </c>
      <c r="R129" s="174" t="str">
        <f t="shared" si="10"/>
        <v/>
      </c>
      <c r="W129" s="158" t="str">
        <f t="shared" si="12"/>
        <v/>
      </c>
      <c r="X129" s="174" t="str">
        <f t="shared" si="13"/>
        <v/>
      </c>
    </row>
    <row r="130" spans="1:107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6">
        <f t="shared" si="8"/>
        <v>0</v>
      </c>
      <c r="Q130" s="158" t="str">
        <f t="shared" si="9"/>
        <v/>
      </c>
      <c r="R130" s="174" t="str">
        <f t="shared" si="10"/>
        <v/>
      </c>
      <c r="W130" s="158" t="str">
        <f t="shared" si="12"/>
        <v/>
      </c>
      <c r="X130" s="174" t="str">
        <f t="shared" si="13"/>
        <v/>
      </c>
    </row>
    <row r="131" spans="1:107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6">
        <f t="shared" si="8"/>
        <v>0</v>
      </c>
      <c r="Q131" s="158" t="str">
        <f t="shared" si="9"/>
        <v/>
      </c>
      <c r="R131" s="174" t="str">
        <f t="shared" si="10"/>
        <v/>
      </c>
      <c r="W131" s="158" t="str">
        <f t="shared" si="12"/>
        <v/>
      </c>
      <c r="X131" s="174" t="str">
        <f t="shared" si="13"/>
        <v/>
      </c>
    </row>
    <row r="132" spans="1:107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6">
        <f t="shared" si="8"/>
        <v>0</v>
      </c>
      <c r="Q132" s="158" t="str">
        <f t="shared" si="9"/>
        <v/>
      </c>
      <c r="R132" s="174" t="str">
        <f t="shared" si="10"/>
        <v/>
      </c>
      <c r="W132" s="158" t="str">
        <f t="shared" si="12"/>
        <v/>
      </c>
      <c r="X132" s="174" t="str">
        <f t="shared" si="13"/>
        <v/>
      </c>
    </row>
    <row r="133" spans="1:107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6">
        <f t="shared" si="8"/>
        <v>0</v>
      </c>
      <c r="Q133" s="158" t="str">
        <f t="shared" si="9"/>
        <v/>
      </c>
      <c r="R133" s="174" t="str">
        <f t="shared" si="10"/>
        <v/>
      </c>
      <c r="W133" s="158" t="str">
        <f t="shared" si="12"/>
        <v/>
      </c>
      <c r="X133" s="174" t="str">
        <f t="shared" si="13"/>
        <v/>
      </c>
    </row>
    <row r="134" spans="1:107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6">
        <f t="shared" ref="O134:O197" si="15">P134*30</f>
        <v>0</v>
      </c>
      <c r="Q134" s="158" t="str">
        <f t="shared" ref="Q134:Q197" si="16">IF((1-(1-O134/100000)^1440)=0,"",1-(1-O134/100000)^1440)</f>
        <v/>
      </c>
      <c r="R134" s="174" t="str">
        <f t="shared" ref="R134:R197" si="17">IF((O134/100000)*1440=0,"",(O134/100000)*1440)</f>
        <v/>
      </c>
      <c r="W134" s="158" t="str">
        <f t="shared" si="12"/>
        <v/>
      </c>
      <c r="X134" s="174" t="str">
        <f t="shared" si="13"/>
        <v/>
      </c>
    </row>
    <row r="135" spans="1:107" s="96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1"/>
      <c r="M135" s="10"/>
      <c r="N135" s="56"/>
      <c r="O135" s="56">
        <f t="shared" si="15"/>
        <v>0</v>
      </c>
      <c r="P135" s="10"/>
      <c r="Q135" s="158" t="str">
        <f t="shared" si="16"/>
        <v/>
      </c>
      <c r="R135" s="174" t="str">
        <f t="shared" si="17"/>
        <v/>
      </c>
      <c r="S135" s="164"/>
      <c r="T135" s="56"/>
      <c r="U135" s="56"/>
      <c r="V135" s="56"/>
      <c r="W135" s="158" t="str">
        <f t="shared" si="12"/>
        <v/>
      </c>
      <c r="X135" s="174" t="str">
        <f t="shared" si="13"/>
        <v/>
      </c>
      <c r="Y135" s="168"/>
      <c r="Z135" s="10"/>
      <c r="AA135" s="56"/>
      <c r="AB135" s="56"/>
      <c r="AC135" s="56"/>
      <c r="AD135" s="56"/>
      <c r="AE135" s="56"/>
      <c r="AF135" s="170"/>
      <c r="AG135" s="56"/>
      <c r="AH135" s="56"/>
      <c r="AI135" s="168"/>
      <c r="AJ135" s="56"/>
      <c r="AK135" s="56"/>
      <c r="AL135" s="56"/>
      <c r="AM135" s="56"/>
      <c r="AN135" s="56"/>
      <c r="AO135" s="56"/>
      <c r="AP135" s="56"/>
      <c r="AQ135" s="56"/>
      <c r="AR135" s="168"/>
      <c r="AS135" s="56"/>
      <c r="AT135" s="56"/>
      <c r="AU135" s="56"/>
      <c r="AV135" s="56"/>
      <c r="AW135" s="56"/>
      <c r="AX135" s="56"/>
      <c r="AY135" s="56"/>
      <c r="AZ135" s="56"/>
      <c r="BA135" s="168"/>
      <c r="BB135" s="56"/>
      <c r="BC135" s="56"/>
      <c r="BD135" s="56"/>
      <c r="BE135" s="168"/>
      <c r="BF135" s="56"/>
      <c r="BG135" s="10"/>
      <c r="BH135" s="56"/>
      <c r="BI135" s="56"/>
      <c r="BJ135" s="56"/>
      <c r="BK135" s="56"/>
      <c r="BS135" s="144"/>
      <c r="CM135" s="144"/>
      <c r="DC135" s="144"/>
    </row>
    <row r="136" spans="1:107" s="96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1"/>
      <c r="M136" s="10"/>
      <c r="N136" s="56"/>
      <c r="O136" s="56">
        <f t="shared" si="15"/>
        <v>0</v>
      </c>
      <c r="P136" s="10"/>
      <c r="Q136" s="158" t="str">
        <f t="shared" si="16"/>
        <v/>
      </c>
      <c r="R136" s="174" t="str">
        <f t="shared" si="17"/>
        <v/>
      </c>
      <c r="S136" s="164"/>
      <c r="T136" s="56"/>
      <c r="U136" s="56"/>
      <c r="V136" s="56"/>
      <c r="W136" s="158" t="str">
        <f t="shared" si="12"/>
        <v/>
      </c>
      <c r="X136" s="174" t="str">
        <f t="shared" si="13"/>
        <v/>
      </c>
      <c r="Y136" s="168"/>
      <c r="Z136" s="10"/>
      <c r="AA136" s="56"/>
      <c r="AB136" s="56"/>
      <c r="AC136" s="56"/>
      <c r="AD136" s="56"/>
      <c r="AE136" s="56"/>
      <c r="AF136" s="170"/>
      <c r="AG136" s="56"/>
      <c r="AH136" s="56"/>
      <c r="AI136" s="168"/>
      <c r="AJ136" s="56"/>
      <c r="AK136" s="56"/>
      <c r="AL136" s="56"/>
      <c r="AM136" s="56"/>
      <c r="AN136" s="56"/>
      <c r="AO136" s="56"/>
      <c r="AP136" s="56"/>
      <c r="AQ136" s="56"/>
      <c r="AR136" s="168"/>
      <c r="AS136" s="56"/>
      <c r="AT136" s="56"/>
      <c r="AU136" s="56"/>
      <c r="AV136" s="56"/>
      <c r="AW136" s="56"/>
      <c r="AX136" s="56"/>
      <c r="AY136" s="56"/>
      <c r="AZ136" s="56"/>
      <c r="BA136" s="168"/>
      <c r="BB136" s="56"/>
      <c r="BC136" s="56"/>
      <c r="BD136" s="56"/>
      <c r="BE136" s="168"/>
      <c r="BF136" s="56"/>
      <c r="BG136" s="10"/>
      <c r="BH136" s="56"/>
      <c r="BI136" s="56"/>
      <c r="BJ136" s="56"/>
      <c r="BK136" s="56"/>
      <c r="BS136" s="144"/>
      <c r="CM136" s="144"/>
      <c r="DC136" s="144"/>
    </row>
    <row r="137" spans="1:107" s="96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1"/>
      <c r="M137" s="10"/>
      <c r="N137" s="56"/>
      <c r="O137" s="56">
        <f t="shared" si="15"/>
        <v>0</v>
      </c>
      <c r="P137" s="10"/>
      <c r="Q137" s="158" t="str">
        <f t="shared" si="16"/>
        <v/>
      </c>
      <c r="R137" s="174" t="str">
        <f t="shared" si="17"/>
        <v/>
      </c>
      <c r="S137" s="164"/>
      <c r="T137" s="56"/>
      <c r="U137" s="56"/>
      <c r="V137" s="56"/>
      <c r="W137" s="158" t="str">
        <f t="shared" si="12"/>
        <v/>
      </c>
      <c r="X137" s="174" t="str">
        <f t="shared" si="13"/>
        <v/>
      </c>
      <c r="Y137" s="168"/>
      <c r="Z137" s="10"/>
      <c r="AA137" s="56"/>
      <c r="AB137" s="56"/>
      <c r="AC137" s="56"/>
      <c r="AD137" s="56"/>
      <c r="AE137" s="56"/>
      <c r="AF137" s="170"/>
      <c r="AG137" s="56"/>
      <c r="AH137" s="56"/>
      <c r="AI137" s="168"/>
      <c r="AJ137" s="56"/>
      <c r="AK137" s="56"/>
      <c r="AL137" s="56"/>
      <c r="AM137" s="56"/>
      <c r="AN137" s="56"/>
      <c r="AO137" s="56"/>
      <c r="AP137" s="56"/>
      <c r="AQ137" s="56"/>
      <c r="AR137" s="168"/>
      <c r="AS137" s="56"/>
      <c r="AT137" s="56"/>
      <c r="AU137" s="56"/>
      <c r="AV137" s="56"/>
      <c r="AW137" s="56"/>
      <c r="AX137" s="56"/>
      <c r="AY137" s="56"/>
      <c r="AZ137" s="56"/>
      <c r="BA137" s="168"/>
      <c r="BB137" s="56"/>
      <c r="BC137" s="56"/>
      <c r="BD137" s="56"/>
      <c r="BE137" s="168"/>
      <c r="BF137" s="56"/>
      <c r="BG137" s="10"/>
      <c r="BH137" s="56"/>
      <c r="BI137" s="56"/>
      <c r="BJ137" s="56"/>
      <c r="BK137" s="56"/>
      <c r="BS137" s="144"/>
      <c r="CM137" s="144"/>
      <c r="DC137" s="144"/>
    </row>
    <row r="138" spans="1:107" s="96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1"/>
      <c r="M138" s="10"/>
      <c r="N138" s="56"/>
      <c r="O138" s="56">
        <f t="shared" si="15"/>
        <v>0</v>
      </c>
      <c r="P138" s="10"/>
      <c r="Q138" s="158" t="str">
        <f t="shared" si="16"/>
        <v/>
      </c>
      <c r="R138" s="174" t="str">
        <f t="shared" si="17"/>
        <v/>
      </c>
      <c r="S138" s="164"/>
      <c r="T138" s="56"/>
      <c r="U138" s="56"/>
      <c r="V138" s="56"/>
      <c r="W138" s="158" t="str">
        <f t="shared" si="12"/>
        <v/>
      </c>
      <c r="X138" s="174" t="str">
        <f t="shared" si="13"/>
        <v/>
      </c>
      <c r="Y138" s="168"/>
      <c r="Z138" s="10"/>
      <c r="AA138" s="56"/>
      <c r="AB138" s="56"/>
      <c r="AC138" s="56"/>
      <c r="AD138" s="56"/>
      <c r="AE138" s="56"/>
      <c r="AF138" s="170"/>
      <c r="AG138" s="56"/>
      <c r="AH138" s="56"/>
      <c r="AI138" s="168"/>
      <c r="AJ138" s="56"/>
      <c r="AK138" s="56"/>
      <c r="AL138" s="56"/>
      <c r="AM138" s="56"/>
      <c r="AN138" s="56"/>
      <c r="AO138" s="56"/>
      <c r="AP138" s="56"/>
      <c r="AQ138" s="56"/>
      <c r="AR138" s="168"/>
      <c r="AS138" s="56"/>
      <c r="AT138" s="56"/>
      <c r="AU138" s="56"/>
      <c r="AV138" s="56"/>
      <c r="AW138" s="56"/>
      <c r="AX138" s="56"/>
      <c r="AY138" s="56"/>
      <c r="AZ138" s="56"/>
      <c r="BA138" s="168"/>
      <c r="BB138" s="56"/>
      <c r="BC138" s="56"/>
      <c r="BD138" s="56"/>
      <c r="BE138" s="168"/>
      <c r="BF138" s="56"/>
      <c r="BG138" s="10"/>
      <c r="BH138" s="56"/>
      <c r="BI138" s="56"/>
      <c r="BJ138" s="56"/>
      <c r="BK138" s="56"/>
      <c r="BS138" s="144"/>
      <c r="CM138" s="144"/>
      <c r="DC138" s="144"/>
    </row>
    <row r="139" spans="1:107" s="96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1"/>
      <c r="M139" s="10"/>
      <c r="N139" s="56"/>
      <c r="O139" s="56">
        <f t="shared" si="15"/>
        <v>0</v>
      </c>
      <c r="P139" s="10"/>
      <c r="Q139" s="158" t="str">
        <f t="shared" si="16"/>
        <v/>
      </c>
      <c r="R139" s="174" t="str">
        <f t="shared" si="17"/>
        <v/>
      </c>
      <c r="S139" s="164"/>
      <c r="T139" s="56"/>
      <c r="U139" s="56"/>
      <c r="V139" s="56"/>
      <c r="W139" s="158" t="str">
        <f t="shared" si="12"/>
        <v/>
      </c>
      <c r="X139" s="174" t="str">
        <f t="shared" si="13"/>
        <v/>
      </c>
      <c r="Y139" s="168"/>
      <c r="Z139" s="10"/>
      <c r="AA139" s="56"/>
      <c r="AB139" s="56"/>
      <c r="AC139" s="56"/>
      <c r="AD139" s="56"/>
      <c r="AE139" s="56"/>
      <c r="AF139" s="170"/>
      <c r="AG139" s="56"/>
      <c r="AH139" s="56"/>
      <c r="AI139" s="168"/>
      <c r="AJ139" s="56"/>
      <c r="AK139" s="56"/>
      <c r="AL139" s="56"/>
      <c r="AM139" s="56"/>
      <c r="AN139" s="56"/>
      <c r="AO139" s="56"/>
      <c r="AP139" s="56"/>
      <c r="AQ139" s="56"/>
      <c r="AR139" s="168"/>
      <c r="AS139" s="56"/>
      <c r="AT139" s="56"/>
      <c r="AU139" s="56"/>
      <c r="AV139" s="56"/>
      <c r="AW139" s="56"/>
      <c r="AX139" s="56"/>
      <c r="AY139" s="56"/>
      <c r="AZ139" s="56"/>
      <c r="BA139" s="168"/>
      <c r="BB139" s="56"/>
      <c r="BC139" s="56"/>
      <c r="BD139" s="56"/>
      <c r="BE139" s="168"/>
      <c r="BF139" s="56"/>
      <c r="BG139" s="10"/>
      <c r="BH139" s="56"/>
      <c r="BI139" s="56"/>
      <c r="BJ139" s="56"/>
      <c r="BK139" s="56"/>
      <c r="BS139" s="144"/>
      <c r="CM139" s="144"/>
      <c r="DC139" s="144"/>
    </row>
    <row r="140" spans="1:107" s="96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1"/>
      <c r="M140" s="10"/>
      <c r="N140" s="56"/>
      <c r="O140" s="56">
        <f t="shared" si="15"/>
        <v>0</v>
      </c>
      <c r="P140" s="10"/>
      <c r="Q140" s="158" t="str">
        <f t="shared" si="16"/>
        <v/>
      </c>
      <c r="R140" s="174" t="str">
        <f t="shared" si="17"/>
        <v/>
      </c>
      <c r="S140" s="164"/>
      <c r="T140" s="56"/>
      <c r="U140" s="56"/>
      <c r="V140" s="56"/>
      <c r="W140" s="158" t="str">
        <f t="shared" si="12"/>
        <v/>
      </c>
      <c r="X140" s="174" t="str">
        <f t="shared" si="13"/>
        <v/>
      </c>
      <c r="Y140" s="168"/>
      <c r="Z140" s="10"/>
      <c r="AA140" s="56"/>
      <c r="AB140" s="56"/>
      <c r="AC140" s="56"/>
      <c r="AD140" s="56"/>
      <c r="AE140" s="56"/>
      <c r="AF140" s="170"/>
      <c r="AG140" s="56"/>
      <c r="AH140" s="56"/>
      <c r="AI140" s="168"/>
      <c r="AJ140" s="56"/>
      <c r="AK140" s="56"/>
      <c r="AL140" s="56"/>
      <c r="AM140" s="56"/>
      <c r="AN140" s="56"/>
      <c r="AO140" s="56"/>
      <c r="AP140" s="56"/>
      <c r="AQ140" s="56"/>
      <c r="AR140" s="168"/>
      <c r="AS140" s="56"/>
      <c r="AT140" s="56"/>
      <c r="AU140" s="56"/>
      <c r="AV140" s="56"/>
      <c r="AW140" s="56"/>
      <c r="AX140" s="56"/>
      <c r="AY140" s="56"/>
      <c r="AZ140" s="56"/>
      <c r="BA140" s="168"/>
      <c r="BB140" s="56"/>
      <c r="BC140" s="56"/>
      <c r="BD140" s="56"/>
      <c r="BE140" s="168"/>
      <c r="BF140" s="56"/>
      <c r="BG140" s="10"/>
      <c r="BH140" s="56"/>
      <c r="BI140" s="56"/>
      <c r="BJ140" s="56"/>
      <c r="BK140" s="56"/>
      <c r="BS140" s="144"/>
      <c r="CM140" s="144"/>
      <c r="DC140" s="144"/>
    </row>
    <row r="141" spans="1:107" s="96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1"/>
      <c r="M141" s="10"/>
      <c r="N141" s="56"/>
      <c r="O141" s="56">
        <f t="shared" si="15"/>
        <v>0</v>
      </c>
      <c r="P141" s="10"/>
      <c r="Q141" s="158" t="str">
        <f t="shared" si="16"/>
        <v/>
      </c>
      <c r="R141" s="174" t="str">
        <f t="shared" si="17"/>
        <v/>
      </c>
      <c r="S141" s="164"/>
      <c r="T141" s="56"/>
      <c r="U141" s="56"/>
      <c r="V141" s="56"/>
      <c r="W141" s="158" t="str">
        <f t="shared" si="12"/>
        <v/>
      </c>
      <c r="X141" s="174" t="str">
        <f t="shared" si="13"/>
        <v/>
      </c>
      <c r="Y141" s="168"/>
      <c r="Z141" s="10"/>
      <c r="AA141" s="56"/>
      <c r="AB141" s="56"/>
      <c r="AC141" s="56"/>
      <c r="AD141" s="56"/>
      <c r="AE141" s="56"/>
      <c r="AF141" s="170"/>
      <c r="AG141" s="56"/>
      <c r="AH141" s="56"/>
      <c r="AI141" s="168"/>
      <c r="AJ141" s="56"/>
      <c r="AK141" s="56"/>
      <c r="AL141" s="56"/>
      <c r="AM141" s="56"/>
      <c r="AN141" s="56"/>
      <c r="AO141" s="56"/>
      <c r="AP141" s="56"/>
      <c r="AQ141" s="56"/>
      <c r="AR141" s="168"/>
      <c r="AS141" s="56"/>
      <c r="AT141" s="56"/>
      <c r="AU141" s="56"/>
      <c r="AV141" s="56"/>
      <c r="AW141" s="56"/>
      <c r="AX141" s="56"/>
      <c r="AY141" s="56"/>
      <c r="AZ141" s="56"/>
      <c r="BA141" s="168"/>
      <c r="BB141" s="56"/>
      <c r="BC141" s="56"/>
      <c r="BD141" s="56"/>
      <c r="BE141" s="168"/>
      <c r="BF141" s="56"/>
      <c r="BG141" s="10"/>
      <c r="BH141" s="56"/>
      <c r="BI141" s="56"/>
      <c r="BJ141" s="56"/>
      <c r="BK141" s="56"/>
      <c r="BS141" s="144"/>
      <c r="CM141" s="144"/>
      <c r="DC141" s="144"/>
    </row>
    <row r="142" spans="1:107" s="96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1"/>
      <c r="M142" s="10"/>
      <c r="N142" s="56"/>
      <c r="O142" s="56">
        <f t="shared" si="15"/>
        <v>0</v>
      </c>
      <c r="P142" s="10"/>
      <c r="Q142" s="158" t="str">
        <f t="shared" si="16"/>
        <v/>
      </c>
      <c r="R142" s="174" t="str">
        <f t="shared" si="17"/>
        <v/>
      </c>
      <c r="S142" s="164"/>
      <c r="T142" s="56"/>
      <c r="U142" s="56"/>
      <c r="V142" s="56"/>
      <c r="W142" s="158" t="str">
        <f t="shared" si="12"/>
        <v/>
      </c>
      <c r="X142" s="174" t="str">
        <f t="shared" si="13"/>
        <v/>
      </c>
      <c r="Y142" s="168"/>
      <c r="Z142" s="10"/>
      <c r="AA142" s="56"/>
      <c r="AB142" s="56"/>
      <c r="AC142" s="56"/>
      <c r="AD142" s="56"/>
      <c r="AE142" s="56"/>
      <c r="AF142" s="170"/>
      <c r="AG142" s="56"/>
      <c r="AH142" s="56"/>
      <c r="AI142" s="168"/>
      <c r="AJ142" s="56"/>
      <c r="AK142" s="56"/>
      <c r="AL142" s="56"/>
      <c r="AM142" s="56"/>
      <c r="AN142" s="56"/>
      <c r="AO142" s="56"/>
      <c r="AP142" s="56"/>
      <c r="AQ142" s="56"/>
      <c r="AR142" s="168"/>
      <c r="AS142" s="56"/>
      <c r="AT142" s="56"/>
      <c r="AU142" s="56"/>
      <c r="AV142" s="56"/>
      <c r="AW142" s="56"/>
      <c r="AX142" s="56"/>
      <c r="AY142" s="56"/>
      <c r="AZ142" s="56"/>
      <c r="BA142" s="168"/>
      <c r="BB142" s="56"/>
      <c r="BC142" s="56"/>
      <c r="BD142" s="56"/>
      <c r="BE142" s="168"/>
      <c r="BF142" s="56"/>
      <c r="BG142" s="10"/>
      <c r="BH142" s="56"/>
      <c r="BI142" s="56"/>
      <c r="BJ142" s="56"/>
      <c r="BK142" s="56"/>
      <c r="BS142" s="144"/>
      <c r="CM142" s="144"/>
      <c r="DC142" s="144"/>
    </row>
    <row r="143" spans="1:107" s="96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1"/>
      <c r="M143" s="10"/>
      <c r="N143" s="56"/>
      <c r="O143" s="56">
        <f t="shared" si="15"/>
        <v>0</v>
      </c>
      <c r="P143" s="10"/>
      <c r="Q143" s="158" t="str">
        <f t="shared" si="16"/>
        <v/>
      </c>
      <c r="R143" s="174" t="str">
        <f t="shared" si="17"/>
        <v/>
      </c>
      <c r="S143" s="164"/>
      <c r="T143" s="56"/>
      <c r="U143" s="56"/>
      <c r="V143" s="56"/>
      <c r="W143" s="158" t="str">
        <f t="shared" si="12"/>
        <v/>
      </c>
      <c r="X143" s="174" t="str">
        <f t="shared" si="13"/>
        <v/>
      </c>
      <c r="Y143" s="168"/>
      <c r="Z143" s="10"/>
      <c r="AA143" s="56"/>
      <c r="AB143" s="56"/>
      <c r="AC143" s="56"/>
      <c r="AD143" s="56"/>
      <c r="AE143" s="56"/>
      <c r="AF143" s="170"/>
      <c r="AG143" s="56"/>
      <c r="AH143" s="56"/>
      <c r="AI143" s="168"/>
      <c r="AJ143" s="56"/>
      <c r="AK143" s="56"/>
      <c r="AL143" s="56"/>
      <c r="AM143" s="56"/>
      <c r="AN143" s="56"/>
      <c r="AO143" s="56"/>
      <c r="AP143" s="56"/>
      <c r="AQ143" s="56"/>
      <c r="AR143" s="168"/>
      <c r="AS143" s="56"/>
      <c r="AT143" s="56"/>
      <c r="AU143" s="56"/>
      <c r="AV143" s="56"/>
      <c r="AW143" s="56"/>
      <c r="AX143" s="56"/>
      <c r="AY143" s="56"/>
      <c r="AZ143" s="56"/>
      <c r="BA143" s="168"/>
      <c r="BB143" s="56"/>
      <c r="BC143" s="56"/>
      <c r="BD143" s="56"/>
      <c r="BE143" s="168"/>
      <c r="BF143" s="56"/>
      <c r="BG143" s="10"/>
      <c r="BH143" s="56"/>
      <c r="BI143" s="56"/>
      <c r="BJ143" s="56"/>
      <c r="BK143" s="56"/>
      <c r="BS143" s="144"/>
      <c r="CM143" s="144"/>
      <c r="DC143" s="144"/>
    </row>
    <row r="144" spans="1:107" s="96" customFormat="1" ht="17.25" thickBot="1" x14ac:dyDescent="0.2">
      <c r="A144" s="11">
        <f t="shared" si="14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1"/>
      <c r="M144" s="10"/>
      <c r="N144" s="56"/>
      <c r="O144" s="56">
        <f t="shared" si="15"/>
        <v>0</v>
      </c>
      <c r="P144" s="10"/>
      <c r="Q144" s="158" t="str">
        <f t="shared" si="16"/>
        <v/>
      </c>
      <c r="R144" s="174" t="str">
        <f t="shared" si="17"/>
        <v/>
      </c>
      <c r="S144" s="164"/>
      <c r="T144" s="56"/>
      <c r="U144" s="56"/>
      <c r="V144" s="56"/>
      <c r="W144" s="158" t="str">
        <f t="shared" si="12"/>
        <v/>
      </c>
      <c r="X144" s="174" t="str">
        <f t="shared" si="13"/>
        <v/>
      </c>
      <c r="Y144" s="168"/>
      <c r="Z144" s="10"/>
      <c r="AA144" s="56"/>
      <c r="AB144" s="56"/>
      <c r="AC144" s="56"/>
      <c r="AD144" s="56"/>
      <c r="AE144" s="56"/>
      <c r="AF144" s="170"/>
      <c r="AG144" s="56"/>
      <c r="AH144" s="56"/>
      <c r="AI144" s="168"/>
      <c r="AJ144" s="56"/>
      <c r="AK144" s="56"/>
      <c r="AL144" s="56"/>
      <c r="AM144" s="56"/>
      <c r="AN144" s="56"/>
      <c r="AO144" s="56"/>
      <c r="AP144" s="56"/>
      <c r="AQ144" s="56"/>
      <c r="AR144" s="168"/>
      <c r="AS144" s="56"/>
      <c r="AT144" s="56"/>
      <c r="AU144" s="56"/>
      <c r="AV144" s="56"/>
      <c r="AW144" s="56"/>
      <c r="AX144" s="56"/>
      <c r="AY144" s="56"/>
      <c r="AZ144" s="56"/>
      <c r="BA144" s="168"/>
      <c r="BB144" s="56"/>
      <c r="BC144" s="56"/>
      <c r="BD144" s="56"/>
      <c r="BE144" s="168"/>
      <c r="BF144" s="56"/>
      <c r="BG144" s="10"/>
      <c r="BH144" s="56"/>
      <c r="BI144" s="56"/>
      <c r="BJ144" s="56"/>
      <c r="BK144" s="56"/>
      <c r="BS144" s="144"/>
      <c r="CM144" s="144"/>
      <c r="DC144" s="144"/>
    </row>
    <row r="145" spans="1:107" s="113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3"/>
      <c r="M145" s="17"/>
      <c r="N145" s="57"/>
      <c r="O145" s="57">
        <f t="shared" si="15"/>
        <v>0</v>
      </c>
      <c r="P145" s="17"/>
      <c r="Q145" s="159" t="str">
        <f t="shared" si="16"/>
        <v/>
      </c>
      <c r="R145" s="175" t="str">
        <f t="shared" si="17"/>
        <v/>
      </c>
      <c r="S145" s="165"/>
      <c r="T145" s="57"/>
      <c r="U145" s="57"/>
      <c r="V145" s="57"/>
      <c r="W145" s="159" t="str">
        <f t="shared" si="12"/>
        <v/>
      </c>
      <c r="X145" s="175" t="str">
        <f t="shared" si="13"/>
        <v/>
      </c>
      <c r="Y145" s="169"/>
      <c r="Z145" s="17"/>
      <c r="AA145" s="57"/>
      <c r="AB145" s="57"/>
      <c r="AC145" s="57"/>
      <c r="AD145" s="57"/>
      <c r="AE145" s="57"/>
      <c r="AF145" s="172"/>
      <c r="AG145" s="57"/>
      <c r="AH145" s="57"/>
      <c r="AI145" s="169"/>
      <c r="AJ145" s="57"/>
      <c r="AK145" s="57"/>
      <c r="AL145" s="57"/>
      <c r="AM145" s="57"/>
      <c r="AN145" s="57"/>
      <c r="AO145" s="57"/>
      <c r="AP145" s="57"/>
      <c r="AQ145" s="57"/>
      <c r="AR145" s="169"/>
      <c r="AS145" s="57"/>
      <c r="AT145" s="57"/>
      <c r="AU145" s="57"/>
      <c r="AV145" s="57"/>
      <c r="AW145" s="57"/>
      <c r="AX145" s="57"/>
      <c r="AY145" s="57"/>
      <c r="AZ145" s="57"/>
      <c r="BA145" s="169"/>
      <c r="BB145" s="57"/>
      <c r="BC145" s="57"/>
      <c r="BD145" s="57"/>
      <c r="BE145" s="169"/>
      <c r="BF145" s="57"/>
      <c r="BG145" s="17"/>
      <c r="BH145" s="57"/>
      <c r="BI145" s="57"/>
      <c r="BJ145" s="57"/>
      <c r="BK145" s="57"/>
      <c r="BS145" s="143"/>
      <c r="CM145" s="143"/>
      <c r="DC145" s="143"/>
    </row>
    <row r="146" spans="1:107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6">
        <f t="shared" si="15"/>
        <v>0</v>
      </c>
      <c r="Q146" s="158" t="str">
        <f t="shared" si="16"/>
        <v/>
      </c>
      <c r="R146" s="174" t="str">
        <f t="shared" si="17"/>
        <v/>
      </c>
      <c r="W146" s="158" t="str">
        <f t="shared" si="12"/>
        <v/>
      </c>
      <c r="X146" s="174" t="str">
        <f t="shared" si="13"/>
        <v/>
      </c>
      <c r="BL146" s="108"/>
    </row>
    <row r="147" spans="1:107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6">
        <f t="shared" si="15"/>
        <v>0</v>
      </c>
      <c r="Q147" s="158" t="str">
        <f t="shared" si="16"/>
        <v/>
      </c>
      <c r="R147" s="174" t="str">
        <f t="shared" si="17"/>
        <v/>
      </c>
      <c r="W147" s="158" t="str">
        <f t="shared" si="12"/>
        <v/>
      </c>
      <c r="X147" s="174" t="str">
        <f t="shared" si="13"/>
        <v/>
      </c>
      <c r="BL147" s="108"/>
    </row>
    <row r="148" spans="1:107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6">
        <f t="shared" si="15"/>
        <v>0</v>
      </c>
      <c r="Q148" s="158" t="str">
        <f t="shared" si="16"/>
        <v/>
      </c>
      <c r="R148" s="174" t="str">
        <f t="shared" si="17"/>
        <v/>
      </c>
      <c r="W148" s="158" t="str">
        <f t="shared" si="12"/>
        <v/>
      </c>
      <c r="X148" s="174" t="str">
        <f t="shared" si="13"/>
        <v/>
      </c>
    </row>
    <row r="149" spans="1:107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6">
        <f t="shared" si="15"/>
        <v>0</v>
      </c>
      <c r="Q149" s="158" t="str">
        <f t="shared" si="16"/>
        <v/>
      </c>
      <c r="R149" s="174" t="str">
        <f t="shared" si="17"/>
        <v/>
      </c>
      <c r="W149" s="158" t="str">
        <f t="shared" si="12"/>
        <v/>
      </c>
      <c r="X149" s="174" t="str">
        <f t="shared" si="13"/>
        <v/>
      </c>
    </row>
    <row r="150" spans="1:107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6">
        <f t="shared" si="15"/>
        <v>0</v>
      </c>
      <c r="Q150" s="158" t="str">
        <f t="shared" si="16"/>
        <v/>
      </c>
      <c r="R150" s="174" t="str">
        <f t="shared" si="17"/>
        <v/>
      </c>
      <c r="W150" s="158" t="str">
        <f t="shared" ref="W150:W213" si="18">IF((1-(1-T150/100000)^L150)=0,"",1-(1-T150/100000)^L150)</f>
        <v/>
      </c>
      <c r="X150" s="174" t="str">
        <f t="shared" ref="X150:X213" si="19">IF((T150/100000)*L150=0,"",(T150/100000)*L150)</f>
        <v/>
      </c>
    </row>
    <row r="151" spans="1:107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6">
        <f t="shared" si="15"/>
        <v>0</v>
      </c>
      <c r="Q151" s="158" t="str">
        <f t="shared" si="16"/>
        <v/>
      </c>
      <c r="R151" s="174" t="str">
        <f t="shared" si="17"/>
        <v/>
      </c>
      <c r="W151" s="158" t="str">
        <f t="shared" si="18"/>
        <v/>
      </c>
      <c r="X151" s="174" t="str">
        <f t="shared" si="19"/>
        <v/>
      </c>
    </row>
    <row r="152" spans="1:107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6">
        <f t="shared" si="15"/>
        <v>0</v>
      </c>
      <c r="Q152" s="158" t="str">
        <f t="shared" si="16"/>
        <v/>
      </c>
      <c r="R152" s="174" t="str">
        <f t="shared" si="17"/>
        <v/>
      </c>
      <c r="W152" s="158" t="str">
        <f t="shared" si="18"/>
        <v/>
      </c>
      <c r="X152" s="174" t="str">
        <f t="shared" si="19"/>
        <v/>
      </c>
    </row>
    <row r="153" spans="1:107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6">
        <f t="shared" si="15"/>
        <v>0</v>
      </c>
      <c r="Q153" s="158" t="str">
        <f t="shared" si="16"/>
        <v/>
      </c>
      <c r="R153" s="174" t="str">
        <f t="shared" si="17"/>
        <v/>
      </c>
      <c r="W153" s="158" t="str">
        <f t="shared" si="18"/>
        <v/>
      </c>
      <c r="X153" s="174" t="str">
        <f t="shared" si="19"/>
        <v/>
      </c>
    </row>
    <row r="154" spans="1:107" x14ac:dyDescent="0.15">
      <c r="A154" s="11">
        <f t="shared" ref="A154:A217" si="20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6">
        <f t="shared" si="15"/>
        <v>0</v>
      </c>
      <c r="Q154" s="158" t="str">
        <f t="shared" si="16"/>
        <v/>
      </c>
      <c r="R154" s="174" t="str">
        <f t="shared" si="17"/>
        <v/>
      </c>
      <c r="W154" s="158" t="str">
        <f t="shared" si="18"/>
        <v/>
      </c>
      <c r="X154" s="174" t="str">
        <f t="shared" si="19"/>
        <v/>
      </c>
    </row>
    <row r="155" spans="1:107" s="96" customFormat="1" x14ac:dyDescent="0.15">
      <c r="A155" s="11">
        <f t="shared" si="20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1"/>
      <c r="M155" s="10"/>
      <c r="N155" s="56"/>
      <c r="O155" s="56">
        <f t="shared" si="15"/>
        <v>0</v>
      </c>
      <c r="P155" s="10"/>
      <c r="Q155" s="158" t="str">
        <f t="shared" si="16"/>
        <v/>
      </c>
      <c r="R155" s="174" t="str">
        <f t="shared" si="17"/>
        <v/>
      </c>
      <c r="S155" s="164"/>
      <c r="T155" s="56"/>
      <c r="U155" s="56"/>
      <c r="V155" s="56"/>
      <c r="W155" s="158" t="str">
        <f t="shared" si="18"/>
        <v/>
      </c>
      <c r="X155" s="174" t="str">
        <f t="shared" si="19"/>
        <v/>
      </c>
      <c r="Y155" s="168"/>
      <c r="Z155" s="10"/>
      <c r="AA155" s="56"/>
      <c r="AB155" s="56"/>
      <c r="AC155" s="56"/>
      <c r="AD155" s="56"/>
      <c r="AE155" s="56"/>
      <c r="AF155" s="170"/>
      <c r="AG155" s="56"/>
      <c r="AH155" s="56"/>
      <c r="AI155" s="168"/>
      <c r="AJ155" s="56"/>
      <c r="AK155" s="56"/>
      <c r="AL155" s="56"/>
      <c r="AM155" s="56"/>
      <c r="AN155" s="56"/>
      <c r="AO155" s="56"/>
      <c r="AP155" s="56"/>
      <c r="AQ155" s="56"/>
      <c r="AR155" s="168"/>
      <c r="AS155" s="56"/>
      <c r="AT155" s="56"/>
      <c r="AU155" s="56"/>
      <c r="AV155" s="56"/>
      <c r="AW155" s="56"/>
      <c r="AX155" s="56"/>
      <c r="AY155" s="56"/>
      <c r="AZ155" s="56"/>
      <c r="BA155" s="168"/>
      <c r="BB155" s="56"/>
      <c r="BC155" s="56"/>
      <c r="BD155" s="56"/>
      <c r="BE155" s="168"/>
      <c r="BF155" s="56"/>
      <c r="BG155" s="10"/>
      <c r="BH155" s="56"/>
      <c r="BI155" s="56"/>
      <c r="BJ155" s="56"/>
      <c r="BK155" s="56"/>
      <c r="BS155" s="144"/>
      <c r="CM155" s="144"/>
      <c r="DC155" s="144"/>
    </row>
    <row r="156" spans="1:107" s="96" customFormat="1" x14ac:dyDescent="0.15">
      <c r="A156" s="11">
        <f t="shared" si="20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1"/>
      <c r="M156" s="10"/>
      <c r="N156" s="56"/>
      <c r="O156" s="56">
        <f t="shared" si="15"/>
        <v>0</v>
      </c>
      <c r="P156" s="10"/>
      <c r="Q156" s="158" t="str">
        <f t="shared" si="16"/>
        <v/>
      </c>
      <c r="R156" s="174" t="str">
        <f t="shared" si="17"/>
        <v/>
      </c>
      <c r="S156" s="164"/>
      <c r="T156" s="56"/>
      <c r="U156" s="56"/>
      <c r="V156" s="56"/>
      <c r="W156" s="158" t="str">
        <f t="shared" si="18"/>
        <v/>
      </c>
      <c r="X156" s="174" t="str">
        <f t="shared" si="19"/>
        <v/>
      </c>
      <c r="Y156" s="168"/>
      <c r="Z156" s="10"/>
      <c r="AA156" s="56"/>
      <c r="AB156" s="56"/>
      <c r="AC156" s="56"/>
      <c r="AD156" s="56"/>
      <c r="AE156" s="56"/>
      <c r="AF156" s="170"/>
      <c r="AG156" s="56"/>
      <c r="AH156" s="56"/>
      <c r="AI156" s="168"/>
      <c r="AJ156" s="56"/>
      <c r="AK156" s="56"/>
      <c r="AL156" s="56"/>
      <c r="AM156" s="56"/>
      <c r="AN156" s="56"/>
      <c r="AO156" s="56"/>
      <c r="AP156" s="56"/>
      <c r="AQ156" s="56"/>
      <c r="AR156" s="168"/>
      <c r="AS156" s="56"/>
      <c r="AT156" s="56"/>
      <c r="AU156" s="56"/>
      <c r="AV156" s="56"/>
      <c r="AW156" s="56"/>
      <c r="AX156" s="56"/>
      <c r="AY156" s="56"/>
      <c r="AZ156" s="56"/>
      <c r="BA156" s="168"/>
      <c r="BB156" s="56"/>
      <c r="BC156" s="56"/>
      <c r="BD156" s="56"/>
      <c r="BE156" s="168"/>
      <c r="BF156" s="56"/>
      <c r="BG156" s="10"/>
      <c r="BH156" s="56"/>
      <c r="BI156" s="56"/>
      <c r="BJ156" s="56"/>
      <c r="BK156" s="56"/>
      <c r="BS156" s="144"/>
      <c r="CM156" s="144"/>
      <c r="DC156" s="144"/>
    </row>
    <row r="157" spans="1:107" s="96" customFormat="1" x14ac:dyDescent="0.15">
      <c r="A157" s="11">
        <f t="shared" si="20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1"/>
      <c r="M157" s="10"/>
      <c r="N157" s="56"/>
      <c r="O157" s="56">
        <f t="shared" si="15"/>
        <v>0</v>
      </c>
      <c r="P157" s="10"/>
      <c r="Q157" s="158" t="str">
        <f t="shared" si="16"/>
        <v/>
      </c>
      <c r="R157" s="174" t="str">
        <f t="shared" si="17"/>
        <v/>
      </c>
      <c r="S157" s="164"/>
      <c r="T157" s="56"/>
      <c r="U157" s="56"/>
      <c r="V157" s="56"/>
      <c r="W157" s="158" t="str">
        <f t="shared" si="18"/>
        <v/>
      </c>
      <c r="X157" s="174" t="str">
        <f t="shared" si="19"/>
        <v/>
      </c>
      <c r="Y157" s="168"/>
      <c r="Z157" s="10"/>
      <c r="AA157" s="56"/>
      <c r="AB157" s="56"/>
      <c r="AC157" s="56"/>
      <c r="AD157" s="56"/>
      <c r="AE157" s="56"/>
      <c r="AF157" s="170"/>
      <c r="AG157" s="56"/>
      <c r="AH157" s="56"/>
      <c r="AI157" s="168"/>
      <c r="AJ157" s="56"/>
      <c r="AK157" s="56"/>
      <c r="AL157" s="56"/>
      <c r="AM157" s="56"/>
      <c r="AN157" s="56"/>
      <c r="AO157" s="56"/>
      <c r="AP157" s="56"/>
      <c r="AQ157" s="56"/>
      <c r="AR157" s="168"/>
      <c r="AS157" s="56"/>
      <c r="AT157" s="56"/>
      <c r="AU157" s="56"/>
      <c r="AV157" s="56"/>
      <c r="AW157" s="56"/>
      <c r="AX157" s="56"/>
      <c r="AY157" s="56"/>
      <c r="AZ157" s="56"/>
      <c r="BA157" s="168"/>
      <c r="BB157" s="56"/>
      <c r="BC157" s="56"/>
      <c r="BD157" s="56"/>
      <c r="BE157" s="168"/>
      <c r="BF157" s="56"/>
      <c r="BG157" s="10"/>
      <c r="BH157" s="56"/>
      <c r="BI157" s="56"/>
      <c r="BJ157" s="56"/>
      <c r="BK157" s="56"/>
      <c r="BS157" s="144"/>
      <c r="CM157" s="144"/>
      <c r="DC157" s="144"/>
    </row>
    <row r="158" spans="1:107" s="96" customFormat="1" x14ac:dyDescent="0.15">
      <c r="A158" s="11">
        <f t="shared" si="20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1"/>
      <c r="M158" s="10"/>
      <c r="N158" s="56"/>
      <c r="O158" s="56">
        <f t="shared" si="15"/>
        <v>0</v>
      </c>
      <c r="P158" s="10"/>
      <c r="Q158" s="158" t="str">
        <f t="shared" si="16"/>
        <v/>
      </c>
      <c r="R158" s="174" t="str">
        <f t="shared" si="17"/>
        <v/>
      </c>
      <c r="S158" s="164"/>
      <c r="T158" s="56"/>
      <c r="U158" s="56"/>
      <c r="V158" s="56"/>
      <c r="W158" s="158" t="str">
        <f t="shared" si="18"/>
        <v/>
      </c>
      <c r="X158" s="174" t="str">
        <f t="shared" si="19"/>
        <v/>
      </c>
      <c r="Y158" s="168"/>
      <c r="Z158" s="10"/>
      <c r="AA158" s="56"/>
      <c r="AB158" s="56"/>
      <c r="AC158" s="56"/>
      <c r="AD158" s="56"/>
      <c r="AE158" s="56"/>
      <c r="AF158" s="170"/>
      <c r="AG158" s="56"/>
      <c r="AH158" s="56"/>
      <c r="AI158" s="168"/>
      <c r="AJ158" s="56"/>
      <c r="AK158" s="56"/>
      <c r="AL158" s="56"/>
      <c r="AM158" s="56"/>
      <c r="AN158" s="56"/>
      <c r="AO158" s="56"/>
      <c r="AP158" s="56"/>
      <c r="AQ158" s="56"/>
      <c r="AR158" s="168"/>
      <c r="AS158" s="56"/>
      <c r="AT158" s="56"/>
      <c r="AU158" s="56"/>
      <c r="AV158" s="56"/>
      <c r="AW158" s="56"/>
      <c r="AX158" s="56"/>
      <c r="AY158" s="56"/>
      <c r="AZ158" s="56"/>
      <c r="BA158" s="168"/>
      <c r="BB158" s="56"/>
      <c r="BC158" s="56"/>
      <c r="BD158" s="56"/>
      <c r="BE158" s="168"/>
      <c r="BF158" s="56"/>
      <c r="BG158" s="10"/>
      <c r="BH158" s="56"/>
      <c r="BI158" s="56"/>
      <c r="BJ158" s="56"/>
      <c r="BK158" s="56"/>
      <c r="BS158" s="144"/>
      <c r="CM158" s="144"/>
      <c r="DC158" s="144"/>
    </row>
    <row r="159" spans="1:107" s="96" customFormat="1" x14ac:dyDescent="0.15">
      <c r="A159" s="11">
        <f t="shared" si="20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1"/>
      <c r="M159" s="10"/>
      <c r="N159" s="56"/>
      <c r="O159" s="56">
        <f t="shared" si="15"/>
        <v>0</v>
      </c>
      <c r="P159" s="10"/>
      <c r="Q159" s="158" t="str">
        <f t="shared" si="16"/>
        <v/>
      </c>
      <c r="R159" s="174" t="str">
        <f t="shared" si="17"/>
        <v/>
      </c>
      <c r="S159" s="164"/>
      <c r="T159" s="56"/>
      <c r="U159" s="56"/>
      <c r="V159" s="56"/>
      <c r="W159" s="158" t="str">
        <f t="shared" si="18"/>
        <v/>
      </c>
      <c r="X159" s="174" t="str">
        <f t="shared" si="19"/>
        <v/>
      </c>
      <c r="Y159" s="168"/>
      <c r="Z159" s="10"/>
      <c r="AA159" s="56"/>
      <c r="AB159" s="56"/>
      <c r="AC159" s="56"/>
      <c r="AD159" s="56"/>
      <c r="AE159" s="56"/>
      <c r="AF159" s="170"/>
      <c r="AG159" s="56"/>
      <c r="AH159" s="56"/>
      <c r="AI159" s="168"/>
      <c r="AJ159" s="56"/>
      <c r="AK159" s="56"/>
      <c r="AL159" s="56"/>
      <c r="AM159" s="56"/>
      <c r="AN159" s="56"/>
      <c r="AO159" s="56"/>
      <c r="AP159" s="56"/>
      <c r="AQ159" s="56"/>
      <c r="AR159" s="168"/>
      <c r="AS159" s="56"/>
      <c r="AT159" s="56"/>
      <c r="AU159" s="56"/>
      <c r="AV159" s="56"/>
      <c r="AW159" s="56"/>
      <c r="AX159" s="56"/>
      <c r="AY159" s="56"/>
      <c r="AZ159" s="56"/>
      <c r="BA159" s="168"/>
      <c r="BB159" s="56"/>
      <c r="BC159" s="56"/>
      <c r="BD159" s="56"/>
      <c r="BE159" s="168"/>
      <c r="BF159" s="56"/>
      <c r="BG159" s="10"/>
      <c r="BH159" s="56"/>
      <c r="BI159" s="56"/>
      <c r="BJ159" s="56"/>
      <c r="BK159" s="56"/>
      <c r="BS159" s="144"/>
      <c r="CM159" s="144"/>
      <c r="DC159" s="144"/>
    </row>
    <row r="160" spans="1:107" s="96" customFormat="1" x14ac:dyDescent="0.15">
      <c r="A160" s="11">
        <f t="shared" si="20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1"/>
      <c r="M160" s="10"/>
      <c r="N160" s="56"/>
      <c r="O160" s="56">
        <f t="shared" si="15"/>
        <v>0</v>
      </c>
      <c r="P160" s="10"/>
      <c r="Q160" s="158" t="str">
        <f t="shared" si="16"/>
        <v/>
      </c>
      <c r="R160" s="174" t="str">
        <f t="shared" si="17"/>
        <v/>
      </c>
      <c r="S160" s="164"/>
      <c r="T160" s="56"/>
      <c r="U160" s="56"/>
      <c r="V160" s="56"/>
      <c r="W160" s="158" t="str">
        <f t="shared" si="18"/>
        <v/>
      </c>
      <c r="X160" s="174" t="str">
        <f t="shared" si="19"/>
        <v/>
      </c>
      <c r="Y160" s="168"/>
      <c r="Z160" s="10"/>
      <c r="AA160" s="56"/>
      <c r="AB160" s="56"/>
      <c r="AC160" s="56"/>
      <c r="AD160" s="56"/>
      <c r="AE160" s="56"/>
      <c r="AF160" s="170"/>
      <c r="AG160" s="56"/>
      <c r="AH160" s="56"/>
      <c r="AI160" s="168"/>
      <c r="AJ160" s="56"/>
      <c r="AK160" s="56"/>
      <c r="AL160" s="56"/>
      <c r="AM160" s="56"/>
      <c r="AN160" s="56"/>
      <c r="AO160" s="56"/>
      <c r="AP160" s="56"/>
      <c r="AQ160" s="56"/>
      <c r="AR160" s="168"/>
      <c r="AS160" s="56"/>
      <c r="AT160" s="56"/>
      <c r="AU160" s="56"/>
      <c r="AV160" s="56"/>
      <c r="AW160" s="56"/>
      <c r="AX160" s="56"/>
      <c r="AY160" s="56"/>
      <c r="AZ160" s="56"/>
      <c r="BA160" s="168"/>
      <c r="BB160" s="56"/>
      <c r="BC160" s="56"/>
      <c r="BD160" s="56"/>
      <c r="BE160" s="168"/>
      <c r="BF160" s="56"/>
      <c r="BG160" s="10"/>
      <c r="BH160" s="56"/>
      <c r="BI160" s="56"/>
      <c r="BJ160" s="56"/>
      <c r="BK160" s="56"/>
      <c r="BS160" s="144"/>
      <c r="CM160" s="144"/>
      <c r="DC160" s="144"/>
    </row>
    <row r="161" spans="1:107" s="96" customFormat="1" x14ac:dyDescent="0.15">
      <c r="A161" s="11">
        <f t="shared" si="20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1"/>
      <c r="M161" s="10"/>
      <c r="N161" s="56"/>
      <c r="O161" s="56">
        <f t="shared" si="15"/>
        <v>0</v>
      </c>
      <c r="P161" s="10"/>
      <c r="Q161" s="158" t="str">
        <f t="shared" si="16"/>
        <v/>
      </c>
      <c r="R161" s="174" t="str">
        <f t="shared" si="17"/>
        <v/>
      </c>
      <c r="S161" s="164"/>
      <c r="T161" s="56"/>
      <c r="U161" s="56"/>
      <c r="V161" s="56"/>
      <c r="W161" s="158" t="str">
        <f t="shared" si="18"/>
        <v/>
      </c>
      <c r="X161" s="174" t="str">
        <f t="shared" si="19"/>
        <v/>
      </c>
      <c r="Y161" s="168"/>
      <c r="Z161" s="10"/>
      <c r="AA161" s="56"/>
      <c r="AB161" s="56"/>
      <c r="AC161" s="56"/>
      <c r="AD161" s="56"/>
      <c r="AE161" s="56"/>
      <c r="AF161" s="170"/>
      <c r="AG161" s="56"/>
      <c r="AH161" s="56"/>
      <c r="AI161" s="168"/>
      <c r="AJ161" s="56"/>
      <c r="AK161" s="56"/>
      <c r="AL161" s="56"/>
      <c r="AM161" s="56"/>
      <c r="AN161" s="56"/>
      <c r="AO161" s="56"/>
      <c r="AP161" s="56"/>
      <c r="AQ161" s="56"/>
      <c r="AR161" s="168"/>
      <c r="AS161" s="56"/>
      <c r="AT161" s="56"/>
      <c r="AU161" s="56"/>
      <c r="AV161" s="56"/>
      <c r="AW161" s="56"/>
      <c r="AX161" s="56"/>
      <c r="AY161" s="56"/>
      <c r="AZ161" s="56"/>
      <c r="BA161" s="168"/>
      <c r="BB161" s="56"/>
      <c r="BC161" s="56"/>
      <c r="BD161" s="56"/>
      <c r="BE161" s="168"/>
      <c r="BF161" s="56"/>
      <c r="BG161" s="10"/>
      <c r="BH161" s="56"/>
      <c r="BI161" s="56"/>
      <c r="BJ161" s="56"/>
      <c r="BK161" s="56"/>
      <c r="BS161" s="144"/>
      <c r="CM161" s="144"/>
      <c r="DC161" s="144"/>
    </row>
    <row r="162" spans="1:107" s="96" customFormat="1" x14ac:dyDescent="0.15">
      <c r="A162" s="11">
        <f t="shared" si="20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1"/>
      <c r="M162" s="10"/>
      <c r="N162" s="56"/>
      <c r="O162" s="56">
        <f t="shared" si="15"/>
        <v>0</v>
      </c>
      <c r="P162" s="10"/>
      <c r="Q162" s="158" t="str">
        <f t="shared" si="16"/>
        <v/>
      </c>
      <c r="R162" s="174" t="str">
        <f t="shared" si="17"/>
        <v/>
      </c>
      <c r="S162" s="164"/>
      <c r="T162" s="56"/>
      <c r="U162" s="56"/>
      <c r="V162" s="56"/>
      <c r="W162" s="158" t="str">
        <f t="shared" si="18"/>
        <v/>
      </c>
      <c r="X162" s="174" t="str">
        <f t="shared" si="19"/>
        <v/>
      </c>
      <c r="Y162" s="168"/>
      <c r="Z162" s="10"/>
      <c r="AA162" s="56"/>
      <c r="AB162" s="56"/>
      <c r="AC162" s="56"/>
      <c r="AD162" s="56"/>
      <c r="AE162" s="56"/>
      <c r="AF162" s="170"/>
      <c r="AG162" s="56"/>
      <c r="AH162" s="56"/>
      <c r="AI162" s="168"/>
      <c r="AJ162" s="56"/>
      <c r="AK162" s="56"/>
      <c r="AL162" s="56"/>
      <c r="AM162" s="56"/>
      <c r="AN162" s="56"/>
      <c r="AO162" s="56"/>
      <c r="AP162" s="56"/>
      <c r="AQ162" s="56"/>
      <c r="AR162" s="168"/>
      <c r="AS162" s="56"/>
      <c r="AT162" s="56"/>
      <c r="AU162" s="56"/>
      <c r="AV162" s="56"/>
      <c r="AW162" s="56"/>
      <c r="AX162" s="56"/>
      <c r="AY162" s="56"/>
      <c r="AZ162" s="56"/>
      <c r="BA162" s="168"/>
      <c r="BB162" s="56"/>
      <c r="BC162" s="56"/>
      <c r="BD162" s="56"/>
      <c r="BE162" s="168"/>
      <c r="BF162" s="56"/>
      <c r="BG162" s="10"/>
      <c r="BH162" s="56"/>
      <c r="BI162" s="56"/>
      <c r="BJ162" s="56"/>
      <c r="BK162" s="56"/>
      <c r="BS162" s="144"/>
      <c r="CM162" s="144"/>
      <c r="DC162" s="144"/>
    </row>
    <row r="163" spans="1:107" s="96" customFormat="1" x14ac:dyDescent="0.15">
      <c r="A163" s="11">
        <f t="shared" si="20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1"/>
      <c r="M163" s="10"/>
      <c r="N163" s="56"/>
      <c r="O163" s="56">
        <f t="shared" si="15"/>
        <v>0</v>
      </c>
      <c r="P163" s="10"/>
      <c r="Q163" s="158" t="str">
        <f t="shared" si="16"/>
        <v/>
      </c>
      <c r="R163" s="174" t="str">
        <f t="shared" si="17"/>
        <v/>
      </c>
      <c r="S163" s="164"/>
      <c r="T163" s="56"/>
      <c r="U163" s="56"/>
      <c r="V163" s="56"/>
      <c r="W163" s="158" t="str">
        <f t="shared" si="18"/>
        <v/>
      </c>
      <c r="X163" s="174" t="str">
        <f t="shared" si="19"/>
        <v/>
      </c>
      <c r="Y163" s="168"/>
      <c r="Z163" s="10"/>
      <c r="AA163" s="56"/>
      <c r="AB163" s="56"/>
      <c r="AC163" s="56"/>
      <c r="AD163" s="56"/>
      <c r="AE163" s="56"/>
      <c r="AF163" s="170"/>
      <c r="AG163" s="56"/>
      <c r="AH163" s="56"/>
      <c r="AI163" s="168"/>
      <c r="AJ163" s="56"/>
      <c r="AK163" s="56"/>
      <c r="AL163" s="56"/>
      <c r="AM163" s="56"/>
      <c r="AN163" s="56"/>
      <c r="AO163" s="56"/>
      <c r="AP163" s="56"/>
      <c r="AQ163" s="56"/>
      <c r="AR163" s="168"/>
      <c r="AS163" s="56"/>
      <c r="AT163" s="56"/>
      <c r="AU163" s="56"/>
      <c r="AV163" s="56"/>
      <c r="AW163" s="56"/>
      <c r="AX163" s="56"/>
      <c r="AY163" s="56"/>
      <c r="AZ163" s="56"/>
      <c r="BA163" s="168"/>
      <c r="BB163" s="56"/>
      <c r="BC163" s="56"/>
      <c r="BD163" s="56"/>
      <c r="BE163" s="168"/>
      <c r="BF163" s="56"/>
      <c r="BG163" s="10"/>
      <c r="BH163" s="56"/>
      <c r="BI163" s="56"/>
      <c r="BJ163" s="56"/>
      <c r="BK163" s="56"/>
      <c r="BS163" s="144"/>
      <c r="CM163" s="144"/>
      <c r="DC163" s="144"/>
    </row>
    <row r="164" spans="1:107" s="96" customFormat="1" ht="17.25" thickBot="1" x14ac:dyDescent="0.2">
      <c r="A164" s="11">
        <f t="shared" si="20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1"/>
      <c r="M164" s="10"/>
      <c r="N164" s="56"/>
      <c r="O164" s="56">
        <f t="shared" si="15"/>
        <v>0</v>
      </c>
      <c r="P164" s="10"/>
      <c r="Q164" s="158" t="str">
        <f t="shared" si="16"/>
        <v/>
      </c>
      <c r="R164" s="174" t="str">
        <f t="shared" si="17"/>
        <v/>
      </c>
      <c r="S164" s="164"/>
      <c r="T164" s="56"/>
      <c r="U164" s="56"/>
      <c r="V164" s="56"/>
      <c r="W164" s="158" t="str">
        <f t="shared" si="18"/>
        <v/>
      </c>
      <c r="X164" s="174" t="str">
        <f t="shared" si="19"/>
        <v/>
      </c>
      <c r="Y164" s="168"/>
      <c r="Z164" s="10"/>
      <c r="AA164" s="56"/>
      <c r="AB164" s="56"/>
      <c r="AC164" s="56"/>
      <c r="AD164" s="56"/>
      <c r="AE164" s="56"/>
      <c r="AF164" s="170"/>
      <c r="AG164" s="56"/>
      <c r="AH164" s="56"/>
      <c r="AI164" s="168"/>
      <c r="AJ164" s="56"/>
      <c r="AK164" s="56"/>
      <c r="AL164" s="56"/>
      <c r="AM164" s="56"/>
      <c r="AN164" s="56"/>
      <c r="AO164" s="56"/>
      <c r="AP164" s="56"/>
      <c r="AQ164" s="56"/>
      <c r="AR164" s="168"/>
      <c r="AS164" s="56"/>
      <c r="AT164" s="56"/>
      <c r="AU164" s="56"/>
      <c r="AV164" s="56"/>
      <c r="AW164" s="56"/>
      <c r="AX164" s="56"/>
      <c r="AY164" s="56"/>
      <c r="AZ164" s="56"/>
      <c r="BA164" s="168"/>
      <c r="BB164" s="56"/>
      <c r="BC164" s="56"/>
      <c r="BD164" s="56"/>
      <c r="BE164" s="168"/>
      <c r="BF164" s="56"/>
      <c r="BG164" s="10"/>
      <c r="BH164" s="56"/>
      <c r="BI164" s="56"/>
      <c r="BJ164" s="56"/>
      <c r="BK164" s="56"/>
      <c r="BS164" s="144"/>
      <c r="CM164" s="144"/>
      <c r="DC164" s="144"/>
    </row>
    <row r="165" spans="1:107" s="113" customFormat="1" x14ac:dyDescent="0.15">
      <c r="A165" s="18">
        <f t="shared" si="20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3"/>
      <c r="M165" s="17"/>
      <c r="N165" s="57"/>
      <c r="O165" s="57">
        <f t="shared" si="15"/>
        <v>0</v>
      </c>
      <c r="P165" s="17"/>
      <c r="Q165" s="159" t="str">
        <f t="shared" si="16"/>
        <v/>
      </c>
      <c r="R165" s="175" t="str">
        <f t="shared" si="17"/>
        <v/>
      </c>
      <c r="S165" s="165"/>
      <c r="T165" s="57"/>
      <c r="U165" s="57"/>
      <c r="V165" s="57"/>
      <c r="W165" s="159" t="str">
        <f t="shared" si="18"/>
        <v/>
      </c>
      <c r="X165" s="175" t="str">
        <f t="shared" si="19"/>
        <v/>
      </c>
      <c r="Y165" s="169"/>
      <c r="Z165" s="17"/>
      <c r="AA165" s="57"/>
      <c r="AB165" s="57"/>
      <c r="AC165" s="57"/>
      <c r="AD165" s="57"/>
      <c r="AE165" s="57"/>
      <c r="AF165" s="172"/>
      <c r="AG165" s="57"/>
      <c r="AH165" s="57"/>
      <c r="AI165" s="169"/>
      <c r="AJ165" s="57"/>
      <c r="AK165" s="57"/>
      <c r="AL165" s="57"/>
      <c r="AM165" s="57"/>
      <c r="AN165" s="57"/>
      <c r="AO165" s="57"/>
      <c r="AP165" s="57"/>
      <c r="AQ165" s="57"/>
      <c r="AR165" s="169"/>
      <c r="AS165" s="57"/>
      <c r="AT165" s="57"/>
      <c r="AU165" s="57"/>
      <c r="AV165" s="57"/>
      <c r="AW165" s="57"/>
      <c r="AX165" s="57"/>
      <c r="AY165" s="57"/>
      <c r="AZ165" s="57"/>
      <c r="BA165" s="169"/>
      <c r="BB165" s="57"/>
      <c r="BC165" s="57"/>
      <c r="BD165" s="57"/>
      <c r="BE165" s="169"/>
      <c r="BF165" s="57"/>
      <c r="BG165" s="17"/>
      <c r="BH165" s="57"/>
      <c r="BI165" s="57"/>
      <c r="BJ165" s="57"/>
      <c r="BK165" s="57"/>
      <c r="BS165" s="143"/>
      <c r="CM165" s="143"/>
      <c r="DC165" s="143"/>
    </row>
    <row r="166" spans="1:107" x14ac:dyDescent="0.15">
      <c r="A166" s="11">
        <f t="shared" si="20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6">
        <f t="shared" si="15"/>
        <v>0</v>
      </c>
      <c r="Q166" s="158" t="str">
        <f t="shared" si="16"/>
        <v/>
      </c>
      <c r="R166" s="174" t="str">
        <f t="shared" si="17"/>
        <v/>
      </c>
      <c r="W166" s="158" t="str">
        <f t="shared" si="18"/>
        <v/>
      </c>
      <c r="X166" s="174" t="str">
        <f t="shared" si="19"/>
        <v/>
      </c>
      <c r="BL166" s="108"/>
    </row>
    <row r="167" spans="1:107" x14ac:dyDescent="0.15">
      <c r="A167" s="11">
        <f t="shared" si="20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6">
        <f t="shared" si="15"/>
        <v>0</v>
      </c>
      <c r="Q167" s="158" t="str">
        <f t="shared" si="16"/>
        <v/>
      </c>
      <c r="R167" s="174" t="str">
        <f t="shared" si="17"/>
        <v/>
      </c>
      <c r="W167" s="158" t="str">
        <f t="shared" si="18"/>
        <v/>
      </c>
      <c r="X167" s="174" t="str">
        <f t="shared" si="19"/>
        <v/>
      </c>
      <c r="BL167" s="108"/>
    </row>
    <row r="168" spans="1:107" x14ac:dyDescent="0.15">
      <c r="A168" s="11">
        <f t="shared" si="20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6">
        <f t="shared" si="15"/>
        <v>0</v>
      </c>
      <c r="Q168" s="158" t="str">
        <f t="shared" si="16"/>
        <v/>
      </c>
      <c r="R168" s="174" t="str">
        <f t="shared" si="17"/>
        <v/>
      </c>
      <c r="W168" s="158" t="str">
        <f t="shared" si="18"/>
        <v/>
      </c>
      <c r="X168" s="174" t="str">
        <f t="shared" si="19"/>
        <v/>
      </c>
    </row>
    <row r="169" spans="1:107" x14ac:dyDescent="0.15">
      <c r="A169" s="11">
        <f t="shared" si="20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6">
        <f t="shared" si="15"/>
        <v>0</v>
      </c>
      <c r="Q169" s="158" t="str">
        <f t="shared" si="16"/>
        <v/>
      </c>
      <c r="R169" s="174" t="str">
        <f t="shared" si="17"/>
        <v/>
      </c>
      <c r="W169" s="158" t="str">
        <f t="shared" si="18"/>
        <v/>
      </c>
      <c r="X169" s="174" t="str">
        <f t="shared" si="19"/>
        <v/>
      </c>
    </row>
    <row r="170" spans="1:107" x14ac:dyDescent="0.15">
      <c r="A170" s="11">
        <f t="shared" si="20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6">
        <f t="shared" si="15"/>
        <v>0</v>
      </c>
      <c r="Q170" s="158" t="str">
        <f t="shared" si="16"/>
        <v/>
      </c>
      <c r="R170" s="174" t="str">
        <f t="shared" si="17"/>
        <v/>
      </c>
      <c r="W170" s="158" t="str">
        <f t="shared" si="18"/>
        <v/>
      </c>
      <c r="X170" s="174" t="str">
        <f t="shared" si="19"/>
        <v/>
      </c>
    </row>
    <row r="171" spans="1:107" x14ac:dyDescent="0.15">
      <c r="A171" s="11">
        <f t="shared" si="20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6">
        <f t="shared" si="15"/>
        <v>0</v>
      </c>
      <c r="Q171" s="158" t="str">
        <f t="shared" si="16"/>
        <v/>
      </c>
      <c r="R171" s="174" t="str">
        <f t="shared" si="17"/>
        <v/>
      </c>
      <c r="W171" s="158" t="str">
        <f t="shared" si="18"/>
        <v/>
      </c>
      <c r="X171" s="174" t="str">
        <f t="shared" si="19"/>
        <v/>
      </c>
    </row>
    <row r="172" spans="1:107" x14ac:dyDescent="0.15">
      <c r="A172" s="11">
        <f t="shared" si="20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6">
        <f t="shared" si="15"/>
        <v>0</v>
      </c>
      <c r="Q172" s="158" t="str">
        <f t="shared" si="16"/>
        <v/>
      </c>
      <c r="R172" s="174" t="str">
        <f t="shared" si="17"/>
        <v/>
      </c>
      <c r="W172" s="158" t="str">
        <f t="shared" si="18"/>
        <v/>
      </c>
      <c r="X172" s="174" t="str">
        <f t="shared" si="19"/>
        <v/>
      </c>
    </row>
    <row r="173" spans="1:107" x14ac:dyDescent="0.15">
      <c r="A173" s="11">
        <f t="shared" si="20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6">
        <f t="shared" si="15"/>
        <v>0</v>
      </c>
      <c r="Q173" s="158" t="str">
        <f t="shared" si="16"/>
        <v/>
      </c>
      <c r="R173" s="174" t="str">
        <f t="shared" si="17"/>
        <v/>
      </c>
      <c r="W173" s="158" t="str">
        <f t="shared" si="18"/>
        <v/>
      </c>
      <c r="X173" s="174" t="str">
        <f t="shared" si="19"/>
        <v/>
      </c>
    </row>
    <row r="174" spans="1:107" x14ac:dyDescent="0.15">
      <c r="A174" s="11">
        <f t="shared" si="20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6">
        <f t="shared" si="15"/>
        <v>0</v>
      </c>
      <c r="Q174" s="158" t="str">
        <f t="shared" si="16"/>
        <v/>
      </c>
      <c r="R174" s="174" t="str">
        <f t="shared" si="17"/>
        <v/>
      </c>
      <c r="W174" s="158" t="str">
        <f t="shared" si="18"/>
        <v/>
      </c>
      <c r="X174" s="174" t="str">
        <f t="shared" si="19"/>
        <v/>
      </c>
    </row>
    <row r="175" spans="1:107" s="96" customFormat="1" x14ac:dyDescent="0.15">
      <c r="A175" s="11">
        <f t="shared" si="20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1"/>
      <c r="M175" s="10"/>
      <c r="N175" s="56"/>
      <c r="O175" s="56">
        <f t="shared" si="15"/>
        <v>0</v>
      </c>
      <c r="P175" s="10"/>
      <c r="Q175" s="158" t="str">
        <f t="shared" si="16"/>
        <v/>
      </c>
      <c r="R175" s="174" t="str">
        <f t="shared" si="17"/>
        <v/>
      </c>
      <c r="S175" s="164"/>
      <c r="T175" s="56"/>
      <c r="U175" s="56"/>
      <c r="V175" s="56"/>
      <c r="W175" s="158" t="str">
        <f t="shared" si="18"/>
        <v/>
      </c>
      <c r="X175" s="174" t="str">
        <f t="shared" si="19"/>
        <v/>
      </c>
      <c r="Y175" s="168"/>
      <c r="Z175" s="10"/>
      <c r="AA175" s="56"/>
      <c r="AB175" s="56"/>
      <c r="AC175" s="56"/>
      <c r="AD175" s="56"/>
      <c r="AE175" s="56"/>
      <c r="AF175" s="170"/>
      <c r="AG175" s="56"/>
      <c r="AH175" s="56"/>
      <c r="AI175" s="168"/>
      <c r="AJ175" s="56"/>
      <c r="AK175" s="56"/>
      <c r="AL175" s="56"/>
      <c r="AM175" s="56"/>
      <c r="AN175" s="56"/>
      <c r="AO175" s="56"/>
      <c r="AP175" s="56"/>
      <c r="AQ175" s="56"/>
      <c r="AR175" s="168"/>
      <c r="AS175" s="56"/>
      <c r="AT175" s="56"/>
      <c r="AU175" s="56"/>
      <c r="AV175" s="56"/>
      <c r="AW175" s="56"/>
      <c r="AX175" s="56"/>
      <c r="AY175" s="56"/>
      <c r="AZ175" s="56"/>
      <c r="BA175" s="168"/>
      <c r="BB175" s="56"/>
      <c r="BC175" s="56"/>
      <c r="BD175" s="56"/>
      <c r="BE175" s="168"/>
      <c r="BF175" s="56"/>
      <c r="BG175" s="10"/>
      <c r="BH175" s="56"/>
      <c r="BI175" s="56"/>
      <c r="BJ175" s="56"/>
      <c r="BK175" s="56"/>
      <c r="BS175" s="144"/>
      <c r="CM175" s="144"/>
      <c r="DC175" s="144"/>
    </row>
    <row r="176" spans="1:107" s="96" customFormat="1" x14ac:dyDescent="0.15">
      <c r="A176" s="11">
        <f t="shared" si="20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1"/>
      <c r="M176" s="10"/>
      <c r="N176" s="56"/>
      <c r="O176" s="56">
        <f t="shared" si="15"/>
        <v>0</v>
      </c>
      <c r="P176" s="10"/>
      <c r="Q176" s="158" t="str">
        <f t="shared" si="16"/>
        <v/>
      </c>
      <c r="R176" s="174" t="str">
        <f t="shared" si="17"/>
        <v/>
      </c>
      <c r="S176" s="164"/>
      <c r="T176" s="56"/>
      <c r="U176" s="56"/>
      <c r="V176" s="56"/>
      <c r="W176" s="158" t="str">
        <f t="shared" si="18"/>
        <v/>
      </c>
      <c r="X176" s="174" t="str">
        <f t="shared" si="19"/>
        <v/>
      </c>
      <c r="Y176" s="168"/>
      <c r="Z176" s="10"/>
      <c r="AA176" s="56"/>
      <c r="AB176" s="56"/>
      <c r="AC176" s="56"/>
      <c r="AD176" s="56"/>
      <c r="AE176" s="56"/>
      <c r="AF176" s="170"/>
      <c r="AG176" s="56"/>
      <c r="AH176" s="56"/>
      <c r="AI176" s="168"/>
      <c r="AJ176" s="56"/>
      <c r="AK176" s="56"/>
      <c r="AL176" s="56"/>
      <c r="AM176" s="56"/>
      <c r="AN176" s="56"/>
      <c r="AO176" s="56"/>
      <c r="AP176" s="56"/>
      <c r="AQ176" s="56"/>
      <c r="AR176" s="168"/>
      <c r="AS176" s="56"/>
      <c r="AT176" s="56"/>
      <c r="AU176" s="56"/>
      <c r="AV176" s="56"/>
      <c r="AW176" s="56"/>
      <c r="AX176" s="56"/>
      <c r="AY176" s="56"/>
      <c r="AZ176" s="56"/>
      <c r="BA176" s="168"/>
      <c r="BB176" s="56"/>
      <c r="BC176" s="56"/>
      <c r="BD176" s="56"/>
      <c r="BE176" s="168"/>
      <c r="BF176" s="56"/>
      <c r="BG176" s="10"/>
      <c r="BH176" s="56"/>
      <c r="BI176" s="56"/>
      <c r="BJ176" s="56"/>
      <c r="BK176" s="56"/>
      <c r="BS176" s="144"/>
      <c r="CM176" s="144"/>
      <c r="DC176" s="144"/>
    </row>
    <row r="177" spans="1:107" s="96" customFormat="1" x14ac:dyDescent="0.15">
      <c r="A177" s="11">
        <f t="shared" si="20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1"/>
      <c r="M177" s="10"/>
      <c r="N177" s="56"/>
      <c r="O177" s="56">
        <f t="shared" si="15"/>
        <v>0</v>
      </c>
      <c r="P177" s="10"/>
      <c r="Q177" s="158" t="str">
        <f t="shared" si="16"/>
        <v/>
      </c>
      <c r="R177" s="174" t="str">
        <f t="shared" si="17"/>
        <v/>
      </c>
      <c r="S177" s="164"/>
      <c r="T177" s="56"/>
      <c r="U177" s="56"/>
      <c r="V177" s="56"/>
      <c r="W177" s="158" t="str">
        <f t="shared" si="18"/>
        <v/>
      </c>
      <c r="X177" s="174" t="str">
        <f t="shared" si="19"/>
        <v/>
      </c>
      <c r="Y177" s="168"/>
      <c r="Z177" s="10"/>
      <c r="AA177" s="56"/>
      <c r="AB177" s="56"/>
      <c r="AC177" s="56"/>
      <c r="AD177" s="56"/>
      <c r="AE177" s="56"/>
      <c r="AF177" s="170"/>
      <c r="AG177" s="56"/>
      <c r="AH177" s="56"/>
      <c r="AI177" s="168"/>
      <c r="AJ177" s="56"/>
      <c r="AK177" s="56"/>
      <c r="AL177" s="56"/>
      <c r="AM177" s="56"/>
      <c r="AN177" s="56"/>
      <c r="AO177" s="56"/>
      <c r="AP177" s="56"/>
      <c r="AQ177" s="56"/>
      <c r="AR177" s="168"/>
      <c r="AS177" s="56"/>
      <c r="AT177" s="56"/>
      <c r="AU177" s="56"/>
      <c r="AV177" s="56"/>
      <c r="AW177" s="56"/>
      <c r="AX177" s="56"/>
      <c r="AY177" s="56"/>
      <c r="AZ177" s="56"/>
      <c r="BA177" s="168"/>
      <c r="BB177" s="56"/>
      <c r="BC177" s="56"/>
      <c r="BD177" s="56"/>
      <c r="BE177" s="168"/>
      <c r="BF177" s="56"/>
      <c r="BG177" s="10"/>
      <c r="BH177" s="56"/>
      <c r="BI177" s="56"/>
      <c r="BJ177" s="56"/>
      <c r="BK177" s="56"/>
      <c r="BS177" s="144"/>
      <c r="CM177" s="144"/>
      <c r="DC177" s="144"/>
    </row>
    <row r="178" spans="1:107" s="96" customFormat="1" x14ac:dyDescent="0.15">
      <c r="A178" s="11">
        <f t="shared" si="20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1"/>
      <c r="M178" s="10"/>
      <c r="N178" s="56"/>
      <c r="O178" s="56">
        <f t="shared" si="15"/>
        <v>0</v>
      </c>
      <c r="P178" s="10"/>
      <c r="Q178" s="158" t="str">
        <f t="shared" si="16"/>
        <v/>
      </c>
      <c r="R178" s="174" t="str">
        <f t="shared" si="17"/>
        <v/>
      </c>
      <c r="S178" s="164"/>
      <c r="T178" s="56"/>
      <c r="U178" s="56"/>
      <c r="V178" s="56"/>
      <c r="W178" s="158" t="str">
        <f t="shared" si="18"/>
        <v/>
      </c>
      <c r="X178" s="174" t="str">
        <f t="shared" si="19"/>
        <v/>
      </c>
      <c r="Y178" s="168"/>
      <c r="Z178" s="10"/>
      <c r="AA178" s="56"/>
      <c r="AB178" s="56"/>
      <c r="AC178" s="56"/>
      <c r="AD178" s="56"/>
      <c r="AE178" s="56"/>
      <c r="AF178" s="170"/>
      <c r="AG178" s="56"/>
      <c r="AH178" s="56"/>
      <c r="AI178" s="168"/>
      <c r="AJ178" s="56"/>
      <c r="AK178" s="56"/>
      <c r="AL178" s="56"/>
      <c r="AM178" s="56"/>
      <c r="AN178" s="56"/>
      <c r="AO178" s="56"/>
      <c r="AP178" s="56"/>
      <c r="AQ178" s="56"/>
      <c r="AR178" s="168"/>
      <c r="AS178" s="56"/>
      <c r="AT178" s="56"/>
      <c r="AU178" s="56"/>
      <c r="AV178" s="56"/>
      <c r="AW178" s="56"/>
      <c r="AX178" s="56"/>
      <c r="AY178" s="56"/>
      <c r="AZ178" s="56"/>
      <c r="BA178" s="168"/>
      <c r="BB178" s="56"/>
      <c r="BC178" s="56"/>
      <c r="BD178" s="56"/>
      <c r="BE178" s="168"/>
      <c r="BF178" s="56"/>
      <c r="BG178" s="10"/>
      <c r="BH178" s="56"/>
      <c r="BI178" s="56"/>
      <c r="BJ178" s="56"/>
      <c r="BK178" s="56"/>
      <c r="BS178" s="144"/>
      <c r="CM178" s="144"/>
      <c r="DC178" s="144"/>
    </row>
    <row r="179" spans="1:107" s="96" customFormat="1" x14ac:dyDescent="0.15">
      <c r="A179" s="11">
        <f t="shared" si="20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1"/>
      <c r="M179" s="10"/>
      <c r="N179" s="56"/>
      <c r="O179" s="56">
        <f t="shared" si="15"/>
        <v>0</v>
      </c>
      <c r="P179" s="10"/>
      <c r="Q179" s="158" t="str">
        <f t="shared" si="16"/>
        <v/>
      </c>
      <c r="R179" s="174" t="str">
        <f t="shared" si="17"/>
        <v/>
      </c>
      <c r="S179" s="164"/>
      <c r="T179" s="56"/>
      <c r="U179" s="56"/>
      <c r="V179" s="56"/>
      <c r="W179" s="158" t="str">
        <f t="shared" si="18"/>
        <v/>
      </c>
      <c r="X179" s="174" t="str">
        <f t="shared" si="19"/>
        <v/>
      </c>
      <c r="Y179" s="168"/>
      <c r="Z179" s="10"/>
      <c r="AA179" s="56"/>
      <c r="AB179" s="56"/>
      <c r="AC179" s="56"/>
      <c r="AD179" s="56"/>
      <c r="AE179" s="56"/>
      <c r="AF179" s="170"/>
      <c r="AG179" s="56"/>
      <c r="AH179" s="56"/>
      <c r="AI179" s="168"/>
      <c r="AJ179" s="56"/>
      <c r="AK179" s="56"/>
      <c r="AL179" s="56"/>
      <c r="AM179" s="56"/>
      <c r="AN179" s="56"/>
      <c r="AO179" s="56"/>
      <c r="AP179" s="56"/>
      <c r="AQ179" s="56"/>
      <c r="AR179" s="168"/>
      <c r="AS179" s="56"/>
      <c r="AT179" s="56"/>
      <c r="AU179" s="56"/>
      <c r="AV179" s="56"/>
      <c r="AW179" s="56"/>
      <c r="AX179" s="56"/>
      <c r="AY179" s="56"/>
      <c r="AZ179" s="56"/>
      <c r="BA179" s="168"/>
      <c r="BB179" s="56"/>
      <c r="BC179" s="56"/>
      <c r="BD179" s="56"/>
      <c r="BE179" s="168"/>
      <c r="BF179" s="56"/>
      <c r="BG179" s="10"/>
      <c r="BH179" s="56"/>
      <c r="BI179" s="56"/>
      <c r="BJ179" s="56"/>
      <c r="BK179" s="56"/>
      <c r="BS179" s="144"/>
      <c r="CM179" s="144"/>
      <c r="DC179" s="144"/>
    </row>
    <row r="180" spans="1:107" s="96" customFormat="1" x14ac:dyDescent="0.15">
      <c r="A180" s="11">
        <f t="shared" si="20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1"/>
      <c r="M180" s="10"/>
      <c r="N180" s="56"/>
      <c r="O180" s="56">
        <f t="shared" si="15"/>
        <v>0</v>
      </c>
      <c r="P180" s="10"/>
      <c r="Q180" s="158" t="str">
        <f t="shared" si="16"/>
        <v/>
      </c>
      <c r="R180" s="174" t="str">
        <f t="shared" si="17"/>
        <v/>
      </c>
      <c r="S180" s="164"/>
      <c r="T180" s="56"/>
      <c r="U180" s="56"/>
      <c r="V180" s="56"/>
      <c r="W180" s="158" t="str">
        <f t="shared" si="18"/>
        <v/>
      </c>
      <c r="X180" s="174" t="str">
        <f t="shared" si="19"/>
        <v/>
      </c>
      <c r="Y180" s="168"/>
      <c r="Z180" s="10"/>
      <c r="AA180" s="56"/>
      <c r="AB180" s="56"/>
      <c r="AC180" s="56"/>
      <c r="AD180" s="56"/>
      <c r="AE180" s="56"/>
      <c r="AF180" s="170"/>
      <c r="AG180" s="56"/>
      <c r="AH180" s="56"/>
      <c r="AI180" s="168"/>
      <c r="AJ180" s="56"/>
      <c r="AK180" s="56"/>
      <c r="AL180" s="56"/>
      <c r="AM180" s="56"/>
      <c r="AN180" s="56"/>
      <c r="AO180" s="56"/>
      <c r="AP180" s="56"/>
      <c r="AQ180" s="56"/>
      <c r="AR180" s="168"/>
      <c r="AS180" s="56"/>
      <c r="AT180" s="56"/>
      <c r="AU180" s="56"/>
      <c r="AV180" s="56"/>
      <c r="AW180" s="56"/>
      <c r="AX180" s="56"/>
      <c r="AY180" s="56"/>
      <c r="AZ180" s="56"/>
      <c r="BA180" s="168"/>
      <c r="BB180" s="56"/>
      <c r="BC180" s="56"/>
      <c r="BD180" s="56"/>
      <c r="BE180" s="168"/>
      <c r="BF180" s="56"/>
      <c r="BG180" s="10"/>
      <c r="BH180" s="56"/>
      <c r="BI180" s="56"/>
      <c r="BJ180" s="56"/>
      <c r="BK180" s="56"/>
      <c r="BS180" s="144"/>
      <c r="CM180" s="144"/>
      <c r="DC180" s="144"/>
    </row>
    <row r="181" spans="1:107" s="96" customFormat="1" x14ac:dyDescent="0.15">
      <c r="A181" s="11">
        <f t="shared" si="20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1"/>
      <c r="M181" s="10"/>
      <c r="N181" s="56"/>
      <c r="O181" s="56">
        <f t="shared" si="15"/>
        <v>0</v>
      </c>
      <c r="P181" s="10"/>
      <c r="Q181" s="158" t="str">
        <f t="shared" si="16"/>
        <v/>
      </c>
      <c r="R181" s="174" t="str">
        <f t="shared" si="17"/>
        <v/>
      </c>
      <c r="S181" s="164"/>
      <c r="T181" s="56"/>
      <c r="U181" s="56"/>
      <c r="V181" s="56"/>
      <c r="W181" s="158" t="str">
        <f t="shared" si="18"/>
        <v/>
      </c>
      <c r="X181" s="174" t="str">
        <f t="shared" si="19"/>
        <v/>
      </c>
      <c r="Y181" s="168"/>
      <c r="Z181" s="10"/>
      <c r="AA181" s="56"/>
      <c r="AB181" s="56"/>
      <c r="AC181" s="56"/>
      <c r="AD181" s="56"/>
      <c r="AE181" s="56"/>
      <c r="AF181" s="170"/>
      <c r="AG181" s="56"/>
      <c r="AH181" s="56"/>
      <c r="AI181" s="168"/>
      <c r="AJ181" s="56"/>
      <c r="AK181" s="56"/>
      <c r="AL181" s="56"/>
      <c r="AM181" s="56"/>
      <c r="AN181" s="56"/>
      <c r="AO181" s="56"/>
      <c r="AP181" s="56"/>
      <c r="AQ181" s="56"/>
      <c r="AR181" s="168"/>
      <c r="AS181" s="56"/>
      <c r="AT181" s="56"/>
      <c r="AU181" s="56"/>
      <c r="AV181" s="56"/>
      <c r="AW181" s="56"/>
      <c r="AX181" s="56"/>
      <c r="AY181" s="56"/>
      <c r="AZ181" s="56"/>
      <c r="BA181" s="168"/>
      <c r="BB181" s="56"/>
      <c r="BC181" s="56"/>
      <c r="BD181" s="56"/>
      <c r="BE181" s="168"/>
      <c r="BF181" s="56"/>
      <c r="BG181" s="10"/>
      <c r="BH181" s="56"/>
      <c r="BI181" s="56"/>
      <c r="BJ181" s="56"/>
      <c r="BK181" s="56"/>
      <c r="BS181" s="144"/>
      <c r="CM181" s="144"/>
      <c r="DC181" s="144"/>
    </row>
    <row r="182" spans="1:107" s="96" customFormat="1" x14ac:dyDescent="0.15">
      <c r="A182" s="11">
        <f t="shared" si="20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1"/>
      <c r="M182" s="10"/>
      <c r="N182" s="56"/>
      <c r="O182" s="56">
        <f t="shared" si="15"/>
        <v>0</v>
      </c>
      <c r="P182" s="10"/>
      <c r="Q182" s="158" t="str">
        <f t="shared" si="16"/>
        <v/>
      </c>
      <c r="R182" s="174" t="str">
        <f t="shared" si="17"/>
        <v/>
      </c>
      <c r="S182" s="164"/>
      <c r="T182" s="56"/>
      <c r="U182" s="56"/>
      <c r="V182" s="56"/>
      <c r="W182" s="158" t="str">
        <f t="shared" si="18"/>
        <v/>
      </c>
      <c r="X182" s="174" t="str">
        <f t="shared" si="19"/>
        <v/>
      </c>
      <c r="Y182" s="168"/>
      <c r="Z182" s="10"/>
      <c r="AA182" s="56"/>
      <c r="AB182" s="56"/>
      <c r="AC182" s="56"/>
      <c r="AD182" s="56"/>
      <c r="AE182" s="56"/>
      <c r="AF182" s="170"/>
      <c r="AG182" s="56"/>
      <c r="AH182" s="56"/>
      <c r="AI182" s="168"/>
      <c r="AJ182" s="56"/>
      <c r="AK182" s="56"/>
      <c r="AL182" s="56"/>
      <c r="AM182" s="56"/>
      <c r="AN182" s="56"/>
      <c r="AO182" s="56"/>
      <c r="AP182" s="56"/>
      <c r="AQ182" s="56"/>
      <c r="AR182" s="168"/>
      <c r="AS182" s="56"/>
      <c r="AT182" s="56"/>
      <c r="AU182" s="56"/>
      <c r="AV182" s="56"/>
      <c r="AW182" s="56"/>
      <c r="AX182" s="56"/>
      <c r="AY182" s="56"/>
      <c r="AZ182" s="56"/>
      <c r="BA182" s="168"/>
      <c r="BB182" s="56"/>
      <c r="BC182" s="56"/>
      <c r="BD182" s="56"/>
      <c r="BE182" s="168"/>
      <c r="BF182" s="56"/>
      <c r="BG182" s="10"/>
      <c r="BH182" s="56"/>
      <c r="BI182" s="56"/>
      <c r="BJ182" s="56"/>
      <c r="BK182" s="56"/>
      <c r="BS182" s="144"/>
      <c r="CM182" s="144"/>
      <c r="DC182" s="144"/>
    </row>
    <row r="183" spans="1:107" s="96" customFormat="1" x14ac:dyDescent="0.15">
      <c r="A183" s="11">
        <f t="shared" si="20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1"/>
      <c r="M183" s="10"/>
      <c r="N183" s="56"/>
      <c r="O183" s="56">
        <f t="shared" si="15"/>
        <v>0</v>
      </c>
      <c r="P183" s="10"/>
      <c r="Q183" s="158" t="str">
        <f t="shared" si="16"/>
        <v/>
      </c>
      <c r="R183" s="174" t="str">
        <f t="shared" si="17"/>
        <v/>
      </c>
      <c r="S183" s="164"/>
      <c r="T183" s="56"/>
      <c r="U183" s="56"/>
      <c r="V183" s="56"/>
      <c r="W183" s="158" t="str">
        <f t="shared" si="18"/>
        <v/>
      </c>
      <c r="X183" s="174" t="str">
        <f t="shared" si="19"/>
        <v/>
      </c>
      <c r="Y183" s="168"/>
      <c r="Z183" s="10"/>
      <c r="AA183" s="56"/>
      <c r="AB183" s="56"/>
      <c r="AC183" s="56"/>
      <c r="AD183" s="56"/>
      <c r="AE183" s="56"/>
      <c r="AF183" s="170"/>
      <c r="AG183" s="56"/>
      <c r="AH183" s="56"/>
      <c r="AI183" s="168"/>
      <c r="AJ183" s="56"/>
      <c r="AK183" s="56"/>
      <c r="AL183" s="56"/>
      <c r="AM183" s="56"/>
      <c r="AN183" s="56"/>
      <c r="AO183" s="56"/>
      <c r="AP183" s="56"/>
      <c r="AQ183" s="56"/>
      <c r="AR183" s="168"/>
      <c r="AS183" s="56"/>
      <c r="AT183" s="56"/>
      <c r="AU183" s="56"/>
      <c r="AV183" s="56"/>
      <c r="AW183" s="56"/>
      <c r="AX183" s="56"/>
      <c r="AY183" s="56"/>
      <c r="AZ183" s="56"/>
      <c r="BA183" s="168"/>
      <c r="BB183" s="56"/>
      <c r="BC183" s="56"/>
      <c r="BD183" s="56"/>
      <c r="BE183" s="168"/>
      <c r="BF183" s="56"/>
      <c r="BG183" s="10"/>
      <c r="BH183" s="56"/>
      <c r="BI183" s="56"/>
      <c r="BJ183" s="56"/>
      <c r="BK183" s="56"/>
      <c r="BS183" s="144"/>
      <c r="CM183" s="144"/>
      <c r="DC183" s="144"/>
    </row>
    <row r="184" spans="1:107" s="96" customFormat="1" ht="17.25" thickBot="1" x14ac:dyDescent="0.2">
      <c r="A184" s="11">
        <f t="shared" si="20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1"/>
      <c r="M184" s="10"/>
      <c r="N184" s="56"/>
      <c r="O184" s="56">
        <f t="shared" si="15"/>
        <v>0</v>
      </c>
      <c r="P184" s="10"/>
      <c r="Q184" s="158" t="str">
        <f t="shared" si="16"/>
        <v/>
      </c>
      <c r="R184" s="174" t="str">
        <f t="shared" si="17"/>
        <v/>
      </c>
      <c r="S184" s="164"/>
      <c r="T184" s="56"/>
      <c r="U184" s="56"/>
      <c r="V184" s="56"/>
      <c r="W184" s="158" t="str">
        <f t="shared" si="18"/>
        <v/>
      </c>
      <c r="X184" s="174" t="str">
        <f t="shared" si="19"/>
        <v/>
      </c>
      <c r="Y184" s="168"/>
      <c r="Z184" s="10"/>
      <c r="AA184" s="56"/>
      <c r="AB184" s="56"/>
      <c r="AC184" s="56"/>
      <c r="AD184" s="56"/>
      <c r="AE184" s="56"/>
      <c r="AF184" s="170"/>
      <c r="AG184" s="56"/>
      <c r="AH184" s="56"/>
      <c r="AI184" s="168"/>
      <c r="AJ184" s="56"/>
      <c r="AK184" s="56"/>
      <c r="AL184" s="56"/>
      <c r="AM184" s="56"/>
      <c r="AN184" s="56"/>
      <c r="AO184" s="56"/>
      <c r="AP184" s="56"/>
      <c r="AQ184" s="56"/>
      <c r="AR184" s="168"/>
      <c r="AS184" s="56"/>
      <c r="AT184" s="56"/>
      <c r="AU184" s="56"/>
      <c r="AV184" s="56"/>
      <c r="AW184" s="56"/>
      <c r="AX184" s="56"/>
      <c r="AY184" s="56"/>
      <c r="AZ184" s="56"/>
      <c r="BA184" s="168"/>
      <c r="BB184" s="56"/>
      <c r="BC184" s="56"/>
      <c r="BD184" s="56"/>
      <c r="BE184" s="168"/>
      <c r="BF184" s="56"/>
      <c r="BG184" s="10"/>
      <c r="BH184" s="56"/>
      <c r="BI184" s="56"/>
      <c r="BJ184" s="56"/>
      <c r="BK184" s="56"/>
      <c r="BS184" s="144"/>
      <c r="CM184" s="144"/>
      <c r="DC184" s="144"/>
    </row>
    <row r="185" spans="1:107" s="113" customFormat="1" x14ac:dyDescent="0.15">
      <c r="A185" s="18">
        <f t="shared" si="20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3"/>
      <c r="M185" s="17"/>
      <c r="N185" s="57"/>
      <c r="O185" s="57">
        <f t="shared" si="15"/>
        <v>0</v>
      </c>
      <c r="P185" s="17"/>
      <c r="Q185" s="159" t="str">
        <f t="shared" si="16"/>
        <v/>
      </c>
      <c r="R185" s="175" t="str">
        <f t="shared" si="17"/>
        <v/>
      </c>
      <c r="S185" s="165"/>
      <c r="T185" s="57"/>
      <c r="U185" s="57"/>
      <c r="V185" s="57"/>
      <c r="W185" s="159" t="str">
        <f t="shared" si="18"/>
        <v/>
      </c>
      <c r="X185" s="175" t="str">
        <f t="shared" si="19"/>
        <v/>
      </c>
      <c r="Y185" s="169"/>
      <c r="Z185" s="17"/>
      <c r="AA185" s="57"/>
      <c r="AB185" s="57"/>
      <c r="AC185" s="57"/>
      <c r="AD185" s="57"/>
      <c r="AE185" s="57"/>
      <c r="AF185" s="172"/>
      <c r="AG185" s="57"/>
      <c r="AH185" s="57"/>
      <c r="AI185" s="169"/>
      <c r="AJ185" s="57"/>
      <c r="AK185" s="57"/>
      <c r="AL185" s="57"/>
      <c r="AM185" s="57"/>
      <c r="AN185" s="57"/>
      <c r="AO185" s="57"/>
      <c r="AP185" s="57"/>
      <c r="AQ185" s="57"/>
      <c r="AR185" s="169"/>
      <c r="AS185" s="57"/>
      <c r="AT185" s="57"/>
      <c r="AU185" s="57"/>
      <c r="AV185" s="57"/>
      <c r="AW185" s="57"/>
      <c r="AX185" s="57"/>
      <c r="AY185" s="57"/>
      <c r="AZ185" s="57"/>
      <c r="BA185" s="169"/>
      <c r="BB185" s="57"/>
      <c r="BC185" s="57"/>
      <c r="BD185" s="57"/>
      <c r="BE185" s="169"/>
      <c r="BF185" s="57"/>
      <c r="BG185" s="17"/>
      <c r="BH185" s="57"/>
      <c r="BI185" s="57"/>
      <c r="BJ185" s="57"/>
      <c r="BK185" s="57"/>
      <c r="BS185" s="143"/>
      <c r="CM185" s="143"/>
      <c r="DC185" s="143"/>
    </row>
    <row r="186" spans="1:107" x14ac:dyDescent="0.15">
      <c r="A186" s="11">
        <f t="shared" si="20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6">
        <f t="shared" si="15"/>
        <v>0</v>
      </c>
      <c r="Q186" s="158" t="str">
        <f t="shared" si="16"/>
        <v/>
      </c>
      <c r="R186" s="174" t="str">
        <f t="shared" si="17"/>
        <v/>
      </c>
      <c r="W186" s="158" t="str">
        <f t="shared" si="18"/>
        <v/>
      </c>
      <c r="X186" s="174" t="str">
        <f t="shared" si="19"/>
        <v/>
      </c>
      <c r="BL186" s="108"/>
    </row>
    <row r="187" spans="1:107" x14ac:dyDescent="0.15">
      <c r="A187" s="11">
        <f t="shared" si="20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6">
        <f t="shared" si="15"/>
        <v>0</v>
      </c>
      <c r="Q187" s="158" t="str">
        <f t="shared" si="16"/>
        <v/>
      </c>
      <c r="R187" s="174" t="str">
        <f t="shared" si="17"/>
        <v/>
      </c>
      <c r="W187" s="158" t="str">
        <f t="shared" si="18"/>
        <v/>
      </c>
      <c r="X187" s="174" t="str">
        <f t="shared" si="19"/>
        <v/>
      </c>
      <c r="BL187" s="108"/>
    </row>
    <row r="188" spans="1:107" x14ac:dyDescent="0.15">
      <c r="A188" s="11">
        <f t="shared" si="20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6">
        <f t="shared" si="15"/>
        <v>0</v>
      </c>
      <c r="Q188" s="158" t="str">
        <f t="shared" si="16"/>
        <v/>
      </c>
      <c r="R188" s="174" t="str">
        <f t="shared" si="17"/>
        <v/>
      </c>
      <c r="W188" s="158" t="str">
        <f t="shared" si="18"/>
        <v/>
      </c>
      <c r="X188" s="174" t="str">
        <f t="shared" si="19"/>
        <v/>
      </c>
    </row>
    <row r="189" spans="1:107" x14ac:dyDescent="0.15">
      <c r="A189" s="11">
        <f t="shared" si="20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6">
        <f t="shared" si="15"/>
        <v>0</v>
      </c>
      <c r="Q189" s="158" t="str">
        <f t="shared" si="16"/>
        <v/>
      </c>
      <c r="R189" s="174" t="str">
        <f t="shared" si="17"/>
        <v/>
      </c>
      <c r="W189" s="158" t="str">
        <f t="shared" si="18"/>
        <v/>
      </c>
      <c r="X189" s="174" t="str">
        <f t="shared" si="19"/>
        <v/>
      </c>
    </row>
    <row r="190" spans="1:107" x14ac:dyDescent="0.15">
      <c r="A190" s="11">
        <f t="shared" si="20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6">
        <f t="shared" si="15"/>
        <v>0</v>
      </c>
      <c r="Q190" s="158" t="str">
        <f t="shared" si="16"/>
        <v/>
      </c>
      <c r="R190" s="174" t="str">
        <f t="shared" si="17"/>
        <v/>
      </c>
      <c r="W190" s="158" t="str">
        <f t="shared" si="18"/>
        <v/>
      </c>
      <c r="X190" s="174" t="str">
        <f t="shared" si="19"/>
        <v/>
      </c>
    </row>
    <row r="191" spans="1:107" x14ac:dyDescent="0.15">
      <c r="A191" s="11">
        <f t="shared" si="20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6">
        <f t="shared" si="15"/>
        <v>0</v>
      </c>
      <c r="Q191" s="158" t="str">
        <f t="shared" si="16"/>
        <v/>
      </c>
      <c r="R191" s="174" t="str">
        <f t="shared" si="17"/>
        <v/>
      </c>
      <c r="W191" s="158" t="str">
        <f t="shared" si="18"/>
        <v/>
      </c>
      <c r="X191" s="174" t="str">
        <f t="shared" si="19"/>
        <v/>
      </c>
    </row>
    <row r="192" spans="1:107" x14ac:dyDescent="0.15">
      <c r="A192" s="11">
        <f t="shared" si="20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6">
        <f t="shared" si="15"/>
        <v>0</v>
      </c>
      <c r="Q192" s="158" t="str">
        <f t="shared" si="16"/>
        <v/>
      </c>
      <c r="R192" s="174" t="str">
        <f t="shared" si="17"/>
        <v/>
      </c>
      <c r="W192" s="158" t="str">
        <f t="shared" si="18"/>
        <v/>
      </c>
      <c r="X192" s="174" t="str">
        <f t="shared" si="19"/>
        <v/>
      </c>
    </row>
    <row r="193" spans="1:107" x14ac:dyDescent="0.15">
      <c r="A193" s="11">
        <f t="shared" si="20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6">
        <f t="shared" si="15"/>
        <v>0</v>
      </c>
      <c r="Q193" s="158" t="str">
        <f t="shared" si="16"/>
        <v/>
      </c>
      <c r="R193" s="174" t="str">
        <f t="shared" si="17"/>
        <v/>
      </c>
      <c r="W193" s="158" t="str">
        <f t="shared" si="18"/>
        <v/>
      </c>
      <c r="X193" s="174" t="str">
        <f t="shared" si="19"/>
        <v/>
      </c>
    </row>
    <row r="194" spans="1:107" x14ac:dyDescent="0.15">
      <c r="A194" s="11">
        <f t="shared" si="20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6">
        <f t="shared" si="15"/>
        <v>0</v>
      </c>
      <c r="Q194" s="158" t="str">
        <f t="shared" si="16"/>
        <v/>
      </c>
      <c r="R194" s="174" t="str">
        <f t="shared" si="17"/>
        <v/>
      </c>
      <c r="W194" s="158" t="str">
        <f t="shared" si="18"/>
        <v/>
      </c>
      <c r="X194" s="174" t="str">
        <f t="shared" si="19"/>
        <v/>
      </c>
    </row>
    <row r="195" spans="1:107" s="96" customFormat="1" x14ac:dyDescent="0.15">
      <c r="A195" s="11">
        <f t="shared" si="20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1"/>
      <c r="M195" s="10"/>
      <c r="N195" s="56"/>
      <c r="O195" s="56">
        <f t="shared" si="15"/>
        <v>0</v>
      </c>
      <c r="P195" s="10"/>
      <c r="Q195" s="158" t="str">
        <f t="shared" si="16"/>
        <v/>
      </c>
      <c r="R195" s="174" t="str">
        <f t="shared" si="17"/>
        <v/>
      </c>
      <c r="S195" s="164"/>
      <c r="T195" s="56"/>
      <c r="U195" s="56"/>
      <c r="V195" s="56"/>
      <c r="W195" s="158" t="str">
        <f t="shared" si="18"/>
        <v/>
      </c>
      <c r="X195" s="174" t="str">
        <f t="shared" si="19"/>
        <v/>
      </c>
      <c r="Y195" s="168"/>
      <c r="Z195" s="10"/>
      <c r="AA195" s="56"/>
      <c r="AB195" s="56"/>
      <c r="AC195" s="56"/>
      <c r="AD195" s="56"/>
      <c r="AE195" s="56"/>
      <c r="AF195" s="170"/>
      <c r="AG195" s="56"/>
      <c r="AH195" s="56"/>
      <c r="AI195" s="168"/>
      <c r="AJ195" s="56"/>
      <c r="AK195" s="56"/>
      <c r="AL195" s="56"/>
      <c r="AM195" s="56"/>
      <c r="AN195" s="56"/>
      <c r="AO195" s="56"/>
      <c r="AP195" s="56"/>
      <c r="AQ195" s="56"/>
      <c r="AR195" s="168"/>
      <c r="AS195" s="56"/>
      <c r="AT195" s="56"/>
      <c r="AU195" s="56"/>
      <c r="AV195" s="56"/>
      <c r="AW195" s="56"/>
      <c r="AX195" s="56"/>
      <c r="AY195" s="56"/>
      <c r="AZ195" s="56"/>
      <c r="BA195" s="168"/>
      <c r="BB195" s="56"/>
      <c r="BC195" s="56"/>
      <c r="BD195" s="56"/>
      <c r="BE195" s="168"/>
      <c r="BF195" s="56"/>
      <c r="BG195" s="10"/>
      <c r="BH195" s="56"/>
      <c r="BI195" s="56"/>
      <c r="BJ195" s="56"/>
      <c r="BK195" s="56"/>
      <c r="BS195" s="144"/>
      <c r="CM195" s="144"/>
      <c r="DC195" s="144"/>
    </row>
    <row r="196" spans="1:107" s="96" customFormat="1" x14ac:dyDescent="0.15">
      <c r="A196" s="11">
        <f t="shared" si="20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1"/>
      <c r="M196" s="10"/>
      <c r="N196" s="56"/>
      <c r="O196" s="56">
        <f t="shared" si="15"/>
        <v>0</v>
      </c>
      <c r="P196" s="10"/>
      <c r="Q196" s="158" t="str">
        <f t="shared" si="16"/>
        <v/>
      </c>
      <c r="R196" s="174" t="str">
        <f t="shared" si="17"/>
        <v/>
      </c>
      <c r="S196" s="164"/>
      <c r="T196" s="56"/>
      <c r="U196" s="56"/>
      <c r="V196" s="56"/>
      <c r="W196" s="158" t="str">
        <f t="shared" si="18"/>
        <v/>
      </c>
      <c r="X196" s="174" t="str">
        <f t="shared" si="19"/>
        <v/>
      </c>
      <c r="Y196" s="168"/>
      <c r="Z196" s="10"/>
      <c r="AA196" s="56"/>
      <c r="AB196" s="56"/>
      <c r="AC196" s="56"/>
      <c r="AD196" s="56"/>
      <c r="AE196" s="56"/>
      <c r="AF196" s="170"/>
      <c r="AG196" s="56"/>
      <c r="AH196" s="56"/>
      <c r="AI196" s="168"/>
      <c r="AJ196" s="56"/>
      <c r="AK196" s="56"/>
      <c r="AL196" s="56"/>
      <c r="AM196" s="56"/>
      <c r="AN196" s="56"/>
      <c r="AO196" s="56"/>
      <c r="AP196" s="56"/>
      <c r="AQ196" s="56"/>
      <c r="AR196" s="168"/>
      <c r="AS196" s="56"/>
      <c r="AT196" s="56"/>
      <c r="AU196" s="56"/>
      <c r="AV196" s="56"/>
      <c r="AW196" s="56"/>
      <c r="AX196" s="56"/>
      <c r="AY196" s="56"/>
      <c r="AZ196" s="56"/>
      <c r="BA196" s="168"/>
      <c r="BB196" s="56"/>
      <c r="BC196" s="56"/>
      <c r="BD196" s="56"/>
      <c r="BE196" s="168"/>
      <c r="BF196" s="56"/>
      <c r="BG196" s="10"/>
      <c r="BH196" s="56"/>
      <c r="BI196" s="56"/>
      <c r="BJ196" s="56"/>
      <c r="BK196" s="56"/>
      <c r="BS196" s="144"/>
      <c r="CM196" s="144"/>
      <c r="DC196" s="144"/>
    </row>
    <row r="197" spans="1:107" s="96" customFormat="1" x14ac:dyDescent="0.15">
      <c r="A197" s="11">
        <f t="shared" si="20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1"/>
      <c r="M197" s="10"/>
      <c r="N197" s="56"/>
      <c r="O197" s="56">
        <f t="shared" si="15"/>
        <v>0</v>
      </c>
      <c r="P197" s="10"/>
      <c r="Q197" s="158" t="str">
        <f t="shared" si="16"/>
        <v/>
      </c>
      <c r="R197" s="174" t="str">
        <f t="shared" si="17"/>
        <v/>
      </c>
      <c r="S197" s="164"/>
      <c r="T197" s="56"/>
      <c r="U197" s="56"/>
      <c r="V197" s="56"/>
      <c r="W197" s="158" t="str">
        <f t="shared" si="18"/>
        <v/>
      </c>
      <c r="X197" s="174" t="str">
        <f t="shared" si="19"/>
        <v/>
      </c>
      <c r="Y197" s="168"/>
      <c r="Z197" s="10"/>
      <c r="AA197" s="56"/>
      <c r="AB197" s="56"/>
      <c r="AC197" s="56"/>
      <c r="AD197" s="56"/>
      <c r="AE197" s="56"/>
      <c r="AF197" s="170"/>
      <c r="AG197" s="56"/>
      <c r="AH197" s="56"/>
      <c r="AI197" s="168"/>
      <c r="AJ197" s="56"/>
      <c r="AK197" s="56"/>
      <c r="AL197" s="56"/>
      <c r="AM197" s="56"/>
      <c r="AN197" s="56"/>
      <c r="AO197" s="56"/>
      <c r="AP197" s="56"/>
      <c r="AQ197" s="56"/>
      <c r="AR197" s="168"/>
      <c r="AS197" s="56"/>
      <c r="AT197" s="56"/>
      <c r="AU197" s="56"/>
      <c r="AV197" s="56"/>
      <c r="AW197" s="56"/>
      <c r="AX197" s="56"/>
      <c r="AY197" s="56"/>
      <c r="AZ197" s="56"/>
      <c r="BA197" s="168"/>
      <c r="BB197" s="56"/>
      <c r="BC197" s="56"/>
      <c r="BD197" s="56"/>
      <c r="BE197" s="168"/>
      <c r="BF197" s="56"/>
      <c r="BG197" s="10"/>
      <c r="BH197" s="56"/>
      <c r="BI197" s="56"/>
      <c r="BJ197" s="56"/>
      <c r="BK197" s="56"/>
      <c r="BS197" s="144"/>
      <c r="CM197" s="144"/>
      <c r="DC197" s="144"/>
    </row>
    <row r="198" spans="1:107" s="96" customFormat="1" x14ac:dyDescent="0.15">
      <c r="A198" s="11">
        <f t="shared" si="20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1"/>
      <c r="M198" s="10"/>
      <c r="N198" s="56"/>
      <c r="O198" s="56">
        <f t="shared" ref="O198:O224" si="21">P198*30</f>
        <v>0</v>
      </c>
      <c r="P198" s="10"/>
      <c r="Q198" s="158" t="str">
        <f t="shared" ref="Q198:Q224" si="22">IF((1-(1-O198/100000)^1440)=0,"",1-(1-O198/100000)^1440)</f>
        <v/>
      </c>
      <c r="R198" s="174" t="str">
        <f t="shared" ref="R198:R224" si="23">IF((O198/100000)*1440=0,"",(O198/100000)*1440)</f>
        <v/>
      </c>
      <c r="S198" s="164"/>
      <c r="T198" s="56"/>
      <c r="U198" s="56"/>
      <c r="V198" s="56"/>
      <c r="W198" s="158" t="str">
        <f t="shared" si="18"/>
        <v/>
      </c>
      <c r="X198" s="174" t="str">
        <f t="shared" si="19"/>
        <v/>
      </c>
      <c r="Y198" s="168"/>
      <c r="Z198" s="10"/>
      <c r="AA198" s="56"/>
      <c r="AB198" s="56"/>
      <c r="AC198" s="56"/>
      <c r="AD198" s="56"/>
      <c r="AE198" s="56"/>
      <c r="AF198" s="170"/>
      <c r="AG198" s="56"/>
      <c r="AH198" s="56"/>
      <c r="AI198" s="168"/>
      <c r="AJ198" s="56"/>
      <c r="AK198" s="56"/>
      <c r="AL198" s="56"/>
      <c r="AM198" s="56"/>
      <c r="AN198" s="56"/>
      <c r="AO198" s="56"/>
      <c r="AP198" s="56"/>
      <c r="AQ198" s="56"/>
      <c r="AR198" s="168"/>
      <c r="AS198" s="56"/>
      <c r="AT198" s="56"/>
      <c r="AU198" s="56"/>
      <c r="AV198" s="56"/>
      <c r="AW198" s="56"/>
      <c r="AX198" s="56"/>
      <c r="AY198" s="56"/>
      <c r="AZ198" s="56"/>
      <c r="BA198" s="168"/>
      <c r="BB198" s="56"/>
      <c r="BC198" s="56"/>
      <c r="BD198" s="56"/>
      <c r="BE198" s="168"/>
      <c r="BF198" s="56"/>
      <c r="BG198" s="10"/>
      <c r="BH198" s="56"/>
      <c r="BI198" s="56"/>
      <c r="BJ198" s="56"/>
      <c r="BK198" s="56"/>
      <c r="BS198" s="144"/>
      <c r="CM198" s="144"/>
      <c r="DC198" s="144"/>
    </row>
    <row r="199" spans="1:107" s="96" customFormat="1" x14ac:dyDescent="0.15">
      <c r="A199" s="11">
        <f t="shared" si="20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1"/>
      <c r="M199" s="10"/>
      <c r="N199" s="56"/>
      <c r="O199" s="56">
        <f t="shared" si="21"/>
        <v>0</v>
      </c>
      <c r="P199" s="10"/>
      <c r="Q199" s="158" t="str">
        <f t="shared" si="22"/>
        <v/>
      </c>
      <c r="R199" s="174" t="str">
        <f t="shared" si="23"/>
        <v/>
      </c>
      <c r="S199" s="164"/>
      <c r="T199" s="56"/>
      <c r="U199" s="56"/>
      <c r="V199" s="56"/>
      <c r="W199" s="158" t="str">
        <f t="shared" si="18"/>
        <v/>
      </c>
      <c r="X199" s="174" t="str">
        <f t="shared" si="19"/>
        <v/>
      </c>
      <c r="Y199" s="168"/>
      <c r="Z199" s="10"/>
      <c r="AA199" s="56"/>
      <c r="AB199" s="56"/>
      <c r="AC199" s="56"/>
      <c r="AD199" s="56"/>
      <c r="AE199" s="56"/>
      <c r="AF199" s="170"/>
      <c r="AG199" s="56"/>
      <c r="AH199" s="56"/>
      <c r="AI199" s="168"/>
      <c r="AJ199" s="56"/>
      <c r="AK199" s="56"/>
      <c r="AL199" s="56"/>
      <c r="AM199" s="56"/>
      <c r="AN199" s="56"/>
      <c r="AO199" s="56"/>
      <c r="AP199" s="56"/>
      <c r="AQ199" s="56"/>
      <c r="AR199" s="168"/>
      <c r="AS199" s="56"/>
      <c r="AT199" s="56"/>
      <c r="AU199" s="56"/>
      <c r="AV199" s="56"/>
      <c r="AW199" s="56"/>
      <c r="AX199" s="56"/>
      <c r="AY199" s="56"/>
      <c r="AZ199" s="56"/>
      <c r="BA199" s="168"/>
      <c r="BB199" s="56"/>
      <c r="BC199" s="56"/>
      <c r="BD199" s="56"/>
      <c r="BE199" s="168"/>
      <c r="BF199" s="56"/>
      <c r="BG199" s="10"/>
      <c r="BH199" s="56"/>
      <c r="BI199" s="56"/>
      <c r="BJ199" s="56"/>
      <c r="BK199" s="56"/>
      <c r="BS199" s="144"/>
      <c r="CM199" s="144"/>
      <c r="DC199" s="144"/>
    </row>
    <row r="200" spans="1:107" s="96" customFormat="1" x14ac:dyDescent="0.15">
      <c r="A200" s="11">
        <f t="shared" si="20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1"/>
      <c r="M200" s="10"/>
      <c r="N200" s="56"/>
      <c r="O200" s="56">
        <f t="shared" si="21"/>
        <v>0</v>
      </c>
      <c r="P200" s="10"/>
      <c r="Q200" s="158" t="str">
        <f t="shared" si="22"/>
        <v/>
      </c>
      <c r="R200" s="174" t="str">
        <f t="shared" si="23"/>
        <v/>
      </c>
      <c r="S200" s="164"/>
      <c r="T200" s="56"/>
      <c r="U200" s="56"/>
      <c r="V200" s="56"/>
      <c r="W200" s="158" t="str">
        <f t="shared" si="18"/>
        <v/>
      </c>
      <c r="X200" s="174" t="str">
        <f t="shared" si="19"/>
        <v/>
      </c>
      <c r="Y200" s="168"/>
      <c r="Z200" s="10"/>
      <c r="AA200" s="56"/>
      <c r="AB200" s="56"/>
      <c r="AC200" s="56"/>
      <c r="AD200" s="56"/>
      <c r="AE200" s="56"/>
      <c r="AF200" s="170"/>
      <c r="AG200" s="56"/>
      <c r="AH200" s="56"/>
      <c r="AI200" s="168"/>
      <c r="AJ200" s="56"/>
      <c r="AK200" s="56"/>
      <c r="AL200" s="56"/>
      <c r="AM200" s="56"/>
      <c r="AN200" s="56"/>
      <c r="AO200" s="56"/>
      <c r="AP200" s="56"/>
      <c r="AQ200" s="56"/>
      <c r="AR200" s="168"/>
      <c r="AS200" s="56"/>
      <c r="AT200" s="56"/>
      <c r="AU200" s="56"/>
      <c r="AV200" s="56"/>
      <c r="AW200" s="56"/>
      <c r="AX200" s="56"/>
      <c r="AY200" s="56"/>
      <c r="AZ200" s="56"/>
      <c r="BA200" s="168"/>
      <c r="BB200" s="56"/>
      <c r="BC200" s="56"/>
      <c r="BD200" s="56"/>
      <c r="BE200" s="168"/>
      <c r="BF200" s="56"/>
      <c r="BG200" s="10"/>
      <c r="BH200" s="56"/>
      <c r="BI200" s="56"/>
      <c r="BJ200" s="56"/>
      <c r="BK200" s="56"/>
      <c r="BS200" s="144"/>
      <c r="CM200" s="144"/>
      <c r="DC200" s="144"/>
    </row>
    <row r="201" spans="1:107" s="96" customFormat="1" x14ac:dyDescent="0.15">
      <c r="A201" s="11">
        <f t="shared" si="20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1"/>
      <c r="M201" s="10"/>
      <c r="N201" s="56"/>
      <c r="O201" s="56">
        <f t="shared" si="21"/>
        <v>0</v>
      </c>
      <c r="P201" s="10"/>
      <c r="Q201" s="158" t="str">
        <f t="shared" si="22"/>
        <v/>
      </c>
      <c r="R201" s="174" t="str">
        <f t="shared" si="23"/>
        <v/>
      </c>
      <c r="S201" s="164"/>
      <c r="T201" s="56"/>
      <c r="U201" s="56"/>
      <c r="V201" s="56"/>
      <c r="W201" s="158" t="str">
        <f t="shared" si="18"/>
        <v/>
      </c>
      <c r="X201" s="174" t="str">
        <f t="shared" si="19"/>
        <v/>
      </c>
      <c r="Y201" s="168"/>
      <c r="Z201" s="10"/>
      <c r="AA201" s="56"/>
      <c r="AB201" s="56"/>
      <c r="AC201" s="56"/>
      <c r="AD201" s="56"/>
      <c r="AE201" s="56"/>
      <c r="AF201" s="170"/>
      <c r="AG201" s="56"/>
      <c r="AH201" s="56"/>
      <c r="AI201" s="168"/>
      <c r="AJ201" s="56"/>
      <c r="AK201" s="56"/>
      <c r="AL201" s="56"/>
      <c r="AM201" s="56"/>
      <c r="AN201" s="56"/>
      <c r="AO201" s="56"/>
      <c r="AP201" s="56"/>
      <c r="AQ201" s="56"/>
      <c r="AR201" s="168"/>
      <c r="AS201" s="56"/>
      <c r="AT201" s="56"/>
      <c r="AU201" s="56"/>
      <c r="AV201" s="56"/>
      <c r="AW201" s="56"/>
      <c r="AX201" s="56"/>
      <c r="AY201" s="56"/>
      <c r="AZ201" s="56"/>
      <c r="BA201" s="168"/>
      <c r="BB201" s="56"/>
      <c r="BC201" s="56"/>
      <c r="BD201" s="56"/>
      <c r="BE201" s="168"/>
      <c r="BF201" s="56"/>
      <c r="BG201" s="10"/>
      <c r="BH201" s="56"/>
      <c r="BI201" s="56"/>
      <c r="BJ201" s="56"/>
      <c r="BK201" s="56"/>
      <c r="BS201" s="144"/>
      <c r="CM201" s="144"/>
      <c r="DC201" s="144"/>
    </row>
    <row r="202" spans="1:107" s="96" customFormat="1" x14ac:dyDescent="0.15">
      <c r="A202" s="11">
        <f t="shared" si="20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1"/>
      <c r="M202" s="10"/>
      <c r="N202" s="56"/>
      <c r="O202" s="56">
        <f t="shared" si="21"/>
        <v>0</v>
      </c>
      <c r="P202" s="10"/>
      <c r="Q202" s="158" t="str">
        <f t="shared" si="22"/>
        <v/>
      </c>
      <c r="R202" s="174" t="str">
        <f t="shared" si="23"/>
        <v/>
      </c>
      <c r="S202" s="164"/>
      <c r="T202" s="56"/>
      <c r="U202" s="56"/>
      <c r="V202" s="56"/>
      <c r="W202" s="158" t="str">
        <f t="shared" si="18"/>
        <v/>
      </c>
      <c r="X202" s="174" t="str">
        <f t="shared" si="19"/>
        <v/>
      </c>
      <c r="Y202" s="168"/>
      <c r="Z202" s="10"/>
      <c r="AA202" s="56"/>
      <c r="AB202" s="56"/>
      <c r="AC202" s="56"/>
      <c r="AD202" s="56"/>
      <c r="AE202" s="56"/>
      <c r="AF202" s="170"/>
      <c r="AG202" s="56"/>
      <c r="AH202" s="56"/>
      <c r="AI202" s="168"/>
      <c r="AJ202" s="56"/>
      <c r="AK202" s="56"/>
      <c r="AL202" s="56"/>
      <c r="AM202" s="56"/>
      <c r="AN202" s="56"/>
      <c r="AO202" s="56"/>
      <c r="AP202" s="56"/>
      <c r="AQ202" s="56"/>
      <c r="AR202" s="168"/>
      <c r="AS202" s="56"/>
      <c r="AT202" s="56"/>
      <c r="AU202" s="56"/>
      <c r="AV202" s="56"/>
      <c r="AW202" s="56"/>
      <c r="AX202" s="56"/>
      <c r="AY202" s="56"/>
      <c r="AZ202" s="56"/>
      <c r="BA202" s="168"/>
      <c r="BB202" s="56"/>
      <c r="BC202" s="56"/>
      <c r="BD202" s="56"/>
      <c r="BE202" s="168"/>
      <c r="BF202" s="56"/>
      <c r="BG202" s="10"/>
      <c r="BH202" s="56"/>
      <c r="BI202" s="56"/>
      <c r="BJ202" s="56"/>
      <c r="BK202" s="56"/>
      <c r="BS202" s="144"/>
      <c r="CM202" s="144"/>
      <c r="DC202" s="144"/>
    </row>
    <row r="203" spans="1:107" s="96" customFormat="1" x14ac:dyDescent="0.15">
      <c r="A203" s="11">
        <f t="shared" si="20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1"/>
      <c r="M203" s="10"/>
      <c r="N203" s="56"/>
      <c r="O203" s="56">
        <f t="shared" si="21"/>
        <v>0</v>
      </c>
      <c r="P203" s="10"/>
      <c r="Q203" s="158" t="str">
        <f t="shared" si="22"/>
        <v/>
      </c>
      <c r="R203" s="174" t="str">
        <f t="shared" si="23"/>
        <v/>
      </c>
      <c r="S203" s="164"/>
      <c r="T203" s="56"/>
      <c r="U203" s="56"/>
      <c r="V203" s="56"/>
      <c r="W203" s="158" t="str">
        <f t="shared" si="18"/>
        <v/>
      </c>
      <c r="X203" s="174" t="str">
        <f t="shared" si="19"/>
        <v/>
      </c>
      <c r="Y203" s="168"/>
      <c r="Z203" s="10"/>
      <c r="AA203" s="56"/>
      <c r="AB203" s="56"/>
      <c r="AC203" s="56"/>
      <c r="AD203" s="56"/>
      <c r="AE203" s="56"/>
      <c r="AF203" s="170"/>
      <c r="AG203" s="56"/>
      <c r="AH203" s="56"/>
      <c r="AI203" s="168"/>
      <c r="AJ203" s="56"/>
      <c r="AK203" s="56"/>
      <c r="AL203" s="56"/>
      <c r="AM203" s="56"/>
      <c r="AN203" s="56"/>
      <c r="AO203" s="56"/>
      <c r="AP203" s="56"/>
      <c r="AQ203" s="56"/>
      <c r="AR203" s="168"/>
      <c r="AS203" s="56"/>
      <c r="AT203" s="56"/>
      <c r="AU203" s="56"/>
      <c r="AV203" s="56"/>
      <c r="AW203" s="56"/>
      <c r="AX203" s="56"/>
      <c r="AY203" s="56"/>
      <c r="AZ203" s="56"/>
      <c r="BA203" s="168"/>
      <c r="BB203" s="56"/>
      <c r="BC203" s="56"/>
      <c r="BD203" s="56"/>
      <c r="BE203" s="168"/>
      <c r="BF203" s="56"/>
      <c r="BG203" s="10"/>
      <c r="BH203" s="56"/>
      <c r="BI203" s="56"/>
      <c r="BJ203" s="56"/>
      <c r="BK203" s="56"/>
      <c r="BS203" s="144"/>
      <c r="CM203" s="144"/>
      <c r="DC203" s="144"/>
    </row>
    <row r="204" spans="1:107" s="96" customFormat="1" ht="17.25" thickBot="1" x14ac:dyDescent="0.2">
      <c r="A204" s="11">
        <f t="shared" si="20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1"/>
      <c r="M204" s="10"/>
      <c r="N204" s="56"/>
      <c r="O204" s="56">
        <f t="shared" si="21"/>
        <v>0</v>
      </c>
      <c r="P204" s="10"/>
      <c r="Q204" s="158" t="str">
        <f t="shared" si="22"/>
        <v/>
      </c>
      <c r="R204" s="174" t="str">
        <f t="shared" si="23"/>
        <v/>
      </c>
      <c r="S204" s="164"/>
      <c r="T204" s="56"/>
      <c r="U204" s="56"/>
      <c r="V204" s="56"/>
      <c r="W204" s="158" t="str">
        <f t="shared" si="18"/>
        <v/>
      </c>
      <c r="X204" s="174" t="str">
        <f t="shared" si="19"/>
        <v/>
      </c>
      <c r="Y204" s="168"/>
      <c r="Z204" s="10"/>
      <c r="AA204" s="56"/>
      <c r="AB204" s="56"/>
      <c r="AC204" s="56"/>
      <c r="AD204" s="56"/>
      <c r="AE204" s="56"/>
      <c r="AF204" s="170"/>
      <c r="AG204" s="56"/>
      <c r="AH204" s="56"/>
      <c r="AI204" s="168"/>
      <c r="AJ204" s="56"/>
      <c r="AK204" s="56"/>
      <c r="AL204" s="56"/>
      <c r="AM204" s="56"/>
      <c r="AN204" s="56"/>
      <c r="AO204" s="56"/>
      <c r="AP204" s="56"/>
      <c r="AQ204" s="56"/>
      <c r="AR204" s="168"/>
      <c r="AS204" s="56"/>
      <c r="AT204" s="56"/>
      <c r="AU204" s="56"/>
      <c r="AV204" s="56"/>
      <c r="AW204" s="56"/>
      <c r="AX204" s="56"/>
      <c r="AY204" s="56"/>
      <c r="AZ204" s="56"/>
      <c r="BA204" s="168"/>
      <c r="BB204" s="56"/>
      <c r="BC204" s="56"/>
      <c r="BD204" s="56"/>
      <c r="BE204" s="168"/>
      <c r="BF204" s="56"/>
      <c r="BG204" s="10"/>
      <c r="BH204" s="56"/>
      <c r="BI204" s="56"/>
      <c r="BJ204" s="56"/>
      <c r="BK204" s="56"/>
      <c r="BS204" s="144"/>
      <c r="CM204" s="144"/>
      <c r="DC204" s="144"/>
    </row>
    <row r="205" spans="1:107" s="113" customFormat="1" x14ac:dyDescent="0.15">
      <c r="A205" s="18">
        <f t="shared" si="20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3"/>
      <c r="M205" s="17"/>
      <c r="N205" s="57"/>
      <c r="O205" s="57">
        <f t="shared" si="21"/>
        <v>0</v>
      </c>
      <c r="P205" s="17"/>
      <c r="Q205" s="159" t="str">
        <f t="shared" si="22"/>
        <v/>
      </c>
      <c r="R205" s="175" t="str">
        <f t="shared" si="23"/>
        <v/>
      </c>
      <c r="S205" s="165"/>
      <c r="T205" s="57"/>
      <c r="U205" s="57"/>
      <c r="V205" s="57"/>
      <c r="W205" s="159" t="str">
        <f t="shared" si="18"/>
        <v/>
      </c>
      <c r="X205" s="175" t="str">
        <f t="shared" si="19"/>
        <v/>
      </c>
      <c r="Y205" s="169"/>
      <c r="Z205" s="17"/>
      <c r="AA205" s="57"/>
      <c r="AB205" s="57"/>
      <c r="AC205" s="57"/>
      <c r="AD205" s="57"/>
      <c r="AE205" s="57"/>
      <c r="AF205" s="172"/>
      <c r="AG205" s="57"/>
      <c r="AH205" s="57"/>
      <c r="AI205" s="169"/>
      <c r="AJ205" s="57"/>
      <c r="AK205" s="57"/>
      <c r="AL205" s="57"/>
      <c r="AM205" s="57"/>
      <c r="AN205" s="57"/>
      <c r="AO205" s="57"/>
      <c r="AP205" s="57"/>
      <c r="AQ205" s="57"/>
      <c r="AR205" s="169"/>
      <c r="AS205" s="57"/>
      <c r="AT205" s="57"/>
      <c r="AU205" s="57"/>
      <c r="AV205" s="57"/>
      <c r="AW205" s="57"/>
      <c r="AX205" s="57"/>
      <c r="AY205" s="57"/>
      <c r="AZ205" s="57"/>
      <c r="BA205" s="169"/>
      <c r="BB205" s="57"/>
      <c r="BC205" s="57"/>
      <c r="BD205" s="57"/>
      <c r="BE205" s="169"/>
      <c r="BF205" s="57"/>
      <c r="BG205" s="17"/>
      <c r="BH205" s="57"/>
      <c r="BI205" s="57"/>
      <c r="BJ205" s="57"/>
      <c r="BK205" s="57"/>
      <c r="BS205" s="143"/>
      <c r="CM205" s="143"/>
      <c r="DC205" s="143"/>
    </row>
    <row r="206" spans="1:107" x14ac:dyDescent="0.15">
      <c r="A206" s="11">
        <f t="shared" si="20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6">
        <f t="shared" si="21"/>
        <v>0</v>
      </c>
      <c r="Q206" s="158" t="str">
        <f t="shared" si="22"/>
        <v/>
      </c>
      <c r="R206" s="174" t="str">
        <f t="shared" si="23"/>
        <v/>
      </c>
      <c r="W206" s="158" t="str">
        <f t="shared" si="18"/>
        <v/>
      </c>
      <c r="X206" s="174" t="str">
        <f t="shared" si="19"/>
        <v/>
      </c>
      <c r="BL206" s="108"/>
    </row>
    <row r="207" spans="1:107" x14ac:dyDescent="0.15">
      <c r="A207" s="11">
        <f t="shared" si="20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6">
        <f t="shared" si="21"/>
        <v>0</v>
      </c>
      <c r="Q207" s="158" t="str">
        <f t="shared" si="22"/>
        <v/>
      </c>
      <c r="R207" s="174" t="str">
        <f t="shared" si="23"/>
        <v/>
      </c>
      <c r="W207" s="158" t="str">
        <f t="shared" si="18"/>
        <v/>
      </c>
      <c r="X207" s="174" t="str">
        <f t="shared" si="19"/>
        <v/>
      </c>
      <c r="BL207" s="108"/>
    </row>
    <row r="208" spans="1:107" x14ac:dyDescent="0.15">
      <c r="A208" s="11">
        <f t="shared" si="20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6">
        <f t="shared" si="21"/>
        <v>0</v>
      </c>
      <c r="Q208" s="158" t="str">
        <f t="shared" si="22"/>
        <v/>
      </c>
      <c r="R208" s="174" t="str">
        <f t="shared" si="23"/>
        <v/>
      </c>
      <c r="W208" s="158" t="str">
        <f t="shared" si="18"/>
        <v/>
      </c>
      <c r="X208" s="174" t="str">
        <f t="shared" si="19"/>
        <v/>
      </c>
    </row>
    <row r="209" spans="1:107" x14ac:dyDescent="0.15">
      <c r="A209" s="11">
        <f t="shared" si="20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6">
        <f t="shared" si="21"/>
        <v>0</v>
      </c>
      <c r="Q209" s="158" t="str">
        <f t="shared" si="22"/>
        <v/>
      </c>
      <c r="R209" s="174" t="str">
        <f t="shared" si="23"/>
        <v/>
      </c>
      <c r="W209" s="158" t="str">
        <f t="shared" si="18"/>
        <v/>
      </c>
      <c r="X209" s="174" t="str">
        <f t="shared" si="19"/>
        <v/>
      </c>
    </row>
    <row r="210" spans="1:107" x14ac:dyDescent="0.15">
      <c r="A210" s="11">
        <f t="shared" si="20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6">
        <f t="shared" si="21"/>
        <v>0</v>
      </c>
      <c r="Q210" s="158" t="str">
        <f t="shared" si="22"/>
        <v/>
      </c>
      <c r="R210" s="174" t="str">
        <f t="shared" si="23"/>
        <v/>
      </c>
      <c r="W210" s="158" t="str">
        <f t="shared" si="18"/>
        <v/>
      </c>
      <c r="X210" s="174" t="str">
        <f t="shared" si="19"/>
        <v/>
      </c>
    </row>
    <row r="211" spans="1:107" x14ac:dyDescent="0.15">
      <c r="A211" s="11">
        <f t="shared" si="20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6">
        <f t="shared" si="21"/>
        <v>0</v>
      </c>
      <c r="Q211" s="158" t="str">
        <f t="shared" si="22"/>
        <v/>
      </c>
      <c r="R211" s="174" t="str">
        <f t="shared" si="23"/>
        <v/>
      </c>
      <c r="W211" s="158" t="str">
        <f t="shared" si="18"/>
        <v/>
      </c>
      <c r="X211" s="174" t="str">
        <f t="shared" si="19"/>
        <v/>
      </c>
    </row>
    <row r="212" spans="1:107" x14ac:dyDescent="0.15">
      <c r="A212" s="11">
        <f t="shared" si="20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6">
        <f t="shared" si="21"/>
        <v>0</v>
      </c>
      <c r="Q212" s="158" t="str">
        <f t="shared" si="22"/>
        <v/>
      </c>
      <c r="R212" s="174" t="str">
        <f t="shared" si="23"/>
        <v/>
      </c>
      <c r="W212" s="158" t="str">
        <f t="shared" si="18"/>
        <v/>
      </c>
      <c r="X212" s="174" t="str">
        <f t="shared" si="19"/>
        <v/>
      </c>
    </row>
    <row r="213" spans="1:107" x14ac:dyDescent="0.15">
      <c r="A213" s="11">
        <f t="shared" si="20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6">
        <f t="shared" si="21"/>
        <v>0</v>
      </c>
      <c r="Q213" s="158" t="str">
        <f t="shared" si="22"/>
        <v/>
      </c>
      <c r="R213" s="174" t="str">
        <f t="shared" si="23"/>
        <v/>
      </c>
      <c r="W213" s="158" t="str">
        <f t="shared" si="18"/>
        <v/>
      </c>
      <c r="X213" s="174" t="str">
        <f t="shared" si="19"/>
        <v/>
      </c>
    </row>
    <row r="214" spans="1:107" x14ac:dyDescent="0.15">
      <c r="A214" s="11">
        <f t="shared" si="20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6">
        <f t="shared" si="21"/>
        <v>0</v>
      </c>
      <c r="Q214" s="158" t="str">
        <f t="shared" si="22"/>
        <v/>
      </c>
      <c r="R214" s="174" t="str">
        <f t="shared" si="23"/>
        <v/>
      </c>
      <c r="W214" s="158" t="str">
        <f t="shared" ref="W214:W224" si="24">IF((1-(1-T214/100000)^L214)=0,"",1-(1-T214/100000)^L214)</f>
        <v/>
      </c>
      <c r="X214" s="174" t="str">
        <f t="shared" ref="X214:X224" si="25">IF((T214/100000)*L214=0,"",(T214/100000)*L214)</f>
        <v/>
      </c>
    </row>
    <row r="215" spans="1:107" s="96" customFormat="1" x14ac:dyDescent="0.15">
      <c r="A215" s="11">
        <f t="shared" si="20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1"/>
      <c r="M215" s="10"/>
      <c r="N215" s="56"/>
      <c r="O215" s="56">
        <f t="shared" si="21"/>
        <v>0</v>
      </c>
      <c r="P215" s="10"/>
      <c r="Q215" s="158" t="str">
        <f t="shared" si="22"/>
        <v/>
      </c>
      <c r="R215" s="174" t="str">
        <f t="shared" si="23"/>
        <v/>
      </c>
      <c r="S215" s="164"/>
      <c r="T215" s="56"/>
      <c r="U215" s="56"/>
      <c r="V215" s="56"/>
      <c r="W215" s="158" t="str">
        <f t="shared" si="24"/>
        <v/>
      </c>
      <c r="X215" s="174" t="str">
        <f t="shared" si="25"/>
        <v/>
      </c>
      <c r="Y215" s="168"/>
      <c r="Z215" s="10"/>
      <c r="AA215" s="56"/>
      <c r="AB215" s="56"/>
      <c r="AC215" s="56"/>
      <c r="AD215" s="56"/>
      <c r="AE215" s="56"/>
      <c r="AF215" s="170"/>
      <c r="AG215" s="56"/>
      <c r="AH215" s="56"/>
      <c r="AI215" s="168"/>
      <c r="AJ215" s="56"/>
      <c r="AK215" s="56"/>
      <c r="AL215" s="56"/>
      <c r="AM215" s="56"/>
      <c r="AN215" s="56"/>
      <c r="AO215" s="56"/>
      <c r="AP215" s="56"/>
      <c r="AQ215" s="56"/>
      <c r="AR215" s="168"/>
      <c r="AS215" s="56"/>
      <c r="AT215" s="56"/>
      <c r="AU215" s="56"/>
      <c r="AV215" s="56"/>
      <c r="AW215" s="56"/>
      <c r="AX215" s="56"/>
      <c r="AY215" s="56"/>
      <c r="AZ215" s="56"/>
      <c r="BA215" s="168"/>
      <c r="BB215" s="56"/>
      <c r="BC215" s="56"/>
      <c r="BD215" s="56"/>
      <c r="BE215" s="168"/>
      <c r="BF215" s="56"/>
      <c r="BG215" s="10"/>
      <c r="BH215" s="56"/>
      <c r="BI215" s="56"/>
      <c r="BJ215" s="56"/>
      <c r="BK215" s="56"/>
      <c r="BS215" s="144"/>
      <c r="CM215" s="144"/>
      <c r="DC215" s="144"/>
    </row>
    <row r="216" spans="1:107" s="96" customFormat="1" x14ac:dyDescent="0.15">
      <c r="A216" s="11">
        <f t="shared" si="20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1"/>
      <c r="M216" s="10"/>
      <c r="N216" s="56"/>
      <c r="O216" s="56">
        <f t="shared" si="21"/>
        <v>0</v>
      </c>
      <c r="P216" s="10"/>
      <c r="Q216" s="158" t="str">
        <f t="shared" si="22"/>
        <v/>
      </c>
      <c r="R216" s="174" t="str">
        <f t="shared" si="23"/>
        <v/>
      </c>
      <c r="S216" s="164"/>
      <c r="T216" s="56"/>
      <c r="U216" s="56"/>
      <c r="V216" s="56"/>
      <c r="W216" s="158" t="str">
        <f t="shared" si="24"/>
        <v/>
      </c>
      <c r="X216" s="174" t="str">
        <f t="shared" si="25"/>
        <v/>
      </c>
      <c r="Y216" s="168"/>
      <c r="Z216" s="10"/>
      <c r="AA216" s="56"/>
      <c r="AB216" s="56"/>
      <c r="AC216" s="56"/>
      <c r="AD216" s="56"/>
      <c r="AE216" s="56"/>
      <c r="AF216" s="170"/>
      <c r="AG216" s="56"/>
      <c r="AH216" s="56"/>
      <c r="AI216" s="168"/>
      <c r="AJ216" s="56"/>
      <c r="AK216" s="56"/>
      <c r="AL216" s="56"/>
      <c r="AM216" s="56"/>
      <c r="AN216" s="56"/>
      <c r="AO216" s="56"/>
      <c r="AP216" s="56"/>
      <c r="AQ216" s="56"/>
      <c r="AR216" s="168"/>
      <c r="AS216" s="56"/>
      <c r="AT216" s="56"/>
      <c r="AU216" s="56"/>
      <c r="AV216" s="56"/>
      <c r="AW216" s="56"/>
      <c r="AX216" s="56"/>
      <c r="AY216" s="56"/>
      <c r="AZ216" s="56"/>
      <c r="BA216" s="168"/>
      <c r="BB216" s="56"/>
      <c r="BC216" s="56"/>
      <c r="BD216" s="56"/>
      <c r="BE216" s="168"/>
      <c r="BF216" s="56"/>
      <c r="BG216" s="10"/>
      <c r="BH216" s="56"/>
      <c r="BI216" s="56"/>
      <c r="BJ216" s="56"/>
      <c r="BK216" s="56"/>
      <c r="BS216" s="144"/>
      <c r="CM216" s="144"/>
      <c r="DC216" s="144"/>
    </row>
    <row r="217" spans="1:107" s="96" customFormat="1" x14ac:dyDescent="0.15">
      <c r="A217" s="11">
        <f t="shared" si="20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1"/>
      <c r="M217" s="10"/>
      <c r="N217" s="56"/>
      <c r="O217" s="56">
        <f t="shared" si="21"/>
        <v>0</v>
      </c>
      <c r="P217" s="10"/>
      <c r="Q217" s="158" t="str">
        <f t="shared" si="22"/>
        <v/>
      </c>
      <c r="R217" s="174" t="str">
        <f t="shared" si="23"/>
        <v/>
      </c>
      <c r="S217" s="164"/>
      <c r="T217" s="56"/>
      <c r="U217" s="56"/>
      <c r="V217" s="56"/>
      <c r="W217" s="158" t="str">
        <f t="shared" si="24"/>
        <v/>
      </c>
      <c r="X217" s="174" t="str">
        <f t="shared" si="25"/>
        <v/>
      </c>
      <c r="Y217" s="168"/>
      <c r="Z217" s="10"/>
      <c r="AA217" s="56"/>
      <c r="AB217" s="56"/>
      <c r="AC217" s="56"/>
      <c r="AD217" s="56"/>
      <c r="AE217" s="56"/>
      <c r="AF217" s="170"/>
      <c r="AG217" s="56"/>
      <c r="AH217" s="56"/>
      <c r="AI217" s="168"/>
      <c r="AJ217" s="56"/>
      <c r="AK217" s="56"/>
      <c r="AL217" s="56"/>
      <c r="AM217" s="56"/>
      <c r="AN217" s="56"/>
      <c r="AO217" s="56"/>
      <c r="AP217" s="56"/>
      <c r="AQ217" s="56"/>
      <c r="AR217" s="168"/>
      <c r="AS217" s="56"/>
      <c r="AT217" s="56"/>
      <c r="AU217" s="56"/>
      <c r="AV217" s="56"/>
      <c r="AW217" s="56"/>
      <c r="AX217" s="56"/>
      <c r="AY217" s="56"/>
      <c r="AZ217" s="56"/>
      <c r="BA217" s="168"/>
      <c r="BB217" s="56"/>
      <c r="BC217" s="56"/>
      <c r="BD217" s="56"/>
      <c r="BE217" s="168"/>
      <c r="BF217" s="56"/>
      <c r="BG217" s="10"/>
      <c r="BH217" s="56"/>
      <c r="BI217" s="56"/>
      <c r="BJ217" s="56"/>
      <c r="BK217" s="56"/>
      <c r="BS217" s="144"/>
      <c r="CM217" s="144"/>
      <c r="DC217" s="144"/>
    </row>
    <row r="218" spans="1:107" s="96" customFormat="1" x14ac:dyDescent="0.15">
      <c r="A218" s="11">
        <f t="shared" ref="A218:A224" si="26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1"/>
      <c r="M218" s="10"/>
      <c r="N218" s="56"/>
      <c r="O218" s="56">
        <f t="shared" si="21"/>
        <v>0</v>
      </c>
      <c r="P218" s="10"/>
      <c r="Q218" s="158" t="str">
        <f t="shared" si="22"/>
        <v/>
      </c>
      <c r="R218" s="174" t="str">
        <f t="shared" si="23"/>
        <v/>
      </c>
      <c r="S218" s="164"/>
      <c r="T218" s="56"/>
      <c r="U218" s="56"/>
      <c r="V218" s="56"/>
      <c r="W218" s="158" t="str">
        <f t="shared" si="24"/>
        <v/>
      </c>
      <c r="X218" s="174" t="str">
        <f t="shared" si="25"/>
        <v/>
      </c>
      <c r="Y218" s="168"/>
      <c r="Z218" s="10"/>
      <c r="AA218" s="56"/>
      <c r="AB218" s="56"/>
      <c r="AC218" s="56"/>
      <c r="AD218" s="56"/>
      <c r="AE218" s="56"/>
      <c r="AF218" s="170"/>
      <c r="AG218" s="56"/>
      <c r="AH218" s="56"/>
      <c r="AI218" s="168"/>
      <c r="AJ218" s="56"/>
      <c r="AK218" s="56"/>
      <c r="AL218" s="56"/>
      <c r="AM218" s="56"/>
      <c r="AN218" s="56"/>
      <c r="AO218" s="56"/>
      <c r="AP218" s="56"/>
      <c r="AQ218" s="56"/>
      <c r="AR218" s="168"/>
      <c r="AS218" s="56"/>
      <c r="AT218" s="56"/>
      <c r="AU218" s="56"/>
      <c r="AV218" s="56"/>
      <c r="AW218" s="56"/>
      <c r="AX218" s="56"/>
      <c r="AY218" s="56"/>
      <c r="AZ218" s="56"/>
      <c r="BA218" s="168"/>
      <c r="BB218" s="56"/>
      <c r="BC218" s="56"/>
      <c r="BD218" s="56"/>
      <c r="BE218" s="168"/>
      <c r="BF218" s="56"/>
      <c r="BG218" s="10"/>
      <c r="BH218" s="56"/>
      <c r="BI218" s="56"/>
      <c r="BJ218" s="56"/>
      <c r="BK218" s="56"/>
      <c r="BS218" s="144"/>
      <c r="CM218" s="144"/>
      <c r="DC218" s="144"/>
    </row>
    <row r="219" spans="1:107" s="96" customFormat="1" x14ac:dyDescent="0.15">
      <c r="A219" s="11">
        <f t="shared" si="26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1"/>
      <c r="M219" s="10"/>
      <c r="N219" s="56"/>
      <c r="O219" s="56">
        <f t="shared" si="21"/>
        <v>0</v>
      </c>
      <c r="P219" s="10"/>
      <c r="Q219" s="158" t="str">
        <f t="shared" si="22"/>
        <v/>
      </c>
      <c r="R219" s="174" t="str">
        <f t="shared" si="23"/>
        <v/>
      </c>
      <c r="S219" s="164"/>
      <c r="T219" s="56"/>
      <c r="U219" s="56"/>
      <c r="V219" s="56"/>
      <c r="W219" s="158" t="str">
        <f t="shared" si="24"/>
        <v/>
      </c>
      <c r="X219" s="174" t="str">
        <f t="shared" si="25"/>
        <v/>
      </c>
      <c r="Y219" s="168"/>
      <c r="Z219" s="10"/>
      <c r="AA219" s="56"/>
      <c r="AB219" s="56"/>
      <c r="AC219" s="56"/>
      <c r="AD219" s="56"/>
      <c r="AE219" s="56"/>
      <c r="AF219" s="170"/>
      <c r="AG219" s="56"/>
      <c r="AH219" s="56"/>
      <c r="AI219" s="168"/>
      <c r="AJ219" s="56"/>
      <c r="AK219" s="56"/>
      <c r="AL219" s="56"/>
      <c r="AM219" s="56"/>
      <c r="AN219" s="56"/>
      <c r="AO219" s="56"/>
      <c r="AP219" s="56"/>
      <c r="AQ219" s="56"/>
      <c r="AR219" s="168"/>
      <c r="AS219" s="56"/>
      <c r="AT219" s="56"/>
      <c r="AU219" s="56"/>
      <c r="AV219" s="56"/>
      <c r="AW219" s="56"/>
      <c r="AX219" s="56"/>
      <c r="AY219" s="56"/>
      <c r="AZ219" s="56"/>
      <c r="BA219" s="168"/>
      <c r="BB219" s="56"/>
      <c r="BC219" s="56"/>
      <c r="BD219" s="56"/>
      <c r="BE219" s="168"/>
      <c r="BF219" s="56"/>
      <c r="BG219" s="10"/>
      <c r="BH219" s="56"/>
      <c r="BI219" s="56"/>
      <c r="BJ219" s="56"/>
      <c r="BK219" s="56"/>
      <c r="BS219" s="144"/>
      <c r="CM219" s="144"/>
      <c r="DC219" s="144"/>
    </row>
    <row r="220" spans="1:107" s="96" customFormat="1" x14ac:dyDescent="0.15">
      <c r="A220" s="11">
        <f t="shared" si="26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1"/>
      <c r="M220" s="10"/>
      <c r="N220" s="56"/>
      <c r="O220" s="56">
        <f t="shared" si="21"/>
        <v>0</v>
      </c>
      <c r="P220" s="10"/>
      <c r="Q220" s="158" t="str">
        <f t="shared" si="22"/>
        <v/>
      </c>
      <c r="R220" s="174" t="str">
        <f t="shared" si="23"/>
        <v/>
      </c>
      <c r="S220" s="164"/>
      <c r="T220" s="56"/>
      <c r="U220" s="56"/>
      <c r="V220" s="56"/>
      <c r="W220" s="158" t="str">
        <f t="shared" si="24"/>
        <v/>
      </c>
      <c r="X220" s="174" t="str">
        <f t="shared" si="25"/>
        <v/>
      </c>
      <c r="Y220" s="168"/>
      <c r="Z220" s="10"/>
      <c r="AA220" s="56"/>
      <c r="AB220" s="56"/>
      <c r="AC220" s="56"/>
      <c r="AD220" s="56"/>
      <c r="AE220" s="56"/>
      <c r="AF220" s="170"/>
      <c r="AG220" s="56"/>
      <c r="AH220" s="56"/>
      <c r="AI220" s="168"/>
      <c r="AJ220" s="56"/>
      <c r="AK220" s="56"/>
      <c r="AL220" s="56"/>
      <c r="AM220" s="56"/>
      <c r="AN220" s="56"/>
      <c r="AO220" s="56"/>
      <c r="AP220" s="56"/>
      <c r="AQ220" s="56"/>
      <c r="AR220" s="168"/>
      <c r="AS220" s="56"/>
      <c r="AT220" s="56"/>
      <c r="AU220" s="56"/>
      <c r="AV220" s="56"/>
      <c r="AW220" s="56"/>
      <c r="AX220" s="56"/>
      <c r="AY220" s="56"/>
      <c r="AZ220" s="56"/>
      <c r="BA220" s="168"/>
      <c r="BB220" s="56"/>
      <c r="BC220" s="56"/>
      <c r="BD220" s="56"/>
      <c r="BE220" s="168"/>
      <c r="BF220" s="56"/>
      <c r="BG220" s="10"/>
      <c r="BH220" s="56"/>
      <c r="BI220" s="56"/>
      <c r="BJ220" s="56"/>
      <c r="BK220" s="56"/>
      <c r="BS220" s="144"/>
      <c r="CM220" s="144"/>
      <c r="DC220" s="144"/>
    </row>
    <row r="221" spans="1:107" s="96" customFormat="1" x14ac:dyDescent="0.15">
      <c r="A221" s="11">
        <f t="shared" si="26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1"/>
      <c r="M221" s="10"/>
      <c r="N221" s="56"/>
      <c r="O221" s="56">
        <f t="shared" si="21"/>
        <v>0</v>
      </c>
      <c r="P221" s="10"/>
      <c r="Q221" s="158" t="str">
        <f t="shared" si="22"/>
        <v/>
      </c>
      <c r="R221" s="174" t="str">
        <f t="shared" si="23"/>
        <v/>
      </c>
      <c r="S221" s="164"/>
      <c r="T221" s="56"/>
      <c r="U221" s="56"/>
      <c r="V221" s="56"/>
      <c r="W221" s="158" t="str">
        <f t="shared" si="24"/>
        <v/>
      </c>
      <c r="X221" s="174" t="str">
        <f t="shared" si="25"/>
        <v/>
      </c>
      <c r="Y221" s="168"/>
      <c r="Z221" s="10"/>
      <c r="AA221" s="56"/>
      <c r="AB221" s="56"/>
      <c r="AC221" s="56"/>
      <c r="AD221" s="56"/>
      <c r="AE221" s="56"/>
      <c r="AF221" s="170"/>
      <c r="AG221" s="56"/>
      <c r="AH221" s="56"/>
      <c r="AI221" s="168"/>
      <c r="AJ221" s="56"/>
      <c r="AK221" s="56"/>
      <c r="AL221" s="56"/>
      <c r="AM221" s="56"/>
      <c r="AN221" s="56"/>
      <c r="AO221" s="56"/>
      <c r="AP221" s="56"/>
      <c r="AQ221" s="56"/>
      <c r="AR221" s="168"/>
      <c r="AS221" s="56"/>
      <c r="AT221" s="56"/>
      <c r="AU221" s="56"/>
      <c r="AV221" s="56"/>
      <c r="AW221" s="56"/>
      <c r="AX221" s="56"/>
      <c r="AY221" s="56"/>
      <c r="AZ221" s="56"/>
      <c r="BA221" s="168"/>
      <c r="BB221" s="56"/>
      <c r="BC221" s="56"/>
      <c r="BD221" s="56"/>
      <c r="BE221" s="168"/>
      <c r="BF221" s="56"/>
      <c r="BG221" s="10"/>
      <c r="BH221" s="56"/>
      <c r="BI221" s="56"/>
      <c r="BJ221" s="56"/>
      <c r="BK221" s="56"/>
      <c r="BS221" s="144"/>
      <c r="CM221" s="144"/>
      <c r="DC221" s="144"/>
    </row>
    <row r="222" spans="1:107" s="96" customFormat="1" x14ac:dyDescent="0.15">
      <c r="A222" s="11">
        <f t="shared" si="26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1"/>
      <c r="M222" s="10"/>
      <c r="N222" s="56"/>
      <c r="O222" s="56">
        <f t="shared" si="21"/>
        <v>0</v>
      </c>
      <c r="P222" s="10"/>
      <c r="Q222" s="158" t="str">
        <f t="shared" si="22"/>
        <v/>
      </c>
      <c r="R222" s="174" t="str">
        <f t="shared" si="23"/>
        <v/>
      </c>
      <c r="S222" s="164"/>
      <c r="T222" s="56"/>
      <c r="U222" s="56"/>
      <c r="V222" s="56"/>
      <c r="W222" s="158" t="str">
        <f t="shared" si="24"/>
        <v/>
      </c>
      <c r="X222" s="174" t="str">
        <f t="shared" si="25"/>
        <v/>
      </c>
      <c r="Y222" s="168"/>
      <c r="Z222" s="10"/>
      <c r="AA222" s="56"/>
      <c r="AB222" s="56"/>
      <c r="AC222" s="56"/>
      <c r="AD222" s="56"/>
      <c r="AE222" s="56"/>
      <c r="AF222" s="170"/>
      <c r="AG222" s="56"/>
      <c r="AH222" s="56"/>
      <c r="AI222" s="168"/>
      <c r="AJ222" s="56"/>
      <c r="AK222" s="56"/>
      <c r="AL222" s="56"/>
      <c r="AM222" s="56"/>
      <c r="AN222" s="56"/>
      <c r="AO222" s="56"/>
      <c r="AP222" s="56"/>
      <c r="AQ222" s="56"/>
      <c r="AR222" s="168"/>
      <c r="AS222" s="56"/>
      <c r="AT222" s="56"/>
      <c r="AU222" s="56"/>
      <c r="AV222" s="56"/>
      <c r="AW222" s="56"/>
      <c r="AX222" s="56"/>
      <c r="AY222" s="56"/>
      <c r="AZ222" s="56"/>
      <c r="BA222" s="168"/>
      <c r="BB222" s="56"/>
      <c r="BC222" s="56"/>
      <c r="BD222" s="56"/>
      <c r="BE222" s="168"/>
      <c r="BF222" s="56"/>
      <c r="BG222" s="10"/>
      <c r="BH222" s="56"/>
      <c r="BI222" s="56"/>
      <c r="BJ222" s="56"/>
      <c r="BK222" s="56"/>
      <c r="BS222" s="144"/>
      <c r="CM222" s="144"/>
      <c r="DC222" s="144"/>
    </row>
    <row r="223" spans="1:107" s="96" customFormat="1" x14ac:dyDescent="0.15">
      <c r="A223" s="11">
        <f t="shared" si="26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1"/>
      <c r="M223" s="10"/>
      <c r="N223" s="56"/>
      <c r="O223" s="56">
        <f t="shared" si="21"/>
        <v>0</v>
      </c>
      <c r="P223" s="10"/>
      <c r="Q223" s="158" t="str">
        <f t="shared" si="22"/>
        <v/>
      </c>
      <c r="R223" s="174" t="str">
        <f t="shared" si="23"/>
        <v/>
      </c>
      <c r="S223" s="164"/>
      <c r="T223" s="56"/>
      <c r="U223" s="56"/>
      <c r="V223" s="56"/>
      <c r="W223" s="158" t="str">
        <f t="shared" si="24"/>
        <v/>
      </c>
      <c r="X223" s="174" t="str">
        <f t="shared" si="25"/>
        <v/>
      </c>
      <c r="Y223" s="168"/>
      <c r="Z223" s="10"/>
      <c r="AA223" s="56"/>
      <c r="AB223" s="56"/>
      <c r="AC223" s="56"/>
      <c r="AD223" s="56"/>
      <c r="AE223" s="56"/>
      <c r="AF223" s="170"/>
      <c r="AG223" s="56"/>
      <c r="AH223" s="56"/>
      <c r="AI223" s="168"/>
      <c r="AJ223" s="56"/>
      <c r="AK223" s="56"/>
      <c r="AL223" s="56"/>
      <c r="AM223" s="56"/>
      <c r="AN223" s="56"/>
      <c r="AO223" s="56"/>
      <c r="AP223" s="56"/>
      <c r="AQ223" s="56"/>
      <c r="AR223" s="168"/>
      <c r="AS223" s="56"/>
      <c r="AT223" s="56"/>
      <c r="AU223" s="56"/>
      <c r="AV223" s="56"/>
      <c r="AW223" s="56"/>
      <c r="AX223" s="56"/>
      <c r="AY223" s="56"/>
      <c r="AZ223" s="56"/>
      <c r="BA223" s="168"/>
      <c r="BB223" s="56"/>
      <c r="BC223" s="56"/>
      <c r="BD223" s="56"/>
      <c r="BE223" s="168"/>
      <c r="BF223" s="56"/>
      <c r="BG223" s="10"/>
      <c r="BH223" s="56"/>
      <c r="BI223" s="56"/>
      <c r="BJ223" s="56"/>
      <c r="BK223" s="56"/>
      <c r="BS223" s="144"/>
      <c r="CM223" s="144"/>
      <c r="DC223" s="144"/>
    </row>
    <row r="224" spans="1:107" s="96" customFormat="1" ht="17.25" thickBot="1" x14ac:dyDescent="0.2">
      <c r="A224" s="11">
        <f t="shared" si="26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1"/>
      <c r="M224" s="10"/>
      <c r="N224" s="56"/>
      <c r="O224" s="56">
        <f t="shared" si="21"/>
        <v>0</v>
      </c>
      <c r="P224" s="10"/>
      <c r="Q224" s="158" t="str">
        <f t="shared" si="22"/>
        <v/>
      </c>
      <c r="R224" s="174" t="str">
        <f t="shared" si="23"/>
        <v/>
      </c>
      <c r="S224" s="164"/>
      <c r="T224" s="56"/>
      <c r="U224" s="56"/>
      <c r="V224" s="56"/>
      <c r="W224" s="158" t="str">
        <f t="shared" si="24"/>
        <v/>
      </c>
      <c r="X224" s="174" t="str">
        <f t="shared" si="25"/>
        <v/>
      </c>
      <c r="Y224" s="168"/>
      <c r="Z224" s="10"/>
      <c r="AA224" s="56"/>
      <c r="AB224" s="56"/>
      <c r="AC224" s="56"/>
      <c r="AD224" s="56"/>
      <c r="AE224" s="56"/>
      <c r="AF224" s="170"/>
      <c r="AG224" s="56"/>
      <c r="AH224" s="56"/>
      <c r="AI224" s="168"/>
      <c r="AJ224" s="56"/>
      <c r="AK224" s="56"/>
      <c r="AL224" s="56"/>
      <c r="AM224" s="56"/>
      <c r="AN224" s="56"/>
      <c r="AO224" s="56"/>
      <c r="AP224" s="56"/>
      <c r="AQ224" s="56"/>
      <c r="AR224" s="168"/>
      <c r="AS224" s="56"/>
      <c r="AT224" s="56"/>
      <c r="AU224" s="56"/>
      <c r="AV224" s="56"/>
      <c r="AW224" s="56"/>
      <c r="AX224" s="56"/>
      <c r="AY224" s="56"/>
      <c r="AZ224" s="56"/>
      <c r="BA224" s="168"/>
      <c r="BB224" s="56"/>
      <c r="BC224" s="56"/>
      <c r="BD224" s="56"/>
      <c r="BE224" s="168"/>
      <c r="BF224" s="56"/>
      <c r="BG224" s="10"/>
      <c r="BH224" s="56"/>
      <c r="BI224" s="56"/>
      <c r="BJ224" s="56"/>
      <c r="BK224" s="56"/>
      <c r="BS224" s="144"/>
      <c r="CM224" s="144"/>
      <c r="DC224" s="144"/>
    </row>
    <row r="225" spans="1:107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3"/>
      <c r="M225" s="17"/>
      <c r="N225" s="57"/>
      <c r="O225" s="57"/>
      <c r="P225" s="17"/>
      <c r="Q225" s="159"/>
      <c r="R225" s="175"/>
      <c r="S225" s="165"/>
      <c r="T225" s="57"/>
      <c r="U225" s="57"/>
      <c r="V225" s="57"/>
      <c r="W225" s="159"/>
      <c r="X225" s="175"/>
      <c r="Y225" s="169"/>
      <c r="Z225" s="17"/>
      <c r="AA225" s="57"/>
      <c r="AB225" s="57"/>
      <c r="AC225" s="57"/>
      <c r="AD225" s="57"/>
      <c r="AE225" s="57"/>
      <c r="AF225" s="172"/>
      <c r="AG225" s="57"/>
      <c r="AH225" s="57"/>
      <c r="AI225" s="169"/>
      <c r="AJ225" s="57"/>
      <c r="AK225" s="57"/>
      <c r="AL225" s="57"/>
      <c r="AM225" s="57"/>
      <c r="AN225" s="57"/>
      <c r="AO225" s="57"/>
      <c r="AP225" s="57"/>
      <c r="AQ225" s="57"/>
      <c r="AR225" s="169"/>
      <c r="AS225" s="57"/>
      <c r="AT225" s="57"/>
      <c r="AU225" s="57"/>
      <c r="AV225" s="57"/>
      <c r="AW225" s="57"/>
      <c r="AX225" s="57"/>
      <c r="AY225" s="57"/>
      <c r="AZ225" s="57"/>
      <c r="BA225" s="169"/>
      <c r="BB225" s="57"/>
      <c r="BC225" s="57"/>
      <c r="BD225" s="57"/>
      <c r="BE225" s="169"/>
      <c r="BF225" s="57"/>
      <c r="BG225" s="17"/>
      <c r="BH225" s="57"/>
      <c r="BI225" s="57"/>
      <c r="BJ225" s="57"/>
      <c r="BK225" s="57"/>
      <c r="BS225" s="143"/>
      <c r="CM225" s="143"/>
      <c r="DC225" s="143"/>
    </row>
    <row r="226" spans="1:107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1"/>
      <c r="M226" s="10"/>
      <c r="N226" s="56"/>
      <c r="O226" s="56"/>
      <c r="P226" s="10"/>
      <c r="Q226" s="158"/>
      <c r="R226" s="174"/>
      <c r="S226" s="164"/>
      <c r="T226" s="56"/>
      <c r="U226" s="56"/>
      <c r="V226" s="56"/>
      <c r="W226" s="158"/>
      <c r="X226" s="174"/>
      <c r="Y226" s="168"/>
      <c r="Z226" s="10"/>
      <c r="AA226" s="56"/>
      <c r="AB226" s="56"/>
      <c r="AC226" s="56"/>
      <c r="AD226" s="56"/>
      <c r="AE226" s="56"/>
      <c r="AF226" s="170"/>
      <c r="AG226" s="56"/>
      <c r="AH226" s="56"/>
      <c r="AI226" s="168"/>
      <c r="AJ226" s="56"/>
      <c r="AK226" s="56"/>
      <c r="AL226" s="56"/>
      <c r="AM226" s="56"/>
      <c r="AN226" s="56"/>
      <c r="AO226" s="56"/>
      <c r="AP226" s="56"/>
      <c r="AQ226" s="56"/>
      <c r="AR226" s="168"/>
      <c r="AS226" s="56"/>
      <c r="AT226" s="56"/>
      <c r="AU226" s="56"/>
      <c r="AV226" s="56"/>
      <c r="AW226" s="56"/>
      <c r="AX226" s="56"/>
      <c r="AY226" s="56"/>
      <c r="AZ226" s="56"/>
      <c r="BA226" s="168"/>
      <c r="BB226" s="56"/>
      <c r="BC226" s="56"/>
      <c r="BD226" s="56"/>
      <c r="BE226" s="168"/>
      <c r="BF226" s="56"/>
      <c r="BG226" s="10"/>
      <c r="BH226" s="56"/>
      <c r="BI226" s="56"/>
      <c r="BJ226" s="56"/>
      <c r="BK226" s="56"/>
      <c r="BS226" s="144"/>
      <c r="CM226" s="144"/>
      <c r="DC226" s="144"/>
    </row>
    <row r="227" spans="1:107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1"/>
      <c r="M227" s="10"/>
      <c r="N227" s="56"/>
      <c r="O227" s="56"/>
      <c r="P227" s="10"/>
      <c r="Q227" s="158"/>
      <c r="R227" s="174"/>
      <c r="S227" s="164"/>
      <c r="T227" s="56"/>
      <c r="U227" s="56"/>
      <c r="V227" s="56"/>
      <c r="W227" s="158"/>
      <c r="X227" s="174"/>
      <c r="Y227" s="168"/>
      <c r="Z227" s="10"/>
      <c r="AA227" s="56"/>
      <c r="AB227" s="56"/>
      <c r="AC227" s="56"/>
      <c r="AD227" s="56"/>
      <c r="AE227" s="56"/>
      <c r="AF227" s="170"/>
      <c r="AG227" s="56"/>
      <c r="AH227" s="56"/>
      <c r="AI227" s="168"/>
      <c r="AJ227" s="56"/>
      <c r="AK227" s="56"/>
      <c r="AL227" s="56"/>
      <c r="AM227" s="56"/>
      <c r="AN227" s="56"/>
      <c r="AO227" s="56"/>
      <c r="AP227" s="56"/>
      <c r="AQ227" s="56"/>
      <c r="AR227" s="168"/>
      <c r="AS227" s="56"/>
      <c r="AT227" s="56"/>
      <c r="AU227" s="56"/>
      <c r="AV227" s="56"/>
      <c r="AW227" s="56"/>
      <c r="AX227" s="56"/>
      <c r="AY227" s="56"/>
      <c r="AZ227" s="56"/>
      <c r="BA227" s="168"/>
      <c r="BB227" s="56"/>
      <c r="BC227" s="56"/>
      <c r="BD227" s="56"/>
      <c r="BE227" s="168"/>
      <c r="BF227" s="56"/>
      <c r="BG227" s="10"/>
      <c r="BH227" s="56"/>
      <c r="BI227" s="56"/>
      <c r="BJ227" s="56"/>
      <c r="BK227" s="56"/>
      <c r="BS227" s="144"/>
      <c r="CM227" s="144"/>
      <c r="DC227" s="144"/>
    </row>
    <row r="228" spans="1:107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1"/>
      <c r="M228" s="10"/>
      <c r="N228" s="56"/>
      <c r="O228" s="56"/>
      <c r="P228" s="10"/>
      <c r="Q228" s="158"/>
      <c r="R228" s="174"/>
      <c r="S228" s="164"/>
      <c r="T228" s="56"/>
      <c r="U228" s="56"/>
      <c r="V228" s="56"/>
      <c r="W228" s="158"/>
      <c r="X228" s="174"/>
      <c r="Y228" s="168"/>
      <c r="Z228" s="10"/>
      <c r="AA228" s="56"/>
      <c r="AB228" s="56"/>
      <c r="AC228" s="56"/>
      <c r="AD228" s="56"/>
      <c r="AE228" s="56"/>
      <c r="AF228" s="170"/>
      <c r="AG228" s="56"/>
      <c r="AH228" s="56"/>
      <c r="AI228" s="168"/>
      <c r="AJ228" s="56"/>
      <c r="AK228" s="56"/>
      <c r="AL228" s="56"/>
      <c r="AM228" s="56"/>
      <c r="AN228" s="56"/>
      <c r="AO228" s="56"/>
      <c r="AP228" s="56"/>
      <c r="AQ228" s="56"/>
      <c r="AR228" s="168"/>
      <c r="AS228" s="56"/>
      <c r="AT228" s="56"/>
      <c r="AU228" s="56"/>
      <c r="AV228" s="56"/>
      <c r="AW228" s="56"/>
      <c r="AX228" s="56"/>
      <c r="AY228" s="56"/>
      <c r="AZ228" s="56"/>
      <c r="BA228" s="168"/>
      <c r="BB228" s="56"/>
      <c r="BC228" s="56"/>
      <c r="BD228" s="56"/>
      <c r="BE228" s="168"/>
      <c r="BF228" s="56"/>
      <c r="BG228" s="10"/>
      <c r="BH228" s="56"/>
      <c r="BI228" s="56"/>
      <c r="BJ228" s="56"/>
      <c r="BK228" s="56"/>
      <c r="BS228" s="144"/>
      <c r="CM228" s="144"/>
      <c r="DC228" s="144"/>
    </row>
    <row r="229" spans="1:107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1"/>
      <c r="M229" s="10"/>
      <c r="N229" s="56"/>
      <c r="O229" s="56"/>
      <c r="P229" s="10"/>
      <c r="Q229" s="158"/>
      <c r="R229" s="174"/>
      <c r="S229" s="164"/>
      <c r="T229" s="56"/>
      <c r="U229" s="56"/>
      <c r="V229" s="56"/>
      <c r="W229" s="158"/>
      <c r="X229" s="174"/>
      <c r="Y229" s="168"/>
      <c r="Z229" s="10"/>
      <c r="AA229" s="56"/>
      <c r="AB229" s="56"/>
      <c r="AC229" s="56"/>
      <c r="AD229" s="56"/>
      <c r="AE229" s="56"/>
      <c r="AF229" s="170"/>
      <c r="AG229" s="56"/>
      <c r="AH229" s="56"/>
      <c r="AI229" s="168"/>
      <c r="AJ229" s="56"/>
      <c r="AK229" s="56"/>
      <c r="AL229" s="56"/>
      <c r="AM229" s="56"/>
      <c r="AN229" s="56"/>
      <c r="AO229" s="56"/>
      <c r="AP229" s="56"/>
      <c r="AQ229" s="56"/>
      <c r="AR229" s="168"/>
      <c r="AS229" s="56"/>
      <c r="AT229" s="56"/>
      <c r="AU229" s="56"/>
      <c r="AV229" s="56"/>
      <c r="AW229" s="56"/>
      <c r="AX229" s="56"/>
      <c r="AY229" s="56"/>
      <c r="AZ229" s="56"/>
      <c r="BA229" s="168"/>
      <c r="BB229" s="56"/>
      <c r="BC229" s="56"/>
      <c r="BD229" s="56"/>
      <c r="BE229" s="168"/>
      <c r="BF229" s="56"/>
      <c r="BG229" s="10"/>
      <c r="BH229" s="56"/>
      <c r="BI229" s="56"/>
      <c r="BJ229" s="56"/>
      <c r="BK229" s="56"/>
      <c r="BS229" s="144"/>
      <c r="CM229" s="144"/>
      <c r="DC229" s="144"/>
    </row>
    <row r="230" spans="1:107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1"/>
      <c r="M230" s="10"/>
      <c r="N230" s="56"/>
      <c r="O230" s="56"/>
      <c r="P230" s="10"/>
      <c r="Q230" s="158"/>
      <c r="R230" s="174"/>
      <c r="S230" s="164"/>
      <c r="T230" s="56"/>
      <c r="U230" s="56"/>
      <c r="V230" s="56"/>
      <c r="W230" s="158"/>
      <c r="X230" s="174"/>
      <c r="Y230" s="168"/>
      <c r="Z230" s="10"/>
      <c r="AA230" s="56"/>
      <c r="AB230" s="56"/>
      <c r="AC230" s="56"/>
      <c r="AD230" s="56"/>
      <c r="AE230" s="56"/>
      <c r="AF230" s="170"/>
      <c r="AG230" s="56"/>
      <c r="AH230" s="56"/>
      <c r="AI230" s="168"/>
      <c r="AJ230" s="56"/>
      <c r="AK230" s="56"/>
      <c r="AL230" s="56"/>
      <c r="AM230" s="56"/>
      <c r="AN230" s="56"/>
      <c r="AO230" s="56"/>
      <c r="AP230" s="56"/>
      <c r="AQ230" s="56"/>
      <c r="AR230" s="168"/>
      <c r="AS230" s="56"/>
      <c r="AT230" s="56"/>
      <c r="AU230" s="56"/>
      <c r="AV230" s="56"/>
      <c r="AW230" s="56"/>
      <c r="AX230" s="56"/>
      <c r="AY230" s="56"/>
      <c r="AZ230" s="56"/>
      <c r="BA230" s="168"/>
      <c r="BB230" s="56"/>
      <c r="BC230" s="56"/>
      <c r="BD230" s="56"/>
      <c r="BE230" s="168"/>
      <c r="BF230" s="56"/>
      <c r="BG230" s="10"/>
      <c r="BH230" s="56"/>
      <c r="BI230" s="56"/>
      <c r="BJ230" s="56"/>
      <c r="BK230" s="56"/>
      <c r="BS230" s="144"/>
      <c r="CM230" s="144"/>
      <c r="DC230" s="144"/>
    </row>
    <row r="231" spans="1:107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1"/>
      <c r="M231" s="10"/>
      <c r="N231" s="56"/>
      <c r="O231" s="56"/>
      <c r="P231" s="10"/>
      <c r="Q231" s="158"/>
      <c r="R231" s="174"/>
      <c r="S231" s="164"/>
      <c r="T231" s="56"/>
      <c r="U231" s="56"/>
      <c r="V231" s="56"/>
      <c r="W231" s="158"/>
      <c r="X231" s="174"/>
      <c r="Y231" s="168"/>
      <c r="Z231" s="10"/>
      <c r="AA231" s="56"/>
      <c r="AB231" s="56"/>
      <c r="AC231" s="56"/>
      <c r="AD231" s="56"/>
      <c r="AE231" s="56"/>
      <c r="AF231" s="170"/>
      <c r="AG231" s="56"/>
      <c r="AH231" s="56"/>
      <c r="AI231" s="168"/>
      <c r="AJ231" s="56"/>
      <c r="AK231" s="56"/>
      <c r="AL231" s="56"/>
      <c r="AM231" s="56"/>
      <c r="AN231" s="56"/>
      <c r="AO231" s="56"/>
      <c r="AP231" s="56"/>
      <c r="AQ231" s="56"/>
      <c r="AR231" s="168"/>
      <c r="AS231" s="56"/>
      <c r="AT231" s="56"/>
      <c r="AU231" s="56"/>
      <c r="AV231" s="56"/>
      <c r="AW231" s="56"/>
      <c r="AX231" s="56"/>
      <c r="AY231" s="56"/>
      <c r="AZ231" s="56"/>
      <c r="BA231" s="168"/>
      <c r="BB231" s="56"/>
      <c r="BC231" s="56"/>
      <c r="BD231" s="56"/>
      <c r="BE231" s="168"/>
      <c r="BF231" s="56"/>
      <c r="BG231" s="10"/>
      <c r="BH231" s="56"/>
      <c r="BI231" s="56"/>
      <c r="BJ231" s="56"/>
      <c r="BK231" s="56"/>
      <c r="BS231" s="144"/>
      <c r="CM231" s="144"/>
      <c r="DC231" s="144"/>
    </row>
    <row r="232" spans="1:107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1"/>
      <c r="M232" s="10"/>
      <c r="N232" s="56"/>
      <c r="O232" s="56"/>
      <c r="P232" s="10"/>
      <c r="Q232" s="158"/>
      <c r="R232" s="174"/>
      <c r="S232" s="164"/>
      <c r="T232" s="56"/>
      <c r="U232" s="56"/>
      <c r="V232" s="56"/>
      <c r="W232" s="158"/>
      <c r="X232" s="174"/>
      <c r="Y232" s="168"/>
      <c r="Z232" s="10"/>
      <c r="AA232" s="56"/>
      <c r="AB232" s="56"/>
      <c r="AC232" s="56"/>
      <c r="AD232" s="56"/>
      <c r="AE232" s="56"/>
      <c r="AF232" s="170"/>
      <c r="AG232" s="56"/>
      <c r="AH232" s="56"/>
      <c r="AI232" s="168"/>
      <c r="AJ232" s="56"/>
      <c r="AK232" s="56"/>
      <c r="AL232" s="56"/>
      <c r="AM232" s="56"/>
      <c r="AN232" s="56"/>
      <c r="AO232" s="56"/>
      <c r="AP232" s="56"/>
      <c r="AQ232" s="56"/>
      <c r="AR232" s="168"/>
      <c r="AS232" s="56"/>
      <c r="AT232" s="56"/>
      <c r="AU232" s="56"/>
      <c r="AV232" s="56"/>
      <c r="AW232" s="56"/>
      <c r="AX232" s="56"/>
      <c r="AY232" s="56"/>
      <c r="AZ232" s="56"/>
      <c r="BA232" s="168"/>
      <c r="BB232" s="56"/>
      <c r="BC232" s="56"/>
      <c r="BD232" s="56"/>
      <c r="BE232" s="168"/>
      <c r="BF232" s="56"/>
      <c r="BG232" s="10"/>
      <c r="BH232" s="56"/>
      <c r="BI232" s="56"/>
      <c r="BJ232" s="56"/>
      <c r="BK232" s="56"/>
      <c r="BS232" s="144"/>
      <c r="CM232" s="144"/>
      <c r="DC232" s="144"/>
    </row>
    <row r="233" spans="1:107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1"/>
      <c r="M233" s="10"/>
      <c r="N233" s="56"/>
      <c r="O233" s="56"/>
      <c r="P233" s="10"/>
      <c r="Q233" s="158"/>
      <c r="R233" s="174"/>
      <c r="S233" s="164"/>
      <c r="T233" s="56"/>
      <c r="U233" s="56"/>
      <c r="V233" s="56"/>
      <c r="W233" s="158"/>
      <c r="X233" s="174"/>
      <c r="Y233" s="168"/>
      <c r="Z233" s="10"/>
      <c r="AA233" s="56"/>
      <c r="AB233" s="56"/>
      <c r="AC233" s="56"/>
      <c r="AD233" s="56"/>
      <c r="AE233" s="56"/>
      <c r="AF233" s="170"/>
      <c r="AG233" s="56"/>
      <c r="AH233" s="56"/>
      <c r="AI233" s="168"/>
      <c r="AJ233" s="56"/>
      <c r="AK233" s="56"/>
      <c r="AL233" s="56"/>
      <c r="AM233" s="56"/>
      <c r="AN233" s="56"/>
      <c r="AO233" s="56"/>
      <c r="AP233" s="56"/>
      <c r="AQ233" s="56"/>
      <c r="AR233" s="168"/>
      <c r="AS233" s="56"/>
      <c r="AT233" s="56"/>
      <c r="AU233" s="56"/>
      <c r="AV233" s="56"/>
      <c r="AW233" s="56"/>
      <c r="AX233" s="56"/>
      <c r="AY233" s="56"/>
      <c r="AZ233" s="56"/>
      <c r="BA233" s="168"/>
      <c r="BB233" s="56"/>
      <c r="BC233" s="56"/>
      <c r="BD233" s="56"/>
      <c r="BE233" s="168"/>
      <c r="BF233" s="56"/>
      <c r="BG233" s="10"/>
      <c r="BH233" s="56"/>
      <c r="BI233" s="56"/>
      <c r="BJ233" s="56"/>
      <c r="BK233" s="56"/>
      <c r="BS233" s="144"/>
      <c r="CM233" s="144"/>
      <c r="DC233" s="144"/>
    </row>
    <row r="234" spans="1:107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1"/>
      <c r="M234" s="10"/>
      <c r="N234" s="56"/>
      <c r="O234" s="56"/>
      <c r="P234" s="10"/>
      <c r="Q234" s="158"/>
      <c r="R234" s="174"/>
      <c r="S234" s="164"/>
      <c r="T234" s="56"/>
      <c r="U234" s="56"/>
      <c r="V234" s="56"/>
      <c r="W234" s="158"/>
      <c r="X234" s="174"/>
      <c r="Y234" s="168"/>
      <c r="Z234" s="10"/>
      <c r="AA234" s="56"/>
      <c r="AB234" s="56"/>
      <c r="AC234" s="56"/>
      <c r="AD234" s="56"/>
      <c r="AE234" s="56"/>
      <c r="AF234" s="170"/>
      <c r="AG234" s="56"/>
      <c r="AH234" s="56"/>
      <c r="AI234" s="168"/>
      <c r="AJ234" s="56"/>
      <c r="AK234" s="56"/>
      <c r="AL234" s="56"/>
      <c r="AM234" s="56"/>
      <c r="AN234" s="56"/>
      <c r="AO234" s="56"/>
      <c r="AP234" s="56"/>
      <c r="AQ234" s="56"/>
      <c r="AR234" s="168"/>
      <c r="AS234" s="56"/>
      <c r="AT234" s="56"/>
      <c r="AU234" s="56"/>
      <c r="AV234" s="56"/>
      <c r="AW234" s="56"/>
      <c r="AX234" s="56"/>
      <c r="AY234" s="56"/>
      <c r="AZ234" s="56"/>
      <c r="BA234" s="168"/>
      <c r="BB234" s="56"/>
      <c r="BC234" s="56"/>
      <c r="BD234" s="56"/>
      <c r="BE234" s="168"/>
      <c r="BF234" s="56"/>
      <c r="BG234" s="10"/>
      <c r="BH234" s="56"/>
      <c r="BI234" s="56"/>
      <c r="BJ234" s="56"/>
      <c r="BK234" s="56"/>
      <c r="BS234" s="144"/>
      <c r="CM234" s="144"/>
      <c r="DC234" s="144"/>
    </row>
    <row r="235" spans="1:107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1"/>
      <c r="M235" s="10"/>
      <c r="N235" s="56"/>
      <c r="O235" s="56"/>
      <c r="P235" s="10"/>
      <c r="Q235" s="158"/>
      <c r="R235" s="174"/>
      <c r="S235" s="164"/>
      <c r="T235" s="56"/>
      <c r="U235" s="56"/>
      <c r="V235" s="56"/>
      <c r="W235" s="158"/>
      <c r="X235" s="174"/>
      <c r="Y235" s="168"/>
      <c r="Z235" s="10"/>
      <c r="AA235" s="56"/>
      <c r="AB235" s="56"/>
      <c r="AC235" s="56"/>
      <c r="AD235" s="56"/>
      <c r="AE235" s="56"/>
      <c r="AF235" s="170"/>
      <c r="AG235" s="56"/>
      <c r="AH235" s="56"/>
      <c r="AI235" s="168"/>
      <c r="AJ235" s="56"/>
      <c r="AK235" s="56"/>
      <c r="AL235" s="56"/>
      <c r="AM235" s="56"/>
      <c r="AN235" s="56"/>
      <c r="AO235" s="56"/>
      <c r="AP235" s="56"/>
      <c r="AQ235" s="56"/>
      <c r="AR235" s="168"/>
      <c r="AS235" s="56"/>
      <c r="AT235" s="56"/>
      <c r="AU235" s="56"/>
      <c r="AV235" s="56"/>
      <c r="AW235" s="56"/>
      <c r="AX235" s="56"/>
      <c r="AY235" s="56"/>
      <c r="AZ235" s="56"/>
      <c r="BA235" s="168"/>
      <c r="BB235" s="56"/>
      <c r="BC235" s="56"/>
      <c r="BD235" s="56"/>
      <c r="BE235" s="168"/>
      <c r="BF235" s="56"/>
      <c r="BG235" s="10"/>
      <c r="BH235" s="56"/>
      <c r="BI235" s="56"/>
      <c r="BJ235" s="56"/>
      <c r="BK235" s="56"/>
      <c r="BS235" s="144"/>
      <c r="CM235" s="144"/>
      <c r="DC235" s="144"/>
    </row>
    <row r="236" spans="1:107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1"/>
      <c r="M236" s="10"/>
      <c r="N236" s="56"/>
      <c r="O236" s="56"/>
      <c r="P236" s="10"/>
      <c r="Q236" s="158"/>
      <c r="R236" s="174"/>
      <c r="S236" s="164"/>
      <c r="T236" s="56"/>
      <c r="U236" s="56"/>
      <c r="V236" s="56"/>
      <c r="W236" s="158"/>
      <c r="X236" s="174"/>
      <c r="Y236" s="168"/>
      <c r="Z236" s="10"/>
      <c r="AA236" s="56"/>
      <c r="AB236" s="56"/>
      <c r="AC236" s="56"/>
      <c r="AD236" s="56"/>
      <c r="AE236" s="56"/>
      <c r="AF236" s="170"/>
      <c r="AG236" s="56"/>
      <c r="AH236" s="56"/>
      <c r="AI236" s="168"/>
      <c r="AJ236" s="56"/>
      <c r="AK236" s="56"/>
      <c r="AL236" s="56"/>
      <c r="AM236" s="56"/>
      <c r="AN236" s="56"/>
      <c r="AO236" s="56"/>
      <c r="AP236" s="56"/>
      <c r="AQ236" s="56"/>
      <c r="AR236" s="168"/>
      <c r="AS236" s="56"/>
      <c r="AT236" s="56"/>
      <c r="AU236" s="56"/>
      <c r="AV236" s="56"/>
      <c r="AW236" s="56"/>
      <c r="AX236" s="56"/>
      <c r="AY236" s="56"/>
      <c r="AZ236" s="56"/>
      <c r="BA236" s="168"/>
      <c r="BB236" s="56"/>
      <c r="BC236" s="56"/>
      <c r="BD236" s="56"/>
      <c r="BE236" s="168"/>
      <c r="BF236" s="56"/>
      <c r="BG236" s="10"/>
      <c r="BH236" s="56"/>
      <c r="BI236" s="56"/>
      <c r="BJ236" s="56"/>
      <c r="BK236" s="56"/>
      <c r="BS236" s="144"/>
      <c r="CM236" s="144"/>
      <c r="DC236" s="144"/>
    </row>
    <row r="237" spans="1:107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1"/>
      <c r="M237" s="10"/>
      <c r="N237" s="56"/>
      <c r="O237" s="56"/>
      <c r="P237" s="10"/>
      <c r="Q237" s="158"/>
      <c r="R237" s="174"/>
      <c r="S237" s="164"/>
      <c r="T237" s="56"/>
      <c r="U237" s="56"/>
      <c r="V237" s="56"/>
      <c r="W237" s="158"/>
      <c r="X237" s="174"/>
      <c r="Y237" s="168"/>
      <c r="Z237" s="10"/>
      <c r="AA237" s="56"/>
      <c r="AB237" s="56"/>
      <c r="AC237" s="56"/>
      <c r="AD237" s="56"/>
      <c r="AE237" s="56"/>
      <c r="AF237" s="170"/>
      <c r="AG237" s="56"/>
      <c r="AH237" s="56"/>
      <c r="AI237" s="168"/>
      <c r="AJ237" s="56"/>
      <c r="AK237" s="56"/>
      <c r="AL237" s="56"/>
      <c r="AM237" s="56"/>
      <c r="AN237" s="56"/>
      <c r="AO237" s="56"/>
      <c r="AP237" s="56"/>
      <c r="AQ237" s="56"/>
      <c r="AR237" s="168"/>
      <c r="AS237" s="56"/>
      <c r="AT237" s="56"/>
      <c r="AU237" s="56"/>
      <c r="AV237" s="56"/>
      <c r="AW237" s="56"/>
      <c r="AX237" s="56"/>
      <c r="AY237" s="56"/>
      <c r="AZ237" s="56"/>
      <c r="BA237" s="168"/>
      <c r="BB237" s="56"/>
      <c r="BC237" s="56"/>
      <c r="BD237" s="56"/>
      <c r="BE237" s="168"/>
      <c r="BF237" s="56"/>
      <c r="BG237" s="10"/>
      <c r="BH237" s="56"/>
      <c r="BI237" s="56"/>
      <c r="BJ237" s="56"/>
      <c r="BK237" s="56"/>
      <c r="BS237" s="144"/>
      <c r="CM237" s="144"/>
      <c r="DC237" s="144"/>
    </row>
    <row r="238" spans="1:107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1"/>
      <c r="M238" s="10"/>
      <c r="N238" s="56"/>
      <c r="O238" s="56"/>
      <c r="P238" s="10"/>
      <c r="Q238" s="158"/>
      <c r="R238" s="174"/>
      <c r="S238" s="164"/>
      <c r="T238" s="56"/>
      <c r="U238" s="56"/>
      <c r="V238" s="56"/>
      <c r="W238" s="158"/>
      <c r="X238" s="174"/>
      <c r="Y238" s="168"/>
      <c r="Z238" s="10"/>
      <c r="AA238" s="56"/>
      <c r="AB238" s="56"/>
      <c r="AC238" s="56"/>
      <c r="AD238" s="56"/>
      <c r="AE238" s="56"/>
      <c r="AF238" s="170"/>
      <c r="AG238" s="56"/>
      <c r="AH238" s="56"/>
      <c r="AI238" s="168"/>
      <c r="AJ238" s="56"/>
      <c r="AK238" s="56"/>
      <c r="AL238" s="56"/>
      <c r="AM238" s="56"/>
      <c r="AN238" s="56"/>
      <c r="AO238" s="56"/>
      <c r="AP238" s="56"/>
      <c r="AQ238" s="56"/>
      <c r="AR238" s="168"/>
      <c r="AS238" s="56"/>
      <c r="AT238" s="56"/>
      <c r="AU238" s="56"/>
      <c r="AV238" s="56"/>
      <c r="AW238" s="56"/>
      <c r="AX238" s="56"/>
      <c r="AY238" s="56"/>
      <c r="AZ238" s="56"/>
      <c r="BA238" s="168"/>
      <c r="BB238" s="56"/>
      <c r="BC238" s="56"/>
      <c r="BD238" s="56"/>
      <c r="BE238" s="168"/>
      <c r="BF238" s="56"/>
      <c r="BG238" s="10"/>
      <c r="BH238" s="56"/>
      <c r="BI238" s="56"/>
      <c r="BJ238" s="56"/>
      <c r="BK238" s="56"/>
      <c r="BS238" s="144"/>
      <c r="CM238" s="144"/>
      <c r="DC238" s="144"/>
    </row>
    <row r="239" spans="1:107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1"/>
      <c r="M239" s="10"/>
      <c r="N239" s="56"/>
      <c r="O239" s="56"/>
      <c r="P239" s="10"/>
      <c r="Q239" s="158"/>
      <c r="R239" s="174"/>
      <c r="S239" s="164"/>
      <c r="T239" s="56"/>
      <c r="U239" s="56"/>
      <c r="V239" s="56"/>
      <c r="W239" s="158"/>
      <c r="X239" s="174"/>
      <c r="Y239" s="168"/>
      <c r="Z239" s="10"/>
      <c r="AA239" s="56"/>
      <c r="AB239" s="56"/>
      <c r="AC239" s="56"/>
      <c r="AD239" s="56"/>
      <c r="AE239" s="56"/>
      <c r="AF239" s="170"/>
      <c r="AG239" s="56"/>
      <c r="AH239" s="56"/>
      <c r="AI239" s="168"/>
      <c r="AJ239" s="56"/>
      <c r="AK239" s="56"/>
      <c r="AL239" s="56"/>
      <c r="AM239" s="56"/>
      <c r="AN239" s="56"/>
      <c r="AO239" s="56"/>
      <c r="AP239" s="56"/>
      <c r="AQ239" s="56"/>
      <c r="AR239" s="168"/>
      <c r="AS239" s="56"/>
      <c r="AT239" s="56"/>
      <c r="AU239" s="56"/>
      <c r="AV239" s="56"/>
      <c r="AW239" s="56"/>
      <c r="AX239" s="56"/>
      <c r="AY239" s="56"/>
      <c r="AZ239" s="56"/>
      <c r="BA239" s="168"/>
      <c r="BB239" s="56"/>
      <c r="BC239" s="56"/>
      <c r="BD239" s="56"/>
      <c r="BE239" s="168"/>
      <c r="BF239" s="56"/>
      <c r="BG239" s="10"/>
      <c r="BH239" s="56"/>
      <c r="BI239" s="56"/>
      <c r="BJ239" s="56"/>
      <c r="BK239" s="56"/>
      <c r="BS239" s="144"/>
      <c r="CM239" s="144"/>
      <c r="DC239" s="144"/>
    </row>
    <row r="240" spans="1:107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1"/>
      <c r="M240" s="10"/>
      <c r="N240" s="56"/>
      <c r="O240" s="56"/>
      <c r="P240" s="10"/>
      <c r="Q240" s="158"/>
      <c r="R240" s="174"/>
      <c r="S240" s="164"/>
      <c r="T240" s="56"/>
      <c r="U240" s="56"/>
      <c r="V240" s="56"/>
      <c r="W240" s="158"/>
      <c r="X240" s="174"/>
      <c r="Y240" s="168"/>
      <c r="Z240" s="10"/>
      <c r="AA240" s="56"/>
      <c r="AB240" s="56"/>
      <c r="AC240" s="56"/>
      <c r="AD240" s="56"/>
      <c r="AE240" s="56"/>
      <c r="AF240" s="170"/>
      <c r="AG240" s="56"/>
      <c r="AH240" s="56"/>
      <c r="AI240" s="168"/>
      <c r="AJ240" s="56"/>
      <c r="AK240" s="56"/>
      <c r="AL240" s="56"/>
      <c r="AM240" s="56"/>
      <c r="AN240" s="56"/>
      <c r="AO240" s="56"/>
      <c r="AP240" s="56"/>
      <c r="AQ240" s="56"/>
      <c r="AR240" s="168"/>
      <c r="AS240" s="56"/>
      <c r="AT240" s="56"/>
      <c r="AU240" s="56"/>
      <c r="AV240" s="56"/>
      <c r="AW240" s="56"/>
      <c r="AX240" s="56"/>
      <c r="AY240" s="56"/>
      <c r="AZ240" s="56"/>
      <c r="BA240" s="168"/>
      <c r="BB240" s="56"/>
      <c r="BC240" s="56"/>
      <c r="BD240" s="56"/>
      <c r="BE240" s="168"/>
      <c r="BF240" s="56"/>
      <c r="BG240" s="10"/>
      <c r="BH240" s="56"/>
      <c r="BI240" s="56"/>
      <c r="BJ240" s="56"/>
      <c r="BK240" s="56"/>
      <c r="BS240" s="144"/>
      <c r="CM240" s="144"/>
      <c r="DC240" s="144"/>
    </row>
    <row r="241" spans="1:107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1"/>
      <c r="M241" s="10"/>
      <c r="N241" s="56"/>
      <c r="O241" s="56"/>
      <c r="P241" s="10"/>
      <c r="Q241" s="158"/>
      <c r="R241" s="174"/>
      <c r="S241" s="164"/>
      <c r="T241" s="56"/>
      <c r="U241" s="56"/>
      <c r="V241" s="56"/>
      <c r="W241" s="158"/>
      <c r="X241" s="174"/>
      <c r="Y241" s="168"/>
      <c r="Z241" s="10"/>
      <c r="AA241" s="56"/>
      <c r="AB241" s="56"/>
      <c r="AC241" s="56"/>
      <c r="AD241" s="56"/>
      <c r="AE241" s="56"/>
      <c r="AF241" s="170"/>
      <c r="AG241" s="56"/>
      <c r="AH241" s="56"/>
      <c r="AI241" s="168"/>
      <c r="AJ241" s="56"/>
      <c r="AK241" s="56"/>
      <c r="AL241" s="56"/>
      <c r="AM241" s="56"/>
      <c r="AN241" s="56"/>
      <c r="AO241" s="56"/>
      <c r="AP241" s="56"/>
      <c r="AQ241" s="56"/>
      <c r="AR241" s="168"/>
      <c r="AS241" s="56"/>
      <c r="AT241" s="56"/>
      <c r="AU241" s="56"/>
      <c r="AV241" s="56"/>
      <c r="AW241" s="56"/>
      <c r="AX241" s="56"/>
      <c r="AY241" s="56"/>
      <c r="AZ241" s="56"/>
      <c r="BA241" s="168"/>
      <c r="BB241" s="56"/>
      <c r="BC241" s="56"/>
      <c r="BD241" s="56"/>
      <c r="BE241" s="168"/>
      <c r="BF241" s="56"/>
      <c r="BG241" s="10"/>
      <c r="BH241" s="56"/>
      <c r="BI241" s="56"/>
      <c r="BJ241" s="56"/>
      <c r="BK241" s="56"/>
      <c r="BS241" s="144"/>
      <c r="CM241" s="144"/>
      <c r="DC241" s="144"/>
    </row>
    <row r="242" spans="1:107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1"/>
      <c r="M242" s="10"/>
      <c r="N242" s="56"/>
      <c r="O242" s="56"/>
      <c r="P242" s="10"/>
      <c r="Q242" s="158"/>
      <c r="R242" s="174"/>
      <c r="S242" s="164"/>
      <c r="T242" s="56"/>
      <c r="U242" s="56"/>
      <c r="V242" s="56"/>
      <c r="W242" s="158"/>
      <c r="X242" s="174"/>
      <c r="Y242" s="168"/>
      <c r="Z242" s="10"/>
      <c r="AA242" s="56"/>
      <c r="AB242" s="56"/>
      <c r="AC242" s="56"/>
      <c r="AD242" s="56"/>
      <c r="AE242" s="56"/>
      <c r="AF242" s="170"/>
      <c r="AG242" s="56"/>
      <c r="AH242" s="56"/>
      <c r="AI242" s="168"/>
      <c r="AJ242" s="56"/>
      <c r="AK242" s="56"/>
      <c r="AL242" s="56"/>
      <c r="AM242" s="56"/>
      <c r="AN242" s="56"/>
      <c r="AO242" s="56"/>
      <c r="AP242" s="56"/>
      <c r="AQ242" s="56"/>
      <c r="AR242" s="168"/>
      <c r="AS242" s="56"/>
      <c r="AT242" s="56"/>
      <c r="AU242" s="56"/>
      <c r="AV242" s="56"/>
      <c r="AW242" s="56"/>
      <c r="AX242" s="56"/>
      <c r="AY242" s="56"/>
      <c r="AZ242" s="56"/>
      <c r="BA242" s="168"/>
      <c r="BB242" s="56"/>
      <c r="BC242" s="56"/>
      <c r="BD242" s="56"/>
      <c r="BE242" s="168"/>
      <c r="BF242" s="56"/>
      <c r="BG242" s="10"/>
      <c r="BH242" s="56"/>
      <c r="BI242" s="56"/>
      <c r="BJ242" s="56"/>
      <c r="BK242" s="56"/>
      <c r="BS242" s="144"/>
      <c r="CM242" s="144"/>
      <c r="DC242" s="144"/>
    </row>
    <row r="243" spans="1:107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1"/>
      <c r="M243" s="10"/>
      <c r="N243" s="56"/>
      <c r="O243" s="56"/>
      <c r="P243" s="10"/>
      <c r="Q243" s="158"/>
      <c r="R243" s="174"/>
      <c r="S243" s="164"/>
      <c r="T243" s="56"/>
      <c r="U243" s="56"/>
      <c r="V243" s="56"/>
      <c r="W243" s="158"/>
      <c r="X243" s="174"/>
      <c r="Y243" s="168"/>
      <c r="Z243" s="10"/>
      <c r="AA243" s="56"/>
      <c r="AB243" s="56"/>
      <c r="AC243" s="56"/>
      <c r="AD243" s="56"/>
      <c r="AE243" s="56"/>
      <c r="AF243" s="170"/>
      <c r="AG243" s="56"/>
      <c r="AH243" s="56"/>
      <c r="AI243" s="168"/>
      <c r="AJ243" s="56"/>
      <c r="AK243" s="56"/>
      <c r="AL243" s="56"/>
      <c r="AM243" s="56"/>
      <c r="AN243" s="56"/>
      <c r="AO243" s="56"/>
      <c r="AP243" s="56"/>
      <c r="AQ243" s="56"/>
      <c r="AR243" s="168"/>
      <c r="AS243" s="56"/>
      <c r="AT243" s="56"/>
      <c r="AU243" s="56"/>
      <c r="AV243" s="56"/>
      <c r="AW243" s="56"/>
      <c r="AX243" s="56"/>
      <c r="AY243" s="56"/>
      <c r="AZ243" s="56"/>
      <c r="BA243" s="168"/>
      <c r="BB243" s="56"/>
      <c r="BC243" s="56"/>
      <c r="BD243" s="56"/>
      <c r="BE243" s="168"/>
      <c r="BF243" s="56"/>
      <c r="BG243" s="10"/>
      <c r="BH243" s="56"/>
      <c r="BI243" s="56"/>
      <c r="BJ243" s="56"/>
      <c r="BK243" s="56"/>
      <c r="BS243" s="144"/>
      <c r="CM243" s="144"/>
      <c r="DC243" s="144"/>
    </row>
    <row r="244" spans="1:107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1"/>
      <c r="M244" s="10"/>
      <c r="N244" s="56"/>
      <c r="O244" s="56"/>
      <c r="P244" s="10"/>
      <c r="Q244" s="158"/>
      <c r="R244" s="174"/>
      <c r="S244" s="164"/>
      <c r="T244" s="56"/>
      <c r="U244" s="56"/>
      <c r="V244" s="56"/>
      <c r="W244" s="158"/>
      <c r="X244" s="174"/>
      <c r="Y244" s="168"/>
      <c r="Z244" s="10"/>
      <c r="AA244" s="56"/>
      <c r="AB244" s="56"/>
      <c r="AC244" s="56"/>
      <c r="AD244" s="56"/>
      <c r="AE244" s="56"/>
      <c r="AF244" s="170"/>
      <c r="AG244" s="56"/>
      <c r="AH244" s="56"/>
      <c r="AI244" s="168"/>
      <c r="AJ244" s="56"/>
      <c r="AK244" s="56"/>
      <c r="AL244" s="56"/>
      <c r="AM244" s="56"/>
      <c r="AN244" s="56"/>
      <c r="AO244" s="56"/>
      <c r="AP244" s="56"/>
      <c r="AQ244" s="56"/>
      <c r="AR244" s="168"/>
      <c r="AS244" s="56"/>
      <c r="AT244" s="56"/>
      <c r="AU244" s="56"/>
      <c r="AV244" s="56"/>
      <c r="AW244" s="56"/>
      <c r="AX244" s="56"/>
      <c r="AY244" s="56"/>
      <c r="AZ244" s="56"/>
      <c r="BA244" s="168"/>
      <c r="BB244" s="56"/>
      <c r="BC244" s="56"/>
      <c r="BD244" s="56"/>
      <c r="BE244" s="168"/>
      <c r="BF244" s="56"/>
      <c r="BG244" s="10"/>
      <c r="BH244" s="56"/>
      <c r="BI244" s="56"/>
      <c r="BJ244" s="56"/>
      <c r="BK244" s="56"/>
      <c r="BS244" s="144"/>
      <c r="CM244" s="144"/>
      <c r="DC244" s="144"/>
    </row>
    <row r="245" spans="1:107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1"/>
      <c r="M245" s="10"/>
      <c r="N245" s="56"/>
      <c r="O245" s="56"/>
      <c r="P245" s="10"/>
      <c r="Q245" s="158"/>
      <c r="R245" s="174"/>
      <c r="S245" s="164"/>
      <c r="T245" s="56"/>
      <c r="U245" s="56"/>
      <c r="V245" s="56"/>
      <c r="W245" s="158"/>
      <c r="X245" s="174"/>
      <c r="Y245" s="168"/>
      <c r="Z245" s="10"/>
      <c r="AA245" s="56"/>
      <c r="AB245" s="56"/>
      <c r="AC245" s="56"/>
      <c r="AD245" s="56"/>
      <c r="AE245" s="56"/>
      <c r="AF245" s="170"/>
      <c r="AG245" s="56"/>
      <c r="AH245" s="56"/>
      <c r="AI245" s="168"/>
      <c r="AJ245" s="56"/>
      <c r="AK245" s="56"/>
      <c r="AL245" s="56"/>
      <c r="AM245" s="56"/>
      <c r="AN245" s="56"/>
      <c r="AO245" s="56"/>
      <c r="AP245" s="56"/>
      <c r="AQ245" s="56"/>
      <c r="AR245" s="168"/>
      <c r="AS245" s="56"/>
      <c r="AT245" s="56"/>
      <c r="AU245" s="56"/>
      <c r="AV245" s="56"/>
      <c r="AW245" s="56"/>
      <c r="AX245" s="56"/>
      <c r="AY245" s="56"/>
      <c r="AZ245" s="56"/>
      <c r="BA245" s="168"/>
      <c r="BB245" s="56"/>
      <c r="BC245" s="56"/>
      <c r="BD245" s="56"/>
      <c r="BE245" s="168"/>
      <c r="BF245" s="56"/>
      <c r="BG245" s="10"/>
      <c r="BH245" s="56"/>
      <c r="BI245" s="56"/>
      <c r="BJ245" s="56"/>
      <c r="BK245" s="56"/>
      <c r="BS245" s="144"/>
      <c r="CM245" s="144"/>
      <c r="DC245" s="144"/>
    </row>
    <row r="246" spans="1:107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1"/>
      <c r="M246" s="10"/>
      <c r="N246" s="56"/>
      <c r="O246" s="56"/>
      <c r="P246" s="10"/>
      <c r="Q246" s="158"/>
      <c r="R246" s="174"/>
      <c r="S246" s="164"/>
      <c r="T246" s="56"/>
      <c r="U246" s="56"/>
      <c r="V246" s="56"/>
      <c r="W246" s="158"/>
      <c r="X246" s="174"/>
      <c r="Y246" s="168"/>
      <c r="Z246" s="10"/>
      <c r="AA246" s="56"/>
      <c r="AB246" s="56"/>
      <c r="AC246" s="56"/>
      <c r="AD246" s="56"/>
      <c r="AE246" s="56"/>
      <c r="AF246" s="170"/>
      <c r="AG246" s="56"/>
      <c r="AH246" s="56"/>
      <c r="AI246" s="168"/>
      <c r="AJ246" s="56"/>
      <c r="AK246" s="56"/>
      <c r="AL246" s="56"/>
      <c r="AM246" s="56"/>
      <c r="AN246" s="56"/>
      <c r="AO246" s="56"/>
      <c r="AP246" s="56"/>
      <c r="AQ246" s="56"/>
      <c r="AR246" s="168"/>
      <c r="AS246" s="56"/>
      <c r="AT246" s="56"/>
      <c r="AU246" s="56"/>
      <c r="AV246" s="56"/>
      <c r="AW246" s="56"/>
      <c r="AX246" s="56"/>
      <c r="AY246" s="56"/>
      <c r="AZ246" s="56"/>
      <c r="BA246" s="168"/>
      <c r="BB246" s="56"/>
      <c r="BC246" s="56"/>
      <c r="BD246" s="56"/>
      <c r="BE246" s="168"/>
      <c r="BF246" s="56"/>
      <c r="BG246" s="10"/>
      <c r="BH246" s="56"/>
      <c r="BI246" s="56"/>
      <c r="BJ246" s="56"/>
      <c r="BK246" s="56"/>
      <c r="BS246" s="144"/>
      <c r="CM246" s="144"/>
      <c r="DC246" s="144"/>
    </row>
    <row r="247" spans="1:107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1"/>
      <c r="M247" s="10"/>
      <c r="N247" s="56"/>
      <c r="O247" s="56"/>
      <c r="P247" s="10"/>
      <c r="Q247" s="158"/>
      <c r="R247" s="174"/>
      <c r="S247" s="164"/>
      <c r="T247" s="56"/>
      <c r="U247" s="56"/>
      <c r="V247" s="56"/>
      <c r="W247" s="158"/>
      <c r="X247" s="174"/>
      <c r="Y247" s="168"/>
      <c r="Z247" s="10"/>
      <c r="AA247" s="56"/>
      <c r="AB247" s="56"/>
      <c r="AC247" s="56"/>
      <c r="AD247" s="56"/>
      <c r="AE247" s="56"/>
      <c r="AF247" s="170"/>
      <c r="AG247" s="56"/>
      <c r="AH247" s="56"/>
      <c r="AI247" s="168"/>
      <c r="AJ247" s="56"/>
      <c r="AK247" s="56"/>
      <c r="AL247" s="56"/>
      <c r="AM247" s="56"/>
      <c r="AN247" s="56"/>
      <c r="AO247" s="56"/>
      <c r="AP247" s="56"/>
      <c r="AQ247" s="56"/>
      <c r="AR247" s="168"/>
      <c r="AS247" s="56"/>
      <c r="AT247" s="56"/>
      <c r="AU247" s="56"/>
      <c r="AV247" s="56"/>
      <c r="AW247" s="56"/>
      <c r="AX247" s="56"/>
      <c r="AY247" s="56"/>
      <c r="AZ247" s="56"/>
      <c r="BA247" s="168"/>
      <c r="BB247" s="56"/>
      <c r="BC247" s="56"/>
      <c r="BD247" s="56"/>
      <c r="BE247" s="168"/>
      <c r="BF247" s="56"/>
      <c r="BG247" s="10"/>
      <c r="BH247" s="56"/>
      <c r="BI247" s="56"/>
      <c r="BJ247" s="56"/>
      <c r="BK247" s="56"/>
      <c r="BS247" s="144"/>
      <c r="CM247" s="144"/>
      <c r="DC247" s="144"/>
    </row>
    <row r="248" spans="1:107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1"/>
      <c r="M248" s="10"/>
      <c r="N248" s="56"/>
      <c r="O248" s="56"/>
      <c r="P248" s="10"/>
      <c r="Q248" s="158"/>
      <c r="R248" s="174"/>
      <c r="S248" s="164"/>
      <c r="T248" s="56"/>
      <c r="U248" s="56"/>
      <c r="V248" s="56"/>
      <c r="W248" s="158"/>
      <c r="X248" s="174"/>
      <c r="Y248" s="168"/>
      <c r="Z248" s="10"/>
      <c r="AA248" s="56"/>
      <c r="AB248" s="56"/>
      <c r="AC248" s="56"/>
      <c r="AD248" s="56"/>
      <c r="AE248" s="56"/>
      <c r="AF248" s="170"/>
      <c r="AG248" s="56"/>
      <c r="AH248" s="56"/>
      <c r="AI248" s="168"/>
      <c r="AJ248" s="56"/>
      <c r="AK248" s="56"/>
      <c r="AL248" s="56"/>
      <c r="AM248" s="56"/>
      <c r="AN248" s="56"/>
      <c r="AO248" s="56"/>
      <c r="AP248" s="56"/>
      <c r="AQ248" s="56"/>
      <c r="AR248" s="168"/>
      <c r="AS248" s="56"/>
      <c r="AT248" s="56"/>
      <c r="AU248" s="56"/>
      <c r="AV248" s="56"/>
      <c r="AW248" s="56"/>
      <c r="AX248" s="56"/>
      <c r="AY248" s="56"/>
      <c r="AZ248" s="56"/>
      <c r="BA248" s="168"/>
      <c r="BB248" s="56"/>
      <c r="BC248" s="56"/>
      <c r="BD248" s="56"/>
      <c r="BE248" s="168"/>
      <c r="BF248" s="56"/>
      <c r="BG248" s="10"/>
      <c r="BH248" s="56"/>
      <c r="BI248" s="56"/>
      <c r="BJ248" s="56"/>
      <c r="BK248" s="56"/>
      <c r="BS248" s="144"/>
      <c r="CM248" s="144"/>
      <c r="DC248" s="144"/>
    </row>
    <row r="249" spans="1:107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1"/>
      <c r="M249" s="10"/>
      <c r="N249" s="56"/>
      <c r="O249" s="56"/>
      <c r="P249" s="10"/>
      <c r="Q249" s="158"/>
      <c r="R249" s="174"/>
      <c r="S249" s="164"/>
      <c r="T249" s="56"/>
      <c r="U249" s="56"/>
      <c r="V249" s="56"/>
      <c r="W249" s="158"/>
      <c r="X249" s="174"/>
      <c r="Y249" s="168"/>
      <c r="Z249" s="10"/>
      <c r="AA249" s="56"/>
      <c r="AB249" s="56"/>
      <c r="AC249" s="56"/>
      <c r="AD249" s="56"/>
      <c r="AE249" s="56"/>
      <c r="AF249" s="170"/>
      <c r="AG249" s="56"/>
      <c r="AH249" s="56"/>
      <c r="AI249" s="168"/>
      <c r="AJ249" s="56"/>
      <c r="AK249" s="56"/>
      <c r="AL249" s="56"/>
      <c r="AM249" s="56"/>
      <c r="AN249" s="56"/>
      <c r="AO249" s="56"/>
      <c r="AP249" s="56"/>
      <c r="AQ249" s="56"/>
      <c r="AR249" s="168"/>
      <c r="AS249" s="56"/>
      <c r="AT249" s="56"/>
      <c r="AU249" s="56"/>
      <c r="AV249" s="56"/>
      <c r="AW249" s="56"/>
      <c r="AX249" s="56"/>
      <c r="AY249" s="56"/>
      <c r="AZ249" s="56"/>
      <c r="BA249" s="168"/>
      <c r="BB249" s="56"/>
      <c r="BC249" s="56"/>
      <c r="BD249" s="56"/>
      <c r="BE249" s="168"/>
      <c r="BF249" s="56"/>
      <c r="BG249" s="10"/>
      <c r="BH249" s="56"/>
      <c r="BI249" s="56"/>
      <c r="BJ249" s="56"/>
      <c r="BK249" s="56"/>
      <c r="BS249" s="144"/>
      <c r="CM249" s="144"/>
      <c r="DC249" s="144"/>
    </row>
    <row r="250" spans="1:107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1"/>
      <c r="M250" s="10"/>
      <c r="N250" s="56"/>
      <c r="O250" s="56"/>
      <c r="P250" s="10"/>
      <c r="Q250" s="158"/>
      <c r="R250" s="174"/>
      <c r="S250" s="164"/>
      <c r="T250" s="56"/>
      <c r="U250" s="56"/>
      <c r="V250" s="56"/>
      <c r="W250" s="158"/>
      <c r="X250" s="174"/>
      <c r="Y250" s="168"/>
      <c r="Z250" s="10"/>
      <c r="AA250" s="56"/>
      <c r="AB250" s="56"/>
      <c r="AC250" s="56"/>
      <c r="AD250" s="56"/>
      <c r="AE250" s="56"/>
      <c r="AF250" s="170"/>
      <c r="AG250" s="56"/>
      <c r="AH250" s="56"/>
      <c r="AI250" s="168"/>
      <c r="AJ250" s="56"/>
      <c r="AK250" s="56"/>
      <c r="AL250" s="56"/>
      <c r="AM250" s="56"/>
      <c r="AN250" s="56"/>
      <c r="AO250" s="56"/>
      <c r="AP250" s="56"/>
      <c r="AQ250" s="56"/>
      <c r="AR250" s="168"/>
      <c r="AS250" s="56"/>
      <c r="AT250" s="56"/>
      <c r="AU250" s="56"/>
      <c r="AV250" s="56"/>
      <c r="AW250" s="56"/>
      <c r="AX250" s="56"/>
      <c r="AY250" s="56"/>
      <c r="AZ250" s="56"/>
      <c r="BA250" s="168"/>
      <c r="BB250" s="56"/>
      <c r="BC250" s="56"/>
      <c r="BD250" s="56"/>
      <c r="BE250" s="168"/>
      <c r="BF250" s="56"/>
      <c r="BG250" s="10"/>
      <c r="BH250" s="56"/>
      <c r="BI250" s="56"/>
      <c r="BJ250" s="56"/>
      <c r="BK250" s="56"/>
      <c r="BS250" s="144"/>
      <c r="CM250" s="144"/>
      <c r="DC250" s="144"/>
    </row>
    <row r="251" spans="1:107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1"/>
      <c r="M251" s="10"/>
      <c r="N251" s="56"/>
      <c r="O251" s="56"/>
      <c r="P251" s="10"/>
      <c r="Q251" s="158"/>
      <c r="R251" s="174"/>
      <c r="S251" s="164"/>
      <c r="T251" s="56"/>
      <c r="U251" s="56"/>
      <c r="V251" s="56"/>
      <c r="W251" s="158"/>
      <c r="X251" s="174"/>
      <c r="Y251" s="168"/>
      <c r="Z251" s="10"/>
      <c r="AA251" s="56"/>
      <c r="AB251" s="56"/>
      <c r="AC251" s="56"/>
      <c r="AD251" s="56"/>
      <c r="AE251" s="56"/>
      <c r="AF251" s="170"/>
      <c r="AG251" s="56"/>
      <c r="AH251" s="56"/>
      <c r="AI251" s="168"/>
      <c r="AJ251" s="56"/>
      <c r="AK251" s="56"/>
      <c r="AL251" s="56"/>
      <c r="AM251" s="56"/>
      <c r="AN251" s="56"/>
      <c r="AO251" s="56"/>
      <c r="AP251" s="56"/>
      <c r="AQ251" s="56"/>
      <c r="AR251" s="168"/>
      <c r="AS251" s="56"/>
      <c r="AT251" s="56"/>
      <c r="AU251" s="56"/>
      <c r="AV251" s="56"/>
      <c r="AW251" s="56"/>
      <c r="AX251" s="56"/>
      <c r="AY251" s="56"/>
      <c r="AZ251" s="56"/>
      <c r="BA251" s="168"/>
      <c r="BB251" s="56"/>
      <c r="BC251" s="56"/>
      <c r="BD251" s="56"/>
      <c r="BE251" s="168"/>
      <c r="BF251" s="56"/>
      <c r="BG251" s="10"/>
      <c r="BH251" s="56"/>
      <c r="BI251" s="56"/>
      <c r="BJ251" s="56"/>
      <c r="BK251" s="56"/>
      <c r="BS251" s="144"/>
      <c r="CM251" s="144"/>
      <c r="DC251" s="144"/>
    </row>
    <row r="252" spans="1:107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1"/>
      <c r="M252" s="10"/>
      <c r="N252" s="56"/>
      <c r="O252" s="56"/>
      <c r="P252" s="10"/>
      <c r="Q252" s="158"/>
      <c r="R252" s="174"/>
      <c r="S252" s="164"/>
      <c r="T252" s="56"/>
      <c r="U252" s="56"/>
      <c r="V252" s="56"/>
      <c r="W252" s="158"/>
      <c r="X252" s="174"/>
      <c r="Y252" s="168"/>
      <c r="Z252" s="10"/>
      <c r="AA252" s="56"/>
      <c r="AB252" s="56"/>
      <c r="AC252" s="56"/>
      <c r="AD252" s="56"/>
      <c r="AE252" s="56"/>
      <c r="AF252" s="170"/>
      <c r="AG252" s="56"/>
      <c r="AH252" s="56"/>
      <c r="AI252" s="168"/>
      <c r="AJ252" s="56"/>
      <c r="AK252" s="56"/>
      <c r="AL252" s="56"/>
      <c r="AM252" s="56"/>
      <c r="AN252" s="56"/>
      <c r="AO252" s="56"/>
      <c r="AP252" s="56"/>
      <c r="AQ252" s="56"/>
      <c r="AR252" s="168"/>
      <c r="AS252" s="56"/>
      <c r="AT252" s="56"/>
      <c r="AU252" s="56"/>
      <c r="AV252" s="56"/>
      <c r="AW252" s="56"/>
      <c r="AX252" s="56"/>
      <c r="AY252" s="56"/>
      <c r="AZ252" s="56"/>
      <c r="BA252" s="168"/>
      <c r="BB252" s="56"/>
      <c r="BC252" s="56"/>
      <c r="BD252" s="56"/>
      <c r="BE252" s="168"/>
      <c r="BF252" s="56"/>
      <c r="BG252" s="10"/>
      <c r="BH252" s="56"/>
      <c r="BI252" s="56"/>
      <c r="BJ252" s="56"/>
      <c r="BK252" s="56"/>
      <c r="BS252" s="144"/>
      <c r="CM252" s="144"/>
      <c r="DC252" s="144"/>
    </row>
    <row r="253" spans="1:107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1"/>
      <c r="M253" s="10"/>
      <c r="N253" s="56"/>
      <c r="O253" s="56"/>
      <c r="P253" s="10"/>
      <c r="Q253" s="158"/>
      <c r="R253" s="174"/>
      <c r="S253" s="164"/>
      <c r="T253" s="56"/>
      <c r="U253" s="56"/>
      <c r="V253" s="56"/>
      <c r="W253" s="158"/>
      <c r="X253" s="174"/>
      <c r="Y253" s="168"/>
      <c r="Z253" s="10"/>
      <c r="AA253" s="56"/>
      <c r="AB253" s="56"/>
      <c r="AC253" s="56"/>
      <c r="AD253" s="56"/>
      <c r="AE253" s="56"/>
      <c r="AF253" s="170"/>
      <c r="AG253" s="56"/>
      <c r="AH253" s="56"/>
      <c r="AI253" s="168"/>
      <c r="AJ253" s="56"/>
      <c r="AK253" s="56"/>
      <c r="AL253" s="56"/>
      <c r="AM253" s="56"/>
      <c r="AN253" s="56"/>
      <c r="AO253" s="56"/>
      <c r="AP253" s="56"/>
      <c r="AQ253" s="56"/>
      <c r="AR253" s="168"/>
      <c r="AS253" s="56"/>
      <c r="AT253" s="56"/>
      <c r="AU253" s="56"/>
      <c r="AV253" s="56"/>
      <c r="AW253" s="56"/>
      <c r="AX253" s="56"/>
      <c r="AY253" s="56"/>
      <c r="AZ253" s="56"/>
      <c r="BA253" s="168"/>
      <c r="BB253" s="56"/>
      <c r="BC253" s="56"/>
      <c r="BD253" s="56"/>
      <c r="BE253" s="168"/>
      <c r="BF253" s="56"/>
      <c r="BG253" s="10"/>
      <c r="BH253" s="56"/>
      <c r="BI253" s="56"/>
      <c r="BJ253" s="56"/>
      <c r="BK253" s="56"/>
      <c r="BS253" s="144"/>
      <c r="CM253" s="144"/>
      <c r="DC253" s="144"/>
    </row>
    <row r="254" spans="1:107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1"/>
      <c r="M254" s="10"/>
      <c r="N254" s="56"/>
      <c r="O254" s="56"/>
      <c r="P254" s="10"/>
      <c r="Q254" s="158"/>
      <c r="R254" s="174"/>
      <c r="S254" s="164"/>
      <c r="T254" s="56"/>
      <c r="U254" s="56"/>
      <c r="V254" s="56"/>
      <c r="W254" s="158"/>
      <c r="X254" s="174"/>
      <c r="Y254" s="168"/>
      <c r="Z254" s="10"/>
      <c r="AA254" s="56"/>
      <c r="AB254" s="56"/>
      <c r="AC254" s="56"/>
      <c r="AD254" s="56"/>
      <c r="AE254" s="56"/>
      <c r="AF254" s="170"/>
      <c r="AG254" s="56"/>
      <c r="AH254" s="56"/>
      <c r="AI254" s="168"/>
      <c r="AJ254" s="56"/>
      <c r="AK254" s="56"/>
      <c r="AL254" s="56"/>
      <c r="AM254" s="56"/>
      <c r="AN254" s="56"/>
      <c r="AO254" s="56"/>
      <c r="AP254" s="56"/>
      <c r="AQ254" s="56"/>
      <c r="AR254" s="168"/>
      <c r="AS254" s="56"/>
      <c r="AT254" s="56"/>
      <c r="AU254" s="56"/>
      <c r="AV254" s="56"/>
      <c r="AW254" s="56"/>
      <c r="AX254" s="56"/>
      <c r="AY254" s="56"/>
      <c r="AZ254" s="56"/>
      <c r="BA254" s="168"/>
      <c r="BB254" s="56"/>
      <c r="BC254" s="56"/>
      <c r="BD254" s="56"/>
      <c r="BE254" s="168"/>
      <c r="BF254" s="56"/>
      <c r="BG254" s="10"/>
      <c r="BH254" s="56"/>
      <c r="BI254" s="56"/>
      <c r="BJ254" s="56"/>
      <c r="BK254" s="56"/>
      <c r="BS254" s="144"/>
      <c r="CM254" s="144"/>
      <c r="DC254" s="144"/>
    </row>
    <row r="255" spans="1:107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1"/>
      <c r="M255" s="10"/>
      <c r="N255" s="56"/>
      <c r="O255" s="56"/>
      <c r="P255" s="10"/>
      <c r="Q255" s="158"/>
      <c r="R255" s="174"/>
      <c r="S255" s="164"/>
      <c r="T255" s="56"/>
      <c r="U255" s="56"/>
      <c r="V255" s="56"/>
      <c r="W255" s="158"/>
      <c r="X255" s="174"/>
      <c r="Y255" s="168"/>
      <c r="Z255" s="10"/>
      <c r="AA255" s="56"/>
      <c r="AB255" s="56"/>
      <c r="AC255" s="56"/>
      <c r="AD255" s="56"/>
      <c r="AE255" s="56"/>
      <c r="AF255" s="170"/>
      <c r="AG255" s="56"/>
      <c r="AH255" s="56"/>
      <c r="AI255" s="168"/>
      <c r="AJ255" s="56"/>
      <c r="AK255" s="56"/>
      <c r="AL255" s="56"/>
      <c r="AM255" s="56"/>
      <c r="AN255" s="56"/>
      <c r="AO255" s="56"/>
      <c r="AP255" s="56"/>
      <c r="AQ255" s="56"/>
      <c r="AR255" s="168"/>
      <c r="AS255" s="56"/>
      <c r="AT255" s="56"/>
      <c r="AU255" s="56"/>
      <c r="AV255" s="56"/>
      <c r="AW255" s="56"/>
      <c r="AX255" s="56"/>
      <c r="AY255" s="56"/>
      <c r="AZ255" s="56"/>
      <c r="BA255" s="168"/>
      <c r="BB255" s="56"/>
      <c r="BC255" s="56"/>
      <c r="BD255" s="56"/>
      <c r="BE255" s="168"/>
      <c r="BF255" s="56"/>
      <c r="BG255" s="10"/>
      <c r="BH255" s="56"/>
      <c r="BI255" s="56"/>
      <c r="BJ255" s="56"/>
      <c r="BK255" s="56"/>
      <c r="BS255" s="144"/>
      <c r="CM255" s="144"/>
      <c r="DC255" s="144"/>
    </row>
    <row r="256" spans="1:107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1"/>
      <c r="M256" s="10"/>
      <c r="N256" s="56"/>
      <c r="O256" s="56"/>
      <c r="P256" s="10"/>
      <c r="Q256" s="158"/>
      <c r="R256" s="174"/>
      <c r="S256" s="164"/>
      <c r="T256" s="56"/>
      <c r="U256" s="56"/>
      <c r="V256" s="56"/>
      <c r="W256" s="158"/>
      <c r="X256" s="174"/>
      <c r="Y256" s="168"/>
      <c r="Z256" s="10"/>
      <c r="AA256" s="56"/>
      <c r="AB256" s="56"/>
      <c r="AC256" s="56"/>
      <c r="AD256" s="56"/>
      <c r="AE256" s="56"/>
      <c r="AF256" s="170"/>
      <c r="AG256" s="56"/>
      <c r="AH256" s="56"/>
      <c r="AI256" s="168"/>
      <c r="AJ256" s="56"/>
      <c r="AK256" s="56"/>
      <c r="AL256" s="56"/>
      <c r="AM256" s="56"/>
      <c r="AN256" s="56"/>
      <c r="AO256" s="56"/>
      <c r="AP256" s="56"/>
      <c r="AQ256" s="56"/>
      <c r="AR256" s="168"/>
      <c r="AS256" s="56"/>
      <c r="AT256" s="56"/>
      <c r="AU256" s="56"/>
      <c r="AV256" s="56"/>
      <c r="AW256" s="56"/>
      <c r="AX256" s="56"/>
      <c r="AY256" s="56"/>
      <c r="AZ256" s="56"/>
      <c r="BA256" s="168"/>
      <c r="BB256" s="56"/>
      <c r="BC256" s="56"/>
      <c r="BD256" s="56"/>
      <c r="BE256" s="168"/>
      <c r="BF256" s="56"/>
      <c r="BG256" s="10"/>
      <c r="BH256" s="56"/>
      <c r="BI256" s="56"/>
      <c r="BJ256" s="56"/>
      <c r="BK256" s="56"/>
      <c r="BS256" s="144"/>
      <c r="CM256" s="144"/>
      <c r="DC256" s="144"/>
    </row>
    <row r="257" spans="1:107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1"/>
      <c r="M257" s="10"/>
      <c r="N257" s="56"/>
      <c r="O257" s="56"/>
      <c r="P257" s="10"/>
      <c r="Q257" s="158"/>
      <c r="R257" s="174"/>
      <c r="S257" s="164"/>
      <c r="T257" s="56"/>
      <c r="U257" s="56"/>
      <c r="V257" s="56"/>
      <c r="W257" s="158"/>
      <c r="X257" s="174"/>
      <c r="Y257" s="168"/>
      <c r="Z257" s="10"/>
      <c r="AA257" s="56"/>
      <c r="AB257" s="56"/>
      <c r="AC257" s="56"/>
      <c r="AD257" s="56"/>
      <c r="AE257" s="56"/>
      <c r="AF257" s="170"/>
      <c r="AG257" s="56"/>
      <c r="AH257" s="56"/>
      <c r="AI257" s="168"/>
      <c r="AJ257" s="56"/>
      <c r="AK257" s="56"/>
      <c r="AL257" s="56"/>
      <c r="AM257" s="56"/>
      <c r="AN257" s="56"/>
      <c r="AO257" s="56"/>
      <c r="AP257" s="56"/>
      <c r="AQ257" s="56"/>
      <c r="AR257" s="168"/>
      <c r="AS257" s="56"/>
      <c r="AT257" s="56"/>
      <c r="AU257" s="56"/>
      <c r="AV257" s="56"/>
      <c r="AW257" s="56"/>
      <c r="AX257" s="56"/>
      <c r="AY257" s="56"/>
      <c r="AZ257" s="56"/>
      <c r="BA257" s="168"/>
      <c r="BB257" s="56"/>
      <c r="BC257" s="56"/>
      <c r="BD257" s="56"/>
      <c r="BE257" s="168"/>
      <c r="BF257" s="56"/>
      <c r="BG257" s="10"/>
      <c r="BH257" s="56"/>
      <c r="BI257" s="56"/>
      <c r="BJ257" s="56"/>
      <c r="BK257" s="56"/>
      <c r="BS257" s="144"/>
      <c r="CM257" s="144"/>
      <c r="DC257" s="144"/>
    </row>
    <row r="258" spans="1:107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1"/>
      <c r="M258" s="10"/>
      <c r="N258" s="56"/>
      <c r="O258" s="56"/>
      <c r="P258" s="10"/>
      <c r="Q258" s="158"/>
      <c r="R258" s="174"/>
      <c r="S258" s="164"/>
      <c r="T258" s="56"/>
      <c r="U258" s="56"/>
      <c r="V258" s="56"/>
      <c r="W258" s="158"/>
      <c r="X258" s="174"/>
      <c r="Y258" s="168"/>
      <c r="Z258" s="10"/>
      <c r="AA258" s="56"/>
      <c r="AB258" s="56"/>
      <c r="AC258" s="56"/>
      <c r="AD258" s="56"/>
      <c r="AE258" s="56"/>
      <c r="AF258" s="170"/>
      <c r="AG258" s="56"/>
      <c r="AH258" s="56"/>
      <c r="AI258" s="168"/>
      <c r="AJ258" s="56"/>
      <c r="AK258" s="56"/>
      <c r="AL258" s="56"/>
      <c r="AM258" s="56"/>
      <c r="AN258" s="56"/>
      <c r="AO258" s="56"/>
      <c r="AP258" s="56"/>
      <c r="AQ258" s="56"/>
      <c r="AR258" s="168"/>
      <c r="AS258" s="56"/>
      <c r="AT258" s="56"/>
      <c r="AU258" s="56"/>
      <c r="AV258" s="56"/>
      <c r="AW258" s="56"/>
      <c r="AX258" s="56"/>
      <c r="AY258" s="56"/>
      <c r="AZ258" s="56"/>
      <c r="BA258" s="168"/>
      <c r="BB258" s="56"/>
      <c r="BC258" s="56"/>
      <c r="BD258" s="56"/>
      <c r="BE258" s="168"/>
      <c r="BF258" s="56"/>
      <c r="BG258" s="10"/>
      <c r="BH258" s="56"/>
      <c r="BI258" s="56"/>
      <c r="BJ258" s="56"/>
      <c r="BK258" s="56"/>
      <c r="BS258" s="144"/>
      <c r="CM258" s="144"/>
      <c r="DC258" s="144"/>
    </row>
    <row r="259" spans="1:107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1"/>
      <c r="M259" s="10"/>
      <c r="N259" s="56"/>
      <c r="O259" s="56"/>
      <c r="P259" s="10"/>
      <c r="Q259" s="158"/>
      <c r="R259" s="174"/>
      <c r="S259" s="164"/>
      <c r="T259" s="56"/>
      <c r="U259" s="56"/>
      <c r="V259" s="56"/>
      <c r="W259" s="158"/>
      <c r="X259" s="174"/>
      <c r="Y259" s="168"/>
      <c r="Z259" s="10"/>
      <c r="AA259" s="56"/>
      <c r="AB259" s="56"/>
      <c r="AC259" s="56"/>
      <c r="AD259" s="56"/>
      <c r="AE259" s="56"/>
      <c r="AF259" s="170"/>
      <c r="AG259" s="56"/>
      <c r="AH259" s="56"/>
      <c r="AI259" s="168"/>
      <c r="AJ259" s="56"/>
      <c r="AK259" s="56"/>
      <c r="AL259" s="56"/>
      <c r="AM259" s="56"/>
      <c r="AN259" s="56"/>
      <c r="AO259" s="56"/>
      <c r="AP259" s="56"/>
      <c r="AQ259" s="56"/>
      <c r="AR259" s="168"/>
      <c r="AS259" s="56"/>
      <c r="AT259" s="56"/>
      <c r="AU259" s="56"/>
      <c r="AV259" s="56"/>
      <c r="AW259" s="56"/>
      <c r="AX259" s="56"/>
      <c r="AY259" s="56"/>
      <c r="AZ259" s="56"/>
      <c r="BA259" s="168"/>
      <c r="BB259" s="56"/>
      <c r="BC259" s="56"/>
      <c r="BD259" s="56"/>
      <c r="BE259" s="168"/>
      <c r="BF259" s="56"/>
      <c r="BG259" s="10"/>
      <c r="BH259" s="56"/>
      <c r="BI259" s="56"/>
      <c r="BJ259" s="56"/>
      <c r="BK259" s="56"/>
      <c r="BS259" s="144"/>
      <c r="CM259" s="144"/>
      <c r="DC259" s="144"/>
    </row>
    <row r="260" spans="1:107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1"/>
      <c r="M260" s="10"/>
      <c r="N260" s="56"/>
      <c r="O260" s="56"/>
      <c r="P260" s="10"/>
      <c r="Q260" s="158"/>
      <c r="R260" s="174"/>
      <c r="S260" s="164"/>
      <c r="T260" s="56"/>
      <c r="U260" s="56"/>
      <c r="V260" s="56"/>
      <c r="W260" s="158"/>
      <c r="X260" s="174"/>
      <c r="Y260" s="168"/>
      <c r="Z260" s="10"/>
      <c r="AA260" s="56"/>
      <c r="AB260" s="56"/>
      <c r="AC260" s="56"/>
      <c r="AD260" s="56"/>
      <c r="AE260" s="56"/>
      <c r="AF260" s="170"/>
      <c r="AG260" s="56"/>
      <c r="AH260" s="56"/>
      <c r="AI260" s="168"/>
      <c r="AJ260" s="56"/>
      <c r="AK260" s="56"/>
      <c r="AL260" s="56"/>
      <c r="AM260" s="56"/>
      <c r="AN260" s="56"/>
      <c r="AO260" s="56"/>
      <c r="AP260" s="56"/>
      <c r="AQ260" s="56"/>
      <c r="AR260" s="168"/>
      <c r="AS260" s="56"/>
      <c r="AT260" s="56"/>
      <c r="AU260" s="56"/>
      <c r="AV260" s="56"/>
      <c r="AW260" s="56"/>
      <c r="AX260" s="56"/>
      <c r="AY260" s="56"/>
      <c r="AZ260" s="56"/>
      <c r="BA260" s="168"/>
      <c r="BB260" s="56"/>
      <c r="BC260" s="56"/>
      <c r="BD260" s="56"/>
      <c r="BE260" s="168"/>
      <c r="BF260" s="56"/>
      <c r="BG260" s="10"/>
      <c r="BH260" s="56"/>
      <c r="BI260" s="56"/>
      <c r="BJ260" s="56"/>
      <c r="BK260" s="56"/>
      <c r="BS260" s="144"/>
      <c r="CM260" s="144"/>
      <c r="DC260" s="144"/>
    </row>
    <row r="261" spans="1:107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1"/>
      <c r="M261" s="10"/>
      <c r="N261" s="56"/>
      <c r="O261" s="56"/>
      <c r="P261" s="10"/>
      <c r="Q261" s="158"/>
      <c r="R261" s="174"/>
      <c r="S261" s="164"/>
      <c r="T261" s="56"/>
      <c r="U261" s="56"/>
      <c r="V261" s="56"/>
      <c r="W261" s="158"/>
      <c r="X261" s="174"/>
      <c r="Y261" s="168"/>
      <c r="Z261" s="10"/>
      <c r="AA261" s="56"/>
      <c r="AB261" s="56"/>
      <c r="AC261" s="56"/>
      <c r="AD261" s="56"/>
      <c r="AE261" s="56"/>
      <c r="AF261" s="170"/>
      <c r="AG261" s="56"/>
      <c r="AH261" s="56"/>
      <c r="AI261" s="168"/>
      <c r="AJ261" s="56"/>
      <c r="AK261" s="56"/>
      <c r="AL261" s="56"/>
      <c r="AM261" s="56"/>
      <c r="AN261" s="56"/>
      <c r="AO261" s="56"/>
      <c r="AP261" s="56"/>
      <c r="AQ261" s="56"/>
      <c r="AR261" s="168"/>
      <c r="AS261" s="56"/>
      <c r="AT261" s="56"/>
      <c r="AU261" s="56"/>
      <c r="AV261" s="56"/>
      <c r="AW261" s="56"/>
      <c r="AX261" s="56"/>
      <c r="AY261" s="56"/>
      <c r="AZ261" s="56"/>
      <c r="BA261" s="168"/>
      <c r="BB261" s="56"/>
      <c r="BC261" s="56"/>
      <c r="BD261" s="56"/>
      <c r="BE261" s="168"/>
      <c r="BF261" s="56"/>
      <c r="BG261" s="10"/>
      <c r="BH261" s="56"/>
      <c r="BI261" s="56"/>
      <c r="BJ261" s="56"/>
      <c r="BK261" s="56"/>
      <c r="BS261" s="144"/>
      <c r="CM261" s="144"/>
      <c r="DC261" s="144"/>
    </row>
    <row r="262" spans="1:107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1"/>
      <c r="M262" s="10"/>
      <c r="N262" s="56"/>
      <c r="O262" s="56"/>
      <c r="P262" s="10"/>
      <c r="Q262" s="158"/>
      <c r="R262" s="174"/>
      <c r="S262" s="164"/>
      <c r="T262" s="56"/>
      <c r="U262" s="56"/>
      <c r="V262" s="56"/>
      <c r="W262" s="158"/>
      <c r="X262" s="174"/>
      <c r="Y262" s="168"/>
      <c r="Z262" s="10"/>
      <c r="AA262" s="56"/>
      <c r="AB262" s="56"/>
      <c r="AC262" s="56"/>
      <c r="AD262" s="56"/>
      <c r="AE262" s="56"/>
      <c r="AF262" s="170"/>
      <c r="AG262" s="56"/>
      <c r="AH262" s="56"/>
      <c r="AI262" s="168"/>
      <c r="AJ262" s="56"/>
      <c r="AK262" s="56"/>
      <c r="AL262" s="56"/>
      <c r="AM262" s="56"/>
      <c r="AN262" s="56"/>
      <c r="AO262" s="56"/>
      <c r="AP262" s="56"/>
      <c r="AQ262" s="56"/>
      <c r="AR262" s="168"/>
      <c r="AS262" s="56"/>
      <c r="AT262" s="56"/>
      <c r="AU262" s="56"/>
      <c r="AV262" s="56"/>
      <c r="AW262" s="56"/>
      <c r="AX262" s="56"/>
      <c r="AY262" s="56"/>
      <c r="AZ262" s="56"/>
      <c r="BA262" s="168"/>
      <c r="BB262" s="56"/>
      <c r="BC262" s="56"/>
      <c r="BD262" s="56"/>
      <c r="BE262" s="168"/>
      <c r="BF262" s="56"/>
      <c r="BG262" s="10"/>
      <c r="BH262" s="56"/>
      <c r="BI262" s="56"/>
      <c r="BJ262" s="56"/>
      <c r="BK262" s="56"/>
      <c r="BS262" s="144"/>
      <c r="CM262" s="144"/>
      <c r="DC262" s="144"/>
    </row>
    <row r="263" spans="1:107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1"/>
      <c r="M263" s="10"/>
      <c r="N263" s="56"/>
      <c r="O263" s="56"/>
      <c r="P263" s="10"/>
      <c r="Q263" s="158"/>
      <c r="R263" s="174"/>
      <c r="S263" s="164"/>
      <c r="T263" s="56"/>
      <c r="U263" s="56"/>
      <c r="V263" s="56"/>
      <c r="W263" s="158"/>
      <c r="X263" s="174"/>
      <c r="Y263" s="168"/>
      <c r="Z263" s="10"/>
      <c r="AA263" s="56"/>
      <c r="AB263" s="56"/>
      <c r="AC263" s="56"/>
      <c r="AD263" s="56"/>
      <c r="AE263" s="56"/>
      <c r="AF263" s="170"/>
      <c r="AG263" s="56"/>
      <c r="AH263" s="56"/>
      <c r="AI263" s="168"/>
      <c r="AJ263" s="56"/>
      <c r="AK263" s="56"/>
      <c r="AL263" s="56"/>
      <c r="AM263" s="56"/>
      <c r="AN263" s="56"/>
      <c r="AO263" s="56"/>
      <c r="AP263" s="56"/>
      <c r="AQ263" s="56"/>
      <c r="AR263" s="168"/>
      <c r="AS263" s="56"/>
      <c r="AT263" s="56"/>
      <c r="AU263" s="56"/>
      <c r="AV263" s="56"/>
      <c r="AW263" s="56"/>
      <c r="AX263" s="56"/>
      <c r="AY263" s="56"/>
      <c r="AZ263" s="56"/>
      <c r="BA263" s="168"/>
      <c r="BB263" s="56"/>
      <c r="BC263" s="56"/>
      <c r="BD263" s="56"/>
      <c r="BE263" s="168"/>
      <c r="BF263" s="56"/>
      <c r="BG263" s="10"/>
      <c r="BH263" s="56"/>
      <c r="BI263" s="56"/>
      <c r="BJ263" s="56"/>
      <c r="BK263" s="56"/>
      <c r="BS263" s="144"/>
      <c r="CM263" s="144"/>
      <c r="DC263" s="144"/>
    </row>
    <row r="264" spans="1:107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1"/>
      <c r="M264" s="10"/>
      <c r="N264" s="56"/>
      <c r="O264" s="56"/>
      <c r="P264" s="10"/>
      <c r="Q264" s="158"/>
      <c r="R264" s="174"/>
      <c r="S264" s="164"/>
      <c r="T264" s="56"/>
      <c r="U264" s="56"/>
      <c r="V264" s="56"/>
      <c r="W264" s="158"/>
      <c r="X264" s="174"/>
      <c r="Y264" s="168"/>
      <c r="Z264" s="10"/>
      <c r="AA264" s="56"/>
      <c r="AB264" s="56"/>
      <c r="AC264" s="56"/>
      <c r="AD264" s="56"/>
      <c r="AE264" s="56"/>
      <c r="AF264" s="170"/>
      <c r="AG264" s="56"/>
      <c r="AH264" s="56"/>
      <c r="AI264" s="168"/>
      <c r="AJ264" s="56"/>
      <c r="AK264" s="56"/>
      <c r="AL264" s="56"/>
      <c r="AM264" s="56"/>
      <c r="AN264" s="56"/>
      <c r="AO264" s="56"/>
      <c r="AP264" s="56"/>
      <c r="AQ264" s="56"/>
      <c r="AR264" s="168"/>
      <c r="AS264" s="56"/>
      <c r="AT264" s="56"/>
      <c r="AU264" s="56"/>
      <c r="AV264" s="56"/>
      <c r="AW264" s="56"/>
      <c r="AX264" s="56"/>
      <c r="AY264" s="56"/>
      <c r="AZ264" s="56"/>
      <c r="BA264" s="168"/>
      <c r="BB264" s="56"/>
      <c r="BC264" s="56"/>
      <c r="BD264" s="56"/>
      <c r="BE264" s="168"/>
      <c r="BF264" s="56"/>
      <c r="BG264" s="10"/>
      <c r="BH264" s="56"/>
      <c r="BI264" s="56"/>
      <c r="BJ264" s="56"/>
      <c r="BK264" s="56"/>
      <c r="BS264" s="144"/>
      <c r="CM264" s="144"/>
      <c r="DC264" s="144"/>
    </row>
    <row r="265" spans="1:107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1"/>
      <c r="M265" s="10"/>
      <c r="N265" s="56"/>
      <c r="O265" s="56"/>
      <c r="P265" s="10"/>
      <c r="Q265" s="158"/>
      <c r="R265" s="174"/>
      <c r="S265" s="164"/>
      <c r="T265" s="56"/>
      <c r="U265" s="56"/>
      <c r="V265" s="56"/>
      <c r="W265" s="158"/>
      <c r="X265" s="174"/>
      <c r="Y265" s="168"/>
      <c r="Z265" s="10"/>
      <c r="AA265" s="56"/>
      <c r="AB265" s="56"/>
      <c r="AC265" s="56"/>
      <c r="AD265" s="56"/>
      <c r="AE265" s="56"/>
      <c r="AF265" s="170"/>
      <c r="AG265" s="56"/>
      <c r="AH265" s="56"/>
      <c r="AI265" s="168"/>
      <c r="AJ265" s="56"/>
      <c r="AK265" s="56"/>
      <c r="AL265" s="56"/>
      <c r="AM265" s="56"/>
      <c r="AN265" s="56"/>
      <c r="AO265" s="56"/>
      <c r="AP265" s="56"/>
      <c r="AQ265" s="56"/>
      <c r="AR265" s="168"/>
      <c r="AS265" s="56"/>
      <c r="AT265" s="56"/>
      <c r="AU265" s="56"/>
      <c r="AV265" s="56"/>
      <c r="AW265" s="56"/>
      <c r="AX265" s="56"/>
      <c r="AY265" s="56"/>
      <c r="AZ265" s="56"/>
      <c r="BA265" s="168"/>
      <c r="BB265" s="56"/>
      <c r="BC265" s="56"/>
      <c r="BD265" s="56"/>
      <c r="BE265" s="168"/>
      <c r="BF265" s="56"/>
      <c r="BG265" s="10"/>
      <c r="BH265" s="56"/>
      <c r="BI265" s="56"/>
      <c r="BJ265" s="56"/>
      <c r="BK265" s="56"/>
      <c r="BS265" s="144"/>
      <c r="CM265" s="144"/>
      <c r="DC265" s="144"/>
    </row>
    <row r="266" spans="1:107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1"/>
      <c r="M266" s="10"/>
      <c r="N266" s="56"/>
      <c r="O266" s="56"/>
      <c r="P266" s="10"/>
      <c r="Q266" s="158"/>
      <c r="R266" s="174"/>
      <c r="S266" s="164"/>
      <c r="T266" s="56"/>
      <c r="U266" s="56"/>
      <c r="V266" s="56"/>
      <c r="W266" s="158"/>
      <c r="X266" s="174"/>
      <c r="Y266" s="168"/>
      <c r="Z266" s="10"/>
      <c r="AA266" s="56"/>
      <c r="AB266" s="56"/>
      <c r="AC266" s="56"/>
      <c r="AD266" s="56"/>
      <c r="AE266" s="56"/>
      <c r="AF266" s="170"/>
      <c r="AG266" s="56"/>
      <c r="AH266" s="56"/>
      <c r="AI266" s="168"/>
      <c r="AJ266" s="56"/>
      <c r="AK266" s="56"/>
      <c r="AL266" s="56"/>
      <c r="AM266" s="56"/>
      <c r="AN266" s="56"/>
      <c r="AO266" s="56"/>
      <c r="AP266" s="56"/>
      <c r="AQ266" s="56"/>
      <c r="AR266" s="168"/>
      <c r="AS266" s="56"/>
      <c r="AT266" s="56"/>
      <c r="AU266" s="56"/>
      <c r="AV266" s="56"/>
      <c r="AW266" s="56"/>
      <c r="AX266" s="56"/>
      <c r="AY266" s="56"/>
      <c r="AZ266" s="56"/>
      <c r="BA266" s="168"/>
      <c r="BB266" s="56"/>
      <c r="BC266" s="56"/>
      <c r="BD266" s="56"/>
      <c r="BE266" s="168"/>
      <c r="BF266" s="56"/>
      <c r="BG266" s="10"/>
      <c r="BH266" s="56"/>
      <c r="BI266" s="56"/>
      <c r="BJ266" s="56"/>
      <c r="BK266" s="56"/>
      <c r="BS266" s="144"/>
      <c r="CM266" s="144"/>
      <c r="DC266" s="144"/>
    </row>
    <row r="267" spans="1:107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1"/>
      <c r="M267" s="10"/>
      <c r="N267" s="56"/>
      <c r="O267" s="56"/>
      <c r="P267" s="10"/>
      <c r="Q267" s="158"/>
      <c r="R267" s="174"/>
      <c r="S267" s="164"/>
      <c r="T267" s="56"/>
      <c r="U267" s="56"/>
      <c r="V267" s="56"/>
      <c r="W267" s="158"/>
      <c r="X267" s="174"/>
      <c r="Y267" s="168"/>
      <c r="Z267" s="10"/>
      <c r="AA267" s="56"/>
      <c r="AB267" s="56"/>
      <c r="AC267" s="56"/>
      <c r="AD267" s="56"/>
      <c r="AE267" s="56"/>
      <c r="AF267" s="170"/>
      <c r="AG267" s="56"/>
      <c r="AH267" s="56"/>
      <c r="AI267" s="168"/>
      <c r="AJ267" s="56"/>
      <c r="AK267" s="56"/>
      <c r="AL267" s="56"/>
      <c r="AM267" s="56"/>
      <c r="AN267" s="56"/>
      <c r="AO267" s="56"/>
      <c r="AP267" s="56"/>
      <c r="AQ267" s="56"/>
      <c r="AR267" s="168"/>
      <c r="AS267" s="56"/>
      <c r="AT267" s="56"/>
      <c r="AU267" s="56"/>
      <c r="AV267" s="56"/>
      <c r="AW267" s="56"/>
      <c r="AX267" s="56"/>
      <c r="AY267" s="56"/>
      <c r="AZ267" s="56"/>
      <c r="BA267" s="168"/>
      <c r="BB267" s="56"/>
      <c r="BC267" s="56"/>
      <c r="BD267" s="56"/>
      <c r="BE267" s="168"/>
      <c r="BF267" s="56"/>
      <c r="BG267" s="10"/>
      <c r="BH267" s="56"/>
      <c r="BI267" s="56"/>
      <c r="BJ267" s="56"/>
      <c r="BK267" s="56"/>
      <c r="BS267" s="144"/>
      <c r="CM267" s="144"/>
      <c r="DC267" s="144"/>
    </row>
    <row r="268" spans="1:107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1"/>
      <c r="M268" s="10"/>
      <c r="N268" s="56"/>
      <c r="O268" s="56"/>
      <c r="P268" s="10"/>
      <c r="Q268" s="158"/>
      <c r="R268" s="174"/>
      <c r="S268" s="164"/>
      <c r="T268" s="56"/>
      <c r="U268" s="56"/>
      <c r="V268" s="56"/>
      <c r="W268" s="158"/>
      <c r="X268" s="174"/>
      <c r="Y268" s="168"/>
      <c r="Z268" s="10"/>
      <c r="AA268" s="56"/>
      <c r="AB268" s="56"/>
      <c r="AC268" s="56"/>
      <c r="AD268" s="56"/>
      <c r="AE268" s="56"/>
      <c r="AF268" s="170"/>
      <c r="AG268" s="56"/>
      <c r="AH268" s="56"/>
      <c r="AI268" s="168"/>
      <c r="AJ268" s="56"/>
      <c r="AK268" s="56"/>
      <c r="AL268" s="56"/>
      <c r="AM268" s="56"/>
      <c r="AN268" s="56"/>
      <c r="AO268" s="56"/>
      <c r="AP268" s="56"/>
      <c r="AQ268" s="56"/>
      <c r="AR268" s="168"/>
      <c r="AS268" s="56"/>
      <c r="AT268" s="56"/>
      <c r="AU268" s="56"/>
      <c r="AV268" s="56"/>
      <c r="AW268" s="56"/>
      <c r="AX268" s="56"/>
      <c r="AY268" s="56"/>
      <c r="AZ268" s="56"/>
      <c r="BA268" s="168"/>
      <c r="BB268" s="56"/>
      <c r="BC268" s="56"/>
      <c r="BD268" s="56"/>
      <c r="BE268" s="168"/>
      <c r="BF268" s="56"/>
      <c r="BG268" s="10"/>
      <c r="BH268" s="56"/>
      <c r="BI268" s="56"/>
      <c r="BJ268" s="56"/>
      <c r="BK268" s="56"/>
      <c r="BS268" s="144"/>
      <c r="CM268" s="144"/>
      <c r="DC268" s="144"/>
    </row>
    <row r="269" spans="1:107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1"/>
      <c r="M269" s="10"/>
      <c r="N269" s="56"/>
      <c r="O269" s="56"/>
      <c r="P269" s="10"/>
      <c r="Q269" s="158"/>
      <c r="R269" s="174"/>
      <c r="S269" s="164"/>
      <c r="T269" s="56"/>
      <c r="U269" s="56"/>
      <c r="V269" s="56"/>
      <c r="W269" s="158"/>
      <c r="X269" s="174"/>
      <c r="Y269" s="168"/>
      <c r="Z269" s="10"/>
      <c r="AA269" s="56"/>
      <c r="AB269" s="56"/>
      <c r="AC269" s="56"/>
      <c r="AD269" s="56"/>
      <c r="AE269" s="56"/>
      <c r="AF269" s="170"/>
      <c r="AG269" s="56"/>
      <c r="AH269" s="56"/>
      <c r="AI269" s="168"/>
      <c r="AJ269" s="56"/>
      <c r="AK269" s="56"/>
      <c r="AL269" s="56"/>
      <c r="AM269" s="56"/>
      <c r="AN269" s="56"/>
      <c r="AO269" s="56"/>
      <c r="AP269" s="56"/>
      <c r="AQ269" s="56"/>
      <c r="AR269" s="168"/>
      <c r="AS269" s="56"/>
      <c r="AT269" s="56"/>
      <c r="AU269" s="56"/>
      <c r="AV269" s="56"/>
      <c r="AW269" s="56"/>
      <c r="AX269" s="56"/>
      <c r="AY269" s="56"/>
      <c r="AZ269" s="56"/>
      <c r="BA269" s="168"/>
      <c r="BB269" s="56"/>
      <c r="BC269" s="56"/>
      <c r="BD269" s="56"/>
      <c r="BE269" s="168"/>
      <c r="BF269" s="56"/>
      <c r="BG269" s="10"/>
      <c r="BH269" s="56"/>
      <c r="BI269" s="56"/>
      <c r="BJ269" s="56"/>
      <c r="BK269" s="56"/>
      <c r="BS269" s="144"/>
      <c r="CM269" s="144"/>
      <c r="DC269" s="144"/>
    </row>
    <row r="270" spans="1:107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1"/>
      <c r="M270" s="10"/>
      <c r="N270" s="56"/>
      <c r="O270" s="56"/>
      <c r="P270" s="10"/>
      <c r="Q270" s="158"/>
      <c r="R270" s="174"/>
      <c r="S270" s="164"/>
      <c r="T270" s="56"/>
      <c r="U270" s="56"/>
      <c r="V270" s="56"/>
      <c r="W270" s="158"/>
      <c r="X270" s="174"/>
      <c r="Y270" s="168"/>
      <c r="Z270" s="10"/>
      <c r="AA270" s="56"/>
      <c r="AB270" s="56"/>
      <c r="AC270" s="56"/>
      <c r="AD270" s="56"/>
      <c r="AE270" s="56"/>
      <c r="AF270" s="170"/>
      <c r="AG270" s="56"/>
      <c r="AH270" s="56"/>
      <c r="AI270" s="168"/>
      <c r="AJ270" s="56"/>
      <c r="AK270" s="56"/>
      <c r="AL270" s="56"/>
      <c r="AM270" s="56"/>
      <c r="AN270" s="56"/>
      <c r="AO270" s="56"/>
      <c r="AP270" s="56"/>
      <c r="AQ270" s="56"/>
      <c r="AR270" s="168"/>
      <c r="AS270" s="56"/>
      <c r="AT270" s="56"/>
      <c r="AU270" s="56"/>
      <c r="AV270" s="56"/>
      <c r="AW270" s="56"/>
      <c r="AX270" s="56"/>
      <c r="AY270" s="56"/>
      <c r="AZ270" s="56"/>
      <c r="BA270" s="168"/>
      <c r="BB270" s="56"/>
      <c r="BC270" s="56"/>
      <c r="BD270" s="56"/>
      <c r="BE270" s="168"/>
      <c r="BF270" s="56"/>
      <c r="BG270" s="10"/>
      <c r="BH270" s="56"/>
      <c r="BI270" s="56"/>
      <c r="BJ270" s="56"/>
      <c r="BK270" s="56"/>
      <c r="BS270" s="144"/>
      <c r="CM270" s="144"/>
      <c r="DC270" s="144"/>
    </row>
    <row r="271" spans="1:107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1"/>
      <c r="M271" s="10"/>
      <c r="N271" s="56"/>
      <c r="O271" s="56"/>
      <c r="P271" s="10"/>
      <c r="Q271" s="158"/>
      <c r="R271" s="174"/>
      <c r="S271" s="164"/>
      <c r="T271" s="56"/>
      <c r="U271" s="56"/>
      <c r="V271" s="56"/>
      <c r="W271" s="158"/>
      <c r="X271" s="174"/>
      <c r="Y271" s="168"/>
      <c r="Z271" s="10"/>
      <c r="AA271" s="56"/>
      <c r="AB271" s="56"/>
      <c r="AC271" s="56"/>
      <c r="AD271" s="56"/>
      <c r="AE271" s="56"/>
      <c r="AF271" s="170"/>
      <c r="AG271" s="56"/>
      <c r="AH271" s="56"/>
      <c r="AI271" s="168"/>
      <c r="AJ271" s="56"/>
      <c r="AK271" s="56"/>
      <c r="AL271" s="56"/>
      <c r="AM271" s="56"/>
      <c r="AN271" s="56"/>
      <c r="AO271" s="56"/>
      <c r="AP271" s="56"/>
      <c r="AQ271" s="56"/>
      <c r="AR271" s="168"/>
      <c r="AS271" s="56"/>
      <c r="AT271" s="56"/>
      <c r="AU271" s="56"/>
      <c r="AV271" s="56"/>
      <c r="AW271" s="56"/>
      <c r="AX271" s="56"/>
      <c r="AY271" s="56"/>
      <c r="AZ271" s="56"/>
      <c r="BA271" s="168"/>
      <c r="BB271" s="56"/>
      <c r="BC271" s="56"/>
      <c r="BD271" s="56"/>
      <c r="BE271" s="168"/>
      <c r="BF271" s="56"/>
      <c r="BG271" s="10"/>
      <c r="BH271" s="56"/>
      <c r="BI271" s="56"/>
      <c r="BJ271" s="56"/>
      <c r="BK271" s="56"/>
      <c r="BS271" s="144"/>
      <c r="CM271" s="144"/>
      <c r="DC271" s="144"/>
    </row>
    <row r="272" spans="1:107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1"/>
      <c r="M272" s="10"/>
      <c r="N272" s="56"/>
      <c r="O272" s="56"/>
      <c r="P272" s="10"/>
      <c r="Q272" s="158"/>
      <c r="R272" s="174"/>
      <c r="S272" s="164"/>
      <c r="T272" s="56"/>
      <c r="U272" s="56"/>
      <c r="V272" s="56"/>
      <c r="W272" s="158"/>
      <c r="X272" s="174"/>
      <c r="Y272" s="168"/>
      <c r="Z272" s="10"/>
      <c r="AA272" s="56"/>
      <c r="AB272" s="56"/>
      <c r="AC272" s="56"/>
      <c r="AD272" s="56"/>
      <c r="AE272" s="56"/>
      <c r="AF272" s="170"/>
      <c r="AG272" s="56"/>
      <c r="AH272" s="56"/>
      <c r="AI272" s="168"/>
      <c r="AJ272" s="56"/>
      <c r="AK272" s="56"/>
      <c r="AL272" s="56"/>
      <c r="AM272" s="56"/>
      <c r="AN272" s="56"/>
      <c r="AO272" s="56"/>
      <c r="AP272" s="56"/>
      <c r="AQ272" s="56"/>
      <c r="AR272" s="168"/>
      <c r="AS272" s="56"/>
      <c r="AT272" s="56"/>
      <c r="AU272" s="56"/>
      <c r="AV272" s="56"/>
      <c r="AW272" s="56"/>
      <c r="AX272" s="56"/>
      <c r="AY272" s="56"/>
      <c r="AZ272" s="56"/>
      <c r="BA272" s="168"/>
      <c r="BB272" s="56"/>
      <c r="BC272" s="56"/>
      <c r="BD272" s="56"/>
      <c r="BE272" s="168"/>
      <c r="BF272" s="56"/>
      <c r="BG272" s="10"/>
      <c r="BH272" s="56"/>
      <c r="BI272" s="56"/>
      <c r="BJ272" s="56"/>
      <c r="BK272" s="56"/>
      <c r="BS272" s="144"/>
      <c r="CM272" s="144"/>
      <c r="DC272" s="144"/>
    </row>
    <row r="273" spans="1:107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1"/>
      <c r="M273" s="10"/>
      <c r="N273" s="56"/>
      <c r="O273" s="56"/>
      <c r="P273" s="10"/>
      <c r="Q273" s="158"/>
      <c r="R273" s="174"/>
      <c r="S273" s="164"/>
      <c r="T273" s="56"/>
      <c r="U273" s="56"/>
      <c r="V273" s="56"/>
      <c r="W273" s="158"/>
      <c r="X273" s="174"/>
      <c r="Y273" s="168"/>
      <c r="Z273" s="10"/>
      <c r="AA273" s="56"/>
      <c r="AB273" s="56"/>
      <c r="AC273" s="56"/>
      <c r="AD273" s="56"/>
      <c r="AE273" s="56"/>
      <c r="AF273" s="170"/>
      <c r="AG273" s="56"/>
      <c r="AH273" s="56"/>
      <c r="AI273" s="168"/>
      <c r="AJ273" s="56"/>
      <c r="AK273" s="56"/>
      <c r="AL273" s="56"/>
      <c r="AM273" s="56"/>
      <c r="AN273" s="56"/>
      <c r="AO273" s="56"/>
      <c r="AP273" s="56"/>
      <c r="AQ273" s="56"/>
      <c r="AR273" s="168"/>
      <c r="AS273" s="56"/>
      <c r="AT273" s="56"/>
      <c r="AU273" s="56"/>
      <c r="AV273" s="56"/>
      <c r="AW273" s="56"/>
      <c r="AX273" s="56"/>
      <c r="AY273" s="56"/>
      <c r="AZ273" s="56"/>
      <c r="BA273" s="168"/>
      <c r="BB273" s="56"/>
      <c r="BC273" s="56"/>
      <c r="BD273" s="56"/>
      <c r="BE273" s="168"/>
      <c r="BF273" s="56"/>
      <c r="BG273" s="10"/>
      <c r="BH273" s="56"/>
      <c r="BI273" s="56"/>
      <c r="BJ273" s="56"/>
      <c r="BK273" s="56"/>
      <c r="BS273" s="144"/>
      <c r="CM273" s="144"/>
      <c r="DC273" s="144"/>
    </row>
    <row r="274" spans="1:107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1"/>
      <c r="M274" s="10"/>
      <c r="N274" s="56"/>
      <c r="O274" s="56"/>
      <c r="P274" s="10"/>
      <c r="Q274" s="158"/>
      <c r="R274" s="174"/>
      <c r="S274" s="164"/>
      <c r="T274" s="56"/>
      <c r="U274" s="56"/>
      <c r="V274" s="56"/>
      <c r="W274" s="158"/>
      <c r="X274" s="174"/>
      <c r="Y274" s="168"/>
      <c r="Z274" s="10"/>
      <c r="AA274" s="56"/>
      <c r="AB274" s="56"/>
      <c r="AC274" s="56"/>
      <c r="AD274" s="56"/>
      <c r="AE274" s="56"/>
      <c r="AF274" s="170"/>
      <c r="AG274" s="56"/>
      <c r="AH274" s="56"/>
      <c r="AI274" s="168"/>
      <c r="AJ274" s="56"/>
      <c r="AK274" s="56"/>
      <c r="AL274" s="56"/>
      <c r="AM274" s="56"/>
      <c r="AN274" s="56"/>
      <c r="AO274" s="56"/>
      <c r="AP274" s="56"/>
      <c r="AQ274" s="56"/>
      <c r="AR274" s="168"/>
      <c r="AS274" s="56"/>
      <c r="AT274" s="56"/>
      <c r="AU274" s="56"/>
      <c r="AV274" s="56"/>
      <c r="AW274" s="56"/>
      <c r="AX274" s="56"/>
      <c r="AY274" s="56"/>
      <c r="AZ274" s="56"/>
      <c r="BA274" s="168"/>
      <c r="BB274" s="56"/>
      <c r="BC274" s="56"/>
      <c r="BD274" s="56"/>
      <c r="BE274" s="168"/>
      <c r="BF274" s="56"/>
      <c r="BG274" s="10"/>
      <c r="BH274" s="56"/>
      <c r="BI274" s="56"/>
      <c r="BJ274" s="56"/>
      <c r="BK274" s="56"/>
      <c r="BS274" s="144"/>
      <c r="CM274" s="144"/>
      <c r="DC274" s="144"/>
    </row>
    <row r="275" spans="1:107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1"/>
      <c r="M275" s="10"/>
      <c r="N275" s="56"/>
      <c r="O275" s="56"/>
      <c r="P275" s="10"/>
      <c r="Q275" s="158"/>
      <c r="R275" s="174"/>
      <c r="S275" s="164"/>
      <c r="T275" s="56"/>
      <c r="U275" s="56"/>
      <c r="V275" s="56"/>
      <c r="W275" s="158"/>
      <c r="X275" s="174"/>
      <c r="Y275" s="168"/>
      <c r="Z275" s="10"/>
      <c r="AA275" s="56"/>
      <c r="AB275" s="56"/>
      <c r="AC275" s="56"/>
      <c r="AD275" s="56"/>
      <c r="AE275" s="56"/>
      <c r="AF275" s="170"/>
      <c r="AG275" s="56"/>
      <c r="AH275" s="56"/>
      <c r="AI275" s="168"/>
      <c r="AJ275" s="56"/>
      <c r="AK275" s="56"/>
      <c r="AL275" s="56"/>
      <c r="AM275" s="56"/>
      <c r="AN275" s="56"/>
      <c r="AO275" s="56"/>
      <c r="AP275" s="56"/>
      <c r="AQ275" s="56"/>
      <c r="AR275" s="168"/>
      <c r="AS275" s="56"/>
      <c r="AT275" s="56"/>
      <c r="AU275" s="56"/>
      <c r="AV275" s="56"/>
      <c r="AW275" s="56"/>
      <c r="AX275" s="56"/>
      <c r="AY275" s="56"/>
      <c r="AZ275" s="56"/>
      <c r="BA275" s="168"/>
      <c r="BB275" s="56"/>
      <c r="BC275" s="56"/>
      <c r="BD275" s="56"/>
      <c r="BE275" s="168"/>
      <c r="BF275" s="56"/>
      <c r="BG275" s="10"/>
      <c r="BH275" s="56"/>
      <c r="BI275" s="56"/>
      <c r="BJ275" s="56"/>
      <c r="BK275" s="56"/>
      <c r="BS275" s="144"/>
      <c r="CM275" s="144"/>
      <c r="DC275" s="144"/>
    </row>
    <row r="276" spans="1:107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1"/>
      <c r="M276" s="10"/>
      <c r="N276" s="56"/>
      <c r="O276" s="56"/>
      <c r="P276" s="10"/>
      <c r="Q276" s="158"/>
      <c r="R276" s="174"/>
      <c r="S276" s="164"/>
      <c r="T276" s="56"/>
      <c r="U276" s="56"/>
      <c r="V276" s="56"/>
      <c r="W276" s="158"/>
      <c r="X276" s="174"/>
      <c r="Y276" s="168"/>
      <c r="Z276" s="10"/>
      <c r="AA276" s="56"/>
      <c r="AB276" s="56"/>
      <c r="AC276" s="56"/>
      <c r="AD276" s="56"/>
      <c r="AE276" s="56"/>
      <c r="AF276" s="170"/>
      <c r="AG276" s="56"/>
      <c r="AH276" s="56"/>
      <c r="AI276" s="168"/>
      <c r="AJ276" s="56"/>
      <c r="AK276" s="56"/>
      <c r="AL276" s="56"/>
      <c r="AM276" s="56"/>
      <c r="AN276" s="56"/>
      <c r="AO276" s="56"/>
      <c r="AP276" s="56"/>
      <c r="AQ276" s="56"/>
      <c r="AR276" s="168"/>
      <c r="AS276" s="56"/>
      <c r="AT276" s="56"/>
      <c r="AU276" s="56"/>
      <c r="AV276" s="56"/>
      <c r="AW276" s="56"/>
      <c r="AX276" s="56"/>
      <c r="AY276" s="56"/>
      <c r="AZ276" s="56"/>
      <c r="BA276" s="168"/>
      <c r="BB276" s="56"/>
      <c r="BC276" s="56"/>
      <c r="BD276" s="56"/>
      <c r="BE276" s="168"/>
      <c r="BF276" s="56"/>
      <c r="BG276" s="10"/>
      <c r="BH276" s="56"/>
      <c r="BI276" s="56"/>
      <c r="BJ276" s="56"/>
      <c r="BK276" s="56"/>
      <c r="BS276" s="144"/>
      <c r="CM276" s="144"/>
      <c r="DC276" s="144"/>
    </row>
    <row r="277" spans="1:107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1"/>
      <c r="M277" s="10"/>
      <c r="N277" s="56"/>
      <c r="O277" s="56"/>
      <c r="P277" s="10"/>
      <c r="Q277" s="158"/>
      <c r="R277" s="174"/>
      <c r="S277" s="164"/>
      <c r="T277" s="56"/>
      <c r="U277" s="56"/>
      <c r="V277" s="56"/>
      <c r="W277" s="158"/>
      <c r="X277" s="174"/>
      <c r="Y277" s="168"/>
      <c r="Z277" s="10"/>
      <c r="AA277" s="56"/>
      <c r="AB277" s="56"/>
      <c r="AC277" s="56"/>
      <c r="AD277" s="56"/>
      <c r="AE277" s="56"/>
      <c r="AF277" s="170"/>
      <c r="AG277" s="56"/>
      <c r="AH277" s="56"/>
      <c r="AI277" s="168"/>
      <c r="AJ277" s="56"/>
      <c r="AK277" s="56"/>
      <c r="AL277" s="56"/>
      <c r="AM277" s="56"/>
      <c r="AN277" s="56"/>
      <c r="AO277" s="56"/>
      <c r="AP277" s="56"/>
      <c r="AQ277" s="56"/>
      <c r="AR277" s="168"/>
      <c r="AS277" s="56"/>
      <c r="AT277" s="56"/>
      <c r="AU277" s="56"/>
      <c r="AV277" s="56"/>
      <c r="AW277" s="56"/>
      <c r="AX277" s="56"/>
      <c r="AY277" s="56"/>
      <c r="AZ277" s="56"/>
      <c r="BA277" s="168"/>
      <c r="BB277" s="56"/>
      <c r="BC277" s="56"/>
      <c r="BD277" s="56"/>
      <c r="BE277" s="168"/>
      <c r="BF277" s="56"/>
      <c r="BG277" s="10"/>
      <c r="BH277" s="56"/>
      <c r="BI277" s="56"/>
      <c r="BJ277" s="56"/>
      <c r="BK277" s="56"/>
      <c r="BS277" s="144"/>
      <c r="CM277" s="144"/>
      <c r="DC277" s="144"/>
    </row>
    <row r="278" spans="1:107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1"/>
      <c r="M278" s="10"/>
      <c r="N278" s="56"/>
      <c r="O278" s="56"/>
      <c r="P278" s="10"/>
      <c r="Q278" s="158"/>
      <c r="R278" s="174"/>
      <c r="S278" s="164"/>
      <c r="T278" s="56"/>
      <c r="U278" s="56"/>
      <c r="V278" s="56"/>
      <c r="W278" s="158"/>
      <c r="X278" s="174"/>
      <c r="Y278" s="168"/>
      <c r="Z278" s="10"/>
      <c r="AA278" s="56"/>
      <c r="AB278" s="56"/>
      <c r="AC278" s="56"/>
      <c r="AD278" s="56"/>
      <c r="AE278" s="56"/>
      <c r="AF278" s="170"/>
      <c r="AG278" s="56"/>
      <c r="AH278" s="56"/>
      <c r="AI278" s="168"/>
      <c r="AJ278" s="56"/>
      <c r="AK278" s="56"/>
      <c r="AL278" s="56"/>
      <c r="AM278" s="56"/>
      <c r="AN278" s="56"/>
      <c r="AO278" s="56"/>
      <c r="AP278" s="56"/>
      <c r="AQ278" s="56"/>
      <c r="AR278" s="168"/>
      <c r="AS278" s="56"/>
      <c r="AT278" s="56"/>
      <c r="AU278" s="56"/>
      <c r="AV278" s="56"/>
      <c r="AW278" s="56"/>
      <c r="AX278" s="56"/>
      <c r="AY278" s="56"/>
      <c r="AZ278" s="56"/>
      <c r="BA278" s="168"/>
      <c r="BB278" s="56"/>
      <c r="BC278" s="56"/>
      <c r="BD278" s="56"/>
      <c r="BE278" s="168"/>
      <c r="BF278" s="56"/>
      <c r="BG278" s="10"/>
      <c r="BH278" s="56"/>
      <c r="BI278" s="56"/>
      <c r="BJ278" s="56"/>
      <c r="BK278" s="56"/>
      <c r="BS278" s="144"/>
      <c r="CM278" s="144"/>
      <c r="DC278" s="144"/>
    </row>
    <row r="279" spans="1:107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1"/>
      <c r="M279" s="10"/>
      <c r="N279" s="56"/>
      <c r="O279" s="56"/>
      <c r="P279" s="10"/>
      <c r="Q279" s="158"/>
      <c r="R279" s="174"/>
      <c r="S279" s="164"/>
      <c r="T279" s="56"/>
      <c r="U279" s="56"/>
      <c r="V279" s="56"/>
      <c r="W279" s="158"/>
      <c r="X279" s="174"/>
      <c r="Y279" s="168"/>
      <c r="Z279" s="10"/>
      <c r="AA279" s="56"/>
      <c r="AB279" s="56"/>
      <c r="AC279" s="56"/>
      <c r="AD279" s="56"/>
      <c r="AE279" s="56"/>
      <c r="AF279" s="170"/>
      <c r="AG279" s="56"/>
      <c r="AH279" s="56"/>
      <c r="AI279" s="168"/>
      <c r="AJ279" s="56"/>
      <c r="AK279" s="56"/>
      <c r="AL279" s="56"/>
      <c r="AM279" s="56"/>
      <c r="AN279" s="56"/>
      <c r="AO279" s="56"/>
      <c r="AP279" s="56"/>
      <c r="AQ279" s="56"/>
      <c r="AR279" s="168"/>
      <c r="AS279" s="56"/>
      <c r="AT279" s="56"/>
      <c r="AU279" s="56"/>
      <c r="AV279" s="56"/>
      <c r="AW279" s="56"/>
      <c r="AX279" s="56"/>
      <c r="AY279" s="56"/>
      <c r="AZ279" s="56"/>
      <c r="BA279" s="168"/>
      <c r="BB279" s="56"/>
      <c r="BC279" s="56"/>
      <c r="BD279" s="56"/>
      <c r="BE279" s="168"/>
      <c r="BF279" s="56"/>
      <c r="BG279" s="10"/>
      <c r="BH279" s="56"/>
      <c r="BI279" s="56"/>
      <c r="BJ279" s="56"/>
      <c r="BK279" s="56"/>
      <c r="BS279" s="144"/>
      <c r="CM279" s="144"/>
      <c r="DC279" s="144"/>
    </row>
    <row r="280" spans="1:107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1"/>
      <c r="M280" s="10"/>
      <c r="N280" s="56"/>
      <c r="O280" s="56"/>
      <c r="P280" s="10"/>
      <c r="Q280" s="158"/>
      <c r="R280" s="174"/>
      <c r="S280" s="164"/>
      <c r="T280" s="56"/>
      <c r="U280" s="56"/>
      <c r="V280" s="56"/>
      <c r="W280" s="158"/>
      <c r="X280" s="174"/>
      <c r="Y280" s="168"/>
      <c r="Z280" s="10"/>
      <c r="AA280" s="56"/>
      <c r="AB280" s="56"/>
      <c r="AC280" s="56"/>
      <c r="AD280" s="56"/>
      <c r="AE280" s="56"/>
      <c r="AF280" s="170"/>
      <c r="AG280" s="56"/>
      <c r="AH280" s="56"/>
      <c r="AI280" s="168"/>
      <c r="AJ280" s="56"/>
      <c r="AK280" s="56"/>
      <c r="AL280" s="56"/>
      <c r="AM280" s="56"/>
      <c r="AN280" s="56"/>
      <c r="AO280" s="56"/>
      <c r="AP280" s="56"/>
      <c r="AQ280" s="56"/>
      <c r="AR280" s="168"/>
      <c r="AS280" s="56"/>
      <c r="AT280" s="56"/>
      <c r="AU280" s="56"/>
      <c r="AV280" s="56"/>
      <c r="AW280" s="56"/>
      <c r="AX280" s="56"/>
      <c r="AY280" s="56"/>
      <c r="AZ280" s="56"/>
      <c r="BA280" s="168"/>
      <c r="BB280" s="56"/>
      <c r="BC280" s="56"/>
      <c r="BD280" s="56"/>
      <c r="BE280" s="168"/>
      <c r="BF280" s="56"/>
      <c r="BG280" s="10"/>
      <c r="BH280" s="56"/>
      <c r="BI280" s="56"/>
      <c r="BJ280" s="56"/>
      <c r="BK280" s="56"/>
      <c r="BS280" s="144"/>
      <c r="CM280" s="144"/>
      <c r="DC280" s="144"/>
    </row>
    <row r="281" spans="1:107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1"/>
      <c r="M281" s="10"/>
      <c r="N281" s="56"/>
      <c r="O281" s="56"/>
      <c r="P281" s="10"/>
      <c r="Q281" s="158"/>
      <c r="R281" s="174"/>
      <c r="S281" s="164"/>
      <c r="T281" s="56"/>
      <c r="U281" s="56"/>
      <c r="V281" s="56"/>
      <c r="W281" s="158"/>
      <c r="X281" s="174"/>
      <c r="Y281" s="168"/>
      <c r="Z281" s="10"/>
      <c r="AA281" s="56"/>
      <c r="AB281" s="56"/>
      <c r="AC281" s="56"/>
      <c r="AD281" s="56"/>
      <c r="AE281" s="56"/>
      <c r="AF281" s="170"/>
      <c r="AG281" s="56"/>
      <c r="AH281" s="56"/>
      <c r="AI281" s="168"/>
      <c r="AJ281" s="56"/>
      <c r="AK281" s="56"/>
      <c r="AL281" s="56"/>
      <c r="AM281" s="56"/>
      <c r="AN281" s="56"/>
      <c r="AO281" s="56"/>
      <c r="AP281" s="56"/>
      <c r="AQ281" s="56"/>
      <c r="AR281" s="168"/>
      <c r="AS281" s="56"/>
      <c r="AT281" s="56"/>
      <c r="AU281" s="56"/>
      <c r="AV281" s="56"/>
      <c r="AW281" s="56"/>
      <c r="AX281" s="56"/>
      <c r="AY281" s="56"/>
      <c r="AZ281" s="56"/>
      <c r="BA281" s="168"/>
      <c r="BB281" s="56"/>
      <c r="BC281" s="56"/>
      <c r="BD281" s="56"/>
      <c r="BE281" s="168"/>
      <c r="BF281" s="56"/>
      <c r="BG281" s="10"/>
      <c r="BH281" s="56"/>
      <c r="BI281" s="56"/>
      <c r="BJ281" s="56"/>
      <c r="BK281" s="56"/>
      <c r="BS281" s="144"/>
      <c r="CM281" s="144"/>
      <c r="DC281" s="144"/>
    </row>
    <row r="282" spans="1:107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1"/>
      <c r="M282" s="10"/>
      <c r="N282" s="56"/>
      <c r="O282" s="56"/>
      <c r="P282" s="10"/>
      <c r="Q282" s="158"/>
      <c r="R282" s="174"/>
      <c r="S282" s="164"/>
      <c r="T282" s="56"/>
      <c r="U282" s="56"/>
      <c r="V282" s="56"/>
      <c r="W282" s="158"/>
      <c r="X282" s="174"/>
      <c r="Y282" s="168"/>
      <c r="Z282" s="10"/>
      <c r="AA282" s="56"/>
      <c r="AB282" s="56"/>
      <c r="AC282" s="56"/>
      <c r="AD282" s="56"/>
      <c r="AE282" s="56"/>
      <c r="AF282" s="170"/>
      <c r="AG282" s="56"/>
      <c r="AH282" s="56"/>
      <c r="AI282" s="168"/>
      <c r="AJ282" s="56"/>
      <c r="AK282" s="56"/>
      <c r="AL282" s="56"/>
      <c r="AM282" s="56"/>
      <c r="AN282" s="56"/>
      <c r="AO282" s="56"/>
      <c r="AP282" s="56"/>
      <c r="AQ282" s="56"/>
      <c r="AR282" s="168"/>
      <c r="AS282" s="56"/>
      <c r="AT282" s="56"/>
      <c r="AU282" s="56"/>
      <c r="AV282" s="56"/>
      <c r="AW282" s="56"/>
      <c r="AX282" s="56"/>
      <c r="AY282" s="56"/>
      <c r="AZ282" s="56"/>
      <c r="BA282" s="168"/>
      <c r="BB282" s="56"/>
      <c r="BC282" s="56"/>
      <c r="BD282" s="56"/>
      <c r="BE282" s="168"/>
      <c r="BF282" s="56"/>
      <c r="BG282" s="10"/>
      <c r="BH282" s="56"/>
      <c r="BI282" s="56"/>
      <c r="BJ282" s="56"/>
      <c r="BK282" s="56"/>
      <c r="BS282" s="144"/>
      <c r="CM282" s="144"/>
      <c r="DC282" s="144"/>
    </row>
    <row r="283" spans="1:107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1"/>
      <c r="M283" s="10"/>
      <c r="N283" s="56"/>
      <c r="O283" s="56"/>
      <c r="P283" s="10"/>
      <c r="Q283" s="158"/>
      <c r="R283" s="174"/>
      <c r="S283" s="164"/>
      <c r="T283" s="56"/>
      <c r="U283" s="56"/>
      <c r="V283" s="56"/>
      <c r="W283" s="158"/>
      <c r="X283" s="174"/>
      <c r="Y283" s="168"/>
      <c r="Z283" s="10"/>
      <c r="AA283" s="56"/>
      <c r="AB283" s="56"/>
      <c r="AC283" s="56"/>
      <c r="AD283" s="56"/>
      <c r="AE283" s="56"/>
      <c r="AF283" s="170"/>
      <c r="AG283" s="56"/>
      <c r="AH283" s="56"/>
      <c r="AI283" s="168"/>
      <c r="AJ283" s="56"/>
      <c r="AK283" s="56"/>
      <c r="AL283" s="56"/>
      <c r="AM283" s="56"/>
      <c r="AN283" s="56"/>
      <c r="AO283" s="56"/>
      <c r="AP283" s="56"/>
      <c r="AQ283" s="56"/>
      <c r="AR283" s="168"/>
      <c r="AS283" s="56"/>
      <c r="AT283" s="56"/>
      <c r="AU283" s="56"/>
      <c r="AV283" s="56"/>
      <c r="AW283" s="56"/>
      <c r="AX283" s="56"/>
      <c r="AY283" s="56"/>
      <c r="AZ283" s="56"/>
      <c r="BA283" s="168"/>
      <c r="BB283" s="56"/>
      <c r="BC283" s="56"/>
      <c r="BD283" s="56"/>
      <c r="BE283" s="168"/>
      <c r="BF283" s="56"/>
      <c r="BG283" s="10"/>
      <c r="BH283" s="56"/>
      <c r="BI283" s="56"/>
      <c r="BJ283" s="56"/>
      <c r="BK283" s="56"/>
      <c r="BS283" s="144"/>
      <c r="CM283" s="144"/>
      <c r="DC283" s="144"/>
    </row>
    <row r="284" spans="1:107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1"/>
      <c r="M284" s="10"/>
      <c r="N284" s="56"/>
      <c r="O284" s="56"/>
      <c r="P284" s="10"/>
      <c r="Q284" s="158"/>
      <c r="R284" s="174"/>
      <c r="S284" s="164"/>
      <c r="T284" s="56"/>
      <c r="U284" s="56"/>
      <c r="V284" s="56"/>
      <c r="W284" s="158"/>
      <c r="X284" s="174"/>
      <c r="Y284" s="168"/>
      <c r="Z284" s="10"/>
      <c r="AA284" s="56"/>
      <c r="AB284" s="56"/>
      <c r="AC284" s="56"/>
      <c r="AD284" s="56"/>
      <c r="AE284" s="56"/>
      <c r="AF284" s="170"/>
      <c r="AG284" s="56"/>
      <c r="AH284" s="56"/>
      <c r="AI284" s="168"/>
      <c r="AJ284" s="56"/>
      <c r="AK284" s="56"/>
      <c r="AL284" s="56"/>
      <c r="AM284" s="56"/>
      <c r="AN284" s="56"/>
      <c r="AO284" s="56"/>
      <c r="AP284" s="56"/>
      <c r="AQ284" s="56"/>
      <c r="AR284" s="168"/>
      <c r="AS284" s="56"/>
      <c r="AT284" s="56"/>
      <c r="AU284" s="56"/>
      <c r="AV284" s="56"/>
      <c r="AW284" s="56"/>
      <c r="AX284" s="56"/>
      <c r="AY284" s="56"/>
      <c r="AZ284" s="56"/>
      <c r="BA284" s="168"/>
      <c r="BB284" s="56"/>
      <c r="BC284" s="56"/>
      <c r="BD284" s="56"/>
      <c r="BE284" s="168"/>
      <c r="BF284" s="56"/>
      <c r="BG284" s="10"/>
      <c r="BH284" s="56"/>
      <c r="BI284" s="56"/>
      <c r="BJ284" s="56"/>
      <c r="BK284" s="56"/>
      <c r="BS284" s="144"/>
      <c r="CM284" s="144"/>
      <c r="DC284" s="144"/>
    </row>
    <row r="285" spans="1:107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1"/>
      <c r="M285" s="10"/>
      <c r="N285" s="56"/>
      <c r="O285" s="56"/>
      <c r="P285" s="10"/>
      <c r="Q285" s="158"/>
      <c r="R285" s="174"/>
      <c r="S285" s="164"/>
      <c r="T285" s="56"/>
      <c r="U285" s="56"/>
      <c r="V285" s="56"/>
      <c r="W285" s="158"/>
      <c r="X285" s="174"/>
      <c r="Y285" s="168"/>
      <c r="Z285" s="10"/>
      <c r="AA285" s="56"/>
      <c r="AB285" s="56"/>
      <c r="AC285" s="56"/>
      <c r="AD285" s="56"/>
      <c r="AE285" s="56"/>
      <c r="AF285" s="170"/>
      <c r="AG285" s="56"/>
      <c r="AH285" s="56"/>
      <c r="AI285" s="168"/>
      <c r="AJ285" s="56"/>
      <c r="AK285" s="56"/>
      <c r="AL285" s="56"/>
      <c r="AM285" s="56"/>
      <c r="AN285" s="56"/>
      <c r="AO285" s="56"/>
      <c r="AP285" s="56"/>
      <c r="AQ285" s="56"/>
      <c r="AR285" s="168"/>
      <c r="AS285" s="56"/>
      <c r="AT285" s="56"/>
      <c r="AU285" s="56"/>
      <c r="AV285" s="56"/>
      <c r="AW285" s="56"/>
      <c r="AX285" s="56"/>
      <c r="AY285" s="56"/>
      <c r="AZ285" s="56"/>
      <c r="BA285" s="168"/>
      <c r="BB285" s="56"/>
      <c r="BC285" s="56"/>
      <c r="BD285" s="56"/>
      <c r="BE285" s="168"/>
      <c r="BF285" s="56"/>
      <c r="BG285" s="10"/>
      <c r="BH285" s="56"/>
      <c r="BI285" s="56"/>
      <c r="BJ285" s="56"/>
      <c r="BK285" s="56"/>
      <c r="BS285" s="144"/>
      <c r="CM285" s="144"/>
      <c r="DC285" s="144"/>
    </row>
    <row r="286" spans="1:107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1"/>
      <c r="M286" s="10"/>
      <c r="N286" s="56"/>
      <c r="O286" s="56"/>
      <c r="P286" s="10"/>
      <c r="Q286" s="158"/>
      <c r="R286" s="174"/>
      <c r="S286" s="164"/>
      <c r="T286" s="56"/>
      <c r="U286" s="56"/>
      <c r="V286" s="56"/>
      <c r="W286" s="158"/>
      <c r="X286" s="174"/>
      <c r="Y286" s="168"/>
      <c r="Z286" s="10"/>
      <c r="AA286" s="56"/>
      <c r="AB286" s="56"/>
      <c r="AC286" s="56"/>
      <c r="AD286" s="56"/>
      <c r="AE286" s="56"/>
      <c r="AF286" s="170"/>
      <c r="AG286" s="56"/>
      <c r="AH286" s="56"/>
      <c r="AI286" s="168"/>
      <c r="AJ286" s="56"/>
      <c r="AK286" s="56"/>
      <c r="AL286" s="56"/>
      <c r="AM286" s="56"/>
      <c r="AN286" s="56"/>
      <c r="AO286" s="56"/>
      <c r="AP286" s="56"/>
      <c r="AQ286" s="56"/>
      <c r="AR286" s="168"/>
      <c r="AS286" s="56"/>
      <c r="AT286" s="56"/>
      <c r="AU286" s="56"/>
      <c r="AV286" s="56"/>
      <c r="AW286" s="56"/>
      <c r="AX286" s="56"/>
      <c r="AY286" s="56"/>
      <c r="AZ286" s="56"/>
      <c r="BA286" s="168"/>
      <c r="BB286" s="56"/>
      <c r="BC286" s="56"/>
      <c r="BD286" s="56"/>
      <c r="BE286" s="168"/>
      <c r="BF286" s="56"/>
      <c r="BG286" s="10"/>
      <c r="BH286" s="56"/>
      <c r="BI286" s="56"/>
      <c r="BJ286" s="56"/>
      <c r="BK286" s="56"/>
      <c r="BS286" s="144"/>
      <c r="CM286" s="144"/>
      <c r="DC286" s="144"/>
    </row>
    <row r="287" spans="1:107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1"/>
      <c r="M287" s="10"/>
      <c r="N287" s="56"/>
      <c r="O287" s="56"/>
      <c r="P287" s="10"/>
      <c r="Q287" s="158"/>
      <c r="R287" s="174"/>
      <c r="S287" s="164"/>
      <c r="T287" s="56"/>
      <c r="U287" s="56"/>
      <c r="V287" s="56"/>
      <c r="W287" s="158"/>
      <c r="X287" s="174"/>
      <c r="Y287" s="168"/>
      <c r="Z287" s="10"/>
      <c r="AA287" s="56"/>
      <c r="AB287" s="56"/>
      <c r="AC287" s="56"/>
      <c r="AD287" s="56"/>
      <c r="AE287" s="56"/>
      <c r="AF287" s="170"/>
      <c r="AG287" s="56"/>
      <c r="AH287" s="56"/>
      <c r="AI287" s="168"/>
      <c r="AJ287" s="56"/>
      <c r="AK287" s="56"/>
      <c r="AL287" s="56"/>
      <c r="AM287" s="56"/>
      <c r="AN287" s="56"/>
      <c r="AO287" s="56"/>
      <c r="AP287" s="56"/>
      <c r="AQ287" s="56"/>
      <c r="AR287" s="168"/>
      <c r="AS287" s="56"/>
      <c r="AT287" s="56"/>
      <c r="AU287" s="56"/>
      <c r="AV287" s="56"/>
      <c r="AW287" s="56"/>
      <c r="AX287" s="56"/>
      <c r="AY287" s="56"/>
      <c r="AZ287" s="56"/>
      <c r="BA287" s="168"/>
      <c r="BB287" s="56"/>
      <c r="BC287" s="56"/>
      <c r="BD287" s="56"/>
      <c r="BE287" s="168"/>
      <c r="BF287" s="56"/>
      <c r="BG287" s="10"/>
      <c r="BH287" s="56"/>
      <c r="BI287" s="56"/>
      <c r="BJ287" s="56"/>
      <c r="BK287" s="56"/>
      <c r="BS287" s="144"/>
      <c r="CM287" s="144"/>
      <c r="DC287" s="144"/>
    </row>
    <row r="288" spans="1:107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1"/>
      <c r="M288" s="10"/>
      <c r="N288" s="56"/>
      <c r="O288" s="56"/>
      <c r="P288" s="10"/>
      <c r="Q288" s="158"/>
      <c r="R288" s="174"/>
      <c r="S288" s="164"/>
      <c r="T288" s="56"/>
      <c r="U288" s="56"/>
      <c r="V288" s="56"/>
      <c r="W288" s="158"/>
      <c r="X288" s="174"/>
      <c r="Y288" s="168"/>
      <c r="Z288" s="10"/>
      <c r="AA288" s="56"/>
      <c r="AB288" s="56"/>
      <c r="AC288" s="56"/>
      <c r="AD288" s="56"/>
      <c r="AE288" s="56"/>
      <c r="AF288" s="170"/>
      <c r="AG288" s="56"/>
      <c r="AH288" s="56"/>
      <c r="AI288" s="168"/>
      <c r="AJ288" s="56"/>
      <c r="AK288" s="56"/>
      <c r="AL288" s="56"/>
      <c r="AM288" s="56"/>
      <c r="AN288" s="56"/>
      <c r="AO288" s="56"/>
      <c r="AP288" s="56"/>
      <c r="AQ288" s="56"/>
      <c r="AR288" s="168"/>
      <c r="AS288" s="56"/>
      <c r="AT288" s="56"/>
      <c r="AU288" s="56"/>
      <c r="AV288" s="56"/>
      <c r="AW288" s="56"/>
      <c r="AX288" s="56"/>
      <c r="AY288" s="56"/>
      <c r="AZ288" s="56"/>
      <c r="BA288" s="168"/>
      <c r="BB288" s="56"/>
      <c r="BC288" s="56"/>
      <c r="BD288" s="56"/>
      <c r="BE288" s="168"/>
      <c r="BF288" s="56"/>
      <c r="BG288" s="10"/>
      <c r="BH288" s="56"/>
      <c r="BI288" s="56"/>
      <c r="BJ288" s="56"/>
      <c r="BK288" s="56"/>
      <c r="BS288" s="144"/>
      <c r="CM288" s="144"/>
      <c r="DC288" s="144"/>
    </row>
    <row r="289" spans="1:107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1"/>
      <c r="M289" s="10"/>
      <c r="N289" s="56"/>
      <c r="O289" s="56"/>
      <c r="P289" s="10"/>
      <c r="Q289" s="158"/>
      <c r="R289" s="174"/>
      <c r="S289" s="164"/>
      <c r="T289" s="56"/>
      <c r="U289" s="56"/>
      <c r="V289" s="56"/>
      <c r="W289" s="158"/>
      <c r="X289" s="174"/>
      <c r="Y289" s="168"/>
      <c r="Z289" s="10"/>
      <c r="AA289" s="56"/>
      <c r="AB289" s="56"/>
      <c r="AC289" s="56"/>
      <c r="AD289" s="56"/>
      <c r="AE289" s="56"/>
      <c r="AF289" s="170"/>
      <c r="AG289" s="56"/>
      <c r="AH289" s="56"/>
      <c r="AI289" s="168"/>
      <c r="AJ289" s="56"/>
      <c r="AK289" s="56"/>
      <c r="AL289" s="56"/>
      <c r="AM289" s="56"/>
      <c r="AN289" s="56"/>
      <c r="AO289" s="56"/>
      <c r="AP289" s="56"/>
      <c r="AQ289" s="56"/>
      <c r="AR289" s="168"/>
      <c r="AS289" s="56"/>
      <c r="AT289" s="56"/>
      <c r="AU289" s="56"/>
      <c r="AV289" s="56"/>
      <c r="AW289" s="56"/>
      <c r="AX289" s="56"/>
      <c r="AY289" s="56"/>
      <c r="AZ289" s="56"/>
      <c r="BA289" s="168"/>
      <c r="BB289" s="56"/>
      <c r="BC289" s="56"/>
      <c r="BD289" s="56"/>
      <c r="BE289" s="168"/>
      <c r="BF289" s="56"/>
      <c r="BG289" s="10"/>
      <c r="BH289" s="56"/>
      <c r="BI289" s="56"/>
      <c r="BJ289" s="56"/>
      <c r="BK289" s="56"/>
      <c r="BS289" s="144"/>
      <c r="CM289" s="144"/>
      <c r="DC289" s="144"/>
    </row>
    <row r="290" spans="1:107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1"/>
      <c r="M290" s="10"/>
      <c r="N290" s="56"/>
      <c r="O290" s="56"/>
      <c r="P290" s="10"/>
      <c r="Q290" s="158"/>
      <c r="R290" s="174"/>
      <c r="S290" s="164"/>
      <c r="T290" s="56"/>
      <c r="U290" s="56"/>
      <c r="V290" s="56"/>
      <c r="W290" s="158"/>
      <c r="X290" s="174"/>
      <c r="Y290" s="168"/>
      <c r="Z290" s="10"/>
      <c r="AA290" s="56"/>
      <c r="AB290" s="56"/>
      <c r="AC290" s="56"/>
      <c r="AD290" s="56"/>
      <c r="AE290" s="56"/>
      <c r="AF290" s="170"/>
      <c r="AG290" s="56"/>
      <c r="AH290" s="56"/>
      <c r="AI290" s="168"/>
      <c r="AJ290" s="56"/>
      <c r="AK290" s="56"/>
      <c r="AL290" s="56"/>
      <c r="AM290" s="56"/>
      <c r="AN290" s="56"/>
      <c r="AO290" s="56"/>
      <c r="AP290" s="56"/>
      <c r="AQ290" s="56"/>
      <c r="AR290" s="168"/>
      <c r="AS290" s="56"/>
      <c r="AT290" s="56"/>
      <c r="AU290" s="56"/>
      <c r="AV290" s="56"/>
      <c r="AW290" s="56"/>
      <c r="AX290" s="56"/>
      <c r="AY290" s="56"/>
      <c r="AZ290" s="56"/>
      <c r="BA290" s="168"/>
      <c r="BB290" s="56"/>
      <c r="BC290" s="56"/>
      <c r="BD290" s="56"/>
      <c r="BE290" s="168"/>
      <c r="BF290" s="56"/>
      <c r="BG290" s="10"/>
      <c r="BH290" s="56"/>
      <c r="BI290" s="56"/>
      <c r="BJ290" s="56"/>
      <c r="BK290" s="56"/>
      <c r="BS290" s="144"/>
      <c r="CM290" s="144"/>
      <c r="DC290" s="144"/>
    </row>
    <row r="291" spans="1:107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1"/>
      <c r="M291" s="10"/>
      <c r="N291" s="56"/>
      <c r="O291" s="56"/>
      <c r="P291" s="10"/>
      <c r="Q291" s="158"/>
      <c r="R291" s="174"/>
      <c r="S291" s="164"/>
      <c r="T291" s="56"/>
      <c r="U291" s="56"/>
      <c r="V291" s="56"/>
      <c r="W291" s="158"/>
      <c r="X291" s="174"/>
      <c r="Y291" s="168"/>
      <c r="Z291" s="10"/>
      <c r="AA291" s="56"/>
      <c r="AB291" s="56"/>
      <c r="AC291" s="56"/>
      <c r="AD291" s="56"/>
      <c r="AE291" s="56"/>
      <c r="AF291" s="170"/>
      <c r="AG291" s="56"/>
      <c r="AH291" s="56"/>
      <c r="AI291" s="168"/>
      <c r="AJ291" s="56"/>
      <c r="AK291" s="56"/>
      <c r="AL291" s="56"/>
      <c r="AM291" s="56"/>
      <c r="AN291" s="56"/>
      <c r="AO291" s="56"/>
      <c r="AP291" s="56"/>
      <c r="AQ291" s="56"/>
      <c r="AR291" s="168"/>
      <c r="AS291" s="56"/>
      <c r="AT291" s="56"/>
      <c r="AU291" s="56"/>
      <c r="AV291" s="56"/>
      <c r="AW291" s="56"/>
      <c r="AX291" s="56"/>
      <c r="AY291" s="56"/>
      <c r="AZ291" s="56"/>
      <c r="BA291" s="168"/>
      <c r="BB291" s="56"/>
      <c r="BC291" s="56"/>
      <c r="BD291" s="56"/>
      <c r="BE291" s="168"/>
      <c r="BF291" s="56"/>
      <c r="BG291" s="10"/>
      <c r="BH291" s="56"/>
      <c r="BI291" s="56"/>
      <c r="BJ291" s="56"/>
      <c r="BK291" s="56"/>
      <c r="BS291" s="144"/>
      <c r="CM291" s="144"/>
      <c r="DC291" s="144"/>
    </row>
    <row r="292" spans="1:107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1"/>
      <c r="M292" s="10"/>
      <c r="N292" s="56"/>
      <c r="O292" s="56"/>
      <c r="P292" s="10"/>
      <c r="Q292" s="158"/>
      <c r="R292" s="174"/>
      <c r="S292" s="164"/>
      <c r="T292" s="56"/>
      <c r="U292" s="56"/>
      <c r="V292" s="56"/>
      <c r="W292" s="158"/>
      <c r="X292" s="174"/>
      <c r="Y292" s="168"/>
      <c r="Z292" s="10"/>
      <c r="AA292" s="56"/>
      <c r="AB292" s="56"/>
      <c r="AC292" s="56"/>
      <c r="AD292" s="56"/>
      <c r="AE292" s="56"/>
      <c r="AF292" s="170"/>
      <c r="AG292" s="56"/>
      <c r="AH292" s="56"/>
      <c r="AI292" s="168"/>
      <c r="AJ292" s="56"/>
      <c r="AK292" s="56"/>
      <c r="AL292" s="56"/>
      <c r="AM292" s="56"/>
      <c r="AN292" s="56"/>
      <c r="AO292" s="56"/>
      <c r="AP292" s="56"/>
      <c r="AQ292" s="56"/>
      <c r="AR292" s="168"/>
      <c r="AS292" s="56"/>
      <c r="AT292" s="56"/>
      <c r="AU292" s="56"/>
      <c r="AV292" s="56"/>
      <c r="AW292" s="56"/>
      <c r="AX292" s="56"/>
      <c r="AY292" s="56"/>
      <c r="AZ292" s="56"/>
      <c r="BA292" s="168"/>
      <c r="BB292" s="56"/>
      <c r="BC292" s="56"/>
      <c r="BD292" s="56"/>
      <c r="BE292" s="168"/>
      <c r="BF292" s="56"/>
      <c r="BG292" s="10"/>
      <c r="BH292" s="56"/>
      <c r="BI292" s="56"/>
      <c r="BJ292" s="56"/>
      <c r="BK292" s="56"/>
      <c r="BS292" s="144"/>
      <c r="CM292" s="144"/>
      <c r="DC292" s="144"/>
    </row>
    <row r="293" spans="1:107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1"/>
      <c r="M293" s="10"/>
      <c r="N293" s="56"/>
      <c r="O293" s="56"/>
      <c r="P293" s="10"/>
      <c r="Q293" s="158"/>
      <c r="R293" s="174"/>
      <c r="S293" s="164"/>
      <c r="T293" s="56"/>
      <c r="U293" s="56"/>
      <c r="V293" s="56"/>
      <c r="W293" s="158"/>
      <c r="X293" s="174"/>
      <c r="Y293" s="168"/>
      <c r="Z293" s="10"/>
      <c r="AA293" s="56"/>
      <c r="AB293" s="56"/>
      <c r="AC293" s="56"/>
      <c r="AD293" s="56"/>
      <c r="AE293" s="56"/>
      <c r="AF293" s="170"/>
      <c r="AG293" s="56"/>
      <c r="AH293" s="56"/>
      <c r="AI293" s="168"/>
      <c r="AJ293" s="56"/>
      <c r="AK293" s="56"/>
      <c r="AL293" s="56"/>
      <c r="AM293" s="56"/>
      <c r="AN293" s="56"/>
      <c r="AO293" s="56"/>
      <c r="AP293" s="56"/>
      <c r="AQ293" s="56"/>
      <c r="AR293" s="168"/>
      <c r="AS293" s="56"/>
      <c r="AT293" s="56"/>
      <c r="AU293" s="56"/>
      <c r="AV293" s="56"/>
      <c r="AW293" s="56"/>
      <c r="AX293" s="56"/>
      <c r="AY293" s="56"/>
      <c r="AZ293" s="56"/>
      <c r="BA293" s="168"/>
      <c r="BB293" s="56"/>
      <c r="BC293" s="56"/>
      <c r="BD293" s="56"/>
      <c r="BE293" s="168"/>
      <c r="BF293" s="56"/>
      <c r="BG293" s="10"/>
      <c r="BH293" s="56"/>
      <c r="BI293" s="56"/>
      <c r="BJ293" s="56"/>
      <c r="BK293" s="56"/>
      <c r="BS293" s="144"/>
      <c r="CM293" s="144"/>
      <c r="DC293" s="144"/>
    </row>
    <row r="294" spans="1:107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1"/>
      <c r="M294" s="10"/>
      <c r="N294" s="56"/>
      <c r="O294" s="56"/>
      <c r="P294" s="10"/>
      <c r="Q294" s="158"/>
      <c r="R294" s="174"/>
      <c r="S294" s="164"/>
      <c r="T294" s="56"/>
      <c r="U294" s="56"/>
      <c r="V294" s="56"/>
      <c r="W294" s="158"/>
      <c r="X294" s="174"/>
      <c r="Y294" s="168"/>
      <c r="Z294" s="10"/>
      <c r="AA294" s="56"/>
      <c r="AB294" s="56"/>
      <c r="AC294" s="56"/>
      <c r="AD294" s="56"/>
      <c r="AE294" s="56"/>
      <c r="AF294" s="170"/>
      <c r="AG294" s="56"/>
      <c r="AH294" s="56"/>
      <c r="AI294" s="168"/>
      <c r="AJ294" s="56"/>
      <c r="AK294" s="56"/>
      <c r="AL294" s="56"/>
      <c r="AM294" s="56"/>
      <c r="AN294" s="56"/>
      <c r="AO294" s="56"/>
      <c r="AP294" s="56"/>
      <c r="AQ294" s="56"/>
      <c r="AR294" s="168"/>
      <c r="AS294" s="56"/>
      <c r="AT294" s="56"/>
      <c r="AU294" s="56"/>
      <c r="AV294" s="56"/>
      <c r="AW294" s="56"/>
      <c r="AX294" s="56"/>
      <c r="AY294" s="56"/>
      <c r="AZ294" s="56"/>
      <c r="BA294" s="168"/>
      <c r="BB294" s="56"/>
      <c r="BC294" s="56"/>
      <c r="BD294" s="56"/>
      <c r="BE294" s="168"/>
      <c r="BF294" s="56"/>
      <c r="BG294" s="10"/>
      <c r="BH294" s="56"/>
      <c r="BI294" s="56"/>
      <c r="BJ294" s="56"/>
      <c r="BK294" s="56"/>
      <c r="BS294" s="144"/>
      <c r="CM294" s="144"/>
      <c r="DC294" s="144"/>
    </row>
    <row r="295" spans="1:107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1"/>
      <c r="M295" s="10"/>
      <c r="N295" s="56"/>
      <c r="O295" s="56"/>
      <c r="P295" s="10"/>
      <c r="Q295" s="158"/>
      <c r="R295" s="174"/>
      <c r="S295" s="164"/>
      <c r="T295" s="56"/>
      <c r="U295" s="56"/>
      <c r="V295" s="56"/>
      <c r="W295" s="158"/>
      <c r="X295" s="174"/>
      <c r="Y295" s="168"/>
      <c r="Z295" s="10"/>
      <c r="AA295" s="56"/>
      <c r="AB295" s="56"/>
      <c r="AC295" s="56"/>
      <c r="AD295" s="56"/>
      <c r="AE295" s="56"/>
      <c r="AF295" s="170"/>
      <c r="AG295" s="56"/>
      <c r="AH295" s="56"/>
      <c r="AI295" s="168"/>
      <c r="AJ295" s="56"/>
      <c r="AK295" s="56"/>
      <c r="AL295" s="56"/>
      <c r="AM295" s="56"/>
      <c r="AN295" s="56"/>
      <c r="AO295" s="56"/>
      <c r="AP295" s="56"/>
      <c r="AQ295" s="56"/>
      <c r="AR295" s="168"/>
      <c r="AS295" s="56"/>
      <c r="AT295" s="56"/>
      <c r="AU295" s="56"/>
      <c r="AV295" s="56"/>
      <c r="AW295" s="56"/>
      <c r="AX295" s="56"/>
      <c r="AY295" s="56"/>
      <c r="AZ295" s="56"/>
      <c r="BA295" s="168"/>
      <c r="BB295" s="56"/>
      <c r="BC295" s="56"/>
      <c r="BD295" s="56"/>
      <c r="BE295" s="168"/>
      <c r="BF295" s="56"/>
      <c r="BG295" s="10"/>
      <c r="BH295" s="56"/>
      <c r="BI295" s="56"/>
      <c r="BJ295" s="56"/>
      <c r="BK295" s="56"/>
      <c r="BS295" s="144"/>
      <c r="CM295" s="144"/>
      <c r="DC295" s="144"/>
    </row>
    <row r="296" spans="1:107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1"/>
      <c r="M296" s="10"/>
      <c r="N296" s="56"/>
      <c r="O296" s="56"/>
      <c r="P296" s="10"/>
      <c r="Q296" s="158"/>
      <c r="R296" s="174"/>
      <c r="S296" s="164"/>
      <c r="T296" s="56"/>
      <c r="U296" s="56"/>
      <c r="V296" s="56"/>
      <c r="W296" s="158"/>
      <c r="X296" s="174"/>
      <c r="Y296" s="168"/>
      <c r="Z296" s="10"/>
      <c r="AA296" s="56"/>
      <c r="AB296" s="56"/>
      <c r="AC296" s="56"/>
      <c r="AD296" s="56"/>
      <c r="AE296" s="56"/>
      <c r="AF296" s="170"/>
      <c r="AG296" s="56"/>
      <c r="AH296" s="56"/>
      <c r="AI296" s="168"/>
      <c r="AJ296" s="56"/>
      <c r="AK296" s="56"/>
      <c r="AL296" s="56"/>
      <c r="AM296" s="56"/>
      <c r="AN296" s="56"/>
      <c r="AO296" s="56"/>
      <c r="AP296" s="56"/>
      <c r="AQ296" s="56"/>
      <c r="AR296" s="168"/>
      <c r="AS296" s="56"/>
      <c r="AT296" s="56"/>
      <c r="AU296" s="56"/>
      <c r="AV296" s="56"/>
      <c r="AW296" s="56"/>
      <c r="AX296" s="56"/>
      <c r="AY296" s="56"/>
      <c r="AZ296" s="56"/>
      <c r="BA296" s="168"/>
      <c r="BB296" s="56"/>
      <c r="BC296" s="56"/>
      <c r="BD296" s="56"/>
      <c r="BE296" s="168"/>
      <c r="BF296" s="56"/>
      <c r="BG296" s="10"/>
      <c r="BH296" s="56"/>
      <c r="BI296" s="56"/>
      <c r="BJ296" s="56"/>
      <c r="BK296" s="56"/>
      <c r="BS296" s="144"/>
      <c r="CM296" s="144"/>
      <c r="DC296" s="144"/>
    </row>
    <row r="297" spans="1:107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1"/>
      <c r="M297" s="10"/>
      <c r="N297" s="56"/>
      <c r="O297" s="56"/>
      <c r="P297" s="10"/>
      <c r="Q297" s="158"/>
      <c r="R297" s="174"/>
      <c r="S297" s="164"/>
      <c r="T297" s="56"/>
      <c r="U297" s="56"/>
      <c r="V297" s="56"/>
      <c r="W297" s="158"/>
      <c r="X297" s="174"/>
      <c r="Y297" s="168"/>
      <c r="Z297" s="10"/>
      <c r="AA297" s="56"/>
      <c r="AB297" s="56"/>
      <c r="AC297" s="56"/>
      <c r="AD297" s="56"/>
      <c r="AE297" s="56"/>
      <c r="AF297" s="170"/>
      <c r="AG297" s="56"/>
      <c r="AH297" s="56"/>
      <c r="AI297" s="168"/>
      <c r="AJ297" s="56"/>
      <c r="AK297" s="56"/>
      <c r="AL297" s="56"/>
      <c r="AM297" s="56"/>
      <c r="AN297" s="56"/>
      <c r="AO297" s="56"/>
      <c r="AP297" s="56"/>
      <c r="AQ297" s="56"/>
      <c r="AR297" s="168"/>
      <c r="AS297" s="56"/>
      <c r="AT297" s="56"/>
      <c r="AU297" s="56"/>
      <c r="AV297" s="56"/>
      <c r="AW297" s="56"/>
      <c r="AX297" s="56"/>
      <c r="AY297" s="56"/>
      <c r="AZ297" s="56"/>
      <c r="BA297" s="168"/>
      <c r="BB297" s="56"/>
      <c r="BC297" s="56"/>
      <c r="BD297" s="56"/>
      <c r="BE297" s="168"/>
      <c r="BF297" s="56"/>
      <c r="BG297" s="10"/>
      <c r="BH297" s="56"/>
      <c r="BI297" s="56"/>
      <c r="BJ297" s="56"/>
      <c r="BK297" s="56"/>
      <c r="BS297" s="144"/>
      <c r="CM297" s="144"/>
      <c r="DC297" s="144"/>
    </row>
    <row r="298" spans="1:107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1"/>
      <c r="M298" s="10"/>
      <c r="N298" s="56"/>
      <c r="O298" s="56"/>
      <c r="P298" s="10"/>
      <c r="Q298" s="158"/>
      <c r="R298" s="174"/>
      <c r="S298" s="164"/>
      <c r="T298" s="56"/>
      <c r="U298" s="56"/>
      <c r="V298" s="56"/>
      <c r="W298" s="158"/>
      <c r="X298" s="174"/>
      <c r="Y298" s="168"/>
      <c r="Z298" s="10"/>
      <c r="AA298" s="56"/>
      <c r="AB298" s="56"/>
      <c r="AC298" s="56"/>
      <c r="AD298" s="56"/>
      <c r="AE298" s="56"/>
      <c r="AF298" s="170"/>
      <c r="AG298" s="56"/>
      <c r="AH298" s="56"/>
      <c r="AI298" s="168"/>
      <c r="AJ298" s="56"/>
      <c r="AK298" s="56"/>
      <c r="AL298" s="56"/>
      <c r="AM298" s="56"/>
      <c r="AN298" s="56"/>
      <c r="AO298" s="56"/>
      <c r="AP298" s="56"/>
      <c r="AQ298" s="56"/>
      <c r="AR298" s="168"/>
      <c r="AS298" s="56"/>
      <c r="AT298" s="56"/>
      <c r="AU298" s="56"/>
      <c r="AV298" s="56"/>
      <c r="AW298" s="56"/>
      <c r="AX298" s="56"/>
      <c r="AY298" s="56"/>
      <c r="AZ298" s="56"/>
      <c r="BA298" s="168"/>
      <c r="BB298" s="56"/>
      <c r="BC298" s="56"/>
      <c r="BD298" s="56"/>
      <c r="BE298" s="168"/>
      <c r="BF298" s="56"/>
      <c r="BG298" s="10"/>
      <c r="BH298" s="56"/>
      <c r="BI298" s="56"/>
      <c r="BJ298" s="56"/>
      <c r="BK298" s="56"/>
      <c r="BS298" s="144"/>
      <c r="CM298" s="144"/>
      <c r="DC298" s="144"/>
    </row>
    <row r="299" spans="1:107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1"/>
      <c r="M299" s="10"/>
      <c r="N299" s="56"/>
      <c r="O299" s="56"/>
      <c r="P299" s="10"/>
      <c r="Q299" s="158"/>
      <c r="R299" s="174"/>
      <c r="S299" s="164"/>
      <c r="T299" s="56"/>
      <c r="U299" s="56"/>
      <c r="V299" s="56"/>
      <c r="W299" s="158"/>
      <c r="X299" s="174"/>
      <c r="Y299" s="168"/>
      <c r="Z299" s="10"/>
      <c r="AA299" s="56"/>
      <c r="AB299" s="56"/>
      <c r="AC299" s="56"/>
      <c r="AD299" s="56"/>
      <c r="AE299" s="56"/>
      <c r="AF299" s="170"/>
      <c r="AG299" s="56"/>
      <c r="AH299" s="56"/>
      <c r="AI299" s="168"/>
      <c r="AJ299" s="56"/>
      <c r="AK299" s="56"/>
      <c r="AL299" s="56"/>
      <c r="AM299" s="56"/>
      <c r="AN299" s="56"/>
      <c r="AO299" s="56"/>
      <c r="AP299" s="56"/>
      <c r="AQ299" s="56"/>
      <c r="AR299" s="168"/>
      <c r="AS299" s="56"/>
      <c r="AT299" s="56"/>
      <c r="AU299" s="56"/>
      <c r="AV299" s="56"/>
      <c r="AW299" s="56"/>
      <c r="AX299" s="56"/>
      <c r="AY299" s="56"/>
      <c r="AZ299" s="56"/>
      <c r="BA299" s="168"/>
      <c r="BB299" s="56"/>
      <c r="BC299" s="56"/>
      <c r="BD299" s="56"/>
      <c r="BE299" s="168"/>
      <c r="BF299" s="56"/>
      <c r="BG299" s="10"/>
      <c r="BH299" s="56"/>
      <c r="BI299" s="56"/>
      <c r="BJ299" s="56"/>
      <c r="BK299" s="56"/>
      <c r="BS299" s="144"/>
      <c r="CM299" s="144"/>
      <c r="DC299" s="144"/>
    </row>
    <row r="300" spans="1:107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1"/>
      <c r="M300" s="10"/>
      <c r="N300" s="56"/>
      <c r="O300" s="56"/>
      <c r="P300" s="10"/>
      <c r="Q300" s="158"/>
      <c r="R300" s="174"/>
      <c r="S300" s="164"/>
      <c r="T300" s="56"/>
      <c r="U300" s="56"/>
      <c r="V300" s="56"/>
      <c r="W300" s="158"/>
      <c r="X300" s="174"/>
      <c r="Y300" s="168"/>
      <c r="Z300" s="10"/>
      <c r="AA300" s="56"/>
      <c r="AB300" s="56"/>
      <c r="AC300" s="56"/>
      <c r="AD300" s="56"/>
      <c r="AE300" s="56"/>
      <c r="AF300" s="170"/>
      <c r="AG300" s="56"/>
      <c r="AH300" s="56"/>
      <c r="AI300" s="168"/>
      <c r="AJ300" s="56"/>
      <c r="AK300" s="56"/>
      <c r="AL300" s="56"/>
      <c r="AM300" s="56"/>
      <c r="AN300" s="56"/>
      <c r="AO300" s="56"/>
      <c r="AP300" s="56"/>
      <c r="AQ300" s="56"/>
      <c r="AR300" s="168"/>
      <c r="AS300" s="56"/>
      <c r="AT300" s="56"/>
      <c r="AU300" s="56"/>
      <c r="AV300" s="56"/>
      <c r="AW300" s="56"/>
      <c r="AX300" s="56"/>
      <c r="AY300" s="56"/>
      <c r="AZ300" s="56"/>
      <c r="BA300" s="168"/>
      <c r="BB300" s="56"/>
      <c r="BC300" s="56"/>
      <c r="BD300" s="56"/>
      <c r="BE300" s="168"/>
      <c r="BF300" s="56"/>
      <c r="BG300" s="10"/>
      <c r="BH300" s="56"/>
      <c r="BI300" s="56"/>
      <c r="BJ300" s="56"/>
      <c r="BK300" s="56"/>
      <c r="BS300" s="144"/>
      <c r="CM300" s="144"/>
      <c r="DC300" s="144"/>
    </row>
    <row r="301" spans="1:107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1"/>
      <c r="M301" s="10"/>
      <c r="N301" s="56"/>
      <c r="O301" s="56"/>
      <c r="P301" s="10"/>
      <c r="Q301" s="158"/>
      <c r="R301" s="174"/>
      <c r="S301" s="164"/>
      <c r="T301" s="56"/>
      <c r="U301" s="56"/>
      <c r="V301" s="56"/>
      <c r="W301" s="158"/>
      <c r="X301" s="174"/>
      <c r="Y301" s="168"/>
      <c r="Z301" s="10"/>
      <c r="AA301" s="56"/>
      <c r="AB301" s="56"/>
      <c r="AC301" s="56"/>
      <c r="AD301" s="56"/>
      <c r="AE301" s="56"/>
      <c r="AF301" s="170"/>
      <c r="AG301" s="56"/>
      <c r="AH301" s="56"/>
      <c r="AI301" s="168"/>
      <c r="AJ301" s="56"/>
      <c r="AK301" s="56"/>
      <c r="AL301" s="56"/>
      <c r="AM301" s="56"/>
      <c r="AN301" s="56"/>
      <c r="AO301" s="56"/>
      <c r="AP301" s="56"/>
      <c r="AQ301" s="56"/>
      <c r="AR301" s="168"/>
      <c r="AS301" s="56"/>
      <c r="AT301" s="56"/>
      <c r="AU301" s="56"/>
      <c r="AV301" s="56"/>
      <c r="AW301" s="56"/>
      <c r="AX301" s="56"/>
      <c r="AY301" s="56"/>
      <c r="AZ301" s="56"/>
      <c r="BA301" s="168"/>
      <c r="BB301" s="56"/>
      <c r="BC301" s="56"/>
      <c r="BD301" s="56"/>
      <c r="BE301" s="168"/>
      <c r="BF301" s="56"/>
      <c r="BG301" s="10"/>
      <c r="BH301" s="56"/>
      <c r="BI301" s="56"/>
      <c r="BJ301" s="56"/>
      <c r="BK301" s="56"/>
      <c r="BS301" s="144"/>
      <c r="CM301" s="144"/>
      <c r="DC301" s="144"/>
    </row>
    <row r="302" spans="1:107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1"/>
      <c r="M302" s="10"/>
      <c r="N302" s="56"/>
      <c r="O302" s="56"/>
      <c r="P302" s="10"/>
      <c r="Q302" s="158"/>
      <c r="R302" s="174"/>
      <c r="S302" s="164"/>
      <c r="T302" s="56"/>
      <c r="U302" s="56"/>
      <c r="V302" s="56"/>
      <c r="W302" s="158"/>
      <c r="X302" s="174"/>
      <c r="Y302" s="168"/>
      <c r="Z302" s="10"/>
      <c r="AA302" s="56"/>
      <c r="AB302" s="56"/>
      <c r="AC302" s="56"/>
      <c r="AD302" s="56"/>
      <c r="AE302" s="56"/>
      <c r="AF302" s="170"/>
      <c r="AG302" s="56"/>
      <c r="AH302" s="56"/>
      <c r="AI302" s="168"/>
      <c r="AJ302" s="56"/>
      <c r="AK302" s="56"/>
      <c r="AL302" s="56"/>
      <c r="AM302" s="56"/>
      <c r="AN302" s="56"/>
      <c r="AO302" s="56"/>
      <c r="AP302" s="56"/>
      <c r="AQ302" s="56"/>
      <c r="AR302" s="168"/>
      <c r="AS302" s="56"/>
      <c r="AT302" s="56"/>
      <c r="AU302" s="56"/>
      <c r="AV302" s="56"/>
      <c r="AW302" s="56"/>
      <c r="AX302" s="56"/>
      <c r="AY302" s="56"/>
      <c r="AZ302" s="56"/>
      <c r="BA302" s="168"/>
      <c r="BB302" s="56"/>
      <c r="BC302" s="56"/>
      <c r="BD302" s="56"/>
      <c r="BE302" s="168"/>
      <c r="BF302" s="56"/>
      <c r="BG302" s="10"/>
      <c r="BH302" s="56"/>
      <c r="BI302" s="56"/>
      <c r="BJ302" s="56"/>
      <c r="BK302" s="56"/>
      <c r="BS302" s="144"/>
      <c r="CM302" s="144"/>
      <c r="DC302" s="144"/>
    </row>
    <row r="303" spans="1:107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1"/>
      <c r="M303" s="10"/>
      <c r="N303" s="56"/>
      <c r="O303" s="56"/>
      <c r="P303" s="10"/>
      <c r="Q303" s="158"/>
      <c r="R303" s="174"/>
      <c r="S303" s="164"/>
      <c r="T303" s="56"/>
      <c r="U303" s="56"/>
      <c r="V303" s="56"/>
      <c r="W303" s="158"/>
      <c r="X303" s="174"/>
      <c r="Y303" s="168"/>
      <c r="Z303" s="10"/>
      <c r="AA303" s="56"/>
      <c r="AB303" s="56"/>
      <c r="AC303" s="56"/>
      <c r="AD303" s="56"/>
      <c r="AE303" s="56"/>
      <c r="AF303" s="170"/>
      <c r="AG303" s="56"/>
      <c r="AH303" s="56"/>
      <c r="AI303" s="168"/>
      <c r="AJ303" s="56"/>
      <c r="AK303" s="56"/>
      <c r="AL303" s="56"/>
      <c r="AM303" s="56"/>
      <c r="AN303" s="56"/>
      <c r="AO303" s="56"/>
      <c r="AP303" s="56"/>
      <c r="AQ303" s="56"/>
      <c r="AR303" s="168"/>
      <c r="AS303" s="56"/>
      <c r="AT303" s="56"/>
      <c r="AU303" s="56"/>
      <c r="AV303" s="56"/>
      <c r="AW303" s="56"/>
      <c r="AX303" s="56"/>
      <c r="AY303" s="56"/>
      <c r="AZ303" s="56"/>
      <c r="BA303" s="168"/>
      <c r="BB303" s="56"/>
      <c r="BC303" s="56"/>
      <c r="BD303" s="56"/>
      <c r="BE303" s="168"/>
      <c r="BF303" s="56"/>
      <c r="BG303" s="10"/>
      <c r="BH303" s="56"/>
      <c r="BI303" s="56"/>
      <c r="BJ303" s="56"/>
      <c r="BK303" s="56"/>
      <c r="BS303" s="144"/>
      <c r="CM303" s="144"/>
      <c r="DC303" s="144"/>
    </row>
    <row r="304" spans="1:107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1"/>
      <c r="M304" s="10"/>
      <c r="N304" s="56"/>
      <c r="O304" s="56"/>
      <c r="P304" s="10"/>
      <c r="Q304" s="158"/>
      <c r="R304" s="174"/>
      <c r="S304" s="164"/>
      <c r="T304" s="56"/>
      <c r="U304" s="56"/>
      <c r="V304" s="56"/>
      <c r="W304" s="158"/>
      <c r="X304" s="174"/>
      <c r="Y304" s="168"/>
      <c r="Z304" s="10"/>
      <c r="AA304" s="56"/>
      <c r="AB304" s="56"/>
      <c r="AC304" s="56"/>
      <c r="AD304" s="56"/>
      <c r="AE304" s="56"/>
      <c r="AF304" s="170"/>
      <c r="AG304" s="56"/>
      <c r="AH304" s="56"/>
      <c r="AI304" s="168"/>
      <c r="AJ304" s="56"/>
      <c r="AK304" s="56"/>
      <c r="AL304" s="56"/>
      <c r="AM304" s="56"/>
      <c r="AN304" s="56"/>
      <c r="AO304" s="56"/>
      <c r="AP304" s="56"/>
      <c r="AQ304" s="56"/>
      <c r="AR304" s="168"/>
      <c r="AS304" s="56"/>
      <c r="AT304" s="56"/>
      <c r="AU304" s="56"/>
      <c r="AV304" s="56"/>
      <c r="AW304" s="56"/>
      <c r="AX304" s="56"/>
      <c r="AY304" s="56"/>
      <c r="AZ304" s="56"/>
      <c r="BA304" s="168"/>
      <c r="BB304" s="56"/>
      <c r="BC304" s="56"/>
      <c r="BD304" s="56"/>
      <c r="BE304" s="168"/>
      <c r="BF304" s="56"/>
      <c r="BG304" s="10"/>
      <c r="BH304" s="56"/>
      <c r="BI304" s="56"/>
      <c r="BJ304" s="56"/>
      <c r="BK304" s="56"/>
      <c r="BS304" s="144"/>
      <c r="CM304" s="144"/>
      <c r="DC304" s="144"/>
    </row>
    <row r="305" spans="1:107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1"/>
      <c r="M305" s="10"/>
      <c r="N305" s="56"/>
      <c r="O305" s="56"/>
      <c r="P305" s="10"/>
      <c r="Q305" s="158"/>
      <c r="R305" s="174"/>
      <c r="S305" s="164"/>
      <c r="T305" s="56"/>
      <c r="U305" s="56"/>
      <c r="V305" s="56"/>
      <c r="W305" s="158"/>
      <c r="X305" s="174"/>
      <c r="Y305" s="168"/>
      <c r="Z305" s="10"/>
      <c r="AA305" s="56"/>
      <c r="AB305" s="56"/>
      <c r="AC305" s="56"/>
      <c r="AD305" s="56"/>
      <c r="AE305" s="56"/>
      <c r="AF305" s="170"/>
      <c r="AG305" s="56"/>
      <c r="AH305" s="56"/>
      <c r="AI305" s="168"/>
      <c r="AJ305" s="56"/>
      <c r="AK305" s="56"/>
      <c r="AL305" s="56"/>
      <c r="AM305" s="56"/>
      <c r="AN305" s="56"/>
      <c r="AO305" s="56"/>
      <c r="AP305" s="56"/>
      <c r="AQ305" s="56"/>
      <c r="AR305" s="168"/>
      <c r="AS305" s="56"/>
      <c r="AT305" s="56"/>
      <c r="AU305" s="56"/>
      <c r="AV305" s="56"/>
      <c r="AW305" s="56"/>
      <c r="AX305" s="56"/>
      <c r="AY305" s="56"/>
      <c r="AZ305" s="56"/>
      <c r="BA305" s="168"/>
      <c r="BB305" s="56"/>
      <c r="BC305" s="56"/>
      <c r="BD305" s="56"/>
      <c r="BE305" s="168"/>
      <c r="BF305" s="56"/>
      <c r="BG305" s="10"/>
      <c r="BH305" s="56"/>
      <c r="BI305" s="56"/>
      <c r="BJ305" s="56"/>
      <c r="BK305" s="56"/>
      <c r="BS305" s="144"/>
      <c r="CM305" s="144"/>
      <c r="DC305" s="144"/>
    </row>
    <row r="306" spans="1:107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1"/>
      <c r="M306" s="10"/>
      <c r="N306" s="56"/>
      <c r="O306" s="56"/>
      <c r="P306" s="10"/>
      <c r="Q306" s="158"/>
      <c r="R306" s="174"/>
      <c r="S306" s="164"/>
      <c r="T306" s="56"/>
      <c r="U306" s="56"/>
      <c r="V306" s="56"/>
      <c r="W306" s="158"/>
      <c r="X306" s="174"/>
      <c r="Y306" s="168"/>
      <c r="Z306" s="10"/>
      <c r="AA306" s="56"/>
      <c r="AB306" s="56"/>
      <c r="AC306" s="56"/>
      <c r="AD306" s="56"/>
      <c r="AE306" s="56"/>
      <c r="AF306" s="170"/>
      <c r="AG306" s="56"/>
      <c r="AH306" s="56"/>
      <c r="AI306" s="168"/>
      <c r="AJ306" s="56"/>
      <c r="AK306" s="56"/>
      <c r="AL306" s="56"/>
      <c r="AM306" s="56"/>
      <c r="AN306" s="56"/>
      <c r="AO306" s="56"/>
      <c r="AP306" s="56"/>
      <c r="AQ306" s="56"/>
      <c r="AR306" s="168"/>
      <c r="AS306" s="56"/>
      <c r="AT306" s="56"/>
      <c r="AU306" s="56"/>
      <c r="AV306" s="56"/>
      <c r="AW306" s="56"/>
      <c r="AX306" s="56"/>
      <c r="AY306" s="56"/>
      <c r="AZ306" s="56"/>
      <c r="BA306" s="168"/>
      <c r="BB306" s="56"/>
      <c r="BC306" s="56"/>
      <c r="BD306" s="56"/>
      <c r="BE306" s="168"/>
      <c r="BF306" s="56"/>
      <c r="BG306" s="10"/>
      <c r="BH306" s="56"/>
      <c r="BI306" s="56"/>
      <c r="BJ306" s="56"/>
      <c r="BK306" s="56"/>
      <c r="BS306" s="144"/>
      <c r="CM306" s="144"/>
      <c r="DC306" s="144"/>
    </row>
    <row r="307" spans="1:107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1"/>
      <c r="M307" s="10"/>
      <c r="N307" s="56"/>
      <c r="O307" s="56"/>
      <c r="P307" s="10"/>
      <c r="Q307" s="158"/>
      <c r="R307" s="174"/>
      <c r="S307" s="164"/>
      <c r="T307" s="56"/>
      <c r="U307" s="56"/>
      <c r="V307" s="56"/>
      <c r="W307" s="158"/>
      <c r="X307" s="174"/>
      <c r="Y307" s="168"/>
      <c r="Z307" s="10"/>
      <c r="AA307" s="56"/>
      <c r="AB307" s="56"/>
      <c r="AC307" s="56"/>
      <c r="AD307" s="56"/>
      <c r="AE307" s="56"/>
      <c r="AF307" s="170"/>
      <c r="AG307" s="56"/>
      <c r="AH307" s="56"/>
      <c r="AI307" s="168"/>
      <c r="AJ307" s="56"/>
      <c r="AK307" s="56"/>
      <c r="AL307" s="56"/>
      <c r="AM307" s="56"/>
      <c r="AN307" s="56"/>
      <c r="AO307" s="56"/>
      <c r="AP307" s="56"/>
      <c r="AQ307" s="56"/>
      <c r="AR307" s="168"/>
      <c r="AS307" s="56"/>
      <c r="AT307" s="56"/>
      <c r="AU307" s="56"/>
      <c r="AV307" s="56"/>
      <c r="AW307" s="56"/>
      <c r="AX307" s="56"/>
      <c r="AY307" s="56"/>
      <c r="AZ307" s="56"/>
      <c r="BA307" s="168"/>
      <c r="BB307" s="56"/>
      <c r="BC307" s="56"/>
      <c r="BD307" s="56"/>
      <c r="BE307" s="168"/>
      <c r="BF307" s="56"/>
      <c r="BG307" s="10"/>
      <c r="BH307" s="56"/>
      <c r="BI307" s="56"/>
      <c r="BJ307" s="56"/>
      <c r="BK307" s="56"/>
      <c r="BS307" s="144"/>
      <c r="CM307" s="144"/>
      <c r="DC307" s="144"/>
    </row>
    <row r="308" spans="1:107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1"/>
      <c r="M308" s="10"/>
      <c r="N308" s="56"/>
      <c r="O308" s="56"/>
      <c r="P308" s="10"/>
      <c r="Q308" s="158"/>
      <c r="R308" s="174"/>
      <c r="S308" s="164"/>
      <c r="T308" s="56"/>
      <c r="U308" s="56"/>
      <c r="V308" s="56"/>
      <c r="W308" s="158"/>
      <c r="X308" s="174"/>
      <c r="Y308" s="168"/>
      <c r="Z308" s="10"/>
      <c r="AA308" s="56"/>
      <c r="AB308" s="56"/>
      <c r="AC308" s="56"/>
      <c r="AD308" s="56"/>
      <c r="AE308" s="56"/>
      <c r="AF308" s="170"/>
      <c r="AG308" s="56"/>
      <c r="AH308" s="56"/>
      <c r="AI308" s="168"/>
      <c r="AJ308" s="56"/>
      <c r="AK308" s="56"/>
      <c r="AL308" s="56"/>
      <c r="AM308" s="56"/>
      <c r="AN308" s="56"/>
      <c r="AO308" s="56"/>
      <c r="AP308" s="56"/>
      <c r="AQ308" s="56"/>
      <c r="AR308" s="168"/>
      <c r="AS308" s="56"/>
      <c r="AT308" s="56"/>
      <c r="AU308" s="56"/>
      <c r="AV308" s="56"/>
      <c r="AW308" s="56"/>
      <c r="AX308" s="56"/>
      <c r="AY308" s="56"/>
      <c r="AZ308" s="56"/>
      <c r="BA308" s="168"/>
      <c r="BB308" s="56"/>
      <c r="BC308" s="56"/>
      <c r="BD308" s="56"/>
      <c r="BE308" s="168"/>
      <c r="BF308" s="56"/>
      <c r="BG308" s="10"/>
      <c r="BH308" s="56"/>
      <c r="BI308" s="56"/>
      <c r="BJ308" s="56"/>
      <c r="BK308" s="56"/>
      <c r="BS308" s="144"/>
      <c r="CM308" s="144"/>
      <c r="DC308" s="144"/>
    </row>
    <row r="309" spans="1:107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1"/>
      <c r="M309" s="10"/>
      <c r="N309" s="56"/>
      <c r="O309" s="56"/>
      <c r="P309" s="10"/>
      <c r="Q309" s="158"/>
      <c r="R309" s="174"/>
      <c r="S309" s="164"/>
      <c r="T309" s="56"/>
      <c r="U309" s="56"/>
      <c r="V309" s="56"/>
      <c r="W309" s="158"/>
      <c r="X309" s="174"/>
      <c r="Y309" s="168"/>
      <c r="Z309" s="10"/>
      <c r="AA309" s="56"/>
      <c r="AB309" s="56"/>
      <c r="AC309" s="56"/>
      <c r="AD309" s="56"/>
      <c r="AE309" s="56"/>
      <c r="AF309" s="170"/>
      <c r="AG309" s="56"/>
      <c r="AH309" s="56"/>
      <c r="AI309" s="168"/>
      <c r="AJ309" s="56"/>
      <c r="AK309" s="56"/>
      <c r="AL309" s="56"/>
      <c r="AM309" s="56"/>
      <c r="AN309" s="56"/>
      <c r="AO309" s="56"/>
      <c r="AP309" s="56"/>
      <c r="AQ309" s="56"/>
      <c r="AR309" s="168"/>
      <c r="AS309" s="56"/>
      <c r="AT309" s="56"/>
      <c r="AU309" s="56"/>
      <c r="AV309" s="56"/>
      <c r="AW309" s="56"/>
      <c r="AX309" s="56"/>
      <c r="AY309" s="56"/>
      <c r="AZ309" s="56"/>
      <c r="BA309" s="168"/>
      <c r="BB309" s="56"/>
      <c r="BC309" s="56"/>
      <c r="BD309" s="56"/>
      <c r="BE309" s="168"/>
      <c r="BF309" s="56"/>
      <c r="BG309" s="10"/>
      <c r="BH309" s="56"/>
      <c r="BI309" s="56"/>
      <c r="BJ309" s="56"/>
      <c r="BK309" s="56"/>
      <c r="BS309" s="144"/>
      <c r="CM309" s="144"/>
      <c r="DC309" s="144"/>
    </row>
    <row r="310" spans="1:107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1"/>
      <c r="M310" s="10"/>
      <c r="N310" s="56"/>
      <c r="O310" s="56"/>
      <c r="P310" s="10"/>
      <c r="Q310" s="158"/>
      <c r="R310" s="174"/>
      <c r="S310" s="164"/>
      <c r="T310" s="56"/>
      <c r="U310" s="56"/>
      <c r="V310" s="56"/>
      <c r="W310" s="158"/>
      <c r="X310" s="174"/>
      <c r="Y310" s="168"/>
      <c r="Z310" s="10"/>
      <c r="AA310" s="56"/>
      <c r="AB310" s="56"/>
      <c r="AC310" s="56"/>
      <c r="AD310" s="56"/>
      <c r="AE310" s="56"/>
      <c r="AF310" s="170"/>
      <c r="AG310" s="56"/>
      <c r="AH310" s="56"/>
      <c r="AI310" s="168"/>
      <c r="AJ310" s="56"/>
      <c r="AK310" s="56"/>
      <c r="AL310" s="56"/>
      <c r="AM310" s="56"/>
      <c r="AN310" s="56"/>
      <c r="AO310" s="56"/>
      <c r="AP310" s="56"/>
      <c r="AQ310" s="56"/>
      <c r="AR310" s="168"/>
      <c r="AS310" s="56"/>
      <c r="AT310" s="56"/>
      <c r="AU310" s="56"/>
      <c r="AV310" s="56"/>
      <c r="AW310" s="56"/>
      <c r="AX310" s="56"/>
      <c r="AY310" s="56"/>
      <c r="AZ310" s="56"/>
      <c r="BA310" s="168"/>
      <c r="BB310" s="56"/>
      <c r="BC310" s="56"/>
      <c r="BD310" s="56"/>
      <c r="BE310" s="168"/>
      <c r="BF310" s="56"/>
      <c r="BG310" s="10"/>
      <c r="BH310" s="56"/>
      <c r="BI310" s="56"/>
      <c r="BJ310" s="56"/>
      <c r="BK310" s="56"/>
      <c r="BS310" s="144"/>
      <c r="CM310" s="144"/>
      <c r="DC310" s="144"/>
    </row>
    <row r="311" spans="1:107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1"/>
      <c r="M311" s="10"/>
      <c r="N311" s="56"/>
      <c r="O311" s="56"/>
      <c r="P311" s="10"/>
      <c r="Q311" s="158"/>
      <c r="R311" s="174"/>
      <c r="S311" s="164"/>
      <c r="T311" s="56"/>
      <c r="U311" s="56"/>
      <c r="V311" s="56"/>
      <c r="W311" s="158"/>
      <c r="X311" s="174"/>
      <c r="Y311" s="168"/>
      <c r="Z311" s="10"/>
      <c r="AA311" s="56"/>
      <c r="AB311" s="56"/>
      <c r="AC311" s="56"/>
      <c r="AD311" s="56"/>
      <c r="AE311" s="56"/>
      <c r="AF311" s="170"/>
      <c r="AG311" s="56"/>
      <c r="AH311" s="56"/>
      <c r="AI311" s="168"/>
      <c r="AJ311" s="56"/>
      <c r="AK311" s="56"/>
      <c r="AL311" s="56"/>
      <c r="AM311" s="56"/>
      <c r="AN311" s="56"/>
      <c r="AO311" s="56"/>
      <c r="AP311" s="56"/>
      <c r="AQ311" s="56"/>
      <c r="AR311" s="168"/>
      <c r="AS311" s="56"/>
      <c r="AT311" s="56"/>
      <c r="AU311" s="56"/>
      <c r="AV311" s="56"/>
      <c r="AW311" s="56"/>
      <c r="AX311" s="56"/>
      <c r="AY311" s="56"/>
      <c r="AZ311" s="56"/>
      <c r="BA311" s="168"/>
      <c r="BB311" s="56"/>
      <c r="BC311" s="56"/>
      <c r="BD311" s="56"/>
      <c r="BE311" s="168"/>
      <c r="BF311" s="56"/>
      <c r="BG311" s="10"/>
      <c r="BH311" s="56"/>
      <c r="BI311" s="56"/>
      <c r="BJ311" s="56"/>
      <c r="BK311" s="56"/>
      <c r="BS311" s="144"/>
      <c r="CM311" s="144"/>
      <c r="DC311" s="144"/>
    </row>
    <row r="312" spans="1:107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1"/>
      <c r="M312" s="10"/>
      <c r="N312" s="56"/>
      <c r="O312" s="56"/>
      <c r="P312" s="10"/>
      <c r="Q312" s="158"/>
      <c r="R312" s="174"/>
      <c r="S312" s="164"/>
      <c r="T312" s="56"/>
      <c r="U312" s="56"/>
      <c r="V312" s="56"/>
      <c r="W312" s="158"/>
      <c r="X312" s="174"/>
      <c r="Y312" s="168"/>
      <c r="Z312" s="10"/>
      <c r="AA312" s="56"/>
      <c r="AB312" s="56"/>
      <c r="AC312" s="56"/>
      <c r="AD312" s="56"/>
      <c r="AE312" s="56"/>
      <c r="AF312" s="170"/>
      <c r="AG312" s="56"/>
      <c r="AH312" s="56"/>
      <c r="AI312" s="168"/>
      <c r="AJ312" s="56"/>
      <c r="AK312" s="56"/>
      <c r="AL312" s="56"/>
      <c r="AM312" s="56"/>
      <c r="AN312" s="56"/>
      <c r="AO312" s="56"/>
      <c r="AP312" s="56"/>
      <c r="AQ312" s="56"/>
      <c r="AR312" s="168"/>
      <c r="AS312" s="56"/>
      <c r="AT312" s="56"/>
      <c r="AU312" s="56"/>
      <c r="AV312" s="56"/>
      <c r="AW312" s="56"/>
      <c r="AX312" s="56"/>
      <c r="AY312" s="56"/>
      <c r="AZ312" s="56"/>
      <c r="BA312" s="168"/>
      <c r="BB312" s="56"/>
      <c r="BC312" s="56"/>
      <c r="BD312" s="56"/>
      <c r="BE312" s="168"/>
      <c r="BF312" s="56"/>
      <c r="BG312" s="10"/>
      <c r="BH312" s="56"/>
      <c r="BI312" s="56"/>
      <c r="BJ312" s="56"/>
      <c r="BK312" s="56"/>
      <c r="BS312" s="144"/>
      <c r="CM312" s="144"/>
      <c r="DC312" s="144"/>
    </row>
    <row r="313" spans="1:107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1"/>
      <c r="M313" s="10"/>
      <c r="N313" s="56"/>
      <c r="O313" s="56"/>
      <c r="P313" s="10"/>
      <c r="Q313" s="158"/>
      <c r="R313" s="174"/>
      <c r="S313" s="164"/>
      <c r="T313" s="56"/>
      <c r="U313" s="56"/>
      <c r="V313" s="56"/>
      <c r="W313" s="158"/>
      <c r="X313" s="174"/>
      <c r="Y313" s="168"/>
      <c r="Z313" s="10"/>
      <c r="AA313" s="56"/>
      <c r="AB313" s="56"/>
      <c r="AC313" s="56"/>
      <c r="AD313" s="56"/>
      <c r="AE313" s="56"/>
      <c r="AF313" s="170"/>
      <c r="AG313" s="56"/>
      <c r="AH313" s="56"/>
      <c r="AI313" s="168"/>
      <c r="AJ313" s="56"/>
      <c r="AK313" s="56"/>
      <c r="AL313" s="56"/>
      <c r="AM313" s="56"/>
      <c r="AN313" s="56"/>
      <c r="AO313" s="56"/>
      <c r="AP313" s="56"/>
      <c r="AQ313" s="56"/>
      <c r="AR313" s="168"/>
      <c r="AS313" s="56"/>
      <c r="AT313" s="56"/>
      <c r="AU313" s="56"/>
      <c r="AV313" s="56"/>
      <c r="AW313" s="56"/>
      <c r="AX313" s="56"/>
      <c r="AY313" s="56"/>
      <c r="AZ313" s="56"/>
      <c r="BA313" s="168"/>
      <c r="BB313" s="56"/>
      <c r="BC313" s="56"/>
      <c r="BD313" s="56"/>
      <c r="BE313" s="168"/>
      <c r="BF313" s="56"/>
      <c r="BG313" s="10"/>
      <c r="BH313" s="56"/>
      <c r="BI313" s="56"/>
      <c r="BJ313" s="56"/>
      <c r="BK313" s="56"/>
      <c r="BS313" s="144"/>
      <c r="CM313" s="144"/>
      <c r="DC313" s="144"/>
    </row>
    <row r="314" spans="1:107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1"/>
      <c r="M314" s="10"/>
      <c r="N314" s="56"/>
      <c r="O314" s="56"/>
      <c r="P314" s="10"/>
      <c r="Q314" s="158"/>
      <c r="R314" s="174"/>
      <c r="S314" s="164"/>
      <c r="T314" s="56"/>
      <c r="U314" s="56"/>
      <c r="V314" s="56"/>
      <c r="W314" s="158"/>
      <c r="X314" s="174"/>
      <c r="Y314" s="168"/>
      <c r="Z314" s="10"/>
      <c r="AA314" s="56"/>
      <c r="AB314" s="56"/>
      <c r="AC314" s="56"/>
      <c r="AD314" s="56"/>
      <c r="AE314" s="56"/>
      <c r="AF314" s="170"/>
      <c r="AG314" s="56"/>
      <c r="AH314" s="56"/>
      <c r="AI314" s="168"/>
      <c r="AJ314" s="56"/>
      <c r="AK314" s="56"/>
      <c r="AL314" s="56"/>
      <c r="AM314" s="56"/>
      <c r="AN314" s="56"/>
      <c r="AO314" s="56"/>
      <c r="AP314" s="56"/>
      <c r="AQ314" s="56"/>
      <c r="AR314" s="168"/>
      <c r="AS314" s="56"/>
      <c r="AT314" s="56"/>
      <c r="AU314" s="56"/>
      <c r="AV314" s="56"/>
      <c r="AW314" s="56"/>
      <c r="AX314" s="56"/>
      <c r="AY314" s="56"/>
      <c r="AZ314" s="56"/>
      <c r="BA314" s="168"/>
      <c r="BB314" s="56"/>
      <c r="BC314" s="56"/>
      <c r="BD314" s="56"/>
      <c r="BE314" s="168"/>
      <c r="BF314" s="56"/>
      <c r="BG314" s="10"/>
      <c r="BH314" s="56"/>
      <c r="BI314" s="56"/>
      <c r="BJ314" s="56"/>
      <c r="BK314" s="56"/>
      <c r="BS314" s="144"/>
      <c r="CM314" s="144"/>
      <c r="DC314" s="144"/>
    </row>
    <row r="315" spans="1:107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1"/>
      <c r="M315" s="10"/>
      <c r="N315" s="56"/>
      <c r="O315" s="56"/>
      <c r="P315" s="10"/>
      <c r="Q315" s="158"/>
      <c r="R315" s="174"/>
      <c r="S315" s="164"/>
      <c r="T315" s="56"/>
      <c r="U315" s="56"/>
      <c r="V315" s="56"/>
      <c r="W315" s="158"/>
      <c r="X315" s="174"/>
      <c r="Y315" s="168"/>
      <c r="Z315" s="10"/>
      <c r="AA315" s="56"/>
      <c r="AB315" s="56"/>
      <c r="AC315" s="56"/>
      <c r="AD315" s="56"/>
      <c r="AE315" s="56"/>
      <c r="AF315" s="170"/>
      <c r="AG315" s="56"/>
      <c r="AH315" s="56"/>
      <c r="AI315" s="168"/>
      <c r="AJ315" s="56"/>
      <c r="AK315" s="56"/>
      <c r="AL315" s="56"/>
      <c r="AM315" s="56"/>
      <c r="AN315" s="56"/>
      <c r="AO315" s="56"/>
      <c r="AP315" s="56"/>
      <c r="AQ315" s="56"/>
      <c r="AR315" s="168"/>
      <c r="AS315" s="56"/>
      <c r="AT315" s="56"/>
      <c r="AU315" s="56"/>
      <c r="AV315" s="56"/>
      <c r="AW315" s="56"/>
      <c r="AX315" s="56"/>
      <c r="AY315" s="56"/>
      <c r="AZ315" s="56"/>
      <c r="BA315" s="168"/>
      <c r="BB315" s="56"/>
      <c r="BC315" s="56"/>
      <c r="BD315" s="56"/>
      <c r="BE315" s="168"/>
      <c r="BF315" s="56"/>
      <c r="BG315" s="10"/>
      <c r="BH315" s="56"/>
      <c r="BI315" s="56"/>
      <c r="BJ315" s="56"/>
      <c r="BK315" s="56"/>
      <c r="BS315" s="144"/>
      <c r="CM315" s="144"/>
      <c r="DC315" s="144"/>
    </row>
    <row r="316" spans="1:107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1"/>
      <c r="M316" s="10"/>
      <c r="N316" s="56"/>
      <c r="O316" s="56"/>
      <c r="P316" s="10"/>
      <c r="Q316" s="158"/>
      <c r="R316" s="174"/>
      <c r="S316" s="164"/>
      <c r="T316" s="56"/>
      <c r="U316" s="56"/>
      <c r="V316" s="56"/>
      <c r="W316" s="158"/>
      <c r="X316" s="174"/>
      <c r="Y316" s="168"/>
      <c r="Z316" s="10"/>
      <c r="AA316" s="56"/>
      <c r="AB316" s="56"/>
      <c r="AC316" s="56"/>
      <c r="AD316" s="56"/>
      <c r="AE316" s="56"/>
      <c r="AF316" s="170"/>
      <c r="AG316" s="56"/>
      <c r="AH316" s="56"/>
      <c r="AI316" s="168"/>
      <c r="AJ316" s="56"/>
      <c r="AK316" s="56"/>
      <c r="AL316" s="56"/>
      <c r="AM316" s="56"/>
      <c r="AN316" s="56"/>
      <c r="AO316" s="56"/>
      <c r="AP316" s="56"/>
      <c r="AQ316" s="56"/>
      <c r="AR316" s="168"/>
      <c r="AS316" s="56"/>
      <c r="AT316" s="56"/>
      <c r="AU316" s="56"/>
      <c r="AV316" s="56"/>
      <c r="AW316" s="56"/>
      <c r="AX316" s="56"/>
      <c r="AY316" s="56"/>
      <c r="AZ316" s="56"/>
      <c r="BA316" s="168"/>
      <c r="BB316" s="56"/>
      <c r="BC316" s="56"/>
      <c r="BD316" s="56"/>
      <c r="BE316" s="168"/>
      <c r="BF316" s="56"/>
      <c r="BG316" s="10"/>
      <c r="BH316" s="56"/>
      <c r="BI316" s="56"/>
      <c r="BJ316" s="56"/>
      <c r="BK316" s="56"/>
      <c r="BS316" s="144"/>
      <c r="CM316" s="144"/>
      <c r="DC316" s="144"/>
    </row>
    <row r="317" spans="1:107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1"/>
      <c r="M317" s="10"/>
      <c r="N317" s="56"/>
      <c r="O317" s="56"/>
      <c r="P317" s="10"/>
      <c r="Q317" s="158"/>
      <c r="R317" s="174"/>
      <c r="S317" s="164"/>
      <c r="T317" s="56"/>
      <c r="U317" s="56"/>
      <c r="V317" s="56"/>
      <c r="W317" s="158"/>
      <c r="X317" s="174"/>
      <c r="Y317" s="168"/>
      <c r="Z317" s="10"/>
      <c r="AA317" s="56"/>
      <c r="AB317" s="56"/>
      <c r="AC317" s="56"/>
      <c r="AD317" s="56"/>
      <c r="AE317" s="56"/>
      <c r="AF317" s="170"/>
      <c r="AG317" s="56"/>
      <c r="AH317" s="56"/>
      <c r="AI317" s="168"/>
      <c r="AJ317" s="56"/>
      <c r="AK317" s="56"/>
      <c r="AL317" s="56"/>
      <c r="AM317" s="56"/>
      <c r="AN317" s="56"/>
      <c r="AO317" s="56"/>
      <c r="AP317" s="56"/>
      <c r="AQ317" s="56"/>
      <c r="AR317" s="168"/>
      <c r="AS317" s="56"/>
      <c r="AT317" s="56"/>
      <c r="AU317" s="56"/>
      <c r="AV317" s="56"/>
      <c r="AW317" s="56"/>
      <c r="AX317" s="56"/>
      <c r="AY317" s="56"/>
      <c r="AZ317" s="56"/>
      <c r="BA317" s="168"/>
      <c r="BB317" s="56"/>
      <c r="BC317" s="56"/>
      <c r="BD317" s="56"/>
      <c r="BE317" s="168"/>
      <c r="BF317" s="56"/>
      <c r="BG317" s="10"/>
      <c r="BH317" s="56"/>
      <c r="BI317" s="56"/>
      <c r="BJ317" s="56"/>
      <c r="BK317" s="56"/>
      <c r="BS317" s="144"/>
      <c r="CM317" s="144"/>
      <c r="DC317" s="144"/>
    </row>
    <row r="318" spans="1:107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1"/>
      <c r="M318" s="10"/>
      <c r="N318" s="56"/>
      <c r="O318" s="56"/>
      <c r="P318" s="10"/>
      <c r="Q318" s="158"/>
      <c r="R318" s="174"/>
      <c r="S318" s="164"/>
      <c r="T318" s="56"/>
      <c r="U318" s="56"/>
      <c r="V318" s="56"/>
      <c r="W318" s="158"/>
      <c r="X318" s="174"/>
      <c r="Y318" s="168"/>
      <c r="Z318" s="10"/>
      <c r="AA318" s="56"/>
      <c r="AB318" s="56"/>
      <c r="AC318" s="56"/>
      <c r="AD318" s="56"/>
      <c r="AE318" s="56"/>
      <c r="AF318" s="170"/>
      <c r="AG318" s="56"/>
      <c r="AH318" s="56"/>
      <c r="AI318" s="168"/>
      <c r="AJ318" s="56"/>
      <c r="AK318" s="56"/>
      <c r="AL318" s="56"/>
      <c r="AM318" s="56"/>
      <c r="AN318" s="56"/>
      <c r="AO318" s="56"/>
      <c r="AP318" s="56"/>
      <c r="AQ318" s="56"/>
      <c r="AR318" s="168"/>
      <c r="AS318" s="56"/>
      <c r="AT318" s="56"/>
      <c r="AU318" s="56"/>
      <c r="AV318" s="56"/>
      <c r="AW318" s="56"/>
      <c r="AX318" s="56"/>
      <c r="AY318" s="56"/>
      <c r="AZ318" s="56"/>
      <c r="BA318" s="168"/>
      <c r="BB318" s="56"/>
      <c r="BC318" s="56"/>
      <c r="BD318" s="56"/>
      <c r="BE318" s="168"/>
      <c r="BF318" s="56"/>
      <c r="BG318" s="10"/>
      <c r="BH318" s="56"/>
      <c r="BI318" s="56"/>
      <c r="BJ318" s="56"/>
      <c r="BK318" s="56"/>
      <c r="BS318" s="144"/>
      <c r="CM318" s="144"/>
      <c r="DC318" s="144"/>
    </row>
    <row r="319" spans="1:107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1"/>
      <c r="M319" s="10"/>
      <c r="N319" s="56"/>
      <c r="O319" s="56"/>
      <c r="P319" s="10"/>
      <c r="Q319" s="158"/>
      <c r="R319" s="174"/>
      <c r="S319" s="164"/>
      <c r="T319" s="56"/>
      <c r="U319" s="56"/>
      <c r="V319" s="56"/>
      <c r="W319" s="158"/>
      <c r="X319" s="174"/>
      <c r="Y319" s="168"/>
      <c r="Z319" s="10"/>
      <c r="AA319" s="56"/>
      <c r="AB319" s="56"/>
      <c r="AC319" s="56"/>
      <c r="AD319" s="56"/>
      <c r="AE319" s="56"/>
      <c r="AF319" s="170"/>
      <c r="AG319" s="56"/>
      <c r="AH319" s="56"/>
      <c r="AI319" s="168"/>
      <c r="AJ319" s="56"/>
      <c r="AK319" s="56"/>
      <c r="AL319" s="56"/>
      <c r="AM319" s="56"/>
      <c r="AN319" s="56"/>
      <c r="AO319" s="56"/>
      <c r="AP319" s="56"/>
      <c r="AQ319" s="56"/>
      <c r="AR319" s="168"/>
      <c r="AS319" s="56"/>
      <c r="AT319" s="56"/>
      <c r="AU319" s="56"/>
      <c r="AV319" s="56"/>
      <c r="AW319" s="56"/>
      <c r="AX319" s="56"/>
      <c r="AY319" s="56"/>
      <c r="AZ319" s="56"/>
      <c r="BA319" s="168"/>
      <c r="BB319" s="56"/>
      <c r="BC319" s="56"/>
      <c r="BD319" s="56"/>
      <c r="BE319" s="168"/>
      <c r="BF319" s="56"/>
      <c r="BG319" s="10"/>
      <c r="BH319" s="56"/>
      <c r="BI319" s="56"/>
      <c r="BJ319" s="56"/>
      <c r="BK319" s="56"/>
      <c r="BS319" s="144"/>
      <c r="CM319" s="144"/>
      <c r="DC319" s="144"/>
    </row>
    <row r="320" spans="1:107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1"/>
      <c r="M320" s="10"/>
      <c r="N320" s="56"/>
      <c r="O320" s="56"/>
      <c r="P320" s="10"/>
      <c r="Q320" s="158"/>
      <c r="R320" s="174"/>
      <c r="S320" s="164"/>
      <c r="T320" s="56"/>
      <c r="U320" s="56"/>
      <c r="V320" s="56"/>
      <c r="W320" s="158"/>
      <c r="X320" s="174"/>
      <c r="Y320" s="168"/>
      <c r="Z320" s="10"/>
      <c r="AA320" s="56"/>
      <c r="AB320" s="56"/>
      <c r="AC320" s="56"/>
      <c r="AD320" s="56"/>
      <c r="AE320" s="56"/>
      <c r="AF320" s="170"/>
      <c r="AG320" s="56"/>
      <c r="AH320" s="56"/>
      <c r="AI320" s="168"/>
      <c r="AJ320" s="56"/>
      <c r="AK320" s="56"/>
      <c r="AL320" s="56"/>
      <c r="AM320" s="56"/>
      <c r="AN320" s="56"/>
      <c r="AO320" s="56"/>
      <c r="AP320" s="56"/>
      <c r="AQ320" s="56"/>
      <c r="AR320" s="168"/>
      <c r="AS320" s="56"/>
      <c r="AT320" s="56"/>
      <c r="AU320" s="56"/>
      <c r="AV320" s="56"/>
      <c r="AW320" s="56"/>
      <c r="AX320" s="56"/>
      <c r="AY320" s="56"/>
      <c r="AZ320" s="56"/>
      <c r="BA320" s="168"/>
      <c r="BB320" s="56"/>
      <c r="BC320" s="56"/>
      <c r="BD320" s="56"/>
      <c r="BE320" s="168"/>
      <c r="BF320" s="56"/>
      <c r="BG320" s="10"/>
      <c r="BH320" s="56"/>
      <c r="BI320" s="56"/>
      <c r="BJ320" s="56"/>
      <c r="BK320" s="56"/>
      <c r="BS320" s="144"/>
      <c r="CM320" s="144"/>
      <c r="DC320" s="144"/>
    </row>
    <row r="321" spans="1:107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1"/>
      <c r="M321" s="10"/>
      <c r="N321" s="56"/>
      <c r="O321" s="56"/>
      <c r="P321" s="10"/>
      <c r="Q321" s="158"/>
      <c r="R321" s="174"/>
      <c r="S321" s="164"/>
      <c r="T321" s="56"/>
      <c r="U321" s="56"/>
      <c r="V321" s="56"/>
      <c r="W321" s="158"/>
      <c r="X321" s="174"/>
      <c r="Y321" s="168"/>
      <c r="Z321" s="10"/>
      <c r="AA321" s="56"/>
      <c r="AB321" s="56"/>
      <c r="AC321" s="56"/>
      <c r="AD321" s="56"/>
      <c r="AE321" s="56"/>
      <c r="AF321" s="170"/>
      <c r="AG321" s="56"/>
      <c r="AH321" s="56"/>
      <c r="AI321" s="168"/>
      <c r="AJ321" s="56"/>
      <c r="AK321" s="56"/>
      <c r="AL321" s="56"/>
      <c r="AM321" s="56"/>
      <c r="AN321" s="56"/>
      <c r="AO321" s="56"/>
      <c r="AP321" s="56"/>
      <c r="AQ321" s="56"/>
      <c r="AR321" s="168"/>
      <c r="AS321" s="56"/>
      <c r="AT321" s="56"/>
      <c r="AU321" s="56"/>
      <c r="AV321" s="56"/>
      <c r="AW321" s="56"/>
      <c r="AX321" s="56"/>
      <c r="AY321" s="56"/>
      <c r="AZ321" s="56"/>
      <c r="BA321" s="168"/>
      <c r="BB321" s="56"/>
      <c r="BC321" s="56"/>
      <c r="BD321" s="56"/>
      <c r="BE321" s="168"/>
      <c r="BF321" s="56"/>
      <c r="BG321" s="10"/>
      <c r="BH321" s="56"/>
      <c r="BI321" s="56"/>
      <c r="BJ321" s="56"/>
      <c r="BK321" s="56"/>
      <c r="BS321" s="144"/>
      <c r="CM321" s="144"/>
      <c r="DC321" s="144"/>
    </row>
    <row r="322" spans="1:107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1"/>
      <c r="M322" s="10"/>
      <c r="N322" s="56"/>
      <c r="O322" s="56"/>
      <c r="P322" s="10"/>
      <c r="Q322" s="158"/>
      <c r="R322" s="174"/>
      <c r="S322" s="164"/>
      <c r="T322" s="56"/>
      <c r="U322" s="56"/>
      <c r="V322" s="56"/>
      <c r="W322" s="158"/>
      <c r="X322" s="174"/>
      <c r="Y322" s="168"/>
      <c r="Z322" s="10"/>
      <c r="AA322" s="56"/>
      <c r="AB322" s="56"/>
      <c r="AC322" s="56"/>
      <c r="AD322" s="56"/>
      <c r="AE322" s="56"/>
      <c r="AF322" s="170"/>
      <c r="AG322" s="56"/>
      <c r="AH322" s="56"/>
      <c r="AI322" s="168"/>
      <c r="AJ322" s="56"/>
      <c r="AK322" s="56"/>
      <c r="AL322" s="56"/>
      <c r="AM322" s="56"/>
      <c r="AN322" s="56"/>
      <c r="AO322" s="56"/>
      <c r="AP322" s="56"/>
      <c r="AQ322" s="56"/>
      <c r="AR322" s="168"/>
      <c r="AS322" s="56"/>
      <c r="AT322" s="56"/>
      <c r="AU322" s="56"/>
      <c r="AV322" s="56"/>
      <c r="AW322" s="56"/>
      <c r="AX322" s="56"/>
      <c r="AY322" s="56"/>
      <c r="AZ322" s="56"/>
      <c r="BA322" s="168"/>
      <c r="BB322" s="56"/>
      <c r="BC322" s="56"/>
      <c r="BD322" s="56"/>
      <c r="BE322" s="168"/>
      <c r="BF322" s="56"/>
      <c r="BG322" s="10"/>
      <c r="BH322" s="56"/>
      <c r="BI322" s="56"/>
      <c r="BJ322" s="56"/>
      <c r="BK322" s="56"/>
      <c r="BS322" s="144"/>
      <c r="CM322" s="144"/>
      <c r="DC322" s="144"/>
    </row>
    <row r="323" spans="1:107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1"/>
      <c r="M323" s="10"/>
      <c r="N323" s="56"/>
      <c r="O323" s="56"/>
      <c r="P323" s="10"/>
      <c r="Q323" s="158"/>
      <c r="R323" s="174"/>
      <c r="S323" s="164"/>
      <c r="T323" s="56"/>
      <c r="U323" s="56"/>
      <c r="V323" s="56"/>
      <c r="W323" s="158"/>
      <c r="X323" s="174"/>
      <c r="Y323" s="168"/>
      <c r="Z323" s="10"/>
      <c r="AA323" s="56"/>
      <c r="AB323" s="56"/>
      <c r="AC323" s="56"/>
      <c r="AD323" s="56"/>
      <c r="AE323" s="56"/>
      <c r="AF323" s="170"/>
      <c r="AG323" s="56"/>
      <c r="AH323" s="56"/>
      <c r="AI323" s="168"/>
      <c r="AJ323" s="56"/>
      <c r="AK323" s="56"/>
      <c r="AL323" s="56"/>
      <c r="AM323" s="56"/>
      <c r="AN323" s="56"/>
      <c r="AO323" s="56"/>
      <c r="AP323" s="56"/>
      <c r="AQ323" s="56"/>
      <c r="AR323" s="168"/>
      <c r="AS323" s="56"/>
      <c r="AT323" s="56"/>
      <c r="AU323" s="56"/>
      <c r="AV323" s="56"/>
      <c r="AW323" s="56"/>
      <c r="AX323" s="56"/>
      <c r="AY323" s="56"/>
      <c r="AZ323" s="56"/>
      <c r="BA323" s="168"/>
      <c r="BB323" s="56"/>
      <c r="BC323" s="56"/>
      <c r="BD323" s="56"/>
      <c r="BE323" s="168"/>
      <c r="BF323" s="56"/>
      <c r="BG323" s="10"/>
      <c r="BH323" s="56"/>
      <c r="BI323" s="56"/>
      <c r="BJ323" s="56"/>
      <c r="BK323" s="56"/>
      <c r="BS323" s="144"/>
      <c r="CM323" s="144"/>
      <c r="DC323" s="144"/>
    </row>
    <row r="324" spans="1:107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1"/>
      <c r="M324" s="10"/>
      <c r="N324" s="56"/>
      <c r="O324" s="56"/>
      <c r="P324" s="10"/>
      <c r="Q324" s="158"/>
      <c r="R324" s="174"/>
      <c r="S324" s="164"/>
      <c r="T324" s="56"/>
      <c r="U324" s="56"/>
      <c r="V324" s="56"/>
      <c r="W324" s="158"/>
      <c r="X324" s="174"/>
      <c r="Y324" s="168"/>
      <c r="Z324" s="10"/>
      <c r="AA324" s="56"/>
      <c r="AB324" s="56"/>
      <c r="AC324" s="56"/>
      <c r="AD324" s="56"/>
      <c r="AE324" s="56"/>
      <c r="AF324" s="170"/>
      <c r="AG324" s="56"/>
      <c r="AH324" s="56"/>
      <c r="AI324" s="168"/>
      <c r="AJ324" s="56"/>
      <c r="AK324" s="56"/>
      <c r="AL324" s="56"/>
      <c r="AM324" s="56"/>
      <c r="AN324" s="56"/>
      <c r="AO324" s="56"/>
      <c r="AP324" s="56"/>
      <c r="AQ324" s="56"/>
      <c r="AR324" s="168"/>
      <c r="AS324" s="56"/>
      <c r="AT324" s="56"/>
      <c r="AU324" s="56"/>
      <c r="AV324" s="56"/>
      <c r="AW324" s="56"/>
      <c r="AX324" s="56"/>
      <c r="AY324" s="56"/>
      <c r="AZ324" s="56"/>
      <c r="BA324" s="168"/>
      <c r="BB324" s="56"/>
      <c r="BC324" s="56"/>
      <c r="BD324" s="56"/>
      <c r="BE324" s="168"/>
      <c r="BF324" s="56"/>
      <c r="BG324" s="10"/>
      <c r="BH324" s="56"/>
      <c r="BI324" s="56"/>
      <c r="BJ324" s="56"/>
      <c r="BK324" s="56"/>
      <c r="BS324" s="144"/>
      <c r="CM324" s="144"/>
      <c r="DC324" s="144"/>
    </row>
    <row r="325" spans="1:107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1"/>
      <c r="M325" s="10"/>
      <c r="N325" s="56"/>
      <c r="O325" s="56"/>
      <c r="P325" s="10"/>
      <c r="Q325" s="158"/>
      <c r="R325" s="174"/>
      <c r="S325" s="164"/>
      <c r="T325" s="56"/>
      <c r="U325" s="56"/>
      <c r="V325" s="56"/>
      <c r="W325" s="158"/>
      <c r="X325" s="174"/>
      <c r="Y325" s="168"/>
      <c r="Z325" s="10"/>
      <c r="AA325" s="56"/>
      <c r="AB325" s="56"/>
      <c r="AC325" s="56"/>
      <c r="AD325" s="56"/>
      <c r="AE325" s="56"/>
      <c r="AF325" s="170"/>
      <c r="AG325" s="56"/>
      <c r="AH325" s="56"/>
      <c r="AI325" s="168"/>
      <c r="AJ325" s="56"/>
      <c r="AK325" s="56"/>
      <c r="AL325" s="56"/>
      <c r="AM325" s="56"/>
      <c r="AN325" s="56"/>
      <c r="AO325" s="56"/>
      <c r="AP325" s="56"/>
      <c r="AQ325" s="56"/>
      <c r="AR325" s="168"/>
      <c r="AS325" s="56"/>
      <c r="AT325" s="56"/>
      <c r="AU325" s="56"/>
      <c r="AV325" s="56"/>
      <c r="AW325" s="56"/>
      <c r="AX325" s="56"/>
      <c r="AY325" s="56"/>
      <c r="AZ325" s="56"/>
      <c r="BA325" s="168"/>
      <c r="BB325" s="56"/>
      <c r="BC325" s="56"/>
      <c r="BD325" s="56"/>
      <c r="BE325" s="168"/>
      <c r="BF325" s="56"/>
      <c r="BG325" s="10"/>
      <c r="BH325" s="56"/>
      <c r="BI325" s="56"/>
      <c r="BJ325" s="56"/>
      <c r="BK325" s="56"/>
      <c r="BS325" s="144"/>
      <c r="CM325" s="144"/>
      <c r="DC325" s="144"/>
    </row>
    <row r="326" spans="1:107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1"/>
      <c r="M326" s="10"/>
      <c r="N326" s="56"/>
      <c r="O326" s="56"/>
      <c r="P326" s="10"/>
      <c r="Q326" s="158"/>
      <c r="R326" s="174"/>
      <c r="S326" s="164"/>
      <c r="T326" s="56"/>
      <c r="U326" s="56"/>
      <c r="V326" s="56"/>
      <c r="W326" s="158"/>
      <c r="X326" s="174"/>
      <c r="Y326" s="168"/>
      <c r="Z326" s="10"/>
      <c r="AA326" s="56"/>
      <c r="AB326" s="56"/>
      <c r="AC326" s="56"/>
      <c r="AD326" s="56"/>
      <c r="AE326" s="56"/>
      <c r="AF326" s="170"/>
      <c r="AG326" s="56"/>
      <c r="AH326" s="56"/>
      <c r="AI326" s="168"/>
      <c r="AJ326" s="56"/>
      <c r="AK326" s="56"/>
      <c r="AL326" s="56"/>
      <c r="AM326" s="56"/>
      <c r="AN326" s="56"/>
      <c r="AO326" s="56"/>
      <c r="AP326" s="56"/>
      <c r="AQ326" s="56"/>
      <c r="AR326" s="168"/>
      <c r="AS326" s="56"/>
      <c r="AT326" s="56"/>
      <c r="AU326" s="56"/>
      <c r="AV326" s="56"/>
      <c r="AW326" s="56"/>
      <c r="AX326" s="56"/>
      <c r="AY326" s="56"/>
      <c r="AZ326" s="56"/>
      <c r="BA326" s="168"/>
      <c r="BB326" s="56"/>
      <c r="BC326" s="56"/>
      <c r="BD326" s="56"/>
      <c r="BE326" s="168"/>
      <c r="BF326" s="56"/>
      <c r="BG326" s="10"/>
      <c r="BH326" s="56"/>
      <c r="BI326" s="56"/>
      <c r="BJ326" s="56"/>
      <c r="BK326" s="56"/>
      <c r="BS326" s="144"/>
      <c r="CM326" s="144"/>
      <c r="DC326" s="144"/>
    </row>
    <row r="327" spans="1:107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1"/>
      <c r="M327" s="10"/>
      <c r="N327" s="56"/>
      <c r="O327" s="56"/>
      <c r="P327" s="10"/>
      <c r="Q327" s="158"/>
      <c r="R327" s="174"/>
      <c r="S327" s="164"/>
      <c r="T327" s="56"/>
      <c r="U327" s="56"/>
      <c r="V327" s="56"/>
      <c r="W327" s="158"/>
      <c r="X327" s="174"/>
      <c r="Y327" s="168"/>
      <c r="Z327" s="10"/>
      <c r="AA327" s="56"/>
      <c r="AB327" s="56"/>
      <c r="AC327" s="56"/>
      <c r="AD327" s="56"/>
      <c r="AE327" s="56"/>
      <c r="AF327" s="170"/>
      <c r="AG327" s="56"/>
      <c r="AH327" s="56"/>
      <c r="AI327" s="168"/>
      <c r="AJ327" s="56"/>
      <c r="AK327" s="56"/>
      <c r="AL327" s="56"/>
      <c r="AM327" s="56"/>
      <c r="AN327" s="56"/>
      <c r="AO327" s="56"/>
      <c r="AP327" s="56"/>
      <c r="AQ327" s="56"/>
      <c r="AR327" s="168"/>
      <c r="AS327" s="56"/>
      <c r="AT327" s="56"/>
      <c r="AU327" s="56"/>
      <c r="AV327" s="56"/>
      <c r="AW327" s="56"/>
      <c r="AX327" s="56"/>
      <c r="AY327" s="56"/>
      <c r="AZ327" s="56"/>
      <c r="BA327" s="168"/>
      <c r="BB327" s="56"/>
      <c r="BC327" s="56"/>
      <c r="BD327" s="56"/>
      <c r="BE327" s="168"/>
      <c r="BF327" s="56"/>
      <c r="BG327" s="10"/>
      <c r="BH327" s="56"/>
      <c r="BI327" s="56"/>
      <c r="BJ327" s="56"/>
      <c r="BK327" s="56"/>
      <c r="BS327" s="144"/>
      <c r="CM327" s="144"/>
      <c r="DC327" s="144"/>
    </row>
    <row r="328" spans="1:107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1"/>
      <c r="M328" s="10"/>
      <c r="N328" s="56"/>
      <c r="O328" s="56"/>
      <c r="P328" s="10"/>
      <c r="Q328" s="158"/>
      <c r="R328" s="174"/>
      <c r="S328" s="164"/>
      <c r="T328" s="56"/>
      <c r="U328" s="56"/>
      <c r="V328" s="56"/>
      <c r="W328" s="158"/>
      <c r="X328" s="174"/>
      <c r="Y328" s="168"/>
      <c r="Z328" s="10"/>
      <c r="AA328" s="56"/>
      <c r="AB328" s="56"/>
      <c r="AC328" s="56"/>
      <c r="AD328" s="56"/>
      <c r="AE328" s="56"/>
      <c r="AF328" s="170"/>
      <c r="AG328" s="56"/>
      <c r="AH328" s="56"/>
      <c r="AI328" s="168"/>
      <c r="AJ328" s="56"/>
      <c r="AK328" s="56"/>
      <c r="AL328" s="56"/>
      <c r="AM328" s="56"/>
      <c r="AN328" s="56"/>
      <c r="AO328" s="56"/>
      <c r="AP328" s="56"/>
      <c r="AQ328" s="56"/>
      <c r="AR328" s="168"/>
      <c r="AS328" s="56"/>
      <c r="AT328" s="56"/>
      <c r="AU328" s="56"/>
      <c r="AV328" s="56"/>
      <c r="AW328" s="56"/>
      <c r="AX328" s="56"/>
      <c r="AY328" s="56"/>
      <c r="AZ328" s="56"/>
      <c r="BA328" s="168"/>
      <c r="BB328" s="56"/>
      <c r="BC328" s="56"/>
      <c r="BD328" s="56"/>
      <c r="BE328" s="168"/>
      <c r="BF328" s="56"/>
      <c r="BG328" s="10"/>
      <c r="BH328" s="56"/>
      <c r="BI328" s="56"/>
      <c r="BJ328" s="56"/>
      <c r="BK328" s="56"/>
      <c r="BS328" s="144"/>
      <c r="CM328" s="144"/>
      <c r="DC328" s="144"/>
    </row>
    <row r="329" spans="1:107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1"/>
      <c r="M329" s="10"/>
      <c r="N329" s="56"/>
      <c r="O329" s="56"/>
      <c r="P329" s="10"/>
      <c r="Q329" s="158"/>
      <c r="R329" s="174"/>
      <c r="S329" s="164"/>
      <c r="T329" s="56"/>
      <c r="U329" s="56"/>
      <c r="V329" s="56"/>
      <c r="W329" s="158"/>
      <c r="X329" s="174"/>
      <c r="Y329" s="168"/>
      <c r="Z329" s="10"/>
      <c r="AA329" s="56"/>
      <c r="AB329" s="56"/>
      <c r="AC329" s="56"/>
      <c r="AD329" s="56"/>
      <c r="AE329" s="56"/>
      <c r="AF329" s="170"/>
      <c r="AG329" s="56"/>
      <c r="AH329" s="56"/>
      <c r="AI329" s="168"/>
      <c r="AJ329" s="56"/>
      <c r="AK329" s="56"/>
      <c r="AL329" s="56"/>
      <c r="AM329" s="56"/>
      <c r="AN329" s="56"/>
      <c r="AO329" s="56"/>
      <c r="AP329" s="56"/>
      <c r="AQ329" s="56"/>
      <c r="AR329" s="168"/>
      <c r="AS329" s="56"/>
      <c r="AT329" s="56"/>
      <c r="AU329" s="56"/>
      <c r="AV329" s="56"/>
      <c r="AW329" s="56"/>
      <c r="AX329" s="56"/>
      <c r="AY329" s="56"/>
      <c r="AZ329" s="56"/>
      <c r="BA329" s="168"/>
      <c r="BB329" s="56"/>
      <c r="BC329" s="56"/>
      <c r="BD329" s="56"/>
      <c r="BE329" s="168"/>
      <c r="BF329" s="56"/>
      <c r="BG329" s="10"/>
      <c r="BH329" s="56"/>
      <c r="BI329" s="56"/>
      <c r="BJ329" s="56"/>
      <c r="BK329" s="56"/>
      <c r="BS329" s="144"/>
      <c r="CM329" s="144"/>
      <c r="DC329" s="144"/>
    </row>
    <row r="330" spans="1:107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1"/>
      <c r="M330" s="10"/>
      <c r="N330" s="56"/>
      <c r="O330" s="56"/>
      <c r="P330" s="10"/>
      <c r="Q330" s="158"/>
      <c r="R330" s="174"/>
      <c r="S330" s="164"/>
      <c r="T330" s="56"/>
      <c r="U330" s="56"/>
      <c r="V330" s="56"/>
      <c r="W330" s="158"/>
      <c r="X330" s="174"/>
      <c r="Y330" s="168"/>
      <c r="Z330" s="10"/>
      <c r="AA330" s="56"/>
      <c r="AB330" s="56"/>
      <c r="AC330" s="56"/>
      <c r="AD330" s="56"/>
      <c r="AE330" s="56"/>
      <c r="AF330" s="170"/>
      <c r="AG330" s="56"/>
      <c r="AH330" s="56"/>
      <c r="AI330" s="168"/>
      <c r="AJ330" s="56"/>
      <c r="AK330" s="56"/>
      <c r="AL330" s="56"/>
      <c r="AM330" s="56"/>
      <c r="AN330" s="56"/>
      <c r="AO330" s="56"/>
      <c r="AP330" s="56"/>
      <c r="AQ330" s="56"/>
      <c r="AR330" s="168"/>
      <c r="AS330" s="56"/>
      <c r="AT330" s="56"/>
      <c r="AU330" s="56"/>
      <c r="AV330" s="56"/>
      <c r="AW330" s="56"/>
      <c r="AX330" s="56"/>
      <c r="AY330" s="56"/>
      <c r="AZ330" s="56"/>
      <c r="BA330" s="168"/>
      <c r="BB330" s="56"/>
      <c r="BC330" s="56"/>
      <c r="BD330" s="56"/>
      <c r="BE330" s="168"/>
      <c r="BF330" s="56"/>
      <c r="BG330" s="10"/>
      <c r="BH330" s="56"/>
      <c r="BI330" s="56"/>
      <c r="BJ330" s="56"/>
      <c r="BK330" s="56"/>
      <c r="BS330" s="144"/>
      <c r="CM330" s="144"/>
      <c r="DC330" s="144"/>
    </row>
    <row r="331" spans="1:107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1"/>
      <c r="M331" s="10"/>
      <c r="N331" s="56"/>
      <c r="O331" s="56"/>
      <c r="P331" s="10"/>
      <c r="Q331" s="158"/>
      <c r="R331" s="174"/>
      <c r="S331" s="164"/>
      <c r="T331" s="56"/>
      <c r="U331" s="56"/>
      <c r="V331" s="56"/>
      <c r="W331" s="158"/>
      <c r="X331" s="174"/>
      <c r="Y331" s="168"/>
      <c r="Z331" s="10"/>
      <c r="AA331" s="56"/>
      <c r="AB331" s="56"/>
      <c r="AC331" s="56"/>
      <c r="AD331" s="56"/>
      <c r="AE331" s="56"/>
      <c r="AF331" s="170"/>
      <c r="AG331" s="56"/>
      <c r="AH331" s="56"/>
      <c r="AI331" s="168"/>
      <c r="AJ331" s="56"/>
      <c r="AK331" s="56"/>
      <c r="AL331" s="56"/>
      <c r="AM331" s="56"/>
      <c r="AN331" s="56"/>
      <c r="AO331" s="56"/>
      <c r="AP331" s="56"/>
      <c r="AQ331" s="56"/>
      <c r="AR331" s="168"/>
      <c r="AS331" s="56"/>
      <c r="AT331" s="56"/>
      <c r="AU331" s="56"/>
      <c r="AV331" s="56"/>
      <c r="AW331" s="56"/>
      <c r="AX331" s="56"/>
      <c r="AY331" s="56"/>
      <c r="AZ331" s="56"/>
      <c r="BA331" s="168"/>
      <c r="BB331" s="56"/>
      <c r="BC331" s="56"/>
      <c r="BD331" s="56"/>
      <c r="BE331" s="168"/>
      <c r="BF331" s="56"/>
      <c r="BG331" s="10"/>
      <c r="BH331" s="56"/>
      <c r="BI331" s="56"/>
      <c r="BJ331" s="56"/>
      <c r="BK331" s="56"/>
      <c r="BS331" s="144"/>
      <c r="CM331" s="144"/>
      <c r="DC331" s="144"/>
    </row>
    <row r="332" spans="1:107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1"/>
      <c r="M332" s="10"/>
      <c r="N332" s="56"/>
      <c r="O332" s="56"/>
      <c r="P332" s="10"/>
      <c r="Q332" s="158"/>
      <c r="R332" s="174"/>
      <c r="S332" s="164"/>
      <c r="T332" s="56"/>
      <c r="U332" s="56"/>
      <c r="V332" s="56"/>
      <c r="W332" s="158"/>
      <c r="X332" s="174"/>
      <c r="Y332" s="168"/>
      <c r="Z332" s="10"/>
      <c r="AA332" s="56"/>
      <c r="AB332" s="56"/>
      <c r="AC332" s="56"/>
      <c r="AD332" s="56"/>
      <c r="AE332" s="56"/>
      <c r="AF332" s="170"/>
      <c r="AG332" s="56"/>
      <c r="AH332" s="56"/>
      <c r="AI332" s="168"/>
      <c r="AJ332" s="56"/>
      <c r="AK332" s="56"/>
      <c r="AL332" s="56"/>
      <c r="AM332" s="56"/>
      <c r="AN332" s="56"/>
      <c r="AO332" s="56"/>
      <c r="AP332" s="56"/>
      <c r="AQ332" s="56"/>
      <c r="AR332" s="168"/>
      <c r="AS332" s="56"/>
      <c r="AT332" s="56"/>
      <c r="AU332" s="56"/>
      <c r="AV332" s="56"/>
      <c r="AW332" s="56"/>
      <c r="AX332" s="56"/>
      <c r="AY332" s="56"/>
      <c r="AZ332" s="56"/>
      <c r="BA332" s="168"/>
      <c r="BB332" s="56"/>
      <c r="BC332" s="56"/>
      <c r="BD332" s="56"/>
      <c r="BE332" s="168"/>
      <c r="BF332" s="56"/>
      <c r="BG332" s="10"/>
      <c r="BH332" s="56"/>
      <c r="BI332" s="56"/>
      <c r="BJ332" s="56"/>
      <c r="BK332" s="56"/>
      <c r="BS332" s="144"/>
      <c r="CM332" s="144"/>
      <c r="DC332" s="144"/>
    </row>
    <row r="333" spans="1:107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1"/>
      <c r="M333" s="10"/>
      <c r="N333" s="56"/>
      <c r="O333" s="56"/>
      <c r="P333" s="10"/>
      <c r="Q333" s="158"/>
      <c r="R333" s="174"/>
      <c r="S333" s="164"/>
      <c r="T333" s="56"/>
      <c r="U333" s="56"/>
      <c r="V333" s="56"/>
      <c r="W333" s="158"/>
      <c r="X333" s="174"/>
      <c r="Y333" s="168"/>
      <c r="Z333" s="10"/>
      <c r="AA333" s="56"/>
      <c r="AB333" s="56"/>
      <c r="AC333" s="56"/>
      <c r="AD333" s="56"/>
      <c r="AE333" s="56"/>
      <c r="AF333" s="170"/>
      <c r="AG333" s="56"/>
      <c r="AH333" s="56"/>
      <c r="AI333" s="168"/>
      <c r="AJ333" s="56"/>
      <c r="AK333" s="56"/>
      <c r="AL333" s="56"/>
      <c r="AM333" s="56"/>
      <c r="AN333" s="56"/>
      <c r="AO333" s="56"/>
      <c r="AP333" s="56"/>
      <c r="AQ333" s="56"/>
      <c r="AR333" s="168"/>
      <c r="AS333" s="56"/>
      <c r="AT333" s="56"/>
      <c r="AU333" s="56"/>
      <c r="AV333" s="56"/>
      <c r="AW333" s="56"/>
      <c r="AX333" s="56"/>
      <c r="AY333" s="56"/>
      <c r="AZ333" s="56"/>
      <c r="BA333" s="168"/>
      <c r="BB333" s="56"/>
      <c r="BC333" s="56"/>
      <c r="BD333" s="56"/>
      <c r="BE333" s="168"/>
      <c r="BF333" s="56"/>
      <c r="BG333" s="10"/>
      <c r="BH333" s="56"/>
      <c r="BI333" s="56"/>
      <c r="BJ333" s="56"/>
      <c r="BK333" s="56"/>
      <c r="BS333" s="144"/>
      <c r="CM333" s="144"/>
      <c r="DC333" s="144"/>
    </row>
    <row r="334" spans="1:107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1"/>
      <c r="M334" s="10"/>
      <c r="N334" s="56"/>
      <c r="O334" s="56"/>
      <c r="P334" s="10"/>
      <c r="Q334" s="158"/>
      <c r="R334" s="174"/>
      <c r="S334" s="164"/>
      <c r="T334" s="56"/>
      <c r="U334" s="56"/>
      <c r="V334" s="56"/>
      <c r="W334" s="158"/>
      <c r="X334" s="174"/>
      <c r="Y334" s="168"/>
      <c r="Z334" s="10"/>
      <c r="AA334" s="56"/>
      <c r="AB334" s="56"/>
      <c r="AC334" s="56"/>
      <c r="AD334" s="56"/>
      <c r="AE334" s="56"/>
      <c r="AF334" s="170"/>
      <c r="AG334" s="56"/>
      <c r="AH334" s="56"/>
      <c r="AI334" s="168"/>
      <c r="AJ334" s="56"/>
      <c r="AK334" s="56"/>
      <c r="AL334" s="56"/>
      <c r="AM334" s="56"/>
      <c r="AN334" s="56"/>
      <c r="AO334" s="56"/>
      <c r="AP334" s="56"/>
      <c r="AQ334" s="56"/>
      <c r="AR334" s="168"/>
      <c r="AS334" s="56"/>
      <c r="AT334" s="56"/>
      <c r="AU334" s="56"/>
      <c r="AV334" s="56"/>
      <c r="AW334" s="56"/>
      <c r="AX334" s="56"/>
      <c r="AY334" s="56"/>
      <c r="AZ334" s="56"/>
      <c r="BA334" s="168"/>
      <c r="BB334" s="56"/>
      <c r="BC334" s="56"/>
      <c r="BD334" s="56"/>
      <c r="BE334" s="168"/>
      <c r="BF334" s="56"/>
      <c r="BG334" s="10"/>
      <c r="BH334" s="56"/>
      <c r="BI334" s="56"/>
      <c r="BJ334" s="56"/>
      <c r="BK334" s="56"/>
      <c r="BS334" s="144"/>
      <c r="CM334" s="144"/>
      <c r="DC334" s="144"/>
    </row>
    <row r="335" spans="1:107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1"/>
      <c r="M335" s="10"/>
      <c r="N335" s="56"/>
      <c r="O335" s="56"/>
      <c r="P335" s="10"/>
      <c r="Q335" s="158"/>
      <c r="R335" s="174"/>
      <c r="S335" s="164"/>
      <c r="T335" s="56"/>
      <c r="U335" s="56"/>
      <c r="V335" s="56"/>
      <c r="W335" s="158"/>
      <c r="X335" s="174"/>
      <c r="Y335" s="168"/>
      <c r="Z335" s="10"/>
      <c r="AA335" s="56"/>
      <c r="AB335" s="56"/>
      <c r="AC335" s="56"/>
      <c r="AD335" s="56"/>
      <c r="AE335" s="56"/>
      <c r="AF335" s="170"/>
      <c r="AG335" s="56"/>
      <c r="AH335" s="56"/>
      <c r="AI335" s="168"/>
      <c r="AJ335" s="56"/>
      <c r="AK335" s="56"/>
      <c r="AL335" s="56"/>
      <c r="AM335" s="56"/>
      <c r="AN335" s="56"/>
      <c r="AO335" s="56"/>
      <c r="AP335" s="56"/>
      <c r="AQ335" s="56"/>
      <c r="AR335" s="168"/>
      <c r="AS335" s="56"/>
      <c r="AT335" s="56"/>
      <c r="AU335" s="56"/>
      <c r="AV335" s="56"/>
      <c r="AW335" s="56"/>
      <c r="AX335" s="56"/>
      <c r="AY335" s="56"/>
      <c r="AZ335" s="56"/>
      <c r="BA335" s="168"/>
      <c r="BB335" s="56"/>
      <c r="BC335" s="56"/>
      <c r="BD335" s="56"/>
      <c r="BE335" s="168"/>
      <c r="BF335" s="56"/>
      <c r="BG335" s="10"/>
      <c r="BH335" s="56"/>
      <c r="BI335" s="56"/>
      <c r="BJ335" s="56"/>
      <c r="BK335" s="56"/>
      <c r="BS335" s="144"/>
      <c r="CM335" s="144"/>
      <c r="DC335" s="144"/>
    </row>
    <row r="336" spans="1:107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1"/>
      <c r="M336" s="10"/>
      <c r="N336" s="56"/>
      <c r="O336" s="56"/>
      <c r="P336" s="10"/>
      <c r="Q336" s="158"/>
      <c r="R336" s="174"/>
      <c r="S336" s="164"/>
      <c r="T336" s="56"/>
      <c r="U336" s="56"/>
      <c r="V336" s="56"/>
      <c r="W336" s="158"/>
      <c r="X336" s="174"/>
      <c r="Y336" s="168"/>
      <c r="Z336" s="10"/>
      <c r="AA336" s="56"/>
      <c r="AB336" s="56"/>
      <c r="AC336" s="56"/>
      <c r="AD336" s="56"/>
      <c r="AE336" s="56"/>
      <c r="AF336" s="170"/>
      <c r="AG336" s="56"/>
      <c r="AH336" s="56"/>
      <c r="AI336" s="168"/>
      <c r="AJ336" s="56"/>
      <c r="AK336" s="56"/>
      <c r="AL336" s="56"/>
      <c r="AM336" s="56"/>
      <c r="AN336" s="56"/>
      <c r="AO336" s="56"/>
      <c r="AP336" s="56"/>
      <c r="AQ336" s="56"/>
      <c r="AR336" s="168"/>
      <c r="AS336" s="56"/>
      <c r="AT336" s="56"/>
      <c r="AU336" s="56"/>
      <c r="AV336" s="56"/>
      <c r="AW336" s="56"/>
      <c r="AX336" s="56"/>
      <c r="AY336" s="56"/>
      <c r="AZ336" s="56"/>
      <c r="BA336" s="168"/>
      <c r="BB336" s="56"/>
      <c r="BC336" s="56"/>
      <c r="BD336" s="56"/>
      <c r="BE336" s="168"/>
      <c r="BF336" s="56"/>
      <c r="BG336" s="10"/>
      <c r="BH336" s="56"/>
      <c r="BI336" s="56"/>
      <c r="BJ336" s="56"/>
      <c r="BK336" s="56"/>
      <c r="BS336" s="144"/>
      <c r="CM336" s="144"/>
      <c r="DC336" s="144"/>
    </row>
    <row r="337" spans="1:107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1"/>
      <c r="M337" s="10"/>
      <c r="N337" s="56"/>
      <c r="O337" s="56"/>
      <c r="P337" s="10"/>
      <c r="Q337" s="158"/>
      <c r="R337" s="174"/>
      <c r="S337" s="164"/>
      <c r="T337" s="56"/>
      <c r="U337" s="56"/>
      <c r="V337" s="56"/>
      <c r="W337" s="158"/>
      <c r="X337" s="174"/>
      <c r="Y337" s="168"/>
      <c r="Z337" s="10"/>
      <c r="AA337" s="56"/>
      <c r="AB337" s="56"/>
      <c r="AC337" s="56"/>
      <c r="AD337" s="56"/>
      <c r="AE337" s="56"/>
      <c r="AF337" s="170"/>
      <c r="AG337" s="56"/>
      <c r="AH337" s="56"/>
      <c r="AI337" s="168"/>
      <c r="AJ337" s="56"/>
      <c r="AK337" s="56"/>
      <c r="AL337" s="56"/>
      <c r="AM337" s="56"/>
      <c r="AN337" s="56"/>
      <c r="AO337" s="56"/>
      <c r="AP337" s="56"/>
      <c r="AQ337" s="56"/>
      <c r="AR337" s="168"/>
      <c r="AS337" s="56"/>
      <c r="AT337" s="56"/>
      <c r="AU337" s="56"/>
      <c r="AV337" s="56"/>
      <c r="AW337" s="56"/>
      <c r="AX337" s="56"/>
      <c r="AY337" s="56"/>
      <c r="AZ337" s="56"/>
      <c r="BA337" s="168"/>
      <c r="BB337" s="56"/>
      <c r="BC337" s="56"/>
      <c r="BD337" s="56"/>
      <c r="BE337" s="168"/>
      <c r="BF337" s="56"/>
      <c r="BG337" s="10"/>
      <c r="BH337" s="56"/>
      <c r="BI337" s="56"/>
      <c r="BJ337" s="56"/>
      <c r="BK337" s="56"/>
      <c r="BS337" s="144"/>
      <c r="CM337" s="144"/>
      <c r="DC337" s="144"/>
    </row>
    <row r="338" spans="1:107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1"/>
      <c r="M338" s="10"/>
      <c r="N338" s="56"/>
      <c r="O338" s="56"/>
      <c r="P338" s="10"/>
      <c r="Q338" s="158"/>
      <c r="R338" s="174"/>
      <c r="S338" s="164"/>
      <c r="T338" s="56"/>
      <c r="U338" s="56"/>
      <c r="V338" s="56"/>
      <c r="W338" s="158"/>
      <c r="X338" s="174"/>
      <c r="Y338" s="168"/>
      <c r="Z338" s="10"/>
      <c r="AA338" s="56"/>
      <c r="AB338" s="56"/>
      <c r="AC338" s="56"/>
      <c r="AD338" s="56"/>
      <c r="AE338" s="56"/>
      <c r="AF338" s="170"/>
      <c r="AG338" s="56"/>
      <c r="AH338" s="56"/>
      <c r="AI338" s="168"/>
      <c r="AJ338" s="56"/>
      <c r="AK338" s="56"/>
      <c r="AL338" s="56"/>
      <c r="AM338" s="56"/>
      <c r="AN338" s="56"/>
      <c r="AO338" s="56"/>
      <c r="AP338" s="56"/>
      <c r="AQ338" s="56"/>
      <c r="AR338" s="168"/>
      <c r="AS338" s="56"/>
      <c r="AT338" s="56"/>
      <c r="AU338" s="56"/>
      <c r="AV338" s="56"/>
      <c r="AW338" s="56"/>
      <c r="AX338" s="56"/>
      <c r="AY338" s="56"/>
      <c r="AZ338" s="56"/>
      <c r="BA338" s="168"/>
      <c r="BB338" s="56"/>
      <c r="BC338" s="56"/>
      <c r="BD338" s="56"/>
      <c r="BE338" s="168"/>
      <c r="BF338" s="56"/>
      <c r="BG338" s="10"/>
      <c r="BH338" s="56"/>
      <c r="BI338" s="56"/>
      <c r="BJ338" s="56"/>
      <c r="BK338" s="56"/>
      <c r="BS338" s="144"/>
      <c r="CM338" s="144"/>
      <c r="DC338" s="144"/>
    </row>
    <row r="339" spans="1:107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1"/>
      <c r="M339" s="10"/>
      <c r="N339" s="56"/>
      <c r="O339" s="56"/>
      <c r="P339" s="10"/>
      <c r="Q339" s="158"/>
      <c r="R339" s="174"/>
      <c r="S339" s="164"/>
      <c r="T339" s="56"/>
      <c r="U339" s="56"/>
      <c r="V339" s="56"/>
      <c r="W339" s="158"/>
      <c r="X339" s="174"/>
      <c r="Y339" s="168"/>
      <c r="Z339" s="10"/>
      <c r="AA339" s="56"/>
      <c r="AB339" s="56"/>
      <c r="AC339" s="56"/>
      <c r="AD339" s="56"/>
      <c r="AE339" s="56"/>
      <c r="AF339" s="170"/>
      <c r="AG339" s="56"/>
      <c r="AH339" s="56"/>
      <c r="AI339" s="168"/>
      <c r="AJ339" s="56"/>
      <c r="AK339" s="56"/>
      <c r="AL339" s="56"/>
      <c r="AM339" s="56"/>
      <c r="AN339" s="56"/>
      <c r="AO339" s="56"/>
      <c r="AP339" s="56"/>
      <c r="AQ339" s="56"/>
      <c r="AR339" s="168"/>
      <c r="AS339" s="56"/>
      <c r="AT339" s="56"/>
      <c r="AU339" s="56"/>
      <c r="AV339" s="56"/>
      <c r="AW339" s="56"/>
      <c r="AX339" s="56"/>
      <c r="AY339" s="56"/>
      <c r="AZ339" s="56"/>
      <c r="BA339" s="168"/>
      <c r="BB339" s="56"/>
      <c r="BC339" s="56"/>
      <c r="BD339" s="56"/>
      <c r="BE339" s="168"/>
      <c r="BF339" s="56"/>
      <c r="BG339" s="10"/>
      <c r="BH339" s="56"/>
      <c r="BI339" s="56"/>
      <c r="BJ339" s="56"/>
      <c r="BK339" s="56"/>
      <c r="BS339" s="144"/>
      <c r="CM339" s="144"/>
      <c r="DC339" s="144"/>
    </row>
    <row r="340" spans="1:107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1"/>
      <c r="M340" s="10"/>
      <c r="N340" s="56"/>
      <c r="O340" s="56"/>
      <c r="P340" s="10"/>
      <c r="Q340" s="158"/>
      <c r="R340" s="174"/>
      <c r="S340" s="164"/>
      <c r="T340" s="56"/>
      <c r="U340" s="56"/>
      <c r="V340" s="56"/>
      <c r="W340" s="158"/>
      <c r="X340" s="174"/>
      <c r="Y340" s="168"/>
      <c r="Z340" s="10"/>
      <c r="AA340" s="56"/>
      <c r="AB340" s="56"/>
      <c r="AC340" s="56"/>
      <c r="AD340" s="56"/>
      <c r="AE340" s="56"/>
      <c r="AF340" s="170"/>
      <c r="AG340" s="56"/>
      <c r="AH340" s="56"/>
      <c r="AI340" s="168"/>
      <c r="AJ340" s="56"/>
      <c r="AK340" s="56"/>
      <c r="AL340" s="56"/>
      <c r="AM340" s="56"/>
      <c r="AN340" s="56"/>
      <c r="AO340" s="56"/>
      <c r="AP340" s="56"/>
      <c r="AQ340" s="56"/>
      <c r="AR340" s="168"/>
      <c r="AS340" s="56"/>
      <c r="AT340" s="56"/>
      <c r="AU340" s="56"/>
      <c r="AV340" s="56"/>
      <c r="AW340" s="56"/>
      <c r="AX340" s="56"/>
      <c r="AY340" s="56"/>
      <c r="AZ340" s="56"/>
      <c r="BA340" s="168"/>
      <c r="BB340" s="56"/>
      <c r="BC340" s="56"/>
      <c r="BD340" s="56"/>
      <c r="BE340" s="168"/>
      <c r="BF340" s="56"/>
      <c r="BG340" s="10"/>
      <c r="BH340" s="56"/>
      <c r="BI340" s="56"/>
      <c r="BJ340" s="56"/>
      <c r="BK340" s="56"/>
      <c r="BS340" s="144"/>
      <c r="CM340" s="144"/>
      <c r="DC340" s="144"/>
    </row>
    <row r="341" spans="1:107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1"/>
      <c r="M341" s="10"/>
      <c r="N341" s="56"/>
      <c r="O341" s="56"/>
      <c r="P341" s="10"/>
      <c r="Q341" s="158"/>
      <c r="R341" s="174"/>
      <c r="S341" s="164"/>
      <c r="T341" s="56"/>
      <c r="U341" s="56"/>
      <c r="V341" s="56"/>
      <c r="W341" s="158"/>
      <c r="X341" s="174"/>
      <c r="Y341" s="168"/>
      <c r="Z341" s="10"/>
      <c r="AA341" s="56"/>
      <c r="AB341" s="56"/>
      <c r="AC341" s="56"/>
      <c r="AD341" s="56"/>
      <c r="AE341" s="56"/>
      <c r="AF341" s="170"/>
      <c r="AG341" s="56"/>
      <c r="AH341" s="56"/>
      <c r="AI341" s="168"/>
      <c r="AJ341" s="56"/>
      <c r="AK341" s="56"/>
      <c r="AL341" s="56"/>
      <c r="AM341" s="56"/>
      <c r="AN341" s="56"/>
      <c r="AO341" s="56"/>
      <c r="AP341" s="56"/>
      <c r="AQ341" s="56"/>
      <c r="AR341" s="168"/>
      <c r="AS341" s="56"/>
      <c r="AT341" s="56"/>
      <c r="AU341" s="56"/>
      <c r="AV341" s="56"/>
      <c r="AW341" s="56"/>
      <c r="AX341" s="56"/>
      <c r="AY341" s="56"/>
      <c r="AZ341" s="56"/>
      <c r="BA341" s="168"/>
      <c r="BB341" s="56"/>
      <c r="BC341" s="56"/>
      <c r="BD341" s="56"/>
      <c r="BE341" s="168"/>
      <c r="BF341" s="56"/>
      <c r="BG341" s="10"/>
      <c r="BH341" s="56"/>
      <c r="BI341" s="56"/>
      <c r="BJ341" s="56"/>
      <c r="BK341" s="56"/>
      <c r="BS341" s="144"/>
      <c r="CM341" s="144"/>
      <c r="DC341" s="144"/>
    </row>
    <row r="342" spans="1:107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1"/>
      <c r="M342" s="10"/>
      <c r="N342" s="56"/>
      <c r="O342" s="56"/>
      <c r="P342" s="10"/>
      <c r="Q342" s="158"/>
      <c r="R342" s="174"/>
      <c r="S342" s="164"/>
      <c r="T342" s="56"/>
      <c r="U342" s="56"/>
      <c r="V342" s="56"/>
      <c r="W342" s="158"/>
      <c r="X342" s="174"/>
      <c r="Y342" s="168"/>
      <c r="Z342" s="10"/>
      <c r="AA342" s="56"/>
      <c r="AB342" s="56"/>
      <c r="AC342" s="56"/>
      <c r="AD342" s="56"/>
      <c r="AE342" s="56"/>
      <c r="AF342" s="170"/>
      <c r="AG342" s="56"/>
      <c r="AH342" s="56"/>
      <c r="AI342" s="168"/>
      <c r="AJ342" s="56"/>
      <c r="AK342" s="56"/>
      <c r="AL342" s="56"/>
      <c r="AM342" s="56"/>
      <c r="AN342" s="56"/>
      <c r="AO342" s="56"/>
      <c r="AP342" s="56"/>
      <c r="AQ342" s="56"/>
      <c r="AR342" s="168"/>
      <c r="AS342" s="56"/>
      <c r="AT342" s="56"/>
      <c r="AU342" s="56"/>
      <c r="AV342" s="56"/>
      <c r="AW342" s="56"/>
      <c r="AX342" s="56"/>
      <c r="AY342" s="56"/>
      <c r="AZ342" s="56"/>
      <c r="BA342" s="168"/>
      <c r="BB342" s="56"/>
      <c r="BC342" s="56"/>
      <c r="BD342" s="56"/>
      <c r="BE342" s="168"/>
      <c r="BF342" s="56"/>
      <c r="BG342" s="10"/>
      <c r="BH342" s="56"/>
      <c r="BI342" s="56"/>
      <c r="BJ342" s="56"/>
      <c r="BK342" s="56"/>
      <c r="BS342" s="144"/>
      <c r="CM342" s="144"/>
      <c r="DC342" s="144"/>
    </row>
    <row r="343" spans="1:107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1"/>
      <c r="M343" s="10"/>
      <c r="N343" s="56"/>
      <c r="O343" s="56"/>
      <c r="P343" s="10"/>
      <c r="Q343" s="158"/>
      <c r="R343" s="174"/>
      <c r="S343" s="164"/>
      <c r="T343" s="56"/>
      <c r="U343" s="56"/>
      <c r="V343" s="56"/>
      <c r="W343" s="158"/>
      <c r="X343" s="174"/>
      <c r="Y343" s="168"/>
      <c r="Z343" s="10"/>
      <c r="AA343" s="56"/>
      <c r="AB343" s="56"/>
      <c r="AC343" s="56"/>
      <c r="AD343" s="56"/>
      <c r="AE343" s="56"/>
      <c r="AF343" s="170"/>
      <c r="AG343" s="56"/>
      <c r="AH343" s="56"/>
      <c r="AI343" s="168"/>
      <c r="AJ343" s="56"/>
      <c r="AK343" s="56"/>
      <c r="AL343" s="56"/>
      <c r="AM343" s="56"/>
      <c r="AN343" s="56"/>
      <c r="AO343" s="56"/>
      <c r="AP343" s="56"/>
      <c r="AQ343" s="56"/>
      <c r="AR343" s="168"/>
      <c r="AS343" s="56"/>
      <c r="AT343" s="56"/>
      <c r="AU343" s="56"/>
      <c r="AV343" s="56"/>
      <c r="AW343" s="56"/>
      <c r="AX343" s="56"/>
      <c r="AY343" s="56"/>
      <c r="AZ343" s="56"/>
      <c r="BA343" s="168"/>
      <c r="BB343" s="56"/>
      <c r="BC343" s="56"/>
      <c r="BD343" s="56"/>
      <c r="BE343" s="168"/>
      <c r="BF343" s="56"/>
      <c r="BG343" s="10"/>
      <c r="BH343" s="56"/>
      <c r="BI343" s="56"/>
      <c r="BJ343" s="56"/>
      <c r="BK343" s="56"/>
      <c r="BS343" s="144"/>
      <c r="CM343" s="144"/>
      <c r="DC343" s="144"/>
    </row>
    <row r="344" spans="1:107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1"/>
      <c r="M344" s="10"/>
      <c r="N344" s="56"/>
      <c r="O344" s="56"/>
      <c r="P344" s="10"/>
      <c r="Q344" s="158"/>
      <c r="R344" s="174"/>
      <c r="S344" s="164"/>
      <c r="T344" s="56"/>
      <c r="U344" s="56"/>
      <c r="V344" s="56"/>
      <c r="W344" s="158"/>
      <c r="X344" s="174"/>
      <c r="Y344" s="168"/>
      <c r="Z344" s="10"/>
      <c r="AA344" s="56"/>
      <c r="AB344" s="56"/>
      <c r="AC344" s="56"/>
      <c r="AD344" s="56"/>
      <c r="AE344" s="56"/>
      <c r="AF344" s="170"/>
      <c r="AG344" s="56"/>
      <c r="AH344" s="56"/>
      <c r="AI344" s="168"/>
      <c r="AJ344" s="56"/>
      <c r="AK344" s="56"/>
      <c r="AL344" s="56"/>
      <c r="AM344" s="56"/>
      <c r="AN344" s="56"/>
      <c r="AO344" s="56"/>
      <c r="AP344" s="56"/>
      <c r="AQ344" s="56"/>
      <c r="AR344" s="168"/>
      <c r="AS344" s="56"/>
      <c r="AT344" s="56"/>
      <c r="AU344" s="56"/>
      <c r="AV344" s="56"/>
      <c r="AW344" s="56"/>
      <c r="AX344" s="56"/>
      <c r="AY344" s="56"/>
      <c r="AZ344" s="56"/>
      <c r="BA344" s="168"/>
      <c r="BB344" s="56"/>
      <c r="BC344" s="56"/>
      <c r="BD344" s="56"/>
      <c r="BE344" s="168"/>
      <c r="BF344" s="56"/>
      <c r="BG344" s="10"/>
      <c r="BH344" s="56"/>
      <c r="BI344" s="56"/>
      <c r="BJ344" s="56"/>
      <c r="BK344" s="56"/>
      <c r="BS344" s="144"/>
      <c r="CM344" s="144"/>
      <c r="DC344" s="144"/>
    </row>
    <row r="345" spans="1:107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1"/>
      <c r="M345" s="10"/>
      <c r="N345" s="56"/>
      <c r="O345" s="56"/>
      <c r="P345" s="10"/>
      <c r="Q345" s="158"/>
      <c r="R345" s="174"/>
      <c r="S345" s="164"/>
      <c r="T345" s="56"/>
      <c r="U345" s="56"/>
      <c r="V345" s="56"/>
      <c r="W345" s="158"/>
      <c r="X345" s="174"/>
      <c r="Y345" s="168"/>
      <c r="Z345" s="10"/>
      <c r="AA345" s="56"/>
      <c r="AB345" s="56"/>
      <c r="AC345" s="56"/>
      <c r="AD345" s="56"/>
      <c r="AE345" s="56"/>
      <c r="AF345" s="170"/>
      <c r="AG345" s="56"/>
      <c r="AH345" s="56"/>
      <c r="AI345" s="168"/>
      <c r="AJ345" s="56"/>
      <c r="AK345" s="56"/>
      <c r="AL345" s="56"/>
      <c r="AM345" s="56"/>
      <c r="AN345" s="56"/>
      <c r="AO345" s="56"/>
      <c r="AP345" s="56"/>
      <c r="AQ345" s="56"/>
      <c r="AR345" s="168"/>
      <c r="AS345" s="56"/>
      <c r="AT345" s="56"/>
      <c r="AU345" s="56"/>
      <c r="AV345" s="56"/>
      <c r="AW345" s="56"/>
      <c r="AX345" s="56"/>
      <c r="AY345" s="56"/>
      <c r="AZ345" s="56"/>
      <c r="BA345" s="168"/>
      <c r="BB345" s="56"/>
      <c r="BC345" s="56"/>
      <c r="BD345" s="56"/>
      <c r="BE345" s="168"/>
      <c r="BF345" s="56"/>
      <c r="BG345" s="10"/>
      <c r="BH345" s="56"/>
      <c r="BI345" s="56"/>
      <c r="BJ345" s="56"/>
      <c r="BK345" s="56"/>
      <c r="BS345" s="144"/>
      <c r="CM345" s="144"/>
      <c r="DC345" s="144"/>
    </row>
    <row r="346" spans="1:107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1"/>
      <c r="M346" s="10"/>
      <c r="N346" s="56"/>
      <c r="O346" s="56"/>
      <c r="P346" s="10"/>
      <c r="Q346" s="158"/>
      <c r="R346" s="174"/>
      <c r="S346" s="164"/>
      <c r="T346" s="56"/>
      <c r="U346" s="56"/>
      <c r="V346" s="56"/>
      <c r="W346" s="158"/>
      <c r="X346" s="174"/>
      <c r="Y346" s="168"/>
      <c r="Z346" s="10"/>
      <c r="AA346" s="56"/>
      <c r="AB346" s="56"/>
      <c r="AC346" s="56"/>
      <c r="AD346" s="56"/>
      <c r="AE346" s="56"/>
      <c r="AF346" s="170"/>
      <c r="AG346" s="56"/>
      <c r="AH346" s="56"/>
      <c r="AI346" s="168"/>
      <c r="AJ346" s="56"/>
      <c r="AK346" s="56"/>
      <c r="AL346" s="56"/>
      <c r="AM346" s="56"/>
      <c r="AN346" s="56"/>
      <c r="AO346" s="56"/>
      <c r="AP346" s="56"/>
      <c r="AQ346" s="56"/>
      <c r="AR346" s="168"/>
      <c r="AS346" s="56"/>
      <c r="AT346" s="56"/>
      <c r="AU346" s="56"/>
      <c r="AV346" s="56"/>
      <c r="AW346" s="56"/>
      <c r="AX346" s="56"/>
      <c r="AY346" s="56"/>
      <c r="AZ346" s="56"/>
      <c r="BA346" s="168"/>
      <c r="BB346" s="56"/>
      <c r="BC346" s="56"/>
      <c r="BD346" s="56"/>
      <c r="BE346" s="168"/>
      <c r="BF346" s="56"/>
      <c r="BG346" s="10"/>
      <c r="BH346" s="56"/>
      <c r="BI346" s="56"/>
      <c r="BJ346" s="56"/>
      <c r="BK346" s="56"/>
      <c r="BS346" s="144"/>
      <c r="CM346" s="144"/>
      <c r="DC346" s="144"/>
    </row>
    <row r="347" spans="1:107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1"/>
      <c r="M347" s="10"/>
      <c r="N347" s="56"/>
      <c r="O347" s="56"/>
      <c r="P347" s="10"/>
      <c r="Q347" s="158"/>
      <c r="R347" s="174"/>
      <c r="S347" s="164"/>
      <c r="T347" s="56"/>
      <c r="U347" s="56"/>
      <c r="V347" s="56"/>
      <c r="W347" s="158"/>
      <c r="X347" s="174"/>
      <c r="Y347" s="168"/>
      <c r="Z347" s="10"/>
      <c r="AA347" s="56"/>
      <c r="AB347" s="56"/>
      <c r="AC347" s="56"/>
      <c r="AD347" s="56"/>
      <c r="AE347" s="56"/>
      <c r="AF347" s="170"/>
      <c r="AG347" s="56"/>
      <c r="AH347" s="56"/>
      <c r="AI347" s="168"/>
      <c r="AJ347" s="56"/>
      <c r="AK347" s="56"/>
      <c r="AL347" s="56"/>
      <c r="AM347" s="56"/>
      <c r="AN347" s="56"/>
      <c r="AO347" s="56"/>
      <c r="AP347" s="56"/>
      <c r="AQ347" s="56"/>
      <c r="AR347" s="168"/>
      <c r="AS347" s="56"/>
      <c r="AT347" s="56"/>
      <c r="AU347" s="56"/>
      <c r="AV347" s="56"/>
      <c r="AW347" s="56"/>
      <c r="AX347" s="56"/>
      <c r="AY347" s="56"/>
      <c r="AZ347" s="56"/>
      <c r="BA347" s="168"/>
      <c r="BB347" s="56"/>
      <c r="BC347" s="56"/>
      <c r="BD347" s="56"/>
      <c r="BE347" s="168"/>
      <c r="BF347" s="56"/>
      <c r="BG347" s="10"/>
      <c r="BH347" s="56"/>
      <c r="BI347" s="56"/>
      <c r="BJ347" s="56"/>
      <c r="BK347" s="56"/>
      <c r="BS347" s="144"/>
      <c r="CM347" s="144"/>
      <c r="DC347" s="144"/>
    </row>
    <row r="348" spans="1:107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1"/>
      <c r="M348" s="10"/>
      <c r="N348" s="56"/>
      <c r="O348" s="56"/>
      <c r="P348" s="10"/>
      <c r="Q348" s="158"/>
      <c r="R348" s="174"/>
      <c r="S348" s="164"/>
      <c r="T348" s="56"/>
      <c r="U348" s="56"/>
      <c r="V348" s="56"/>
      <c r="W348" s="158"/>
      <c r="X348" s="174"/>
      <c r="Y348" s="168"/>
      <c r="Z348" s="10"/>
      <c r="AA348" s="56"/>
      <c r="AB348" s="56"/>
      <c r="AC348" s="56"/>
      <c r="AD348" s="56"/>
      <c r="AE348" s="56"/>
      <c r="AF348" s="170"/>
      <c r="AG348" s="56"/>
      <c r="AH348" s="56"/>
      <c r="AI348" s="168"/>
      <c r="AJ348" s="56"/>
      <c r="AK348" s="56"/>
      <c r="AL348" s="56"/>
      <c r="AM348" s="56"/>
      <c r="AN348" s="56"/>
      <c r="AO348" s="56"/>
      <c r="AP348" s="56"/>
      <c r="AQ348" s="56"/>
      <c r="AR348" s="168"/>
      <c r="AS348" s="56"/>
      <c r="AT348" s="56"/>
      <c r="AU348" s="56"/>
      <c r="AV348" s="56"/>
      <c r="AW348" s="56"/>
      <c r="AX348" s="56"/>
      <c r="AY348" s="56"/>
      <c r="AZ348" s="56"/>
      <c r="BA348" s="168"/>
      <c r="BB348" s="56"/>
      <c r="BC348" s="56"/>
      <c r="BD348" s="56"/>
      <c r="BE348" s="168"/>
      <c r="BF348" s="56"/>
      <c r="BG348" s="10"/>
      <c r="BH348" s="56"/>
      <c r="BI348" s="56"/>
      <c r="BJ348" s="56"/>
      <c r="BK348" s="56"/>
      <c r="BS348" s="144"/>
      <c r="CM348" s="144"/>
      <c r="DC348" s="144"/>
    </row>
    <row r="349" spans="1:107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1"/>
      <c r="M349" s="10"/>
      <c r="N349" s="56"/>
      <c r="O349" s="56"/>
      <c r="P349" s="10"/>
      <c r="Q349" s="158"/>
      <c r="R349" s="174"/>
      <c r="S349" s="164"/>
      <c r="T349" s="56"/>
      <c r="U349" s="56"/>
      <c r="V349" s="56"/>
      <c r="W349" s="158"/>
      <c r="X349" s="174"/>
      <c r="Y349" s="168"/>
      <c r="Z349" s="10"/>
      <c r="AA349" s="56"/>
      <c r="AB349" s="56"/>
      <c r="AC349" s="56"/>
      <c r="AD349" s="56"/>
      <c r="AE349" s="56"/>
      <c r="AF349" s="170"/>
      <c r="AG349" s="56"/>
      <c r="AH349" s="56"/>
      <c r="AI349" s="168"/>
      <c r="AJ349" s="56"/>
      <c r="AK349" s="56"/>
      <c r="AL349" s="56"/>
      <c r="AM349" s="56"/>
      <c r="AN349" s="56"/>
      <c r="AO349" s="56"/>
      <c r="AP349" s="56"/>
      <c r="AQ349" s="56"/>
      <c r="AR349" s="168"/>
      <c r="AS349" s="56"/>
      <c r="AT349" s="56"/>
      <c r="AU349" s="56"/>
      <c r="AV349" s="56"/>
      <c r="AW349" s="56"/>
      <c r="AX349" s="56"/>
      <c r="AY349" s="56"/>
      <c r="AZ349" s="56"/>
      <c r="BA349" s="168"/>
      <c r="BB349" s="56"/>
      <c r="BC349" s="56"/>
      <c r="BD349" s="56"/>
      <c r="BE349" s="168"/>
      <c r="BF349" s="56"/>
      <c r="BG349" s="10"/>
      <c r="BH349" s="56"/>
      <c r="BI349" s="56"/>
      <c r="BJ349" s="56"/>
      <c r="BK349" s="56"/>
      <c r="BS349" s="144"/>
      <c r="CM349" s="144"/>
      <c r="DC349" s="144"/>
    </row>
    <row r="350" spans="1:107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1"/>
      <c r="M350" s="10"/>
      <c r="N350" s="56"/>
      <c r="O350" s="56"/>
      <c r="P350" s="10"/>
      <c r="Q350" s="158"/>
      <c r="R350" s="174"/>
      <c r="S350" s="164"/>
      <c r="T350" s="56"/>
      <c r="U350" s="56"/>
      <c r="V350" s="56"/>
      <c r="W350" s="158"/>
      <c r="X350" s="174"/>
      <c r="Y350" s="168"/>
      <c r="Z350" s="10"/>
      <c r="AA350" s="56"/>
      <c r="AB350" s="56"/>
      <c r="AC350" s="56"/>
      <c r="AD350" s="56"/>
      <c r="AE350" s="56"/>
      <c r="AF350" s="170"/>
      <c r="AG350" s="56"/>
      <c r="AH350" s="56"/>
      <c r="AI350" s="168"/>
      <c r="AJ350" s="56"/>
      <c r="AK350" s="56"/>
      <c r="AL350" s="56"/>
      <c r="AM350" s="56"/>
      <c r="AN350" s="56"/>
      <c r="AO350" s="56"/>
      <c r="AP350" s="56"/>
      <c r="AQ350" s="56"/>
      <c r="AR350" s="168"/>
      <c r="AS350" s="56"/>
      <c r="AT350" s="56"/>
      <c r="AU350" s="56"/>
      <c r="AV350" s="56"/>
      <c r="AW350" s="56"/>
      <c r="AX350" s="56"/>
      <c r="AY350" s="56"/>
      <c r="AZ350" s="56"/>
      <c r="BA350" s="168"/>
      <c r="BB350" s="56"/>
      <c r="BC350" s="56"/>
      <c r="BD350" s="56"/>
      <c r="BE350" s="168"/>
      <c r="BF350" s="56"/>
      <c r="BG350" s="10"/>
      <c r="BH350" s="56"/>
      <c r="BI350" s="56"/>
      <c r="BJ350" s="56"/>
      <c r="BK350" s="56"/>
      <c r="BS350" s="144"/>
      <c r="CM350" s="144"/>
      <c r="DC350" s="144"/>
    </row>
    <row r="351" spans="1:107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1"/>
      <c r="M351" s="10"/>
      <c r="N351" s="56"/>
      <c r="O351" s="56"/>
      <c r="P351" s="10"/>
      <c r="Q351" s="158"/>
      <c r="R351" s="174"/>
      <c r="S351" s="164"/>
      <c r="T351" s="56"/>
      <c r="U351" s="56"/>
      <c r="V351" s="56"/>
      <c r="W351" s="158"/>
      <c r="X351" s="174"/>
      <c r="Y351" s="168"/>
      <c r="Z351" s="10"/>
      <c r="AA351" s="56"/>
      <c r="AB351" s="56"/>
      <c r="AC351" s="56"/>
      <c r="AD351" s="56"/>
      <c r="AE351" s="56"/>
      <c r="AF351" s="170"/>
      <c r="AG351" s="56"/>
      <c r="AH351" s="56"/>
      <c r="AI351" s="168"/>
      <c r="AJ351" s="56"/>
      <c r="AK351" s="56"/>
      <c r="AL351" s="56"/>
      <c r="AM351" s="56"/>
      <c r="AN351" s="56"/>
      <c r="AO351" s="56"/>
      <c r="AP351" s="56"/>
      <c r="AQ351" s="56"/>
      <c r="AR351" s="168"/>
      <c r="AS351" s="56"/>
      <c r="AT351" s="56"/>
      <c r="AU351" s="56"/>
      <c r="AV351" s="56"/>
      <c r="AW351" s="56"/>
      <c r="AX351" s="56"/>
      <c r="AY351" s="56"/>
      <c r="AZ351" s="56"/>
      <c r="BA351" s="168"/>
      <c r="BB351" s="56"/>
      <c r="BC351" s="56"/>
      <c r="BD351" s="56"/>
      <c r="BE351" s="168"/>
      <c r="BF351" s="56"/>
      <c r="BG351" s="10"/>
      <c r="BH351" s="56"/>
      <c r="BI351" s="56"/>
      <c r="BJ351" s="56"/>
      <c r="BK351" s="56"/>
      <c r="BS351" s="144"/>
      <c r="CM351" s="144"/>
      <c r="DC351" s="144"/>
    </row>
    <row r="352" spans="1:107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1"/>
      <c r="M352" s="10"/>
      <c r="N352" s="56"/>
      <c r="O352" s="56"/>
      <c r="P352" s="10"/>
      <c r="Q352" s="158"/>
      <c r="R352" s="174"/>
      <c r="S352" s="164"/>
      <c r="T352" s="56"/>
      <c r="U352" s="56"/>
      <c r="V352" s="56"/>
      <c r="W352" s="158"/>
      <c r="X352" s="174"/>
      <c r="Y352" s="168"/>
      <c r="Z352" s="10"/>
      <c r="AA352" s="56"/>
      <c r="AB352" s="56"/>
      <c r="AC352" s="56"/>
      <c r="AD352" s="56"/>
      <c r="AE352" s="56"/>
      <c r="AF352" s="170"/>
      <c r="AG352" s="56"/>
      <c r="AH352" s="56"/>
      <c r="AI352" s="168"/>
      <c r="AJ352" s="56"/>
      <c r="AK352" s="56"/>
      <c r="AL352" s="56"/>
      <c r="AM352" s="56"/>
      <c r="AN352" s="56"/>
      <c r="AO352" s="56"/>
      <c r="AP352" s="56"/>
      <c r="AQ352" s="56"/>
      <c r="AR352" s="168"/>
      <c r="AS352" s="56"/>
      <c r="AT352" s="56"/>
      <c r="AU352" s="56"/>
      <c r="AV352" s="56"/>
      <c r="AW352" s="56"/>
      <c r="AX352" s="56"/>
      <c r="AY352" s="56"/>
      <c r="AZ352" s="56"/>
      <c r="BA352" s="168"/>
      <c r="BB352" s="56"/>
      <c r="BC352" s="56"/>
      <c r="BD352" s="56"/>
      <c r="BE352" s="168"/>
      <c r="BF352" s="56"/>
      <c r="BG352" s="10"/>
      <c r="BH352" s="56"/>
      <c r="BI352" s="56"/>
      <c r="BJ352" s="56"/>
      <c r="BK352" s="56"/>
      <c r="BS352" s="144"/>
      <c r="CM352" s="144"/>
      <c r="DC352" s="144"/>
    </row>
    <row r="353" spans="1:107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1"/>
      <c r="M353" s="10"/>
      <c r="N353" s="56"/>
      <c r="O353" s="56"/>
      <c r="P353" s="10"/>
      <c r="Q353" s="158"/>
      <c r="R353" s="174"/>
      <c r="S353" s="164"/>
      <c r="T353" s="56"/>
      <c r="U353" s="56"/>
      <c r="V353" s="56"/>
      <c r="W353" s="158"/>
      <c r="X353" s="174"/>
      <c r="Y353" s="168"/>
      <c r="Z353" s="10"/>
      <c r="AA353" s="56"/>
      <c r="AB353" s="56"/>
      <c r="AC353" s="56"/>
      <c r="AD353" s="56"/>
      <c r="AE353" s="56"/>
      <c r="AF353" s="170"/>
      <c r="AG353" s="56"/>
      <c r="AH353" s="56"/>
      <c r="AI353" s="168"/>
      <c r="AJ353" s="56"/>
      <c r="AK353" s="56"/>
      <c r="AL353" s="56"/>
      <c r="AM353" s="56"/>
      <c r="AN353" s="56"/>
      <c r="AO353" s="56"/>
      <c r="AP353" s="56"/>
      <c r="AQ353" s="56"/>
      <c r="AR353" s="168"/>
      <c r="AS353" s="56"/>
      <c r="AT353" s="56"/>
      <c r="AU353" s="56"/>
      <c r="AV353" s="56"/>
      <c r="AW353" s="56"/>
      <c r="AX353" s="56"/>
      <c r="AY353" s="56"/>
      <c r="AZ353" s="56"/>
      <c r="BA353" s="168"/>
      <c r="BB353" s="56"/>
      <c r="BC353" s="56"/>
      <c r="BD353" s="56"/>
      <c r="BE353" s="168"/>
      <c r="BF353" s="56"/>
      <c r="BG353" s="10"/>
      <c r="BH353" s="56"/>
      <c r="BI353" s="56"/>
      <c r="BJ353" s="56"/>
      <c r="BK353" s="56"/>
      <c r="BS353" s="144"/>
      <c r="CM353" s="144"/>
      <c r="DC353" s="144"/>
    </row>
    <row r="354" spans="1:107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1"/>
      <c r="M354" s="10"/>
      <c r="N354" s="56"/>
      <c r="O354" s="56"/>
      <c r="P354" s="10"/>
      <c r="Q354" s="158"/>
      <c r="R354" s="174"/>
      <c r="S354" s="164"/>
      <c r="T354" s="56"/>
      <c r="U354" s="56"/>
      <c r="V354" s="56"/>
      <c r="W354" s="158"/>
      <c r="X354" s="174"/>
      <c r="Y354" s="168"/>
      <c r="Z354" s="10"/>
      <c r="AA354" s="56"/>
      <c r="AB354" s="56"/>
      <c r="AC354" s="56"/>
      <c r="AD354" s="56"/>
      <c r="AE354" s="56"/>
      <c r="AF354" s="170"/>
      <c r="AG354" s="56"/>
      <c r="AH354" s="56"/>
      <c r="AI354" s="168"/>
      <c r="AJ354" s="56"/>
      <c r="AK354" s="56"/>
      <c r="AL354" s="56"/>
      <c r="AM354" s="56"/>
      <c r="AN354" s="56"/>
      <c r="AO354" s="56"/>
      <c r="AP354" s="56"/>
      <c r="AQ354" s="56"/>
      <c r="AR354" s="168"/>
      <c r="AS354" s="56"/>
      <c r="AT354" s="56"/>
      <c r="AU354" s="56"/>
      <c r="AV354" s="56"/>
      <c r="AW354" s="56"/>
      <c r="AX354" s="56"/>
      <c r="AY354" s="56"/>
      <c r="AZ354" s="56"/>
      <c r="BA354" s="168"/>
      <c r="BB354" s="56"/>
      <c r="BC354" s="56"/>
      <c r="BD354" s="56"/>
      <c r="BE354" s="168"/>
      <c r="BF354" s="56"/>
      <c r="BG354" s="10"/>
      <c r="BH354" s="56"/>
      <c r="BI354" s="56"/>
      <c r="BJ354" s="56"/>
      <c r="BK354" s="56"/>
      <c r="BS354" s="144"/>
      <c r="CM354" s="144"/>
      <c r="DC354" s="144"/>
    </row>
    <row r="355" spans="1:107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1"/>
      <c r="M355" s="10"/>
      <c r="N355" s="56"/>
      <c r="O355" s="56"/>
      <c r="P355" s="10"/>
      <c r="Q355" s="158"/>
      <c r="R355" s="174"/>
      <c r="S355" s="164"/>
      <c r="T355" s="56"/>
      <c r="U355" s="56"/>
      <c r="V355" s="56"/>
      <c r="W355" s="158"/>
      <c r="X355" s="174"/>
      <c r="Y355" s="168"/>
      <c r="Z355" s="10"/>
      <c r="AA355" s="56"/>
      <c r="AB355" s="56"/>
      <c r="AC355" s="56"/>
      <c r="AD355" s="56"/>
      <c r="AE355" s="56"/>
      <c r="AF355" s="170"/>
      <c r="AG355" s="56"/>
      <c r="AH355" s="56"/>
      <c r="AI355" s="168"/>
      <c r="AJ355" s="56"/>
      <c r="AK355" s="56"/>
      <c r="AL355" s="56"/>
      <c r="AM355" s="56"/>
      <c r="AN355" s="56"/>
      <c r="AO355" s="56"/>
      <c r="AP355" s="56"/>
      <c r="AQ355" s="56"/>
      <c r="AR355" s="168"/>
      <c r="AS355" s="56"/>
      <c r="AT355" s="56"/>
      <c r="AU355" s="56"/>
      <c r="AV355" s="56"/>
      <c r="AW355" s="56"/>
      <c r="AX355" s="56"/>
      <c r="AY355" s="56"/>
      <c r="AZ355" s="56"/>
      <c r="BA355" s="168"/>
      <c r="BB355" s="56"/>
      <c r="BC355" s="56"/>
      <c r="BD355" s="56"/>
      <c r="BE355" s="168"/>
      <c r="BF355" s="56"/>
      <c r="BG355" s="10"/>
      <c r="BH355" s="56"/>
      <c r="BI355" s="56"/>
      <c r="BJ355" s="56"/>
      <c r="BK355" s="56"/>
      <c r="BS355" s="144"/>
      <c r="CM355" s="144"/>
      <c r="DC355" s="144"/>
    </row>
    <row r="356" spans="1:107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1"/>
      <c r="M356" s="10"/>
      <c r="N356" s="56"/>
      <c r="O356" s="56"/>
      <c r="P356" s="10"/>
      <c r="Q356" s="158"/>
      <c r="R356" s="174"/>
      <c r="S356" s="164"/>
      <c r="T356" s="56"/>
      <c r="U356" s="56"/>
      <c r="V356" s="56"/>
      <c r="W356" s="158"/>
      <c r="X356" s="174"/>
      <c r="Y356" s="168"/>
      <c r="Z356" s="10"/>
      <c r="AA356" s="56"/>
      <c r="AB356" s="56"/>
      <c r="AC356" s="56"/>
      <c r="AD356" s="56"/>
      <c r="AE356" s="56"/>
      <c r="AF356" s="170"/>
      <c r="AG356" s="56"/>
      <c r="AH356" s="56"/>
      <c r="AI356" s="168"/>
      <c r="AJ356" s="56"/>
      <c r="AK356" s="56"/>
      <c r="AL356" s="56"/>
      <c r="AM356" s="56"/>
      <c r="AN356" s="56"/>
      <c r="AO356" s="56"/>
      <c r="AP356" s="56"/>
      <c r="AQ356" s="56"/>
      <c r="AR356" s="168"/>
      <c r="AS356" s="56"/>
      <c r="AT356" s="56"/>
      <c r="AU356" s="56"/>
      <c r="AV356" s="56"/>
      <c r="AW356" s="56"/>
      <c r="AX356" s="56"/>
      <c r="AY356" s="56"/>
      <c r="AZ356" s="56"/>
      <c r="BA356" s="168"/>
      <c r="BB356" s="56"/>
      <c r="BC356" s="56"/>
      <c r="BD356" s="56"/>
      <c r="BE356" s="168"/>
      <c r="BF356" s="56"/>
      <c r="BG356" s="10"/>
      <c r="BH356" s="56"/>
      <c r="BI356" s="56"/>
      <c r="BJ356" s="56"/>
      <c r="BK356" s="56"/>
      <c r="BS356" s="144"/>
      <c r="CM356" s="144"/>
      <c r="DC356" s="144"/>
    </row>
    <row r="357" spans="1:107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1"/>
      <c r="M357" s="10"/>
      <c r="N357" s="56"/>
      <c r="O357" s="56"/>
      <c r="P357" s="10"/>
      <c r="Q357" s="158"/>
      <c r="R357" s="174"/>
      <c r="S357" s="164"/>
      <c r="T357" s="56"/>
      <c r="U357" s="56"/>
      <c r="V357" s="56"/>
      <c r="W357" s="158"/>
      <c r="X357" s="174"/>
      <c r="Y357" s="168"/>
      <c r="Z357" s="10"/>
      <c r="AA357" s="56"/>
      <c r="AB357" s="56"/>
      <c r="AC357" s="56"/>
      <c r="AD357" s="56"/>
      <c r="AE357" s="56"/>
      <c r="AF357" s="170"/>
      <c r="AG357" s="56"/>
      <c r="AH357" s="56"/>
      <c r="AI357" s="168"/>
      <c r="AJ357" s="56"/>
      <c r="AK357" s="56"/>
      <c r="AL357" s="56"/>
      <c r="AM357" s="56"/>
      <c r="AN357" s="56"/>
      <c r="AO357" s="56"/>
      <c r="AP357" s="56"/>
      <c r="AQ357" s="56"/>
      <c r="AR357" s="168"/>
      <c r="AS357" s="56"/>
      <c r="AT357" s="56"/>
      <c r="AU357" s="56"/>
      <c r="AV357" s="56"/>
      <c r="AW357" s="56"/>
      <c r="AX357" s="56"/>
      <c r="AY357" s="56"/>
      <c r="AZ357" s="56"/>
      <c r="BA357" s="168"/>
      <c r="BB357" s="56"/>
      <c r="BC357" s="56"/>
      <c r="BD357" s="56"/>
      <c r="BE357" s="168"/>
      <c r="BF357" s="56"/>
      <c r="BG357" s="10"/>
      <c r="BH357" s="56"/>
      <c r="BI357" s="56"/>
      <c r="BJ357" s="56"/>
      <c r="BK357" s="56"/>
      <c r="BS357" s="144"/>
      <c r="CM357" s="144"/>
      <c r="DC357" s="144"/>
    </row>
    <row r="358" spans="1:107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1"/>
      <c r="M358" s="10"/>
      <c r="N358" s="56"/>
      <c r="O358" s="56"/>
      <c r="P358" s="10"/>
      <c r="Q358" s="158"/>
      <c r="R358" s="174"/>
      <c r="S358" s="164"/>
      <c r="T358" s="56"/>
      <c r="U358" s="56"/>
      <c r="V358" s="56"/>
      <c r="W358" s="158"/>
      <c r="X358" s="174"/>
      <c r="Y358" s="168"/>
      <c r="Z358" s="10"/>
      <c r="AA358" s="56"/>
      <c r="AB358" s="56"/>
      <c r="AC358" s="56"/>
      <c r="AD358" s="56"/>
      <c r="AE358" s="56"/>
      <c r="AF358" s="170"/>
      <c r="AG358" s="56"/>
      <c r="AH358" s="56"/>
      <c r="AI358" s="168"/>
      <c r="AJ358" s="56"/>
      <c r="AK358" s="56"/>
      <c r="AL358" s="56"/>
      <c r="AM358" s="56"/>
      <c r="AN358" s="56"/>
      <c r="AO358" s="56"/>
      <c r="AP358" s="56"/>
      <c r="AQ358" s="56"/>
      <c r="AR358" s="168"/>
      <c r="AS358" s="56"/>
      <c r="AT358" s="56"/>
      <c r="AU358" s="56"/>
      <c r="AV358" s="56"/>
      <c r="AW358" s="56"/>
      <c r="AX358" s="56"/>
      <c r="AY358" s="56"/>
      <c r="AZ358" s="56"/>
      <c r="BA358" s="168"/>
      <c r="BB358" s="56"/>
      <c r="BC358" s="56"/>
      <c r="BD358" s="56"/>
      <c r="BE358" s="168"/>
      <c r="BF358" s="56"/>
      <c r="BG358" s="10"/>
      <c r="BH358" s="56"/>
      <c r="BI358" s="56"/>
      <c r="BJ358" s="56"/>
      <c r="BK358" s="56"/>
      <c r="BS358" s="144"/>
      <c r="CM358" s="144"/>
      <c r="DC358" s="144"/>
    </row>
    <row r="359" spans="1:107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1"/>
      <c r="M359" s="10"/>
      <c r="N359" s="56"/>
      <c r="O359" s="56"/>
      <c r="P359" s="10"/>
      <c r="Q359" s="158"/>
      <c r="R359" s="174"/>
      <c r="S359" s="164"/>
      <c r="T359" s="56"/>
      <c r="U359" s="56"/>
      <c r="V359" s="56"/>
      <c r="W359" s="158"/>
      <c r="X359" s="174"/>
      <c r="Y359" s="168"/>
      <c r="Z359" s="10"/>
      <c r="AA359" s="56"/>
      <c r="AB359" s="56"/>
      <c r="AC359" s="56"/>
      <c r="AD359" s="56"/>
      <c r="AE359" s="56"/>
      <c r="AF359" s="170"/>
      <c r="AG359" s="56"/>
      <c r="AH359" s="56"/>
      <c r="AI359" s="168"/>
      <c r="AJ359" s="56"/>
      <c r="AK359" s="56"/>
      <c r="AL359" s="56"/>
      <c r="AM359" s="56"/>
      <c r="AN359" s="56"/>
      <c r="AO359" s="56"/>
      <c r="AP359" s="56"/>
      <c r="AQ359" s="56"/>
      <c r="AR359" s="168"/>
      <c r="AS359" s="56"/>
      <c r="AT359" s="56"/>
      <c r="AU359" s="56"/>
      <c r="AV359" s="56"/>
      <c r="AW359" s="56"/>
      <c r="AX359" s="56"/>
      <c r="AY359" s="56"/>
      <c r="AZ359" s="56"/>
      <c r="BA359" s="168"/>
      <c r="BB359" s="56"/>
      <c r="BC359" s="56"/>
      <c r="BD359" s="56"/>
      <c r="BE359" s="168"/>
      <c r="BF359" s="56"/>
      <c r="BG359" s="10"/>
      <c r="BH359" s="56"/>
      <c r="BI359" s="56"/>
      <c r="BJ359" s="56"/>
      <c r="BK359" s="56"/>
      <c r="BS359" s="144"/>
      <c r="CM359" s="144"/>
      <c r="DC359" s="144"/>
    </row>
    <row r="360" spans="1:107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1"/>
      <c r="M360" s="10"/>
      <c r="N360" s="56"/>
      <c r="O360" s="56"/>
      <c r="P360" s="10"/>
      <c r="Q360" s="158"/>
      <c r="R360" s="174"/>
      <c r="S360" s="164"/>
      <c r="T360" s="56"/>
      <c r="U360" s="56"/>
      <c r="V360" s="56"/>
      <c r="W360" s="158"/>
      <c r="X360" s="174"/>
      <c r="Y360" s="168"/>
      <c r="Z360" s="10"/>
      <c r="AA360" s="56"/>
      <c r="AB360" s="56"/>
      <c r="AC360" s="56"/>
      <c r="AD360" s="56"/>
      <c r="AE360" s="56"/>
      <c r="AF360" s="170"/>
      <c r="AG360" s="56"/>
      <c r="AH360" s="56"/>
      <c r="AI360" s="168"/>
      <c r="AJ360" s="56"/>
      <c r="AK360" s="56"/>
      <c r="AL360" s="56"/>
      <c r="AM360" s="56"/>
      <c r="AN360" s="56"/>
      <c r="AO360" s="56"/>
      <c r="AP360" s="56"/>
      <c r="AQ360" s="56"/>
      <c r="AR360" s="168"/>
      <c r="AS360" s="56"/>
      <c r="AT360" s="56"/>
      <c r="AU360" s="56"/>
      <c r="AV360" s="56"/>
      <c r="AW360" s="56"/>
      <c r="AX360" s="56"/>
      <c r="AY360" s="56"/>
      <c r="AZ360" s="56"/>
      <c r="BA360" s="168"/>
      <c r="BB360" s="56"/>
      <c r="BC360" s="56"/>
      <c r="BD360" s="56"/>
      <c r="BE360" s="168"/>
      <c r="BF360" s="56"/>
      <c r="BG360" s="10"/>
      <c r="BH360" s="56"/>
      <c r="BI360" s="56"/>
      <c r="BJ360" s="56"/>
      <c r="BK360" s="56"/>
      <c r="BS360" s="144"/>
      <c r="CM360" s="144"/>
      <c r="DC360" s="144"/>
    </row>
    <row r="361" spans="1:107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1"/>
      <c r="M361" s="10"/>
      <c r="N361" s="56"/>
      <c r="O361" s="56"/>
      <c r="P361" s="10"/>
      <c r="Q361" s="158"/>
      <c r="R361" s="174"/>
      <c r="S361" s="164"/>
      <c r="T361" s="56"/>
      <c r="U361" s="56"/>
      <c r="V361" s="56"/>
      <c r="W361" s="158"/>
      <c r="X361" s="174"/>
      <c r="Y361" s="168"/>
      <c r="Z361" s="10"/>
      <c r="AA361" s="56"/>
      <c r="AB361" s="56"/>
      <c r="AC361" s="56"/>
      <c r="AD361" s="56"/>
      <c r="AE361" s="56"/>
      <c r="AF361" s="170"/>
      <c r="AG361" s="56"/>
      <c r="AH361" s="56"/>
      <c r="AI361" s="168"/>
      <c r="AJ361" s="56"/>
      <c r="AK361" s="56"/>
      <c r="AL361" s="56"/>
      <c r="AM361" s="56"/>
      <c r="AN361" s="56"/>
      <c r="AO361" s="56"/>
      <c r="AP361" s="56"/>
      <c r="AQ361" s="56"/>
      <c r="AR361" s="168"/>
      <c r="AS361" s="56"/>
      <c r="AT361" s="56"/>
      <c r="AU361" s="56"/>
      <c r="AV361" s="56"/>
      <c r="AW361" s="56"/>
      <c r="AX361" s="56"/>
      <c r="AY361" s="56"/>
      <c r="AZ361" s="56"/>
      <c r="BA361" s="168"/>
      <c r="BB361" s="56"/>
      <c r="BC361" s="56"/>
      <c r="BD361" s="56"/>
      <c r="BE361" s="168"/>
      <c r="BF361" s="56"/>
      <c r="BG361" s="10"/>
      <c r="BH361" s="56"/>
      <c r="BI361" s="56"/>
      <c r="BJ361" s="56"/>
      <c r="BK361" s="56"/>
      <c r="BS361" s="144"/>
      <c r="CM361" s="144"/>
      <c r="DC361" s="144"/>
    </row>
    <row r="362" spans="1:107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1"/>
      <c r="M362" s="10"/>
      <c r="N362" s="56"/>
      <c r="O362" s="56"/>
      <c r="P362" s="10"/>
      <c r="Q362" s="158"/>
      <c r="R362" s="174"/>
      <c r="S362" s="164"/>
      <c r="T362" s="56"/>
      <c r="U362" s="56"/>
      <c r="V362" s="56"/>
      <c r="W362" s="158"/>
      <c r="X362" s="174"/>
      <c r="Y362" s="168"/>
      <c r="Z362" s="10"/>
      <c r="AA362" s="56"/>
      <c r="AB362" s="56"/>
      <c r="AC362" s="56"/>
      <c r="AD362" s="56"/>
      <c r="AE362" s="56"/>
      <c r="AF362" s="170"/>
      <c r="AG362" s="56"/>
      <c r="AH362" s="56"/>
      <c r="AI362" s="168"/>
      <c r="AJ362" s="56"/>
      <c r="AK362" s="56"/>
      <c r="AL362" s="56"/>
      <c r="AM362" s="56"/>
      <c r="AN362" s="56"/>
      <c r="AO362" s="56"/>
      <c r="AP362" s="56"/>
      <c r="AQ362" s="56"/>
      <c r="AR362" s="168"/>
      <c r="AS362" s="56"/>
      <c r="AT362" s="56"/>
      <c r="AU362" s="56"/>
      <c r="AV362" s="56"/>
      <c r="AW362" s="56"/>
      <c r="AX362" s="56"/>
      <c r="AY362" s="56"/>
      <c r="AZ362" s="56"/>
      <c r="BA362" s="168"/>
      <c r="BB362" s="56"/>
      <c r="BC362" s="56"/>
      <c r="BD362" s="56"/>
      <c r="BE362" s="168"/>
      <c r="BF362" s="56"/>
      <c r="BG362" s="10"/>
      <c r="BH362" s="56"/>
      <c r="BI362" s="56"/>
      <c r="BJ362" s="56"/>
      <c r="BK362" s="56"/>
      <c r="BS362" s="144"/>
      <c r="CM362" s="144"/>
      <c r="DC362" s="144"/>
    </row>
    <row r="363" spans="1:107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1"/>
      <c r="M363" s="10"/>
      <c r="N363" s="56"/>
      <c r="O363" s="56"/>
      <c r="P363" s="10"/>
      <c r="Q363" s="158"/>
      <c r="R363" s="174"/>
      <c r="S363" s="164"/>
      <c r="T363" s="56"/>
      <c r="U363" s="56"/>
      <c r="V363" s="56"/>
      <c r="W363" s="158"/>
      <c r="X363" s="174"/>
      <c r="Y363" s="168"/>
      <c r="Z363" s="10"/>
      <c r="AA363" s="56"/>
      <c r="AB363" s="56"/>
      <c r="AC363" s="56"/>
      <c r="AD363" s="56"/>
      <c r="AE363" s="56"/>
      <c r="AF363" s="170"/>
      <c r="AG363" s="56"/>
      <c r="AH363" s="56"/>
      <c r="AI363" s="168"/>
      <c r="AJ363" s="56"/>
      <c r="AK363" s="56"/>
      <c r="AL363" s="56"/>
      <c r="AM363" s="56"/>
      <c r="AN363" s="56"/>
      <c r="AO363" s="56"/>
      <c r="AP363" s="56"/>
      <c r="AQ363" s="56"/>
      <c r="AR363" s="168"/>
      <c r="AS363" s="56"/>
      <c r="AT363" s="56"/>
      <c r="AU363" s="56"/>
      <c r="AV363" s="56"/>
      <c r="AW363" s="56"/>
      <c r="AX363" s="56"/>
      <c r="AY363" s="56"/>
      <c r="AZ363" s="56"/>
      <c r="BA363" s="168"/>
      <c r="BB363" s="56"/>
      <c r="BC363" s="56"/>
      <c r="BD363" s="56"/>
      <c r="BE363" s="168"/>
      <c r="BF363" s="56"/>
      <c r="BG363" s="10"/>
      <c r="BH363" s="56"/>
      <c r="BI363" s="56"/>
      <c r="BJ363" s="56"/>
      <c r="BK363" s="56"/>
      <c r="BS363" s="144"/>
      <c r="CM363" s="144"/>
      <c r="DC363" s="144"/>
    </row>
    <row r="364" spans="1:107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1"/>
      <c r="M364" s="10"/>
      <c r="N364" s="56"/>
      <c r="O364" s="56"/>
      <c r="P364" s="10"/>
      <c r="Q364" s="158"/>
      <c r="R364" s="174"/>
      <c r="S364" s="164"/>
      <c r="T364" s="56"/>
      <c r="U364" s="56"/>
      <c r="V364" s="56"/>
      <c r="W364" s="158"/>
      <c r="X364" s="174"/>
      <c r="Y364" s="168"/>
      <c r="Z364" s="10"/>
      <c r="AA364" s="56"/>
      <c r="AB364" s="56"/>
      <c r="AC364" s="56"/>
      <c r="AD364" s="56"/>
      <c r="AE364" s="56"/>
      <c r="AF364" s="170"/>
      <c r="AG364" s="56"/>
      <c r="AH364" s="56"/>
      <c r="AI364" s="168"/>
      <c r="AJ364" s="56"/>
      <c r="AK364" s="56"/>
      <c r="AL364" s="56"/>
      <c r="AM364" s="56"/>
      <c r="AN364" s="56"/>
      <c r="AO364" s="56"/>
      <c r="AP364" s="56"/>
      <c r="AQ364" s="56"/>
      <c r="AR364" s="168"/>
      <c r="AS364" s="56"/>
      <c r="AT364" s="56"/>
      <c r="AU364" s="56"/>
      <c r="AV364" s="56"/>
      <c r="AW364" s="56"/>
      <c r="AX364" s="56"/>
      <c r="AY364" s="56"/>
      <c r="AZ364" s="56"/>
      <c r="BA364" s="168"/>
      <c r="BB364" s="56"/>
      <c r="BC364" s="56"/>
      <c r="BD364" s="56"/>
      <c r="BE364" s="168"/>
      <c r="BF364" s="56"/>
      <c r="BG364" s="10"/>
      <c r="BH364" s="56"/>
      <c r="BI364" s="56"/>
      <c r="BJ364" s="56"/>
      <c r="BK364" s="56"/>
      <c r="BS364" s="144"/>
      <c r="CM364" s="144"/>
      <c r="DC364" s="144"/>
    </row>
    <row r="365" spans="1:107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1"/>
      <c r="M365" s="10"/>
      <c r="N365" s="56"/>
      <c r="O365" s="56"/>
      <c r="P365" s="10"/>
      <c r="Q365" s="158"/>
      <c r="R365" s="174"/>
      <c r="S365" s="164"/>
      <c r="T365" s="56"/>
      <c r="U365" s="56"/>
      <c r="V365" s="56"/>
      <c r="W365" s="158"/>
      <c r="X365" s="174"/>
      <c r="Y365" s="168"/>
      <c r="Z365" s="10"/>
      <c r="AA365" s="56"/>
      <c r="AB365" s="56"/>
      <c r="AC365" s="56"/>
      <c r="AD365" s="56"/>
      <c r="AE365" s="56"/>
      <c r="AF365" s="170"/>
      <c r="AG365" s="56"/>
      <c r="AH365" s="56"/>
      <c r="AI365" s="168"/>
      <c r="AJ365" s="56"/>
      <c r="AK365" s="56"/>
      <c r="AL365" s="56"/>
      <c r="AM365" s="56"/>
      <c r="AN365" s="56"/>
      <c r="AO365" s="56"/>
      <c r="AP365" s="56"/>
      <c r="AQ365" s="56"/>
      <c r="AR365" s="168"/>
      <c r="AS365" s="56"/>
      <c r="AT365" s="56"/>
      <c r="AU365" s="56"/>
      <c r="AV365" s="56"/>
      <c r="AW365" s="56"/>
      <c r="AX365" s="56"/>
      <c r="AY365" s="56"/>
      <c r="AZ365" s="56"/>
      <c r="BA365" s="168"/>
      <c r="BB365" s="56"/>
      <c r="BC365" s="56"/>
      <c r="BD365" s="56"/>
      <c r="BE365" s="168"/>
      <c r="BF365" s="56"/>
      <c r="BG365" s="10"/>
      <c r="BH365" s="56"/>
      <c r="BI365" s="56"/>
      <c r="BJ365" s="56"/>
      <c r="BK365" s="56"/>
      <c r="BS365" s="144"/>
      <c r="CM365" s="144"/>
      <c r="DC365" s="144"/>
    </row>
    <row r="366" spans="1:107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1"/>
      <c r="M366" s="10"/>
      <c r="N366" s="56"/>
      <c r="O366" s="56"/>
      <c r="P366" s="10"/>
      <c r="Q366" s="158"/>
      <c r="R366" s="174"/>
      <c r="S366" s="164"/>
      <c r="T366" s="56"/>
      <c r="U366" s="56"/>
      <c r="V366" s="56"/>
      <c r="W366" s="158"/>
      <c r="X366" s="174"/>
      <c r="Y366" s="168"/>
      <c r="Z366" s="10"/>
      <c r="AA366" s="56"/>
      <c r="AB366" s="56"/>
      <c r="AC366" s="56"/>
      <c r="AD366" s="56"/>
      <c r="AE366" s="56"/>
      <c r="AF366" s="170"/>
      <c r="AG366" s="56"/>
      <c r="AH366" s="56"/>
      <c r="AI366" s="168"/>
      <c r="AJ366" s="56"/>
      <c r="AK366" s="56"/>
      <c r="AL366" s="56"/>
      <c r="AM366" s="56"/>
      <c r="AN366" s="56"/>
      <c r="AO366" s="56"/>
      <c r="AP366" s="56"/>
      <c r="AQ366" s="56"/>
      <c r="AR366" s="168"/>
      <c r="AS366" s="56"/>
      <c r="AT366" s="56"/>
      <c r="AU366" s="56"/>
      <c r="AV366" s="56"/>
      <c r="AW366" s="56"/>
      <c r="AX366" s="56"/>
      <c r="AY366" s="56"/>
      <c r="AZ366" s="56"/>
      <c r="BA366" s="168"/>
      <c r="BB366" s="56"/>
      <c r="BC366" s="56"/>
      <c r="BD366" s="56"/>
      <c r="BE366" s="168"/>
      <c r="BF366" s="56"/>
      <c r="BG366" s="10"/>
      <c r="BH366" s="56"/>
      <c r="BI366" s="56"/>
      <c r="BJ366" s="56"/>
      <c r="BK366" s="56"/>
      <c r="BS366" s="144"/>
      <c r="CM366" s="144"/>
      <c r="DC366" s="144"/>
    </row>
    <row r="367" spans="1:107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1"/>
      <c r="M367" s="10"/>
      <c r="N367" s="56"/>
      <c r="O367" s="56"/>
      <c r="P367" s="10"/>
      <c r="Q367" s="158"/>
      <c r="R367" s="174"/>
      <c r="S367" s="164"/>
      <c r="T367" s="56"/>
      <c r="U367" s="56"/>
      <c r="V367" s="56"/>
      <c r="W367" s="158"/>
      <c r="X367" s="174"/>
      <c r="Y367" s="168"/>
      <c r="Z367" s="10"/>
      <c r="AA367" s="56"/>
      <c r="AB367" s="56"/>
      <c r="AC367" s="56"/>
      <c r="AD367" s="56"/>
      <c r="AE367" s="56"/>
      <c r="AF367" s="170"/>
      <c r="AG367" s="56"/>
      <c r="AH367" s="56"/>
      <c r="AI367" s="168"/>
      <c r="AJ367" s="56"/>
      <c r="AK367" s="56"/>
      <c r="AL367" s="56"/>
      <c r="AM367" s="56"/>
      <c r="AN367" s="56"/>
      <c r="AO367" s="56"/>
      <c r="AP367" s="56"/>
      <c r="AQ367" s="56"/>
      <c r="AR367" s="168"/>
      <c r="AS367" s="56"/>
      <c r="AT367" s="56"/>
      <c r="AU367" s="56"/>
      <c r="AV367" s="56"/>
      <c r="AW367" s="56"/>
      <c r="AX367" s="56"/>
      <c r="AY367" s="56"/>
      <c r="AZ367" s="56"/>
      <c r="BA367" s="168"/>
      <c r="BB367" s="56"/>
      <c r="BC367" s="56"/>
      <c r="BD367" s="56"/>
      <c r="BE367" s="168"/>
      <c r="BF367" s="56"/>
      <c r="BG367" s="10"/>
      <c r="BH367" s="56"/>
      <c r="BI367" s="56"/>
      <c r="BJ367" s="56"/>
      <c r="BK367" s="56"/>
      <c r="BS367" s="144"/>
      <c r="CM367" s="144"/>
      <c r="DC367" s="144"/>
    </row>
    <row r="368" spans="1:107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1"/>
      <c r="M368" s="10"/>
      <c r="N368" s="56"/>
      <c r="O368" s="56"/>
      <c r="P368" s="10"/>
      <c r="Q368" s="158"/>
      <c r="R368" s="174"/>
      <c r="S368" s="164"/>
      <c r="T368" s="56"/>
      <c r="U368" s="56"/>
      <c r="V368" s="56"/>
      <c r="W368" s="158"/>
      <c r="X368" s="174"/>
      <c r="Y368" s="168"/>
      <c r="Z368" s="10"/>
      <c r="AA368" s="56"/>
      <c r="AB368" s="56"/>
      <c r="AC368" s="56"/>
      <c r="AD368" s="56"/>
      <c r="AE368" s="56"/>
      <c r="AF368" s="170"/>
      <c r="AG368" s="56"/>
      <c r="AH368" s="56"/>
      <c r="AI368" s="168"/>
      <c r="AJ368" s="56"/>
      <c r="AK368" s="56"/>
      <c r="AL368" s="56"/>
      <c r="AM368" s="56"/>
      <c r="AN368" s="56"/>
      <c r="AO368" s="56"/>
      <c r="AP368" s="56"/>
      <c r="AQ368" s="56"/>
      <c r="AR368" s="168"/>
      <c r="AS368" s="56"/>
      <c r="AT368" s="56"/>
      <c r="AU368" s="56"/>
      <c r="AV368" s="56"/>
      <c r="AW368" s="56"/>
      <c r="AX368" s="56"/>
      <c r="AY368" s="56"/>
      <c r="AZ368" s="56"/>
      <c r="BA368" s="168"/>
      <c r="BB368" s="56"/>
      <c r="BC368" s="56"/>
      <c r="BD368" s="56"/>
      <c r="BE368" s="168"/>
      <c r="BF368" s="56"/>
      <c r="BG368" s="10"/>
      <c r="BH368" s="56"/>
      <c r="BI368" s="56"/>
      <c r="BJ368" s="56"/>
      <c r="BK368" s="56"/>
      <c r="BS368" s="144"/>
      <c r="CM368" s="144"/>
      <c r="DC368" s="144"/>
    </row>
    <row r="369" spans="1:107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1"/>
      <c r="M369" s="10"/>
      <c r="N369" s="56"/>
      <c r="O369" s="56"/>
      <c r="P369" s="10"/>
      <c r="Q369" s="158"/>
      <c r="R369" s="174"/>
      <c r="S369" s="164"/>
      <c r="T369" s="56"/>
      <c r="U369" s="56"/>
      <c r="V369" s="56"/>
      <c r="W369" s="158"/>
      <c r="X369" s="174"/>
      <c r="Y369" s="168"/>
      <c r="Z369" s="10"/>
      <c r="AA369" s="56"/>
      <c r="AB369" s="56"/>
      <c r="AC369" s="56"/>
      <c r="AD369" s="56"/>
      <c r="AE369" s="56"/>
      <c r="AF369" s="170"/>
      <c r="AG369" s="56"/>
      <c r="AH369" s="56"/>
      <c r="AI369" s="168"/>
      <c r="AJ369" s="56"/>
      <c r="AK369" s="56"/>
      <c r="AL369" s="56"/>
      <c r="AM369" s="56"/>
      <c r="AN369" s="56"/>
      <c r="AO369" s="56"/>
      <c r="AP369" s="56"/>
      <c r="AQ369" s="56"/>
      <c r="AR369" s="168"/>
      <c r="AS369" s="56"/>
      <c r="AT369" s="56"/>
      <c r="AU369" s="56"/>
      <c r="AV369" s="56"/>
      <c r="AW369" s="56"/>
      <c r="AX369" s="56"/>
      <c r="AY369" s="56"/>
      <c r="AZ369" s="56"/>
      <c r="BA369" s="168"/>
      <c r="BB369" s="56"/>
      <c r="BC369" s="56"/>
      <c r="BD369" s="56"/>
      <c r="BE369" s="168"/>
      <c r="BF369" s="56"/>
      <c r="BG369" s="10"/>
      <c r="BH369" s="56"/>
      <c r="BI369" s="56"/>
      <c r="BJ369" s="56"/>
      <c r="BK369" s="56"/>
      <c r="BS369" s="144"/>
      <c r="CM369" s="144"/>
      <c r="DC369" s="144"/>
    </row>
    <row r="370" spans="1:107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1"/>
      <c r="M370" s="10"/>
      <c r="N370" s="56"/>
      <c r="O370" s="56"/>
      <c r="P370" s="10"/>
      <c r="Q370" s="158"/>
      <c r="R370" s="174"/>
      <c r="S370" s="164"/>
      <c r="T370" s="56"/>
      <c r="U370" s="56"/>
      <c r="V370" s="56"/>
      <c r="W370" s="158"/>
      <c r="X370" s="174"/>
      <c r="Y370" s="168"/>
      <c r="Z370" s="10"/>
      <c r="AA370" s="56"/>
      <c r="AB370" s="56"/>
      <c r="AC370" s="56"/>
      <c r="AD370" s="56"/>
      <c r="AE370" s="56"/>
      <c r="AF370" s="170"/>
      <c r="AG370" s="56"/>
      <c r="AH370" s="56"/>
      <c r="AI370" s="168"/>
      <c r="AJ370" s="56"/>
      <c r="AK370" s="56"/>
      <c r="AL370" s="56"/>
      <c r="AM370" s="56"/>
      <c r="AN370" s="56"/>
      <c r="AO370" s="56"/>
      <c r="AP370" s="56"/>
      <c r="AQ370" s="56"/>
      <c r="AR370" s="168"/>
      <c r="AS370" s="56"/>
      <c r="AT370" s="56"/>
      <c r="AU370" s="56"/>
      <c r="AV370" s="56"/>
      <c r="AW370" s="56"/>
      <c r="AX370" s="56"/>
      <c r="AY370" s="56"/>
      <c r="AZ370" s="56"/>
      <c r="BA370" s="168"/>
      <c r="BB370" s="56"/>
      <c r="BC370" s="56"/>
      <c r="BD370" s="56"/>
      <c r="BE370" s="168"/>
      <c r="BF370" s="56"/>
      <c r="BG370" s="10"/>
      <c r="BH370" s="56"/>
      <c r="BI370" s="56"/>
      <c r="BJ370" s="56"/>
      <c r="BK370" s="56"/>
      <c r="BS370" s="144"/>
      <c r="CM370" s="144"/>
      <c r="DC370" s="144"/>
    </row>
    <row r="371" spans="1:107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1"/>
      <c r="M371" s="10"/>
      <c r="N371" s="56"/>
      <c r="O371" s="56"/>
      <c r="P371" s="10"/>
      <c r="Q371" s="158"/>
      <c r="R371" s="174"/>
      <c r="S371" s="164"/>
      <c r="T371" s="56"/>
      <c r="U371" s="56"/>
      <c r="V371" s="56"/>
      <c r="W371" s="158"/>
      <c r="X371" s="174"/>
      <c r="Y371" s="168"/>
      <c r="Z371" s="10"/>
      <c r="AA371" s="56"/>
      <c r="AB371" s="56"/>
      <c r="AC371" s="56"/>
      <c r="AD371" s="56"/>
      <c r="AE371" s="56"/>
      <c r="AF371" s="170"/>
      <c r="AG371" s="56"/>
      <c r="AH371" s="56"/>
      <c r="AI371" s="168"/>
      <c r="AJ371" s="56"/>
      <c r="AK371" s="56"/>
      <c r="AL371" s="56"/>
      <c r="AM371" s="56"/>
      <c r="AN371" s="56"/>
      <c r="AO371" s="56"/>
      <c r="AP371" s="56"/>
      <c r="AQ371" s="56"/>
      <c r="AR371" s="168"/>
      <c r="AS371" s="56"/>
      <c r="AT371" s="56"/>
      <c r="AU371" s="56"/>
      <c r="AV371" s="56"/>
      <c r="AW371" s="56"/>
      <c r="AX371" s="56"/>
      <c r="AY371" s="56"/>
      <c r="AZ371" s="56"/>
      <c r="BA371" s="168"/>
      <c r="BB371" s="56"/>
      <c r="BC371" s="56"/>
      <c r="BD371" s="56"/>
      <c r="BE371" s="168"/>
      <c r="BF371" s="56"/>
      <c r="BG371" s="10"/>
      <c r="BH371" s="56"/>
      <c r="BI371" s="56"/>
      <c r="BJ371" s="56"/>
      <c r="BK371" s="56"/>
      <c r="BS371" s="144"/>
      <c r="CM371" s="144"/>
      <c r="DC371" s="144"/>
    </row>
    <row r="372" spans="1:107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1"/>
      <c r="M372" s="10"/>
      <c r="N372" s="56"/>
      <c r="O372" s="56"/>
      <c r="P372" s="10"/>
      <c r="Q372" s="158"/>
      <c r="R372" s="174"/>
      <c r="S372" s="164"/>
      <c r="T372" s="56"/>
      <c r="U372" s="56"/>
      <c r="V372" s="56"/>
      <c r="W372" s="158"/>
      <c r="X372" s="174"/>
      <c r="Y372" s="168"/>
      <c r="Z372" s="10"/>
      <c r="AA372" s="56"/>
      <c r="AB372" s="56"/>
      <c r="AC372" s="56"/>
      <c r="AD372" s="56"/>
      <c r="AE372" s="56"/>
      <c r="AF372" s="170"/>
      <c r="AG372" s="56"/>
      <c r="AH372" s="56"/>
      <c r="AI372" s="168"/>
      <c r="AJ372" s="56"/>
      <c r="AK372" s="56"/>
      <c r="AL372" s="56"/>
      <c r="AM372" s="56"/>
      <c r="AN372" s="56"/>
      <c r="AO372" s="56"/>
      <c r="AP372" s="56"/>
      <c r="AQ372" s="56"/>
      <c r="AR372" s="168"/>
      <c r="AS372" s="56"/>
      <c r="AT372" s="56"/>
      <c r="AU372" s="56"/>
      <c r="AV372" s="56"/>
      <c r="AW372" s="56"/>
      <c r="AX372" s="56"/>
      <c r="AY372" s="56"/>
      <c r="AZ372" s="56"/>
      <c r="BA372" s="168"/>
      <c r="BB372" s="56"/>
      <c r="BC372" s="56"/>
      <c r="BD372" s="56"/>
      <c r="BE372" s="168"/>
      <c r="BF372" s="56"/>
      <c r="BG372" s="10"/>
      <c r="BH372" s="56"/>
      <c r="BI372" s="56"/>
      <c r="BJ372" s="56"/>
      <c r="BK372" s="56"/>
      <c r="BS372" s="144"/>
      <c r="CM372" s="144"/>
      <c r="DC372" s="144"/>
    </row>
    <row r="373" spans="1:107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1"/>
      <c r="M373" s="10"/>
      <c r="N373" s="56"/>
      <c r="O373" s="56"/>
      <c r="P373" s="10"/>
      <c r="Q373" s="158"/>
      <c r="R373" s="174"/>
      <c r="S373" s="164"/>
      <c r="T373" s="56"/>
      <c r="U373" s="56"/>
      <c r="V373" s="56"/>
      <c r="W373" s="158"/>
      <c r="X373" s="174"/>
      <c r="Y373" s="168"/>
      <c r="Z373" s="10"/>
      <c r="AA373" s="56"/>
      <c r="AB373" s="56"/>
      <c r="AC373" s="56"/>
      <c r="AD373" s="56"/>
      <c r="AE373" s="56"/>
      <c r="AF373" s="170"/>
      <c r="AG373" s="56"/>
      <c r="AH373" s="56"/>
      <c r="AI373" s="168"/>
      <c r="AJ373" s="56"/>
      <c r="AK373" s="56"/>
      <c r="AL373" s="56"/>
      <c r="AM373" s="56"/>
      <c r="AN373" s="56"/>
      <c r="AO373" s="56"/>
      <c r="AP373" s="56"/>
      <c r="AQ373" s="56"/>
      <c r="AR373" s="168"/>
      <c r="AS373" s="56"/>
      <c r="AT373" s="56"/>
      <c r="AU373" s="56"/>
      <c r="AV373" s="56"/>
      <c r="AW373" s="56"/>
      <c r="AX373" s="56"/>
      <c r="AY373" s="56"/>
      <c r="AZ373" s="56"/>
      <c r="BA373" s="168"/>
      <c r="BB373" s="56"/>
      <c r="BC373" s="56"/>
      <c r="BD373" s="56"/>
      <c r="BE373" s="168"/>
      <c r="BF373" s="56"/>
      <c r="BG373" s="10"/>
      <c r="BH373" s="56"/>
      <c r="BI373" s="56"/>
      <c r="BJ373" s="56"/>
      <c r="BK373" s="56"/>
      <c r="BS373" s="144"/>
      <c r="CM373" s="144"/>
      <c r="DC373" s="144"/>
    </row>
    <row r="374" spans="1:107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1"/>
      <c r="M374" s="10"/>
      <c r="N374" s="56"/>
      <c r="O374" s="56"/>
      <c r="P374" s="10"/>
      <c r="Q374" s="158"/>
      <c r="R374" s="174"/>
      <c r="S374" s="164"/>
      <c r="T374" s="56"/>
      <c r="U374" s="56"/>
      <c r="V374" s="56"/>
      <c r="W374" s="158"/>
      <c r="X374" s="174"/>
      <c r="Y374" s="168"/>
      <c r="Z374" s="10"/>
      <c r="AA374" s="56"/>
      <c r="AB374" s="56"/>
      <c r="AC374" s="56"/>
      <c r="AD374" s="56"/>
      <c r="AE374" s="56"/>
      <c r="AF374" s="170"/>
      <c r="AG374" s="56"/>
      <c r="AH374" s="56"/>
      <c r="AI374" s="168"/>
      <c r="AJ374" s="56"/>
      <c r="AK374" s="56"/>
      <c r="AL374" s="56"/>
      <c r="AM374" s="56"/>
      <c r="AN374" s="56"/>
      <c r="AO374" s="56"/>
      <c r="AP374" s="56"/>
      <c r="AQ374" s="56"/>
      <c r="AR374" s="168"/>
      <c r="AS374" s="56"/>
      <c r="AT374" s="56"/>
      <c r="AU374" s="56"/>
      <c r="AV374" s="56"/>
      <c r="AW374" s="56"/>
      <c r="AX374" s="56"/>
      <c r="AY374" s="56"/>
      <c r="AZ374" s="56"/>
      <c r="BA374" s="168"/>
      <c r="BB374" s="56"/>
      <c r="BC374" s="56"/>
      <c r="BD374" s="56"/>
      <c r="BE374" s="168"/>
      <c r="BF374" s="56"/>
      <c r="BG374" s="10"/>
      <c r="BH374" s="56"/>
      <c r="BI374" s="56"/>
      <c r="BJ374" s="56"/>
      <c r="BK374" s="56"/>
      <c r="BS374" s="144"/>
      <c r="CM374" s="144"/>
      <c r="DC374" s="144"/>
    </row>
    <row r="375" spans="1:107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1"/>
      <c r="M375" s="10"/>
      <c r="N375" s="56"/>
      <c r="O375" s="56"/>
      <c r="P375" s="10"/>
      <c r="Q375" s="158"/>
      <c r="R375" s="174"/>
      <c r="S375" s="164"/>
      <c r="T375" s="56"/>
      <c r="U375" s="56"/>
      <c r="V375" s="56"/>
      <c r="W375" s="158"/>
      <c r="X375" s="174"/>
      <c r="Y375" s="168"/>
      <c r="Z375" s="10"/>
      <c r="AA375" s="56"/>
      <c r="AB375" s="56"/>
      <c r="AC375" s="56"/>
      <c r="AD375" s="56"/>
      <c r="AE375" s="56"/>
      <c r="AF375" s="170"/>
      <c r="AG375" s="56"/>
      <c r="AH375" s="56"/>
      <c r="AI375" s="168"/>
      <c r="AJ375" s="56"/>
      <c r="AK375" s="56"/>
      <c r="AL375" s="56"/>
      <c r="AM375" s="56"/>
      <c r="AN375" s="56"/>
      <c r="AO375" s="56"/>
      <c r="AP375" s="56"/>
      <c r="AQ375" s="56"/>
      <c r="AR375" s="168"/>
      <c r="AS375" s="56"/>
      <c r="AT375" s="56"/>
      <c r="AU375" s="56"/>
      <c r="AV375" s="56"/>
      <c r="AW375" s="56"/>
      <c r="AX375" s="56"/>
      <c r="AY375" s="56"/>
      <c r="AZ375" s="56"/>
      <c r="BA375" s="168"/>
      <c r="BB375" s="56"/>
      <c r="BC375" s="56"/>
      <c r="BD375" s="56"/>
      <c r="BE375" s="168"/>
      <c r="BF375" s="56"/>
      <c r="BG375" s="10"/>
      <c r="BH375" s="56"/>
      <c r="BI375" s="56"/>
      <c r="BJ375" s="56"/>
      <c r="BK375" s="56"/>
      <c r="BS375" s="144"/>
      <c r="CM375" s="144"/>
      <c r="DC375" s="144"/>
    </row>
    <row r="376" spans="1:107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1"/>
      <c r="M376" s="10"/>
      <c r="N376" s="56"/>
      <c r="O376" s="56"/>
      <c r="P376" s="10"/>
      <c r="Q376" s="158"/>
      <c r="R376" s="174"/>
      <c r="S376" s="164"/>
      <c r="T376" s="56"/>
      <c r="U376" s="56"/>
      <c r="V376" s="56"/>
      <c r="W376" s="158"/>
      <c r="X376" s="174"/>
      <c r="Y376" s="168"/>
      <c r="Z376" s="10"/>
      <c r="AA376" s="56"/>
      <c r="AB376" s="56"/>
      <c r="AC376" s="56"/>
      <c r="AD376" s="56"/>
      <c r="AE376" s="56"/>
      <c r="AF376" s="170"/>
      <c r="AG376" s="56"/>
      <c r="AH376" s="56"/>
      <c r="AI376" s="168"/>
      <c r="AJ376" s="56"/>
      <c r="AK376" s="56"/>
      <c r="AL376" s="56"/>
      <c r="AM376" s="56"/>
      <c r="AN376" s="56"/>
      <c r="AO376" s="56"/>
      <c r="AP376" s="56"/>
      <c r="AQ376" s="56"/>
      <c r="AR376" s="168"/>
      <c r="AS376" s="56"/>
      <c r="AT376" s="56"/>
      <c r="AU376" s="56"/>
      <c r="AV376" s="56"/>
      <c r="AW376" s="56"/>
      <c r="AX376" s="56"/>
      <c r="AY376" s="56"/>
      <c r="AZ376" s="56"/>
      <c r="BA376" s="168"/>
      <c r="BB376" s="56"/>
      <c r="BC376" s="56"/>
      <c r="BD376" s="56"/>
      <c r="BE376" s="168"/>
      <c r="BF376" s="56"/>
      <c r="BG376" s="10"/>
      <c r="BH376" s="56"/>
      <c r="BI376" s="56"/>
      <c r="BJ376" s="56"/>
      <c r="BK376" s="56"/>
      <c r="BS376" s="144"/>
      <c r="CM376" s="144"/>
      <c r="DC376" s="144"/>
    </row>
    <row r="377" spans="1:107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1"/>
      <c r="M377" s="10"/>
      <c r="N377" s="56"/>
      <c r="O377" s="56"/>
      <c r="P377" s="10"/>
      <c r="Q377" s="158"/>
      <c r="R377" s="174"/>
      <c r="S377" s="164"/>
      <c r="T377" s="56"/>
      <c r="U377" s="56"/>
      <c r="V377" s="56"/>
      <c r="W377" s="158"/>
      <c r="X377" s="174"/>
      <c r="Y377" s="168"/>
      <c r="Z377" s="10"/>
      <c r="AA377" s="56"/>
      <c r="AB377" s="56"/>
      <c r="AC377" s="56"/>
      <c r="AD377" s="56"/>
      <c r="AE377" s="56"/>
      <c r="AF377" s="170"/>
      <c r="AG377" s="56"/>
      <c r="AH377" s="56"/>
      <c r="AI377" s="168"/>
      <c r="AJ377" s="56"/>
      <c r="AK377" s="56"/>
      <c r="AL377" s="56"/>
      <c r="AM377" s="56"/>
      <c r="AN377" s="56"/>
      <c r="AO377" s="56"/>
      <c r="AP377" s="56"/>
      <c r="AQ377" s="56"/>
      <c r="AR377" s="168"/>
      <c r="AS377" s="56"/>
      <c r="AT377" s="56"/>
      <c r="AU377" s="56"/>
      <c r="AV377" s="56"/>
      <c r="AW377" s="56"/>
      <c r="AX377" s="56"/>
      <c r="AY377" s="56"/>
      <c r="AZ377" s="56"/>
      <c r="BA377" s="168"/>
      <c r="BB377" s="56"/>
      <c r="BC377" s="56"/>
      <c r="BD377" s="56"/>
      <c r="BE377" s="168"/>
      <c r="BF377" s="56"/>
      <c r="BG377" s="10"/>
      <c r="BH377" s="56"/>
      <c r="BI377" s="56"/>
      <c r="BJ377" s="56"/>
      <c r="BK377" s="56"/>
      <c r="BS377" s="144"/>
      <c r="CM377" s="144"/>
      <c r="DC377" s="144"/>
    </row>
    <row r="378" spans="1:107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1"/>
      <c r="M378" s="10"/>
      <c r="N378" s="56"/>
      <c r="O378" s="56"/>
      <c r="P378" s="10"/>
      <c r="Q378" s="158"/>
      <c r="R378" s="174"/>
      <c r="S378" s="164"/>
      <c r="T378" s="56"/>
      <c r="U378" s="56"/>
      <c r="V378" s="56"/>
      <c r="W378" s="158"/>
      <c r="X378" s="174"/>
      <c r="Y378" s="168"/>
      <c r="Z378" s="10"/>
      <c r="AA378" s="56"/>
      <c r="AB378" s="56"/>
      <c r="AC378" s="56"/>
      <c r="AD378" s="56"/>
      <c r="AE378" s="56"/>
      <c r="AF378" s="170"/>
      <c r="AG378" s="56"/>
      <c r="AH378" s="56"/>
      <c r="AI378" s="168"/>
      <c r="AJ378" s="56"/>
      <c r="AK378" s="56"/>
      <c r="AL378" s="56"/>
      <c r="AM378" s="56"/>
      <c r="AN378" s="56"/>
      <c r="AO378" s="56"/>
      <c r="AP378" s="56"/>
      <c r="AQ378" s="56"/>
      <c r="AR378" s="168"/>
      <c r="AS378" s="56"/>
      <c r="AT378" s="56"/>
      <c r="AU378" s="56"/>
      <c r="AV378" s="56"/>
      <c r="AW378" s="56"/>
      <c r="AX378" s="56"/>
      <c r="AY378" s="56"/>
      <c r="AZ378" s="56"/>
      <c r="BA378" s="168"/>
      <c r="BB378" s="56"/>
      <c r="BC378" s="56"/>
      <c r="BD378" s="56"/>
      <c r="BE378" s="168"/>
      <c r="BF378" s="56"/>
      <c r="BG378" s="10"/>
      <c r="BH378" s="56"/>
      <c r="BI378" s="56"/>
      <c r="BJ378" s="56"/>
      <c r="BK378" s="56"/>
      <c r="BS378" s="144"/>
      <c r="CM378" s="144"/>
      <c r="DC378" s="144"/>
    </row>
    <row r="379" spans="1:107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1"/>
      <c r="M379" s="10"/>
      <c r="N379" s="56"/>
      <c r="O379" s="56"/>
      <c r="P379" s="10"/>
      <c r="Q379" s="158"/>
      <c r="R379" s="174"/>
      <c r="S379" s="164"/>
      <c r="T379" s="56"/>
      <c r="U379" s="56"/>
      <c r="V379" s="56"/>
      <c r="W379" s="158"/>
      <c r="X379" s="174"/>
      <c r="Y379" s="168"/>
      <c r="Z379" s="10"/>
      <c r="AA379" s="56"/>
      <c r="AB379" s="56"/>
      <c r="AC379" s="56"/>
      <c r="AD379" s="56"/>
      <c r="AE379" s="56"/>
      <c r="AF379" s="170"/>
      <c r="AG379" s="56"/>
      <c r="AH379" s="56"/>
      <c r="AI379" s="168"/>
      <c r="AJ379" s="56"/>
      <c r="AK379" s="56"/>
      <c r="AL379" s="56"/>
      <c r="AM379" s="56"/>
      <c r="AN379" s="56"/>
      <c r="AO379" s="56"/>
      <c r="AP379" s="56"/>
      <c r="AQ379" s="56"/>
      <c r="AR379" s="168"/>
      <c r="AS379" s="56"/>
      <c r="AT379" s="56"/>
      <c r="AU379" s="56"/>
      <c r="AV379" s="56"/>
      <c r="AW379" s="56"/>
      <c r="AX379" s="56"/>
      <c r="AY379" s="56"/>
      <c r="AZ379" s="56"/>
      <c r="BA379" s="168"/>
      <c r="BB379" s="56"/>
      <c r="BC379" s="56"/>
      <c r="BD379" s="56"/>
      <c r="BE379" s="168"/>
      <c r="BF379" s="56"/>
      <c r="BG379" s="10"/>
      <c r="BH379" s="56"/>
      <c r="BI379" s="56"/>
      <c r="BJ379" s="56"/>
      <c r="BK379" s="56"/>
      <c r="BS379" s="144"/>
      <c r="CM379" s="144"/>
      <c r="DC379" s="144"/>
    </row>
    <row r="380" spans="1:107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1"/>
      <c r="M380" s="10"/>
      <c r="N380" s="56"/>
      <c r="O380" s="56"/>
      <c r="P380" s="10"/>
      <c r="Q380" s="158"/>
      <c r="R380" s="174"/>
      <c r="S380" s="164"/>
      <c r="T380" s="56"/>
      <c r="U380" s="56"/>
      <c r="V380" s="56"/>
      <c r="W380" s="158"/>
      <c r="X380" s="174"/>
      <c r="Y380" s="168"/>
      <c r="Z380" s="10"/>
      <c r="AA380" s="56"/>
      <c r="AB380" s="56"/>
      <c r="AC380" s="56"/>
      <c r="AD380" s="56"/>
      <c r="AE380" s="56"/>
      <c r="AF380" s="170"/>
      <c r="AG380" s="56"/>
      <c r="AH380" s="56"/>
      <c r="AI380" s="168"/>
      <c r="AJ380" s="56"/>
      <c r="AK380" s="56"/>
      <c r="AL380" s="56"/>
      <c r="AM380" s="56"/>
      <c r="AN380" s="56"/>
      <c r="AO380" s="56"/>
      <c r="AP380" s="56"/>
      <c r="AQ380" s="56"/>
      <c r="AR380" s="168"/>
      <c r="AS380" s="56"/>
      <c r="AT380" s="56"/>
      <c r="AU380" s="56"/>
      <c r="AV380" s="56"/>
      <c r="AW380" s="56"/>
      <c r="AX380" s="56"/>
      <c r="AY380" s="56"/>
      <c r="AZ380" s="56"/>
      <c r="BA380" s="168"/>
      <c r="BB380" s="56"/>
      <c r="BC380" s="56"/>
      <c r="BD380" s="56"/>
      <c r="BE380" s="168"/>
      <c r="BF380" s="56"/>
      <c r="BG380" s="10"/>
      <c r="BH380" s="56"/>
      <c r="BI380" s="56"/>
      <c r="BJ380" s="56"/>
      <c r="BK380" s="56"/>
      <c r="BS380" s="144"/>
      <c r="CM380" s="144"/>
      <c r="DC380" s="144"/>
    </row>
    <row r="381" spans="1:107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1"/>
      <c r="M381" s="10"/>
      <c r="N381" s="56"/>
      <c r="O381" s="56"/>
      <c r="P381" s="10"/>
      <c r="Q381" s="158"/>
      <c r="R381" s="174"/>
      <c r="S381" s="164"/>
      <c r="T381" s="56"/>
      <c r="U381" s="56"/>
      <c r="V381" s="56"/>
      <c r="W381" s="158"/>
      <c r="X381" s="174"/>
      <c r="Y381" s="168"/>
      <c r="Z381" s="10"/>
      <c r="AA381" s="56"/>
      <c r="AB381" s="56"/>
      <c r="AC381" s="56"/>
      <c r="AD381" s="56"/>
      <c r="AE381" s="56"/>
      <c r="AF381" s="170"/>
      <c r="AG381" s="56"/>
      <c r="AH381" s="56"/>
      <c r="AI381" s="168"/>
      <c r="AJ381" s="56"/>
      <c r="AK381" s="56"/>
      <c r="AL381" s="56"/>
      <c r="AM381" s="56"/>
      <c r="AN381" s="56"/>
      <c r="AO381" s="56"/>
      <c r="AP381" s="56"/>
      <c r="AQ381" s="56"/>
      <c r="AR381" s="168"/>
      <c r="AS381" s="56"/>
      <c r="AT381" s="56"/>
      <c r="AU381" s="56"/>
      <c r="AV381" s="56"/>
      <c r="AW381" s="56"/>
      <c r="AX381" s="56"/>
      <c r="AY381" s="56"/>
      <c r="AZ381" s="56"/>
      <c r="BA381" s="168"/>
      <c r="BB381" s="56"/>
      <c r="BC381" s="56"/>
      <c r="BD381" s="56"/>
      <c r="BE381" s="168"/>
      <c r="BF381" s="56"/>
      <c r="BG381" s="10"/>
      <c r="BH381" s="56"/>
      <c r="BI381" s="56"/>
      <c r="BJ381" s="56"/>
      <c r="BK381" s="56"/>
      <c r="BS381" s="144"/>
      <c r="CM381" s="144"/>
      <c r="DC381" s="144"/>
    </row>
    <row r="382" spans="1:107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1"/>
      <c r="M382" s="10"/>
      <c r="N382" s="56"/>
      <c r="O382" s="56"/>
      <c r="P382" s="10"/>
      <c r="Q382" s="158"/>
      <c r="R382" s="174"/>
      <c r="S382" s="164"/>
      <c r="T382" s="56"/>
      <c r="U382" s="56"/>
      <c r="V382" s="56"/>
      <c r="W382" s="158"/>
      <c r="X382" s="174"/>
      <c r="Y382" s="168"/>
      <c r="Z382" s="10"/>
      <c r="AA382" s="56"/>
      <c r="AB382" s="56"/>
      <c r="AC382" s="56"/>
      <c r="AD382" s="56"/>
      <c r="AE382" s="56"/>
      <c r="AF382" s="170"/>
      <c r="AG382" s="56"/>
      <c r="AH382" s="56"/>
      <c r="AI382" s="168"/>
      <c r="AJ382" s="56"/>
      <c r="AK382" s="56"/>
      <c r="AL382" s="56"/>
      <c r="AM382" s="56"/>
      <c r="AN382" s="56"/>
      <c r="AO382" s="56"/>
      <c r="AP382" s="56"/>
      <c r="AQ382" s="56"/>
      <c r="AR382" s="168"/>
      <c r="AS382" s="56"/>
      <c r="AT382" s="56"/>
      <c r="AU382" s="56"/>
      <c r="AV382" s="56"/>
      <c r="AW382" s="56"/>
      <c r="AX382" s="56"/>
      <c r="AY382" s="56"/>
      <c r="AZ382" s="56"/>
      <c r="BA382" s="168"/>
      <c r="BB382" s="56"/>
      <c r="BC382" s="56"/>
      <c r="BD382" s="56"/>
      <c r="BE382" s="168"/>
      <c r="BF382" s="56"/>
      <c r="BG382" s="10"/>
      <c r="BH382" s="56"/>
      <c r="BI382" s="56"/>
      <c r="BJ382" s="56"/>
      <c r="BK382" s="56"/>
      <c r="BS382" s="144"/>
      <c r="CM382" s="144"/>
      <c r="DC382" s="144"/>
    </row>
    <row r="383" spans="1:107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1"/>
      <c r="M383" s="10"/>
      <c r="N383" s="56"/>
      <c r="O383" s="56"/>
      <c r="P383" s="10"/>
      <c r="Q383" s="158"/>
      <c r="R383" s="174"/>
      <c r="S383" s="164"/>
      <c r="T383" s="56"/>
      <c r="U383" s="56"/>
      <c r="V383" s="56"/>
      <c r="W383" s="158"/>
      <c r="X383" s="174"/>
      <c r="Y383" s="168"/>
      <c r="Z383" s="10"/>
      <c r="AA383" s="56"/>
      <c r="AB383" s="56"/>
      <c r="AC383" s="56"/>
      <c r="AD383" s="56"/>
      <c r="AE383" s="56"/>
      <c r="AF383" s="170"/>
      <c r="AG383" s="56"/>
      <c r="AH383" s="56"/>
      <c r="AI383" s="168"/>
      <c r="AJ383" s="56"/>
      <c r="AK383" s="56"/>
      <c r="AL383" s="56"/>
      <c r="AM383" s="56"/>
      <c r="AN383" s="56"/>
      <c r="AO383" s="56"/>
      <c r="AP383" s="56"/>
      <c r="AQ383" s="56"/>
      <c r="AR383" s="168"/>
      <c r="AS383" s="56"/>
      <c r="AT383" s="56"/>
      <c r="AU383" s="56"/>
      <c r="AV383" s="56"/>
      <c r="AW383" s="56"/>
      <c r="AX383" s="56"/>
      <c r="AY383" s="56"/>
      <c r="AZ383" s="56"/>
      <c r="BA383" s="168"/>
      <c r="BB383" s="56"/>
      <c r="BC383" s="56"/>
      <c r="BD383" s="56"/>
      <c r="BE383" s="168"/>
      <c r="BF383" s="56"/>
      <c r="BG383" s="10"/>
      <c r="BH383" s="56"/>
      <c r="BI383" s="56"/>
      <c r="BJ383" s="56"/>
      <c r="BK383" s="56"/>
      <c r="BS383" s="144"/>
      <c r="CM383" s="144"/>
      <c r="DC383" s="144"/>
    </row>
    <row r="384" spans="1:107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1"/>
      <c r="M384" s="10"/>
      <c r="N384" s="56"/>
      <c r="O384" s="56"/>
      <c r="P384" s="10"/>
      <c r="Q384" s="158"/>
      <c r="R384" s="174"/>
      <c r="S384" s="164"/>
      <c r="T384" s="56"/>
      <c r="U384" s="56"/>
      <c r="V384" s="56"/>
      <c r="W384" s="158"/>
      <c r="X384" s="174"/>
      <c r="Y384" s="168"/>
      <c r="Z384" s="10"/>
      <c r="AA384" s="56"/>
      <c r="AB384" s="56"/>
      <c r="AC384" s="56"/>
      <c r="AD384" s="56"/>
      <c r="AE384" s="56"/>
      <c r="AF384" s="170"/>
      <c r="AG384" s="56"/>
      <c r="AH384" s="56"/>
      <c r="AI384" s="168"/>
      <c r="AJ384" s="56"/>
      <c r="AK384" s="56"/>
      <c r="AL384" s="56"/>
      <c r="AM384" s="56"/>
      <c r="AN384" s="56"/>
      <c r="AO384" s="56"/>
      <c r="AP384" s="56"/>
      <c r="AQ384" s="56"/>
      <c r="AR384" s="168"/>
      <c r="AS384" s="56"/>
      <c r="AT384" s="56"/>
      <c r="AU384" s="56"/>
      <c r="AV384" s="56"/>
      <c r="AW384" s="56"/>
      <c r="AX384" s="56"/>
      <c r="AY384" s="56"/>
      <c r="AZ384" s="56"/>
      <c r="BA384" s="168"/>
      <c r="BB384" s="56"/>
      <c r="BC384" s="56"/>
      <c r="BD384" s="56"/>
      <c r="BE384" s="168"/>
      <c r="BF384" s="56"/>
      <c r="BG384" s="10"/>
      <c r="BH384" s="56"/>
      <c r="BI384" s="56"/>
      <c r="BJ384" s="56"/>
      <c r="BK384" s="56"/>
      <c r="BS384" s="144"/>
      <c r="CM384" s="144"/>
      <c r="DC384" s="144"/>
    </row>
    <row r="385" spans="1:107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1"/>
      <c r="M385" s="10"/>
      <c r="N385" s="56"/>
      <c r="O385" s="56"/>
      <c r="P385" s="10"/>
      <c r="Q385" s="158"/>
      <c r="R385" s="174"/>
      <c r="S385" s="164"/>
      <c r="T385" s="56"/>
      <c r="U385" s="56"/>
      <c r="V385" s="56"/>
      <c r="W385" s="158"/>
      <c r="X385" s="174"/>
      <c r="Y385" s="168"/>
      <c r="Z385" s="10"/>
      <c r="AA385" s="56"/>
      <c r="AB385" s="56"/>
      <c r="AC385" s="56"/>
      <c r="AD385" s="56"/>
      <c r="AE385" s="56"/>
      <c r="AF385" s="170"/>
      <c r="AG385" s="56"/>
      <c r="AH385" s="56"/>
      <c r="AI385" s="168"/>
      <c r="AJ385" s="56"/>
      <c r="AK385" s="56"/>
      <c r="AL385" s="56"/>
      <c r="AM385" s="56"/>
      <c r="AN385" s="56"/>
      <c r="AO385" s="56"/>
      <c r="AP385" s="56"/>
      <c r="AQ385" s="56"/>
      <c r="AR385" s="168"/>
      <c r="AS385" s="56"/>
      <c r="AT385" s="56"/>
      <c r="AU385" s="56"/>
      <c r="AV385" s="56"/>
      <c r="AW385" s="56"/>
      <c r="AX385" s="56"/>
      <c r="AY385" s="56"/>
      <c r="AZ385" s="56"/>
      <c r="BA385" s="168"/>
      <c r="BB385" s="56"/>
      <c r="BC385" s="56"/>
      <c r="BD385" s="56"/>
      <c r="BE385" s="168"/>
      <c r="BF385" s="56"/>
      <c r="BG385" s="10"/>
      <c r="BH385" s="56"/>
      <c r="BI385" s="56"/>
      <c r="BJ385" s="56"/>
      <c r="BK385" s="56"/>
      <c r="BS385" s="144"/>
      <c r="CM385" s="144"/>
      <c r="DC385" s="144"/>
    </row>
    <row r="386" spans="1:107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1"/>
      <c r="M386" s="10"/>
      <c r="N386" s="56"/>
      <c r="O386" s="56"/>
      <c r="P386" s="10"/>
      <c r="Q386" s="158"/>
      <c r="R386" s="174"/>
      <c r="S386" s="164"/>
      <c r="T386" s="56"/>
      <c r="U386" s="56"/>
      <c r="V386" s="56"/>
      <c r="W386" s="158"/>
      <c r="X386" s="174"/>
      <c r="Y386" s="168"/>
      <c r="Z386" s="10"/>
      <c r="AA386" s="56"/>
      <c r="AB386" s="56"/>
      <c r="AC386" s="56"/>
      <c r="AD386" s="56"/>
      <c r="AE386" s="56"/>
      <c r="AF386" s="170"/>
      <c r="AG386" s="56"/>
      <c r="AH386" s="56"/>
      <c r="AI386" s="168"/>
      <c r="AJ386" s="56"/>
      <c r="AK386" s="56"/>
      <c r="AL386" s="56"/>
      <c r="AM386" s="56"/>
      <c r="AN386" s="56"/>
      <c r="AO386" s="56"/>
      <c r="AP386" s="56"/>
      <c r="AQ386" s="56"/>
      <c r="AR386" s="168"/>
      <c r="AS386" s="56"/>
      <c r="AT386" s="56"/>
      <c r="AU386" s="56"/>
      <c r="AV386" s="56"/>
      <c r="AW386" s="56"/>
      <c r="AX386" s="56"/>
      <c r="AY386" s="56"/>
      <c r="AZ386" s="56"/>
      <c r="BA386" s="168"/>
      <c r="BB386" s="56"/>
      <c r="BC386" s="56"/>
      <c r="BD386" s="56"/>
      <c r="BE386" s="168"/>
      <c r="BF386" s="56"/>
      <c r="BG386" s="10"/>
      <c r="BH386" s="56"/>
      <c r="BI386" s="56"/>
      <c r="BJ386" s="56"/>
      <c r="BK386" s="56"/>
      <c r="BS386" s="144"/>
      <c r="CM386" s="144"/>
      <c r="DC386" s="144"/>
    </row>
    <row r="387" spans="1:107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1"/>
      <c r="M387" s="10"/>
      <c r="N387" s="56"/>
      <c r="O387" s="56"/>
      <c r="P387" s="10"/>
      <c r="Q387" s="158"/>
      <c r="R387" s="174"/>
      <c r="S387" s="164"/>
      <c r="T387" s="56"/>
      <c r="U387" s="56"/>
      <c r="V387" s="56"/>
      <c r="W387" s="158"/>
      <c r="X387" s="174"/>
      <c r="Y387" s="168"/>
      <c r="Z387" s="10"/>
      <c r="AA387" s="56"/>
      <c r="AB387" s="56"/>
      <c r="AC387" s="56"/>
      <c r="AD387" s="56"/>
      <c r="AE387" s="56"/>
      <c r="AF387" s="170"/>
      <c r="AG387" s="56"/>
      <c r="AH387" s="56"/>
      <c r="AI387" s="168"/>
      <c r="AJ387" s="56"/>
      <c r="AK387" s="56"/>
      <c r="AL387" s="56"/>
      <c r="AM387" s="56"/>
      <c r="AN387" s="56"/>
      <c r="AO387" s="56"/>
      <c r="AP387" s="56"/>
      <c r="AQ387" s="56"/>
      <c r="AR387" s="168"/>
      <c r="AS387" s="56"/>
      <c r="AT387" s="56"/>
      <c r="AU387" s="56"/>
      <c r="AV387" s="56"/>
      <c r="AW387" s="56"/>
      <c r="AX387" s="56"/>
      <c r="AY387" s="56"/>
      <c r="AZ387" s="56"/>
      <c r="BA387" s="168"/>
      <c r="BB387" s="56"/>
      <c r="BC387" s="56"/>
      <c r="BD387" s="56"/>
      <c r="BE387" s="168"/>
      <c r="BF387" s="56"/>
      <c r="BG387" s="10"/>
      <c r="BH387" s="56"/>
      <c r="BI387" s="56"/>
      <c r="BJ387" s="56"/>
      <c r="BK387" s="56"/>
      <c r="BS387" s="144"/>
      <c r="CM387" s="144"/>
      <c r="DC387" s="144"/>
    </row>
    <row r="388" spans="1:107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1"/>
      <c r="M388" s="10"/>
      <c r="N388" s="56"/>
      <c r="O388" s="56"/>
      <c r="P388" s="10"/>
      <c r="Q388" s="158"/>
      <c r="R388" s="174"/>
      <c r="S388" s="164"/>
      <c r="T388" s="56"/>
      <c r="U388" s="56"/>
      <c r="V388" s="56"/>
      <c r="W388" s="158"/>
      <c r="X388" s="174"/>
      <c r="Y388" s="168"/>
      <c r="Z388" s="10"/>
      <c r="AA388" s="56"/>
      <c r="AB388" s="56"/>
      <c r="AC388" s="56"/>
      <c r="AD388" s="56"/>
      <c r="AE388" s="56"/>
      <c r="AF388" s="170"/>
      <c r="AG388" s="56"/>
      <c r="AH388" s="56"/>
      <c r="AI388" s="168"/>
      <c r="AJ388" s="56"/>
      <c r="AK388" s="56"/>
      <c r="AL388" s="56"/>
      <c r="AM388" s="56"/>
      <c r="AN388" s="56"/>
      <c r="AO388" s="56"/>
      <c r="AP388" s="56"/>
      <c r="AQ388" s="56"/>
      <c r="AR388" s="168"/>
      <c r="AS388" s="56"/>
      <c r="AT388" s="56"/>
      <c r="AU388" s="56"/>
      <c r="AV388" s="56"/>
      <c r="AW388" s="56"/>
      <c r="AX388" s="56"/>
      <c r="AY388" s="56"/>
      <c r="AZ388" s="56"/>
      <c r="BA388" s="168"/>
      <c r="BB388" s="56"/>
      <c r="BC388" s="56"/>
      <c r="BD388" s="56"/>
      <c r="BE388" s="168"/>
      <c r="BF388" s="56"/>
      <c r="BG388" s="10"/>
      <c r="BH388" s="56"/>
      <c r="BI388" s="56"/>
      <c r="BJ388" s="56"/>
      <c r="BK388" s="56"/>
      <c r="BS388" s="144"/>
      <c r="CM388" s="144"/>
      <c r="DC388" s="144"/>
    </row>
    <row r="389" spans="1:107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1"/>
      <c r="M389" s="10"/>
      <c r="N389" s="56"/>
      <c r="O389" s="56"/>
      <c r="P389" s="10"/>
      <c r="Q389" s="158"/>
      <c r="R389" s="174"/>
      <c r="S389" s="164"/>
      <c r="T389" s="56"/>
      <c r="U389" s="56"/>
      <c r="V389" s="56"/>
      <c r="W389" s="158"/>
      <c r="X389" s="174"/>
      <c r="Y389" s="168"/>
      <c r="Z389" s="10"/>
      <c r="AA389" s="56"/>
      <c r="AB389" s="56"/>
      <c r="AC389" s="56"/>
      <c r="AD389" s="56"/>
      <c r="AE389" s="56"/>
      <c r="AF389" s="170"/>
      <c r="AG389" s="56"/>
      <c r="AH389" s="56"/>
      <c r="AI389" s="168"/>
      <c r="AJ389" s="56"/>
      <c r="AK389" s="56"/>
      <c r="AL389" s="56"/>
      <c r="AM389" s="56"/>
      <c r="AN389" s="56"/>
      <c r="AO389" s="56"/>
      <c r="AP389" s="56"/>
      <c r="AQ389" s="56"/>
      <c r="AR389" s="168"/>
      <c r="AS389" s="56"/>
      <c r="AT389" s="56"/>
      <c r="AU389" s="56"/>
      <c r="AV389" s="56"/>
      <c r="AW389" s="56"/>
      <c r="AX389" s="56"/>
      <c r="AY389" s="56"/>
      <c r="AZ389" s="56"/>
      <c r="BA389" s="168"/>
      <c r="BB389" s="56"/>
      <c r="BC389" s="56"/>
      <c r="BD389" s="56"/>
      <c r="BE389" s="168"/>
      <c r="BF389" s="56"/>
      <c r="BG389" s="10"/>
      <c r="BH389" s="56"/>
      <c r="BI389" s="56"/>
      <c r="BJ389" s="56"/>
      <c r="BK389" s="56"/>
      <c r="BS389" s="144"/>
      <c r="CM389" s="144"/>
      <c r="DC389" s="144"/>
    </row>
    <row r="390" spans="1:107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1"/>
      <c r="M390" s="10"/>
      <c r="N390" s="56"/>
      <c r="O390" s="56"/>
      <c r="P390" s="10"/>
      <c r="Q390" s="158"/>
      <c r="R390" s="174"/>
      <c r="S390" s="164"/>
      <c r="T390" s="56"/>
      <c r="U390" s="56"/>
      <c r="V390" s="56"/>
      <c r="W390" s="158"/>
      <c r="X390" s="174"/>
      <c r="Y390" s="168"/>
      <c r="Z390" s="10"/>
      <c r="AA390" s="56"/>
      <c r="AB390" s="56"/>
      <c r="AC390" s="56"/>
      <c r="AD390" s="56"/>
      <c r="AE390" s="56"/>
      <c r="AF390" s="170"/>
      <c r="AG390" s="56"/>
      <c r="AH390" s="56"/>
      <c r="AI390" s="168"/>
      <c r="AJ390" s="56"/>
      <c r="AK390" s="56"/>
      <c r="AL390" s="56"/>
      <c r="AM390" s="56"/>
      <c r="AN390" s="56"/>
      <c r="AO390" s="56"/>
      <c r="AP390" s="56"/>
      <c r="AQ390" s="56"/>
      <c r="AR390" s="168"/>
      <c r="AS390" s="56"/>
      <c r="AT390" s="56"/>
      <c r="AU390" s="56"/>
      <c r="AV390" s="56"/>
      <c r="AW390" s="56"/>
      <c r="AX390" s="56"/>
      <c r="AY390" s="56"/>
      <c r="AZ390" s="56"/>
      <c r="BA390" s="168"/>
      <c r="BB390" s="56"/>
      <c r="BC390" s="56"/>
      <c r="BD390" s="56"/>
      <c r="BE390" s="168"/>
      <c r="BF390" s="56"/>
      <c r="BG390" s="10"/>
      <c r="BH390" s="56"/>
      <c r="BI390" s="56"/>
      <c r="BJ390" s="56"/>
      <c r="BK390" s="56"/>
      <c r="BS390" s="144"/>
      <c r="CM390" s="144"/>
      <c r="DC390" s="144"/>
    </row>
    <row r="391" spans="1:107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1"/>
      <c r="M391" s="10"/>
      <c r="N391" s="56"/>
      <c r="O391" s="56"/>
      <c r="P391" s="10"/>
      <c r="Q391" s="158"/>
      <c r="R391" s="174"/>
      <c r="S391" s="164"/>
      <c r="T391" s="56"/>
      <c r="U391" s="56"/>
      <c r="V391" s="56"/>
      <c r="W391" s="158"/>
      <c r="X391" s="174"/>
      <c r="Y391" s="168"/>
      <c r="Z391" s="10"/>
      <c r="AA391" s="56"/>
      <c r="AB391" s="56"/>
      <c r="AC391" s="56"/>
      <c r="AD391" s="56"/>
      <c r="AE391" s="56"/>
      <c r="AF391" s="170"/>
      <c r="AG391" s="56"/>
      <c r="AH391" s="56"/>
      <c r="AI391" s="168"/>
      <c r="AJ391" s="56"/>
      <c r="AK391" s="56"/>
      <c r="AL391" s="56"/>
      <c r="AM391" s="56"/>
      <c r="AN391" s="56"/>
      <c r="AO391" s="56"/>
      <c r="AP391" s="56"/>
      <c r="AQ391" s="56"/>
      <c r="AR391" s="168"/>
      <c r="AS391" s="56"/>
      <c r="AT391" s="56"/>
      <c r="AU391" s="56"/>
      <c r="AV391" s="56"/>
      <c r="AW391" s="56"/>
      <c r="AX391" s="56"/>
      <c r="AY391" s="56"/>
      <c r="AZ391" s="56"/>
      <c r="BA391" s="168"/>
      <c r="BB391" s="56"/>
      <c r="BC391" s="56"/>
      <c r="BD391" s="56"/>
      <c r="BE391" s="168"/>
      <c r="BF391" s="56"/>
      <c r="BG391" s="10"/>
      <c r="BH391" s="56"/>
      <c r="BI391" s="56"/>
      <c r="BJ391" s="56"/>
      <c r="BK391" s="56"/>
      <c r="BS391" s="144"/>
      <c r="CM391" s="144"/>
      <c r="DC391" s="144"/>
    </row>
    <row r="392" spans="1:107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1"/>
      <c r="M392" s="10"/>
      <c r="N392" s="56"/>
      <c r="O392" s="56"/>
      <c r="P392" s="10"/>
      <c r="Q392" s="158"/>
      <c r="R392" s="174"/>
      <c r="S392" s="164"/>
      <c r="T392" s="56"/>
      <c r="U392" s="56"/>
      <c r="V392" s="56"/>
      <c r="W392" s="158"/>
      <c r="X392" s="174"/>
      <c r="Y392" s="168"/>
      <c r="Z392" s="10"/>
      <c r="AA392" s="56"/>
      <c r="AB392" s="56"/>
      <c r="AC392" s="56"/>
      <c r="AD392" s="56"/>
      <c r="AE392" s="56"/>
      <c r="AF392" s="170"/>
      <c r="AG392" s="56"/>
      <c r="AH392" s="56"/>
      <c r="AI392" s="168"/>
      <c r="AJ392" s="56"/>
      <c r="AK392" s="56"/>
      <c r="AL392" s="56"/>
      <c r="AM392" s="56"/>
      <c r="AN392" s="56"/>
      <c r="AO392" s="56"/>
      <c r="AP392" s="56"/>
      <c r="AQ392" s="56"/>
      <c r="AR392" s="168"/>
      <c r="AS392" s="56"/>
      <c r="AT392" s="56"/>
      <c r="AU392" s="56"/>
      <c r="AV392" s="56"/>
      <c r="AW392" s="56"/>
      <c r="AX392" s="56"/>
      <c r="AY392" s="56"/>
      <c r="AZ392" s="56"/>
      <c r="BA392" s="168"/>
      <c r="BB392" s="56"/>
      <c r="BC392" s="56"/>
      <c r="BD392" s="56"/>
      <c r="BE392" s="168"/>
      <c r="BF392" s="56"/>
      <c r="BG392" s="10"/>
      <c r="BH392" s="56"/>
      <c r="BI392" s="56"/>
      <c r="BJ392" s="56"/>
      <c r="BK392" s="56"/>
      <c r="BS392" s="144"/>
      <c r="CM392" s="144"/>
      <c r="DC392" s="144"/>
    </row>
    <row r="393" spans="1:107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1"/>
      <c r="M393" s="10"/>
      <c r="N393" s="56"/>
      <c r="O393" s="56"/>
      <c r="P393" s="10"/>
      <c r="Q393" s="158"/>
      <c r="R393" s="174"/>
      <c r="S393" s="164"/>
      <c r="T393" s="56"/>
      <c r="U393" s="56"/>
      <c r="V393" s="56"/>
      <c r="W393" s="158"/>
      <c r="X393" s="174"/>
      <c r="Y393" s="168"/>
      <c r="Z393" s="10"/>
      <c r="AA393" s="56"/>
      <c r="AB393" s="56"/>
      <c r="AC393" s="56"/>
      <c r="AD393" s="56"/>
      <c r="AE393" s="56"/>
      <c r="AF393" s="170"/>
      <c r="AG393" s="56"/>
      <c r="AH393" s="56"/>
      <c r="AI393" s="168"/>
      <c r="AJ393" s="56"/>
      <c r="AK393" s="56"/>
      <c r="AL393" s="56"/>
      <c r="AM393" s="56"/>
      <c r="AN393" s="56"/>
      <c r="AO393" s="56"/>
      <c r="AP393" s="56"/>
      <c r="AQ393" s="56"/>
      <c r="AR393" s="168"/>
      <c r="AS393" s="56"/>
      <c r="AT393" s="56"/>
      <c r="AU393" s="56"/>
      <c r="AV393" s="56"/>
      <c r="AW393" s="56"/>
      <c r="AX393" s="56"/>
      <c r="AY393" s="56"/>
      <c r="AZ393" s="56"/>
      <c r="BA393" s="168"/>
      <c r="BB393" s="56"/>
      <c r="BC393" s="56"/>
      <c r="BD393" s="56"/>
      <c r="BE393" s="168"/>
      <c r="BF393" s="56"/>
      <c r="BG393" s="10"/>
      <c r="BH393" s="56"/>
      <c r="BI393" s="56"/>
      <c r="BJ393" s="56"/>
      <c r="BK393" s="56"/>
      <c r="BS393" s="144"/>
      <c r="CM393" s="144"/>
      <c r="DC393" s="144"/>
    </row>
    <row r="394" spans="1:107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1"/>
      <c r="M394" s="10"/>
      <c r="N394" s="56"/>
      <c r="O394" s="56"/>
      <c r="P394" s="10"/>
      <c r="Q394" s="158"/>
      <c r="R394" s="174"/>
      <c r="S394" s="164"/>
      <c r="T394" s="56"/>
      <c r="U394" s="56"/>
      <c r="V394" s="56"/>
      <c r="W394" s="158"/>
      <c r="X394" s="174"/>
      <c r="Y394" s="168"/>
      <c r="Z394" s="10"/>
      <c r="AA394" s="56"/>
      <c r="AB394" s="56"/>
      <c r="AC394" s="56"/>
      <c r="AD394" s="56"/>
      <c r="AE394" s="56"/>
      <c r="AF394" s="170"/>
      <c r="AG394" s="56"/>
      <c r="AH394" s="56"/>
      <c r="AI394" s="168"/>
      <c r="AJ394" s="56"/>
      <c r="AK394" s="56"/>
      <c r="AL394" s="56"/>
      <c r="AM394" s="56"/>
      <c r="AN394" s="56"/>
      <c r="AO394" s="56"/>
      <c r="AP394" s="56"/>
      <c r="AQ394" s="56"/>
      <c r="AR394" s="168"/>
      <c r="AS394" s="56"/>
      <c r="AT394" s="56"/>
      <c r="AU394" s="56"/>
      <c r="AV394" s="56"/>
      <c r="AW394" s="56"/>
      <c r="AX394" s="56"/>
      <c r="AY394" s="56"/>
      <c r="AZ394" s="56"/>
      <c r="BA394" s="168"/>
      <c r="BB394" s="56"/>
      <c r="BC394" s="56"/>
      <c r="BD394" s="56"/>
      <c r="BE394" s="168"/>
      <c r="BF394" s="56"/>
      <c r="BG394" s="10"/>
      <c r="BH394" s="56"/>
      <c r="BI394" s="56"/>
      <c r="BJ394" s="56"/>
      <c r="BK394" s="56"/>
      <c r="BS394" s="144"/>
      <c r="CM394" s="144"/>
      <c r="DC394" s="144"/>
    </row>
    <row r="395" spans="1:107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1"/>
      <c r="M395" s="10"/>
      <c r="N395" s="56"/>
      <c r="O395" s="56"/>
      <c r="P395" s="10"/>
      <c r="Q395" s="158"/>
      <c r="R395" s="174"/>
      <c r="S395" s="164"/>
      <c r="T395" s="56"/>
      <c r="U395" s="56"/>
      <c r="V395" s="56"/>
      <c r="W395" s="158"/>
      <c r="X395" s="174"/>
      <c r="Y395" s="168"/>
      <c r="Z395" s="10"/>
      <c r="AA395" s="56"/>
      <c r="AB395" s="56"/>
      <c r="AC395" s="56"/>
      <c r="AD395" s="56"/>
      <c r="AE395" s="56"/>
      <c r="AF395" s="170"/>
      <c r="AG395" s="56"/>
      <c r="AH395" s="56"/>
      <c r="AI395" s="168"/>
      <c r="AJ395" s="56"/>
      <c r="AK395" s="56"/>
      <c r="AL395" s="56"/>
      <c r="AM395" s="56"/>
      <c r="AN395" s="56"/>
      <c r="AO395" s="56"/>
      <c r="AP395" s="56"/>
      <c r="AQ395" s="56"/>
      <c r="AR395" s="168"/>
      <c r="AS395" s="56"/>
      <c r="AT395" s="56"/>
      <c r="AU395" s="56"/>
      <c r="AV395" s="56"/>
      <c r="AW395" s="56"/>
      <c r="AX395" s="56"/>
      <c r="AY395" s="56"/>
      <c r="AZ395" s="56"/>
      <c r="BA395" s="168"/>
      <c r="BB395" s="56"/>
      <c r="BC395" s="56"/>
      <c r="BD395" s="56"/>
      <c r="BE395" s="168"/>
      <c r="BF395" s="56"/>
      <c r="BG395" s="10"/>
      <c r="BH395" s="56"/>
      <c r="BI395" s="56"/>
      <c r="BJ395" s="56"/>
      <c r="BK395" s="56"/>
      <c r="BS395" s="144"/>
      <c r="CM395" s="144"/>
      <c r="DC395" s="144"/>
    </row>
    <row r="396" spans="1:107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1"/>
      <c r="M396" s="10"/>
      <c r="N396" s="56"/>
      <c r="O396" s="56"/>
      <c r="P396" s="10"/>
      <c r="Q396" s="158"/>
      <c r="R396" s="174"/>
      <c r="S396" s="164"/>
      <c r="T396" s="56"/>
      <c r="U396" s="56"/>
      <c r="V396" s="56"/>
      <c r="W396" s="158"/>
      <c r="X396" s="174"/>
      <c r="Y396" s="168"/>
      <c r="Z396" s="10"/>
      <c r="AA396" s="56"/>
      <c r="AB396" s="56"/>
      <c r="AC396" s="56"/>
      <c r="AD396" s="56"/>
      <c r="AE396" s="56"/>
      <c r="AF396" s="170"/>
      <c r="AG396" s="56"/>
      <c r="AH396" s="56"/>
      <c r="AI396" s="168"/>
      <c r="AJ396" s="56"/>
      <c r="AK396" s="56"/>
      <c r="AL396" s="56"/>
      <c r="AM396" s="56"/>
      <c r="AN396" s="56"/>
      <c r="AO396" s="56"/>
      <c r="AP396" s="56"/>
      <c r="AQ396" s="56"/>
      <c r="AR396" s="168"/>
      <c r="AS396" s="56"/>
      <c r="AT396" s="56"/>
      <c r="AU396" s="56"/>
      <c r="AV396" s="56"/>
      <c r="AW396" s="56"/>
      <c r="AX396" s="56"/>
      <c r="AY396" s="56"/>
      <c r="AZ396" s="56"/>
      <c r="BA396" s="168"/>
      <c r="BB396" s="56"/>
      <c r="BC396" s="56"/>
      <c r="BD396" s="56"/>
      <c r="BE396" s="168"/>
      <c r="BF396" s="56"/>
      <c r="BG396" s="10"/>
      <c r="BH396" s="56"/>
      <c r="BI396" s="56"/>
      <c r="BJ396" s="56"/>
      <c r="BK396" s="56"/>
      <c r="BS396" s="144"/>
      <c r="CM396" s="144"/>
      <c r="DC396" s="144"/>
    </row>
    <row r="397" spans="1:107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1"/>
      <c r="M397" s="10"/>
      <c r="N397" s="56"/>
      <c r="O397" s="56"/>
      <c r="P397" s="10"/>
      <c r="Q397" s="158"/>
      <c r="R397" s="174"/>
      <c r="S397" s="164"/>
      <c r="T397" s="56"/>
      <c r="U397" s="56"/>
      <c r="V397" s="56"/>
      <c r="W397" s="158"/>
      <c r="X397" s="174"/>
      <c r="Y397" s="168"/>
      <c r="Z397" s="10"/>
      <c r="AA397" s="56"/>
      <c r="AB397" s="56"/>
      <c r="AC397" s="56"/>
      <c r="AD397" s="56"/>
      <c r="AE397" s="56"/>
      <c r="AF397" s="170"/>
      <c r="AG397" s="56"/>
      <c r="AH397" s="56"/>
      <c r="AI397" s="168"/>
      <c r="AJ397" s="56"/>
      <c r="AK397" s="56"/>
      <c r="AL397" s="56"/>
      <c r="AM397" s="56"/>
      <c r="AN397" s="56"/>
      <c r="AO397" s="56"/>
      <c r="AP397" s="56"/>
      <c r="AQ397" s="56"/>
      <c r="AR397" s="168"/>
      <c r="AS397" s="56"/>
      <c r="AT397" s="56"/>
      <c r="AU397" s="56"/>
      <c r="AV397" s="56"/>
      <c r="AW397" s="56"/>
      <c r="AX397" s="56"/>
      <c r="AY397" s="56"/>
      <c r="AZ397" s="56"/>
      <c r="BA397" s="168"/>
      <c r="BB397" s="56"/>
      <c r="BC397" s="56"/>
      <c r="BD397" s="56"/>
      <c r="BE397" s="168"/>
      <c r="BF397" s="56"/>
      <c r="BG397" s="10"/>
      <c r="BH397" s="56"/>
      <c r="BI397" s="56"/>
      <c r="BJ397" s="56"/>
      <c r="BK397" s="56"/>
      <c r="BS397" s="144"/>
      <c r="CM397" s="144"/>
      <c r="DC397" s="144"/>
    </row>
    <row r="398" spans="1:107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1"/>
      <c r="M398" s="10"/>
      <c r="N398" s="56"/>
      <c r="O398" s="56"/>
      <c r="P398" s="10"/>
      <c r="Q398" s="158"/>
      <c r="R398" s="174"/>
      <c r="S398" s="164"/>
      <c r="T398" s="56"/>
      <c r="U398" s="56"/>
      <c r="V398" s="56"/>
      <c r="W398" s="158"/>
      <c r="X398" s="174"/>
      <c r="Y398" s="168"/>
      <c r="Z398" s="10"/>
      <c r="AA398" s="56"/>
      <c r="AB398" s="56"/>
      <c r="AC398" s="56"/>
      <c r="AD398" s="56"/>
      <c r="AE398" s="56"/>
      <c r="AF398" s="170"/>
      <c r="AG398" s="56"/>
      <c r="AH398" s="56"/>
      <c r="AI398" s="168"/>
      <c r="AJ398" s="56"/>
      <c r="AK398" s="56"/>
      <c r="AL398" s="56"/>
      <c r="AM398" s="56"/>
      <c r="AN398" s="56"/>
      <c r="AO398" s="56"/>
      <c r="AP398" s="56"/>
      <c r="AQ398" s="56"/>
      <c r="AR398" s="168"/>
      <c r="AS398" s="56"/>
      <c r="AT398" s="56"/>
      <c r="AU398" s="56"/>
      <c r="AV398" s="56"/>
      <c r="AW398" s="56"/>
      <c r="AX398" s="56"/>
      <c r="AY398" s="56"/>
      <c r="AZ398" s="56"/>
      <c r="BA398" s="168"/>
      <c r="BB398" s="56"/>
      <c r="BC398" s="56"/>
      <c r="BD398" s="56"/>
      <c r="BE398" s="168"/>
      <c r="BF398" s="56"/>
      <c r="BG398" s="10"/>
      <c r="BH398" s="56"/>
      <c r="BI398" s="56"/>
      <c r="BJ398" s="56"/>
      <c r="BK398" s="56"/>
      <c r="BS398" s="144"/>
      <c r="CM398" s="144"/>
      <c r="DC398" s="144"/>
    </row>
    <row r="399" spans="1:107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1"/>
      <c r="M399" s="10"/>
      <c r="N399" s="56"/>
      <c r="O399" s="56"/>
      <c r="P399" s="10"/>
      <c r="Q399" s="158"/>
      <c r="R399" s="174"/>
      <c r="S399" s="164"/>
      <c r="T399" s="56"/>
      <c r="U399" s="56"/>
      <c r="V399" s="56"/>
      <c r="W399" s="158"/>
      <c r="X399" s="174"/>
      <c r="Y399" s="168"/>
      <c r="Z399" s="10"/>
      <c r="AA399" s="56"/>
      <c r="AB399" s="56"/>
      <c r="AC399" s="56"/>
      <c r="AD399" s="56"/>
      <c r="AE399" s="56"/>
      <c r="AF399" s="170"/>
      <c r="AG399" s="56"/>
      <c r="AH399" s="56"/>
      <c r="AI399" s="168"/>
      <c r="AJ399" s="56"/>
      <c r="AK399" s="56"/>
      <c r="AL399" s="56"/>
      <c r="AM399" s="56"/>
      <c r="AN399" s="56"/>
      <c r="AO399" s="56"/>
      <c r="AP399" s="56"/>
      <c r="AQ399" s="56"/>
      <c r="AR399" s="168"/>
      <c r="AS399" s="56"/>
      <c r="AT399" s="56"/>
      <c r="AU399" s="56"/>
      <c r="AV399" s="56"/>
      <c r="AW399" s="56"/>
      <c r="AX399" s="56"/>
      <c r="AY399" s="56"/>
      <c r="AZ399" s="56"/>
      <c r="BA399" s="168"/>
      <c r="BB399" s="56"/>
      <c r="BC399" s="56"/>
      <c r="BD399" s="56"/>
      <c r="BE399" s="168"/>
      <c r="BF399" s="56"/>
      <c r="BG399" s="10"/>
      <c r="BH399" s="56"/>
      <c r="BI399" s="56"/>
      <c r="BJ399" s="56"/>
      <c r="BK399" s="56"/>
      <c r="BS399" s="144"/>
      <c r="CM399" s="144"/>
      <c r="DC399" s="144"/>
    </row>
    <row r="400" spans="1:107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1"/>
      <c r="M400" s="10"/>
      <c r="N400" s="56"/>
      <c r="O400" s="56"/>
      <c r="P400" s="10"/>
      <c r="Q400" s="158"/>
      <c r="R400" s="174"/>
      <c r="S400" s="164"/>
      <c r="T400" s="56"/>
      <c r="U400" s="56"/>
      <c r="V400" s="56"/>
      <c r="W400" s="158"/>
      <c r="X400" s="174"/>
      <c r="Y400" s="168"/>
      <c r="Z400" s="10"/>
      <c r="AA400" s="56"/>
      <c r="AB400" s="56"/>
      <c r="AC400" s="56"/>
      <c r="AD400" s="56"/>
      <c r="AE400" s="56"/>
      <c r="AF400" s="170"/>
      <c r="AG400" s="56"/>
      <c r="AH400" s="56"/>
      <c r="AI400" s="168"/>
      <c r="AJ400" s="56"/>
      <c r="AK400" s="56"/>
      <c r="AL400" s="56"/>
      <c r="AM400" s="56"/>
      <c r="AN400" s="56"/>
      <c r="AO400" s="56"/>
      <c r="AP400" s="56"/>
      <c r="AQ400" s="56"/>
      <c r="AR400" s="168"/>
      <c r="AS400" s="56"/>
      <c r="AT400" s="56"/>
      <c r="AU400" s="56"/>
      <c r="AV400" s="56"/>
      <c r="AW400" s="56"/>
      <c r="AX400" s="56"/>
      <c r="AY400" s="56"/>
      <c r="AZ400" s="56"/>
      <c r="BA400" s="168"/>
      <c r="BB400" s="56"/>
      <c r="BC400" s="56"/>
      <c r="BD400" s="56"/>
      <c r="BE400" s="168"/>
      <c r="BF400" s="56"/>
      <c r="BG400" s="10"/>
      <c r="BH400" s="56"/>
      <c r="BI400" s="56"/>
      <c r="BJ400" s="56"/>
      <c r="BK400" s="56"/>
      <c r="BS400" s="144"/>
      <c r="CM400" s="144"/>
      <c r="DC400" s="144"/>
    </row>
    <row r="401" spans="1:107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1"/>
      <c r="M401" s="10"/>
      <c r="N401" s="56"/>
      <c r="O401" s="56"/>
      <c r="P401" s="10"/>
      <c r="Q401" s="158"/>
      <c r="R401" s="174"/>
      <c r="S401" s="164"/>
      <c r="T401" s="56"/>
      <c r="U401" s="56"/>
      <c r="V401" s="56"/>
      <c r="W401" s="158"/>
      <c r="X401" s="174"/>
      <c r="Y401" s="168"/>
      <c r="Z401" s="10"/>
      <c r="AA401" s="56"/>
      <c r="AB401" s="56"/>
      <c r="AC401" s="56"/>
      <c r="AD401" s="56"/>
      <c r="AE401" s="56"/>
      <c r="AF401" s="170"/>
      <c r="AG401" s="56"/>
      <c r="AH401" s="56"/>
      <c r="AI401" s="168"/>
      <c r="AJ401" s="56"/>
      <c r="AK401" s="56"/>
      <c r="AL401" s="56"/>
      <c r="AM401" s="56"/>
      <c r="AN401" s="56"/>
      <c r="AO401" s="56"/>
      <c r="AP401" s="56"/>
      <c r="AQ401" s="56"/>
      <c r="AR401" s="168"/>
      <c r="AS401" s="56"/>
      <c r="AT401" s="56"/>
      <c r="AU401" s="56"/>
      <c r="AV401" s="56"/>
      <c r="AW401" s="56"/>
      <c r="AX401" s="56"/>
      <c r="AY401" s="56"/>
      <c r="AZ401" s="56"/>
      <c r="BA401" s="168"/>
      <c r="BB401" s="56"/>
      <c r="BC401" s="56"/>
      <c r="BD401" s="56"/>
      <c r="BE401" s="168"/>
      <c r="BF401" s="56"/>
      <c r="BG401" s="10"/>
      <c r="BH401" s="56"/>
      <c r="BI401" s="56"/>
      <c r="BJ401" s="56"/>
      <c r="BK401" s="56"/>
      <c r="BS401" s="144"/>
      <c r="CM401" s="144"/>
      <c r="DC401" s="144"/>
    </row>
    <row r="402" spans="1:107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1"/>
      <c r="M402" s="10"/>
      <c r="N402" s="56"/>
      <c r="O402" s="56"/>
      <c r="P402" s="10"/>
      <c r="Q402" s="158"/>
      <c r="R402" s="174"/>
      <c r="S402" s="164"/>
      <c r="T402" s="56"/>
      <c r="U402" s="56"/>
      <c r="V402" s="56"/>
      <c r="W402" s="158"/>
      <c r="X402" s="174"/>
      <c r="Y402" s="168"/>
      <c r="Z402" s="10"/>
      <c r="AA402" s="56"/>
      <c r="AB402" s="56"/>
      <c r="AC402" s="56"/>
      <c r="AD402" s="56"/>
      <c r="AE402" s="56"/>
      <c r="AF402" s="170"/>
      <c r="AG402" s="56"/>
      <c r="AH402" s="56"/>
      <c r="AI402" s="168"/>
      <c r="AJ402" s="56"/>
      <c r="AK402" s="56"/>
      <c r="AL402" s="56"/>
      <c r="AM402" s="56"/>
      <c r="AN402" s="56"/>
      <c r="AO402" s="56"/>
      <c r="AP402" s="56"/>
      <c r="AQ402" s="56"/>
      <c r="AR402" s="168"/>
      <c r="AS402" s="56"/>
      <c r="AT402" s="56"/>
      <c r="AU402" s="56"/>
      <c r="AV402" s="56"/>
      <c r="AW402" s="56"/>
      <c r="AX402" s="56"/>
      <c r="AY402" s="56"/>
      <c r="AZ402" s="56"/>
      <c r="BA402" s="168"/>
      <c r="BB402" s="56"/>
      <c r="BC402" s="56"/>
      <c r="BD402" s="56"/>
      <c r="BE402" s="168"/>
      <c r="BF402" s="56"/>
      <c r="BG402" s="10"/>
      <c r="BH402" s="56"/>
      <c r="BI402" s="56"/>
      <c r="BJ402" s="56"/>
      <c r="BK402" s="56"/>
      <c r="BS402" s="144"/>
      <c r="CM402" s="144"/>
      <c r="DC402" s="144"/>
    </row>
    <row r="403" spans="1:107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1"/>
      <c r="M403" s="10"/>
      <c r="N403" s="56"/>
      <c r="O403" s="56"/>
      <c r="P403" s="10"/>
      <c r="Q403" s="158"/>
      <c r="R403" s="174"/>
      <c r="S403" s="164"/>
      <c r="T403" s="56"/>
      <c r="U403" s="56"/>
      <c r="V403" s="56"/>
      <c r="W403" s="158"/>
      <c r="X403" s="174"/>
      <c r="Y403" s="168"/>
      <c r="Z403" s="10"/>
      <c r="AA403" s="56"/>
      <c r="AB403" s="56"/>
      <c r="AC403" s="56"/>
      <c r="AD403" s="56"/>
      <c r="AE403" s="56"/>
      <c r="AF403" s="170"/>
      <c r="AG403" s="56"/>
      <c r="AH403" s="56"/>
      <c r="AI403" s="168"/>
      <c r="AJ403" s="56"/>
      <c r="AK403" s="56"/>
      <c r="AL403" s="56"/>
      <c r="AM403" s="56"/>
      <c r="AN403" s="56"/>
      <c r="AO403" s="56"/>
      <c r="AP403" s="56"/>
      <c r="AQ403" s="56"/>
      <c r="AR403" s="168"/>
      <c r="AS403" s="56"/>
      <c r="AT403" s="56"/>
      <c r="AU403" s="56"/>
      <c r="AV403" s="56"/>
      <c r="AW403" s="56"/>
      <c r="AX403" s="56"/>
      <c r="AY403" s="56"/>
      <c r="AZ403" s="56"/>
      <c r="BA403" s="168"/>
      <c r="BB403" s="56"/>
      <c r="BC403" s="56"/>
      <c r="BD403" s="56"/>
      <c r="BE403" s="168"/>
      <c r="BF403" s="56"/>
      <c r="BG403" s="10"/>
      <c r="BH403" s="56"/>
      <c r="BI403" s="56"/>
      <c r="BJ403" s="56"/>
      <c r="BK403" s="56"/>
      <c r="BS403" s="144"/>
      <c r="CM403" s="144"/>
      <c r="DC403" s="144"/>
    </row>
    <row r="404" spans="1:107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1"/>
      <c r="M404" s="10"/>
      <c r="N404" s="56"/>
      <c r="O404" s="56"/>
      <c r="P404" s="10"/>
      <c r="Q404" s="158"/>
      <c r="R404" s="174"/>
      <c r="S404" s="164"/>
      <c r="T404" s="56"/>
      <c r="U404" s="56"/>
      <c r="V404" s="56"/>
      <c r="W404" s="158"/>
      <c r="X404" s="174"/>
      <c r="Y404" s="168"/>
      <c r="Z404" s="10"/>
      <c r="AA404" s="56"/>
      <c r="AB404" s="56"/>
      <c r="AC404" s="56"/>
      <c r="AD404" s="56"/>
      <c r="AE404" s="56"/>
      <c r="AF404" s="170"/>
      <c r="AG404" s="56"/>
      <c r="AH404" s="56"/>
      <c r="AI404" s="168"/>
      <c r="AJ404" s="56"/>
      <c r="AK404" s="56"/>
      <c r="AL404" s="56"/>
      <c r="AM404" s="56"/>
      <c r="AN404" s="56"/>
      <c r="AO404" s="56"/>
      <c r="AP404" s="56"/>
      <c r="AQ404" s="56"/>
      <c r="AR404" s="168"/>
      <c r="AS404" s="56"/>
      <c r="AT404" s="56"/>
      <c r="AU404" s="56"/>
      <c r="AV404" s="56"/>
      <c r="AW404" s="56"/>
      <c r="AX404" s="56"/>
      <c r="AY404" s="56"/>
      <c r="AZ404" s="56"/>
      <c r="BA404" s="168"/>
      <c r="BB404" s="56"/>
      <c r="BC404" s="56"/>
      <c r="BD404" s="56"/>
      <c r="BE404" s="168"/>
      <c r="BF404" s="56"/>
      <c r="BG404" s="10"/>
      <c r="BH404" s="56"/>
      <c r="BI404" s="56"/>
      <c r="BJ404" s="56"/>
      <c r="BK404" s="56"/>
      <c r="BS404" s="144"/>
      <c r="CM404" s="144"/>
      <c r="DC404" s="144"/>
    </row>
    <row r="405" spans="1:107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1"/>
      <c r="M405" s="10"/>
      <c r="N405" s="56"/>
      <c r="O405" s="56"/>
      <c r="P405" s="10"/>
      <c r="Q405" s="158"/>
      <c r="R405" s="174"/>
      <c r="S405" s="164"/>
      <c r="T405" s="56"/>
      <c r="U405" s="56"/>
      <c r="V405" s="56"/>
      <c r="W405" s="158"/>
      <c r="X405" s="174"/>
      <c r="Y405" s="168"/>
      <c r="Z405" s="10"/>
      <c r="AA405" s="56"/>
      <c r="AB405" s="56"/>
      <c r="AC405" s="56"/>
      <c r="AD405" s="56"/>
      <c r="AE405" s="56"/>
      <c r="AF405" s="170"/>
      <c r="AG405" s="56"/>
      <c r="AH405" s="56"/>
      <c r="AI405" s="168"/>
      <c r="AJ405" s="56"/>
      <c r="AK405" s="56"/>
      <c r="AL405" s="56"/>
      <c r="AM405" s="56"/>
      <c r="AN405" s="56"/>
      <c r="AO405" s="56"/>
      <c r="AP405" s="56"/>
      <c r="AQ405" s="56"/>
      <c r="AR405" s="168"/>
      <c r="AS405" s="56"/>
      <c r="AT405" s="56"/>
      <c r="AU405" s="56"/>
      <c r="AV405" s="56"/>
      <c r="AW405" s="56"/>
      <c r="AX405" s="56"/>
      <c r="AY405" s="56"/>
      <c r="AZ405" s="56"/>
      <c r="BA405" s="168"/>
      <c r="BB405" s="56"/>
      <c r="BC405" s="56"/>
      <c r="BD405" s="56"/>
      <c r="BE405" s="168"/>
      <c r="BF405" s="56"/>
      <c r="BG405" s="10"/>
      <c r="BH405" s="56"/>
      <c r="BI405" s="56"/>
      <c r="BJ405" s="56"/>
      <c r="BK405" s="56"/>
      <c r="BS405" s="144"/>
      <c r="CM405" s="144"/>
      <c r="DC405" s="144"/>
    </row>
    <row r="406" spans="1:107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1"/>
      <c r="M406" s="10"/>
      <c r="N406" s="56"/>
      <c r="O406" s="56"/>
      <c r="P406" s="10"/>
      <c r="Q406" s="158"/>
      <c r="R406" s="174"/>
      <c r="S406" s="164"/>
      <c r="T406" s="56"/>
      <c r="U406" s="56"/>
      <c r="V406" s="56"/>
      <c r="W406" s="158"/>
      <c r="X406" s="174"/>
      <c r="Y406" s="168"/>
      <c r="Z406" s="10"/>
      <c r="AA406" s="56"/>
      <c r="AB406" s="56"/>
      <c r="AC406" s="56"/>
      <c r="AD406" s="56"/>
      <c r="AE406" s="56"/>
      <c r="AF406" s="170"/>
      <c r="AG406" s="56"/>
      <c r="AH406" s="56"/>
      <c r="AI406" s="168"/>
      <c r="AJ406" s="56"/>
      <c r="AK406" s="56"/>
      <c r="AL406" s="56"/>
      <c r="AM406" s="56"/>
      <c r="AN406" s="56"/>
      <c r="AO406" s="56"/>
      <c r="AP406" s="56"/>
      <c r="AQ406" s="56"/>
      <c r="AR406" s="168"/>
      <c r="AS406" s="56"/>
      <c r="AT406" s="56"/>
      <c r="AU406" s="56"/>
      <c r="AV406" s="56"/>
      <c r="AW406" s="56"/>
      <c r="AX406" s="56"/>
      <c r="AY406" s="56"/>
      <c r="AZ406" s="56"/>
      <c r="BA406" s="168"/>
      <c r="BB406" s="56"/>
      <c r="BC406" s="56"/>
      <c r="BD406" s="56"/>
      <c r="BE406" s="168"/>
      <c r="BF406" s="56"/>
      <c r="BG406" s="10"/>
      <c r="BH406" s="56"/>
      <c r="BI406" s="56"/>
      <c r="BJ406" s="56"/>
      <c r="BK406" s="56"/>
      <c r="BS406" s="144"/>
      <c r="CM406" s="144"/>
      <c r="DC406" s="144"/>
    </row>
    <row r="407" spans="1:107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1"/>
      <c r="M407" s="10"/>
      <c r="N407" s="56"/>
      <c r="O407" s="56"/>
      <c r="P407" s="10"/>
      <c r="Q407" s="158"/>
      <c r="R407" s="174"/>
      <c r="S407" s="164"/>
      <c r="T407" s="56"/>
      <c r="U407" s="56"/>
      <c r="V407" s="56"/>
      <c r="W407" s="158"/>
      <c r="X407" s="174"/>
      <c r="Y407" s="168"/>
      <c r="Z407" s="10"/>
      <c r="AA407" s="56"/>
      <c r="AB407" s="56"/>
      <c r="AC407" s="56"/>
      <c r="AD407" s="56"/>
      <c r="AE407" s="56"/>
      <c r="AF407" s="170"/>
      <c r="AG407" s="56"/>
      <c r="AH407" s="56"/>
      <c r="AI407" s="168"/>
      <c r="AJ407" s="56"/>
      <c r="AK407" s="56"/>
      <c r="AL407" s="56"/>
      <c r="AM407" s="56"/>
      <c r="AN407" s="56"/>
      <c r="AO407" s="56"/>
      <c r="AP407" s="56"/>
      <c r="AQ407" s="56"/>
      <c r="AR407" s="168"/>
      <c r="AS407" s="56"/>
      <c r="AT407" s="56"/>
      <c r="AU407" s="56"/>
      <c r="AV407" s="56"/>
      <c r="AW407" s="56"/>
      <c r="AX407" s="56"/>
      <c r="AY407" s="56"/>
      <c r="AZ407" s="56"/>
      <c r="BA407" s="168"/>
      <c r="BB407" s="56"/>
      <c r="BC407" s="56"/>
      <c r="BD407" s="56"/>
      <c r="BE407" s="168"/>
      <c r="BF407" s="56"/>
      <c r="BG407" s="10"/>
      <c r="BH407" s="56"/>
      <c r="BI407" s="56"/>
      <c r="BJ407" s="56"/>
      <c r="BK407" s="56"/>
      <c r="BS407" s="144"/>
      <c r="CM407" s="144"/>
      <c r="DC407" s="144"/>
    </row>
    <row r="408" spans="1:107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1"/>
      <c r="M408" s="10"/>
      <c r="N408" s="56"/>
      <c r="O408" s="56"/>
      <c r="P408" s="10"/>
      <c r="Q408" s="158"/>
      <c r="R408" s="174"/>
      <c r="S408" s="164"/>
      <c r="T408" s="56"/>
      <c r="U408" s="56"/>
      <c r="V408" s="56"/>
      <c r="W408" s="158"/>
      <c r="X408" s="174"/>
      <c r="Y408" s="168"/>
      <c r="Z408" s="10"/>
      <c r="AA408" s="56"/>
      <c r="AB408" s="56"/>
      <c r="AC408" s="56"/>
      <c r="AD408" s="56"/>
      <c r="AE408" s="56"/>
      <c r="AF408" s="170"/>
      <c r="AG408" s="56"/>
      <c r="AH408" s="56"/>
      <c r="AI408" s="168"/>
      <c r="AJ408" s="56"/>
      <c r="AK408" s="56"/>
      <c r="AL408" s="56"/>
      <c r="AM408" s="56"/>
      <c r="AN408" s="56"/>
      <c r="AO408" s="56"/>
      <c r="AP408" s="56"/>
      <c r="AQ408" s="56"/>
      <c r="AR408" s="168"/>
      <c r="AS408" s="56"/>
      <c r="AT408" s="56"/>
      <c r="AU408" s="56"/>
      <c r="AV408" s="56"/>
      <c r="AW408" s="56"/>
      <c r="AX408" s="56"/>
      <c r="AY408" s="56"/>
      <c r="AZ408" s="56"/>
      <c r="BA408" s="168"/>
      <c r="BB408" s="56"/>
      <c r="BC408" s="56"/>
      <c r="BD408" s="56"/>
      <c r="BE408" s="168"/>
      <c r="BF408" s="56"/>
      <c r="BG408" s="10"/>
      <c r="BH408" s="56"/>
      <c r="BI408" s="56"/>
      <c r="BJ408" s="56"/>
      <c r="BK408" s="56"/>
      <c r="BS408" s="144"/>
      <c r="CM408" s="144"/>
      <c r="DC408" s="144"/>
    </row>
    <row r="409" spans="1:107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1"/>
      <c r="M409" s="10"/>
      <c r="N409" s="56"/>
      <c r="O409" s="56"/>
      <c r="P409" s="10"/>
      <c r="Q409" s="158"/>
      <c r="R409" s="174"/>
      <c r="S409" s="164"/>
      <c r="T409" s="56"/>
      <c r="U409" s="56"/>
      <c r="V409" s="56"/>
      <c r="W409" s="158"/>
      <c r="X409" s="174"/>
      <c r="Y409" s="168"/>
      <c r="Z409" s="10"/>
      <c r="AA409" s="56"/>
      <c r="AB409" s="56"/>
      <c r="AC409" s="56"/>
      <c r="AD409" s="56"/>
      <c r="AE409" s="56"/>
      <c r="AF409" s="170"/>
      <c r="AG409" s="56"/>
      <c r="AH409" s="56"/>
      <c r="AI409" s="168"/>
      <c r="AJ409" s="56"/>
      <c r="AK409" s="56"/>
      <c r="AL409" s="56"/>
      <c r="AM409" s="56"/>
      <c r="AN409" s="56"/>
      <c r="AO409" s="56"/>
      <c r="AP409" s="56"/>
      <c r="AQ409" s="56"/>
      <c r="AR409" s="168"/>
      <c r="AS409" s="56"/>
      <c r="AT409" s="56"/>
      <c r="AU409" s="56"/>
      <c r="AV409" s="56"/>
      <c r="AW409" s="56"/>
      <c r="AX409" s="56"/>
      <c r="AY409" s="56"/>
      <c r="AZ409" s="56"/>
      <c r="BA409" s="168"/>
      <c r="BB409" s="56"/>
      <c r="BC409" s="56"/>
      <c r="BD409" s="56"/>
      <c r="BE409" s="168"/>
      <c r="BF409" s="56"/>
      <c r="BG409" s="10"/>
      <c r="BH409" s="56"/>
      <c r="BI409" s="56"/>
      <c r="BJ409" s="56"/>
      <c r="BK409" s="56"/>
      <c r="BS409" s="144"/>
      <c r="CM409" s="144"/>
      <c r="DC409" s="144"/>
    </row>
    <row r="410" spans="1:107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1"/>
      <c r="M410" s="10"/>
      <c r="N410" s="56"/>
      <c r="O410" s="56"/>
      <c r="P410" s="10"/>
      <c r="Q410" s="158"/>
      <c r="R410" s="174"/>
      <c r="S410" s="164"/>
      <c r="T410" s="56"/>
      <c r="U410" s="56"/>
      <c r="V410" s="56"/>
      <c r="W410" s="158"/>
      <c r="X410" s="174"/>
      <c r="Y410" s="168"/>
      <c r="Z410" s="10"/>
      <c r="AA410" s="56"/>
      <c r="AB410" s="56"/>
      <c r="AC410" s="56"/>
      <c r="AD410" s="56"/>
      <c r="AE410" s="56"/>
      <c r="AF410" s="170"/>
      <c r="AG410" s="56"/>
      <c r="AH410" s="56"/>
      <c r="AI410" s="168"/>
      <c r="AJ410" s="56"/>
      <c r="AK410" s="56"/>
      <c r="AL410" s="56"/>
      <c r="AM410" s="56"/>
      <c r="AN410" s="56"/>
      <c r="AO410" s="56"/>
      <c r="AP410" s="56"/>
      <c r="AQ410" s="56"/>
      <c r="AR410" s="168"/>
      <c r="AS410" s="56"/>
      <c r="AT410" s="56"/>
      <c r="AU410" s="56"/>
      <c r="AV410" s="56"/>
      <c r="AW410" s="56"/>
      <c r="AX410" s="56"/>
      <c r="AY410" s="56"/>
      <c r="AZ410" s="56"/>
      <c r="BA410" s="168"/>
      <c r="BB410" s="56"/>
      <c r="BC410" s="56"/>
      <c r="BD410" s="56"/>
      <c r="BE410" s="168"/>
      <c r="BF410" s="56"/>
      <c r="BG410" s="10"/>
      <c r="BH410" s="56"/>
      <c r="BI410" s="56"/>
      <c r="BJ410" s="56"/>
      <c r="BK410" s="56"/>
      <c r="BS410" s="144"/>
      <c r="CM410" s="144"/>
      <c r="DC410" s="144"/>
    </row>
    <row r="411" spans="1:107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1"/>
      <c r="M411" s="10"/>
      <c r="N411" s="56"/>
      <c r="O411" s="56"/>
      <c r="P411" s="10"/>
      <c r="Q411" s="158"/>
      <c r="R411" s="174"/>
      <c r="S411" s="164"/>
      <c r="T411" s="56"/>
      <c r="U411" s="56"/>
      <c r="V411" s="56"/>
      <c r="W411" s="158"/>
      <c r="X411" s="174"/>
      <c r="Y411" s="168"/>
      <c r="Z411" s="10"/>
      <c r="AA411" s="56"/>
      <c r="AB411" s="56"/>
      <c r="AC411" s="56"/>
      <c r="AD411" s="56"/>
      <c r="AE411" s="56"/>
      <c r="AF411" s="170"/>
      <c r="AG411" s="56"/>
      <c r="AH411" s="56"/>
      <c r="AI411" s="168"/>
      <c r="AJ411" s="56"/>
      <c r="AK411" s="56"/>
      <c r="AL411" s="56"/>
      <c r="AM411" s="56"/>
      <c r="AN411" s="56"/>
      <c r="AO411" s="56"/>
      <c r="AP411" s="56"/>
      <c r="AQ411" s="56"/>
      <c r="AR411" s="168"/>
      <c r="AS411" s="56"/>
      <c r="AT411" s="56"/>
      <c r="AU411" s="56"/>
      <c r="AV411" s="56"/>
      <c r="AW411" s="56"/>
      <c r="AX411" s="56"/>
      <c r="AY411" s="56"/>
      <c r="AZ411" s="56"/>
      <c r="BA411" s="168"/>
      <c r="BB411" s="56"/>
      <c r="BC411" s="56"/>
      <c r="BD411" s="56"/>
      <c r="BE411" s="168"/>
      <c r="BF411" s="56"/>
      <c r="BG411" s="10"/>
      <c r="BH411" s="56"/>
      <c r="BI411" s="56"/>
      <c r="BJ411" s="56"/>
      <c r="BK411" s="56"/>
      <c r="BS411" s="144"/>
      <c r="CM411" s="144"/>
      <c r="DC411" s="144"/>
    </row>
    <row r="412" spans="1:107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1"/>
      <c r="M412" s="10"/>
      <c r="N412" s="56"/>
      <c r="O412" s="56"/>
      <c r="P412" s="10"/>
      <c r="Q412" s="158"/>
      <c r="R412" s="174"/>
      <c r="S412" s="164"/>
      <c r="T412" s="56"/>
      <c r="U412" s="56"/>
      <c r="V412" s="56"/>
      <c r="W412" s="158"/>
      <c r="X412" s="174"/>
      <c r="Y412" s="168"/>
      <c r="Z412" s="10"/>
      <c r="AA412" s="56"/>
      <c r="AB412" s="56"/>
      <c r="AC412" s="56"/>
      <c r="AD412" s="56"/>
      <c r="AE412" s="56"/>
      <c r="AF412" s="170"/>
      <c r="AG412" s="56"/>
      <c r="AH412" s="56"/>
      <c r="AI412" s="168"/>
      <c r="AJ412" s="56"/>
      <c r="AK412" s="56"/>
      <c r="AL412" s="56"/>
      <c r="AM412" s="56"/>
      <c r="AN412" s="56"/>
      <c r="AO412" s="56"/>
      <c r="AP412" s="56"/>
      <c r="AQ412" s="56"/>
      <c r="AR412" s="168"/>
      <c r="AS412" s="56"/>
      <c r="AT412" s="56"/>
      <c r="AU412" s="56"/>
      <c r="AV412" s="56"/>
      <c r="AW412" s="56"/>
      <c r="AX412" s="56"/>
      <c r="AY412" s="56"/>
      <c r="AZ412" s="56"/>
      <c r="BA412" s="168"/>
      <c r="BB412" s="56"/>
      <c r="BC412" s="56"/>
      <c r="BD412" s="56"/>
      <c r="BE412" s="168"/>
      <c r="BF412" s="56"/>
      <c r="BG412" s="10"/>
      <c r="BH412" s="56"/>
      <c r="BI412" s="56"/>
      <c r="BJ412" s="56"/>
      <c r="BK412" s="56"/>
      <c r="BS412" s="144"/>
      <c r="CM412" s="144"/>
      <c r="DC412" s="144"/>
    </row>
    <row r="413" spans="1:107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1"/>
      <c r="M413" s="10"/>
      <c r="N413" s="56"/>
      <c r="O413" s="56"/>
      <c r="P413" s="10"/>
      <c r="Q413" s="158"/>
      <c r="R413" s="174"/>
      <c r="S413" s="164"/>
      <c r="T413" s="56"/>
      <c r="U413" s="56"/>
      <c r="V413" s="56"/>
      <c r="W413" s="158"/>
      <c r="X413" s="174"/>
      <c r="Y413" s="168"/>
      <c r="Z413" s="10"/>
      <c r="AA413" s="56"/>
      <c r="AB413" s="56"/>
      <c r="AC413" s="56"/>
      <c r="AD413" s="56"/>
      <c r="AE413" s="56"/>
      <c r="AF413" s="170"/>
      <c r="AG413" s="56"/>
      <c r="AH413" s="56"/>
      <c r="AI413" s="168"/>
      <c r="AJ413" s="56"/>
      <c r="AK413" s="56"/>
      <c r="AL413" s="56"/>
      <c r="AM413" s="56"/>
      <c r="AN413" s="56"/>
      <c r="AO413" s="56"/>
      <c r="AP413" s="56"/>
      <c r="AQ413" s="56"/>
      <c r="AR413" s="168"/>
      <c r="AS413" s="56"/>
      <c r="AT413" s="56"/>
      <c r="AU413" s="56"/>
      <c r="AV413" s="56"/>
      <c r="AW413" s="56"/>
      <c r="AX413" s="56"/>
      <c r="AY413" s="56"/>
      <c r="AZ413" s="56"/>
      <c r="BA413" s="168"/>
      <c r="BB413" s="56"/>
      <c r="BC413" s="56"/>
      <c r="BD413" s="56"/>
      <c r="BE413" s="168"/>
      <c r="BF413" s="56"/>
      <c r="BG413" s="10"/>
      <c r="BH413" s="56"/>
      <c r="BI413" s="56"/>
      <c r="BJ413" s="56"/>
      <c r="BK413" s="56"/>
      <c r="BS413" s="144"/>
      <c r="CM413" s="144"/>
      <c r="DC413" s="144"/>
    </row>
    <row r="414" spans="1:107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1"/>
      <c r="M414" s="10"/>
      <c r="N414" s="56"/>
      <c r="O414" s="56"/>
      <c r="P414" s="10"/>
      <c r="Q414" s="158"/>
      <c r="R414" s="174"/>
      <c r="S414" s="164"/>
      <c r="T414" s="56"/>
      <c r="U414" s="56"/>
      <c r="V414" s="56"/>
      <c r="W414" s="158"/>
      <c r="X414" s="174"/>
      <c r="Y414" s="168"/>
      <c r="Z414" s="10"/>
      <c r="AA414" s="56"/>
      <c r="AB414" s="56"/>
      <c r="AC414" s="56"/>
      <c r="AD414" s="56"/>
      <c r="AE414" s="56"/>
      <c r="AF414" s="170"/>
      <c r="AG414" s="56"/>
      <c r="AH414" s="56"/>
      <c r="AI414" s="168"/>
      <c r="AJ414" s="56"/>
      <c r="AK414" s="56"/>
      <c r="AL414" s="56"/>
      <c r="AM414" s="56"/>
      <c r="AN414" s="56"/>
      <c r="AO414" s="56"/>
      <c r="AP414" s="56"/>
      <c r="AQ414" s="56"/>
      <c r="AR414" s="168"/>
      <c r="AS414" s="56"/>
      <c r="AT414" s="56"/>
      <c r="AU414" s="56"/>
      <c r="AV414" s="56"/>
      <c r="AW414" s="56"/>
      <c r="AX414" s="56"/>
      <c r="AY414" s="56"/>
      <c r="AZ414" s="56"/>
      <c r="BA414" s="168"/>
      <c r="BB414" s="56"/>
      <c r="BC414" s="56"/>
      <c r="BD414" s="56"/>
      <c r="BE414" s="168"/>
      <c r="BF414" s="56"/>
      <c r="BG414" s="10"/>
      <c r="BH414" s="56"/>
      <c r="BI414" s="56"/>
      <c r="BJ414" s="56"/>
      <c r="BK414" s="56"/>
      <c r="BS414" s="144"/>
      <c r="CM414" s="144"/>
      <c r="DC414" s="144"/>
    </row>
    <row r="415" spans="1:107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1"/>
      <c r="M415" s="10"/>
      <c r="N415" s="56"/>
      <c r="O415" s="56"/>
      <c r="P415" s="10"/>
      <c r="Q415" s="158"/>
      <c r="R415" s="174"/>
      <c r="S415" s="164"/>
      <c r="T415" s="56"/>
      <c r="U415" s="56"/>
      <c r="V415" s="56"/>
      <c r="W415" s="158"/>
      <c r="X415" s="174"/>
      <c r="Y415" s="168"/>
      <c r="Z415" s="10"/>
      <c r="AA415" s="56"/>
      <c r="AB415" s="56"/>
      <c r="AC415" s="56"/>
      <c r="AD415" s="56"/>
      <c r="AE415" s="56"/>
      <c r="AF415" s="170"/>
      <c r="AG415" s="56"/>
      <c r="AH415" s="56"/>
      <c r="AI415" s="168"/>
      <c r="AJ415" s="56"/>
      <c r="AK415" s="56"/>
      <c r="AL415" s="56"/>
      <c r="AM415" s="56"/>
      <c r="AN415" s="56"/>
      <c r="AO415" s="56"/>
      <c r="AP415" s="56"/>
      <c r="AQ415" s="56"/>
      <c r="AR415" s="168"/>
      <c r="AS415" s="56"/>
      <c r="AT415" s="56"/>
      <c r="AU415" s="56"/>
      <c r="AV415" s="56"/>
      <c r="AW415" s="56"/>
      <c r="AX415" s="56"/>
      <c r="AY415" s="56"/>
      <c r="AZ415" s="56"/>
      <c r="BA415" s="168"/>
      <c r="BB415" s="56"/>
      <c r="BC415" s="56"/>
      <c r="BD415" s="56"/>
      <c r="BE415" s="168"/>
      <c r="BF415" s="56"/>
      <c r="BG415" s="10"/>
      <c r="BH415" s="56"/>
      <c r="BI415" s="56"/>
      <c r="BJ415" s="56"/>
      <c r="BK415" s="56"/>
      <c r="BS415" s="144"/>
      <c r="CM415" s="144"/>
      <c r="DC415" s="144"/>
    </row>
    <row r="416" spans="1:107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1"/>
      <c r="M416" s="10"/>
      <c r="N416" s="56"/>
      <c r="O416" s="56"/>
      <c r="P416" s="10"/>
      <c r="Q416" s="158"/>
      <c r="R416" s="174"/>
      <c r="S416" s="164"/>
      <c r="T416" s="56"/>
      <c r="U416" s="56"/>
      <c r="V416" s="56"/>
      <c r="W416" s="158"/>
      <c r="X416" s="174"/>
      <c r="Y416" s="168"/>
      <c r="Z416" s="10"/>
      <c r="AA416" s="56"/>
      <c r="AB416" s="56"/>
      <c r="AC416" s="56"/>
      <c r="AD416" s="56"/>
      <c r="AE416" s="56"/>
      <c r="AF416" s="170"/>
      <c r="AG416" s="56"/>
      <c r="AH416" s="56"/>
      <c r="AI416" s="168"/>
      <c r="AJ416" s="56"/>
      <c r="AK416" s="56"/>
      <c r="AL416" s="56"/>
      <c r="AM416" s="56"/>
      <c r="AN416" s="56"/>
      <c r="AO416" s="56"/>
      <c r="AP416" s="56"/>
      <c r="AQ416" s="56"/>
      <c r="AR416" s="168"/>
      <c r="AS416" s="56"/>
      <c r="AT416" s="56"/>
      <c r="AU416" s="56"/>
      <c r="AV416" s="56"/>
      <c r="AW416" s="56"/>
      <c r="AX416" s="56"/>
      <c r="AY416" s="56"/>
      <c r="AZ416" s="56"/>
      <c r="BA416" s="168"/>
      <c r="BB416" s="56"/>
      <c r="BC416" s="56"/>
      <c r="BD416" s="56"/>
      <c r="BE416" s="168"/>
      <c r="BF416" s="56"/>
      <c r="BG416" s="10"/>
      <c r="BH416" s="56"/>
      <c r="BI416" s="56"/>
      <c r="BJ416" s="56"/>
      <c r="BK416" s="56"/>
      <c r="BS416" s="144"/>
      <c r="CM416" s="144"/>
      <c r="DC416" s="144"/>
    </row>
    <row r="417" spans="1:107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1"/>
      <c r="M417" s="10"/>
      <c r="N417" s="56"/>
      <c r="O417" s="56"/>
      <c r="P417" s="10"/>
      <c r="Q417" s="158"/>
      <c r="R417" s="174"/>
      <c r="S417" s="164"/>
      <c r="T417" s="56"/>
      <c r="U417" s="56"/>
      <c r="V417" s="56"/>
      <c r="W417" s="158"/>
      <c r="X417" s="174"/>
      <c r="Y417" s="168"/>
      <c r="Z417" s="10"/>
      <c r="AA417" s="56"/>
      <c r="AB417" s="56"/>
      <c r="AC417" s="56"/>
      <c r="AD417" s="56"/>
      <c r="AE417" s="56"/>
      <c r="AF417" s="170"/>
      <c r="AG417" s="56"/>
      <c r="AH417" s="56"/>
      <c r="AI417" s="168"/>
      <c r="AJ417" s="56"/>
      <c r="AK417" s="56"/>
      <c r="AL417" s="56"/>
      <c r="AM417" s="56"/>
      <c r="AN417" s="56"/>
      <c r="AO417" s="56"/>
      <c r="AP417" s="56"/>
      <c r="AQ417" s="56"/>
      <c r="AR417" s="168"/>
      <c r="AS417" s="56"/>
      <c r="AT417" s="56"/>
      <c r="AU417" s="56"/>
      <c r="AV417" s="56"/>
      <c r="AW417" s="56"/>
      <c r="AX417" s="56"/>
      <c r="AY417" s="56"/>
      <c r="AZ417" s="56"/>
      <c r="BA417" s="168"/>
      <c r="BB417" s="56"/>
      <c r="BC417" s="56"/>
      <c r="BD417" s="56"/>
      <c r="BE417" s="168"/>
      <c r="BF417" s="56"/>
      <c r="BG417" s="10"/>
      <c r="BH417" s="56"/>
      <c r="BI417" s="56"/>
      <c r="BJ417" s="56"/>
      <c r="BK417" s="56"/>
      <c r="BS417" s="144"/>
      <c r="CM417" s="144"/>
      <c r="DC417" s="144"/>
    </row>
    <row r="418" spans="1:107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1"/>
      <c r="M418" s="10"/>
      <c r="N418" s="56"/>
      <c r="O418" s="56"/>
      <c r="P418" s="10"/>
      <c r="Q418" s="158"/>
      <c r="R418" s="174"/>
      <c r="S418" s="164"/>
      <c r="T418" s="56"/>
      <c r="U418" s="56"/>
      <c r="V418" s="56"/>
      <c r="W418" s="158"/>
      <c r="X418" s="174"/>
      <c r="Y418" s="168"/>
      <c r="Z418" s="10"/>
      <c r="AA418" s="56"/>
      <c r="AB418" s="56"/>
      <c r="AC418" s="56"/>
      <c r="AD418" s="56"/>
      <c r="AE418" s="56"/>
      <c r="AF418" s="170"/>
      <c r="AG418" s="56"/>
      <c r="AH418" s="56"/>
      <c r="AI418" s="168"/>
      <c r="AJ418" s="56"/>
      <c r="AK418" s="56"/>
      <c r="AL418" s="56"/>
      <c r="AM418" s="56"/>
      <c r="AN418" s="56"/>
      <c r="AO418" s="56"/>
      <c r="AP418" s="56"/>
      <c r="AQ418" s="56"/>
      <c r="AR418" s="168"/>
      <c r="AS418" s="56"/>
      <c r="AT418" s="56"/>
      <c r="AU418" s="56"/>
      <c r="AV418" s="56"/>
      <c r="AW418" s="56"/>
      <c r="AX418" s="56"/>
      <c r="AY418" s="56"/>
      <c r="AZ418" s="56"/>
      <c r="BA418" s="168"/>
      <c r="BB418" s="56"/>
      <c r="BC418" s="56"/>
      <c r="BD418" s="56"/>
      <c r="BE418" s="168"/>
      <c r="BF418" s="56"/>
      <c r="BG418" s="10"/>
      <c r="BH418" s="56"/>
      <c r="BI418" s="56"/>
      <c r="BJ418" s="56"/>
      <c r="BK418" s="56"/>
      <c r="BS418" s="144"/>
      <c r="CM418" s="144"/>
      <c r="DC418" s="144"/>
    </row>
    <row r="419" spans="1:107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1"/>
      <c r="M419" s="10"/>
      <c r="N419" s="56"/>
      <c r="O419" s="56"/>
      <c r="P419" s="10"/>
      <c r="Q419" s="158"/>
      <c r="R419" s="174"/>
      <c r="S419" s="164"/>
      <c r="T419" s="56"/>
      <c r="U419" s="56"/>
      <c r="V419" s="56"/>
      <c r="W419" s="158"/>
      <c r="X419" s="174"/>
      <c r="Y419" s="168"/>
      <c r="Z419" s="10"/>
      <c r="AA419" s="56"/>
      <c r="AB419" s="56"/>
      <c r="AC419" s="56"/>
      <c r="AD419" s="56"/>
      <c r="AE419" s="56"/>
      <c r="AF419" s="170"/>
      <c r="AG419" s="56"/>
      <c r="AH419" s="56"/>
      <c r="AI419" s="168"/>
      <c r="AJ419" s="56"/>
      <c r="AK419" s="56"/>
      <c r="AL419" s="56"/>
      <c r="AM419" s="56"/>
      <c r="AN419" s="56"/>
      <c r="AO419" s="56"/>
      <c r="AP419" s="56"/>
      <c r="AQ419" s="56"/>
      <c r="AR419" s="168"/>
      <c r="AS419" s="56"/>
      <c r="AT419" s="56"/>
      <c r="AU419" s="56"/>
      <c r="AV419" s="56"/>
      <c r="AW419" s="56"/>
      <c r="AX419" s="56"/>
      <c r="AY419" s="56"/>
      <c r="AZ419" s="56"/>
      <c r="BA419" s="168"/>
      <c r="BB419" s="56"/>
      <c r="BC419" s="56"/>
      <c r="BD419" s="56"/>
      <c r="BE419" s="168"/>
      <c r="BF419" s="56"/>
      <c r="BG419" s="10"/>
      <c r="BH419" s="56"/>
      <c r="BI419" s="56"/>
      <c r="BJ419" s="56"/>
      <c r="BK419" s="56"/>
      <c r="BS419" s="144"/>
      <c r="CM419" s="144"/>
      <c r="DC419" s="144"/>
    </row>
    <row r="420" spans="1:107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1"/>
      <c r="M420" s="10"/>
      <c r="N420" s="56"/>
      <c r="O420" s="56"/>
      <c r="P420" s="10"/>
      <c r="Q420" s="158"/>
      <c r="R420" s="174"/>
      <c r="S420" s="164"/>
      <c r="T420" s="56"/>
      <c r="U420" s="56"/>
      <c r="V420" s="56"/>
      <c r="W420" s="158"/>
      <c r="X420" s="174"/>
      <c r="Y420" s="168"/>
      <c r="Z420" s="10"/>
      <c r="AA420" s="56"/>
      <c r="AB420" s="56"/>
      <c r="AC420" s="56"/>
      <c r="AD420" s="56"/>
      <c r="AE420" s="56"/>
      <c r="AF420" s="170"/>
      <c r="AG420" s="56"/>
      <c r="AH420" s="56"/>
      <c r="AI420" s="168"/>
      <c r="AJ420" s="56"/>
      <c r="AK420" s="56"/>
      <c r="AL420" s="56"/>
      <c r="AM420" s="56"/>
      <c r="AN420" s="56"/>
      <c r="AO420" s="56"/>
      <c r="AP420" s="56"/>
      <c r="AQ420" s="56"/>
      <c r="AR420" s="168"/>
      <c r="AS420" s="56"/>
      <c r="AT420" s="56"/>
      <c r="AU420" s="56"/>
      <c r="AV420" s="56"/>
      <c r="AW420" s="56"/>
      <c r="AX420" s="56"/>
      <c r="AY420" s="56"/>
      <c r="AZ420" s="56"/>
      <c r="BA420" s="168"/>
      <c r="BB420" s="56"/>
      <c r="BC420" s="56"/>
      <c r="BD420" s="56"/>
      <c r="BE420" s="168"/>
      <c r="BF420" s="56"/>
      <c r="BG420" s="10"/>
      <c r="BH420" s="56"/>
      <c r="BI420" s="56"/>
      <c r="BJ420" s="56"/>
      <c r="BK420" s="56"/>
      <c r="BS420" s="144"/>
      <c r="CM420" s="144"/>
      <c r="DC420" s="144"/>
    </row>
    <row r="421" spans="1:107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1"/>
      <c r="M421" s="10"/>
      <c r="N421" s="56"/>
      <c r="O421" s="56"/>
      <c r="P421" s="10"/>
      <c r="Q421" s="158"/>
      <c r="R421" s="174"/>
      <c r="S421" s="164"/>
      <c r="T421" s="56"/>
      <c r="U421" s="56"/>
      <c r="V421" s="56"/>
      <c r="W421" s="158"/>
      <c r="X421" s="174"/>
      <c r="Y421" s="168"/>
      <c r="Z421" s="10"/>
      <c r="AA421" s="56"/>
      <c r="AB421" s="56"/>
      <c r="AC421" s="56"/>
      <c r="AD421" s="56"/>
      <c r="AE421" s="56"/>
      <c r="AF421" s="170"/>
      <c r="AG421" s="56"/>
      <c r="AH421" s="56"/>
      <c r="AI421" s="168"/>
      <c r="AJ421" s="56"/>
      <c r="AK421" s="56"/>
      <c r="AL421" s="56"/>
      <c r="AM421" s="56"/>
      <c r="AN421" s="56"/>
      <c r="AO421" s="56"/>
      <c r="AP421" s="56"/>
      <c r="AQ421" s="56"/>
      <c r="AR421" s="168"/>
      <c r="AS421" s="56"/>
      <c r="AT421" s="56"/>
      <c r="AU421" s="56"/>
      <c r="AV421" s="56"/>
      <c r="AW421" s="56"/>
      <c r="AX421" s="56"/>
      <c r="AY421" s="56"/>
      <c r="AZ421" s="56"/>
      <c r="BA421" s="168"/>
      <c r="BB421" s="56"/>
      <c r="BC421" s="56"/>
      <c r="BD421" s="56"/>
      <c r="BE421" s="168"/>
      <c r="BF421" s="56"/>
      <c r="BG421" s="10"/>
      <c r="BH421" s="56"/>
      <c r="BI421" s="56"/>
      <c r="BJ421" s="56"/>
      <c r="BK421" s="56"/>
      <c r="BS421" s="144"/>
      <c r="CM421" s="144"/>
      <c r="DC421" s="144"/>
    </row>
    <row r="422" spans="1:107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1"/>
      <c r="M422" s="10"/>
      <c r="N422" s="56"/>
      <c r="O422" s="56"/>
      <c r="P422" s="10"/>
      <c r="Q422" s="158"/>
      <c r="R422" s="174"/>
      <c r="S422" s="164"/>
      <c r="T422" s="56"/>
      <c r="U422" s="56"/>
      <c r="V422" s="56"/>
      <c r="W422" s="158"/>
      <c r="X422" s="174"/>
      <c r="Y422" s="168"/>
      <c r="Z422" s="10"/>
      <c r="AA422" s="56"/>
      <c r="AB422" s="56"/>
      <c r="AC422" s="56"/>
      <c r="AD422" s="56"/>
      <c r="AE422" s="56"/>
      <c r="AF422" s="170"/>
      <c r="AG422" s="56"/>
      <c r="AH422" s="56"/>
      <c r="AI422" s="168"/>
      <c r="AJ422" s="56"/>
      <c r="AK422" s="56"/>
      <c r="AL422" s="56"/>
      <c r="AM422" s="56"/>
      <c r="AN422" s="56"/>
      <c r="AO422" s="56"/>
      <c r="AP422" s="56"/>
      <c r="AQ422" s="56"/>
      <c r="AR422" s="168"/>
      <c r="AS422" s="56"/>
      <c r="AT422" s="56"/>
      <c r="AU422" s="56"/>
      <c r="AV422" s="56"/>
      <c r="AW422" s="56"/>
      <c r="AX422" s="56"/>
      <c r="AY422" s="56"/>
      <c r="AZ422" s="56"/>
      <c r="BA422" s="168"/>
      <c r="BB422" s="56"/>
      <c r="BC422" s="56"/>
      <c r="BD422" s="56"/>
      <c r="BE422" s="168"/>
      <c r="BF422" s="56"/>
      <c r="BG422" s="10"/>
      <c r="BH422" s="56"/>
      <c r="BI422" s="56"/>
      <c r="BJ422" s="56"/>
      <c r="BK422" s="56"/>
      <c r="BS422" s="144"/>
      <c r="CM422" s="144"/>
      <c r="DC422" s="144"/>
    </row>
    <row r="423" spans="1:107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1"/>
      <c r="M423" s="10"/>
      <c r="N423" s="56"/>
      <c r="O423" s="56"/>
      <c r="P423" s="10"/>
      <c r="Q423" s="158"/>
      <c r="R423" s="174"/>
      <c r="S423" s="164"/>
      <c r="T423" s="56"/>
      <c r="U423" s="56"/>
      <c r="V423" s="56"/>
      <c r="W423" s="158"/>
      <c r="X423" s="174"/>
      <c r="Y423" s="168"/>
      <c r="Z423" s="10"/>
      <c r="AA423" s="56"/>
      <c r="AB423" s="56"/>
      <c r="AC423" s="56"/>
      <c r="AD423" s="56"/>
      <c r="AE423" s="56"/>
      <c r="AF423" s="170"/>
      <c r="AG423" s="56"/>
      <c r="AH423" s="56"/>
      <c r="AI423" s="168"/>
      <c r="AJ423" s="56"/>
      <c r="AK423" s="56"/>
      <c r="AL423" s="56"/>
      <c r="AM423" s="56"/>
      <c r="AN423" s="56"/>
      <c r="AO423" s="56"/>
      <c r="AP423" s="56"/>
      <c r="AQ423" s="56"/>
      <c r="AR423" s="168"/>
      <c r="AS423" s="56"/>
      <c r="AT423" s="56"/>
      <c r="AU423" s="56"/>
      <c r="AV423" s="56"/>
      <c r="AW423" s="56"/>
      <c r="AX423" s="56"/>
      <c r="AY423" s="56"/>
      <c r="AZ423" s="56"/>
      <c r="BA423" s="168"/>
      <c r="BB423" s="56"/>
      <c r="BC423" s="56"/>
      <c r="BD423" s="56"/>
      <c r="BE423" s="168"/>
      <c r="BF423" s="56"/>
      <c r="BG423" s="10"/>
      <c r="BH423" s="56"/>
      <c r="BI423" s="56"/>
      <c r="BJ423" s="56"/>
      <c r="BK423" s="56"/>
      <c r="BS423" s="144"/>
      <c r="CM423" s="144"/>
      <c r="DC423" s="144"/>
    </row>
    <row r="424" spans="1:107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1"/>
      <c r="M424" s="10"/>
      <c r="N424" s="56"/>
      <c r="O424" s="56"/>
      <c r="P424" s="10"/>
      <c r="Q424" s="158"/>
      <c r="R424" s="174"/>
      <c r="S424" s="164"/>
      <c r="T424" s="56"/>
      <c r="U424" s="56"/>
      <c r="V424" s="56"/>
      <c r="W424" s="158"/>
      <c r="X424" s="174"/>
      <c r="Y424" s="168"/>
      <c r="Z424" s="10"/>
      <c r="AA424" s="56"/>
      <c r="AB424" s="56"/>
      <c r="AC424" s="56"/>
      <c r="AD424" s="56"/>
      <c r="AE424" s="56"/>
      <c r="AF424" s="170"/>
      <c r="AG424" s="56"/>
      <c r="AH424" s="56"/>
      <c r="AI424" s="168"/>
      <c r="AJ424" s="56"/>
      <c r="AK424" s="56"/>
      <c r="AL424" s="56"/>
      <c r="AM424" s="56"/>
      <c r="AN424" s="56"/>
      <c r="AO424" s="56"/>
      <c r="AP424" s="56"/>
      <c r="AQ424" s="56"/>
      <c r="AR424" s="168"/>
      <c r="AS424" s="56"/>
      <c r="AT424" s="56"/>
      <c r="AU424" s="56"/>
      <c r="AV424" s="56"/>
      <c r="AW424" s="56"/>
      <c r="AX424" s="56"/>
      <c r="AY424" s="56"/>
      <c r="AZ424" s="56"/>
      <c r="BA424" s="168"/>
      <c r="BB424" s="56"/>
      <c r="BC424" s="56"/>
      <c r="BD424" s="56"/>
      <c r="BE424" s="168"/>
      <c r="BF424" s="56"/>
      <c r="BG424" s="10"/>
      <c r="BH424" s="56"/>
      <c r="BI424" s="56"/>
      <c r="BJ424" s="56"/>
      <c r="BK424" s="56"/>
      <c r="BS424" s="144"/>
      <c r="CM424" s="144"/>
      <c r="DC424" s="144"/>
    </row>
    <row r="425" spans="1:107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1"/>
      <c r="M425" s="10"/>
      <c r="N425" s="56"/>
      <c r="O425" s="56"/>
      <c r="P425" s="10"/>
      <c r="Q425" s="158"/>
      <c r="R425" s="174"/>
      <c r="S425" s="164"/>
      <c r="T425" s="56"/>
      <c r="U425" s="56"/>
      <c r="V425" s="56"/>
      <c r="W425" s="158"/>
      <c r="X425" s="174"/>
      <c r="Y425" s="168"/>
      <c r="Z425" s="10"/>
      <c r="AA425" s="56"/>
      <c r="AB425" s="56"/>
      <c r="AC425" s="56"/>
      <c r="AD425" s="56"/>
      <c r="AE425" s="56"/>
      <c r="AF425" s="170"/>
      <c r="AG425" s="56"/>
      <c r="AH425" s="56"/>
      <c r="AI425" s="168"/>
      <c r="AJ425" s="56"/>
      <c r="AK425" s="56"/>
      <c r="AL425" s="56"/>
      <c r="AM425" s="56"/>
      <c r="AN425" s="56"/>
      <c r="AO425" s="56"/>
      <c r="AP425" s="56"/>
      <c r="AQ425" s="56"/>
      <c r="AR425" s="168"/>
      <c r="AS425" s="56"/>
      <c r="AT425" s="56"/>
      <c r="AU425" s="56"/>
      <c r="AV425" s="56"/>
      <c r="AW425" s="56"/>
      <c r="AX425" s="56"/>
      <c r="AY425" s="56"/>
      <c r="AZ425" s="56"/>
      <c r="BA425" s="168"/>
      <c r="BB425" s="56"/>
      <c r="BC425" s="56"/>
      <c r="BD425" s="56"/>
      <c r="BE425" s="168"/>
      <c r="BF425" s="56"/>
      <c r="BG425" s="10"/>
      <c r="BH425" s="56"/>
      <c r="BI425" s="56"/>
      <c r="BJ425" s="56"/>
      <c r="BK425" s="56"/>
      <c r="BS425" s="144"/>
      <c r="CM425" s="144"/>
      <c r="DC425" s="144"/>
    </row>
    <row r="426" spans="1:107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1"/>
      <c r="M426" s="10"/>
      <c r="N426" s="56"/>
      <c r="O426" s="56"/>
      <c r="P426" s="10"/>
      <c r="Q426" s="158"/>
      <c r="R426" s="174"/>
      <c r="S426" s="164"/>
      <c r="T426" s="56"/>
      <c r="U426" s="56"/>
      <c r="V426" s="56"/>
      <c r="W426" s="158"/>
      <c r="X426" s="174"/>
      <c r="Y426" s="168"/>
      <c r="Z426" s="10"/>
      <c r="AA426" s="56"/>
      <c r="AB426" s="56"/>
      <c r="AC426" s="56"/>
      <c r="AD426" s="56"/>
      <c r="AE426" s="56"/>
      <c r="AF426" s="170"/>
      <c r="AG426" s="56"/>
      <c r="AH426" s="56"/>
      <c r="AI426" s="168"/>
      <c r="AJ426" s="56"/>
      <c r="AK426" s="56"/>
      <c r="AL426" s="56"/>
      <c r="AM426" s="56"/>
      <c r="AN426" s="56"/>
      <c r="AO426" s="56"/>
      <c r="AP426" s="56"/>
      <c r="AQ426" s="56"/>
      <c r="AR426" s="168"/>
      <c r="AS426" s="56"/>
      <c r="AT426" s="56"/>
      <c r="AU426" s="56"/>
      <c r="AV426" s="56"/>
      <c r="AW426" s="56"/>
      <c r="AX426" s="56"/>
      <c r="AY426" s="56"/>
      <c r="AZ426" s="56"/>
      <c r="BA426" s="168"/>
      <c r="BB426" s="56"/>
      <c r="BC426" s="56"/>
      <c r="BD426" s="56"/>
      <c r="BE426" s="168"/>
      <c r="BF426" s="56"/>
      <c r="BG426" s="10"/>
      <c r="BH426" s="56"/>
      <c r="BI426" s="56"/>
      <c r="BJ426" s="56"/>
      <c r="BK426" s="56"/>
      <c r="BS426" s="144"/>
      <c r="CM426" s="144"/>
      <c r="DC426" s="144"/>
    </row>
    <row r="427" spans="1:107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1"/>
      <c r="M427" s="10"/>
      <c r="N427" s="56"/>
      <c r="O427" s="56"/>
      <c r="P427" s="10"/>
      <c r="Q427" s="158"/>
      <c r="R427" s="174"/>
      <c r="S427" s="164"/>
      <c r="T427" s="56"/>
      <c r="U427" s="56"/>
      <c r="V427" s="56"/>
      <c r="W427" s="158"/>
      <c r="X427" s="174"/>
      <c r="Y427" s="168"/>
      <c r="Z427" s="10"/>
      <c r="AA427" s="56"/>
      <c r="AB427" s="56"/>
      <c r="AC427" s="56"/>
      <c r="AD427" s="56"/>
      <c r="AE427" s="56"/>
      <c r="AF427" s="170"/>
      <c r="AG427" s="56"/>
      <c r="AH427" s="56"/>
      <c r="AI427" s="168"/>
      <c r="AJ427" s="56"/>
      <c r="AK427" s="56"/>
      <c r="AL427" s="56"/>
      <c r="AM427" s="56"/>
      <c r="AN427" s="56"/>
      <c r="AO427" s="56"/>
      <c r="AP427" s="56"/>
      <c r="AQ427" s="56"/>
      <c r="AR427" s="168"/>
      <c r="AS427" s="56"/>
      <c r="AT427" s="56"/>
      <c r="AU427" s="56"/>
      <c r="AV427" s="56"/>
      <c r="AW427" s="56"/>
      <c r="AX427" s="56"/>
      <c r="AY427" s="56"/>
      <c r="AZ427" s="56"/>
      <c r="BA427" s="168"/>
      <c r="BB427" s="56"/>
      <c r="BC427" s="56"/>
      <c r="BD427" s="56"/>
      <c r="BE427" s="168"/>
      <c r="BF427" s="56"/>
      <c r="BG427" s="10"/>
      <c r="BH427" s="56"/>
      <c r="BI427" s="56"/>
      <c r="BJ427" s="56"/>
      <c r="BK427" s="56"/>
      <c r="BS427" s="144"/>
      <c r="CM427" s="144"/>
      <c r="DC427" s="144"/>
    </row>
    <row r="428" spans="1:107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1"/>
      <c r="M428" s="10"/>
      <c r="N428" s="56"/>
      <c r="O428" s="56"/>
      <c r="P428" s="10"/>
      <c r="Q428" s="158"/>
      <c r="R428" s="174"/>
      <c r="S428" s="164"/>
      <c r="T428" s="56"/>
      <c r="U428" s="56"/>
      <c r="V428" s="56"/>
      <c r="W428" s="158"/>
      <c r="X428" s="174"/>
      <c r="Y428" s="168"/>
      <c r="Z428" s="10"/>
      <c r="AA428" s="56"/>
      <c r="AB428" s="56"/>
      <c r="AC428" s="56"/>
      <c r="AD428" s="56"/>
      <c r="AE428" s="56"/>
      <c r="AF428" s="170"/>
      <c r="AG428" s="56"/>
      <c r="AH428" s="56"/>
      <c r="AI428" s="168"/>
      <c r="AJ428" s="56"/>
      <c r="AK428" s="56"/>
      <c r="AL428" s="56"/>
      <c r="AM428" s="56"/>
      <c r="AN428" s="56"/>
      <c r="AO428" s="56"/>
      <c r="AP428" s="56"/>
      <c r="AQ428" s="56"/>
      <c r="AR428" s="168"/>
      <c r="AS428" s="56"/>
      <c r="AT428" s="56"/>
      <c r="AU428" s="56"/>
      <c r="AV428" s="56"/>
      <c r="AW428" s="56"/>
      <c r="AX428" s="56"/>
      <c r="AY428" s="56"/>
      <c r="AZ428" s="56"/>
      <c r="BA428" s="168"/>
      <c r="BB428" s="56"/>
      <c r="BC428" s="56"/>
      <c r="BD428" s="56"/>
      <c r="BE428" s="168"/>
      <c r="BF428" s="56"/>
      <c r="BG428" s="10"/>
      <c r="BH428" s="56"/>
      <c r="BI428" s="56"/>
      <c r="BJ428" s="56"/>
      <c r="BK428" s="56"/>
      <c r="BS428" s="144"/>
      <c r="CM428" s="144"/>
      <c r="DC428" s="144"/>
    </row>
    <row r="429" spans="1:107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1"/>
      <c r="M429" s="10"/>
      <c r="N429" s="56"/>
      <c r="O429" s="56"/>
      <c r="P429" s="10"/>
      <c r="Q429" s="158"/>
      <c r="R429" s="174"/>
      <c r="S429" s="164"/>
      <c r="T429" s="56"/>
      <c r="U429" s="56"/>
      <c r="V429" s="56"/>
      <c r="W429" s="158"/>
      <c r="X429" s="174"/>
      <c r="Y429" s="168"/>
      <c r="Z429" s="10"/>
      <c r="AA429" s="56"/>
      <c r="AB429" s="56"/>
      <c r="AC429" s="56"/>
      <c r="AD429" s="56"/>
      <c r="AE429" s="56"/>
      <c r="AF429" s="170"/>
      <c r="AG429" s="56"/>
      <c r="AH429" s="56"/>
      <c r="AI429" s="168"/>
      <c r="AJ429" s="56"/>
      <c r="AK429" s="56"/>
      <c r="AL429" s="56"/>
      <c r="AM429" s="56"/>
      <c r="AN429" s="56"/>
      <c r="AO429" s="56"/>
      <c r="AP429" s="56"/>
      <c r="AQ429" s="56"/>
      <c r="AR429" s="168"/>
      <c r="AS429" s="56"/>
      <c r="AT429" s="56"/>
      <c r="AU429" s="56"/>
      <c r="AV429" s="56"/>
      <c r="AW429" s="56"/>
      <c r="AX429" s="56"/>
      <c r="AY429" s="56"/>
      <c r="AZ429" s="56"/>
      <c r="BA429" s="168"/>
      <c r="BB429" s="56"/>
      <c r="BC429" s="56"/>
      <c r="BD429" s="56"/>
      <c r="BE429" s="168"/>
      <c r="BF429" s="56"/>
      <c r="BG429" s="10"/>
      <c r="BH429" s="56"/>
      <c r="BI429" s="56"/>
      <c r="BJ429" s="56"/>
      <c r="BK429" s="56"/>
      <c r="BS429" s="144"/>
      <c r="CM429" s="144"/>
      <c r="DC429" s="144"/>
    </row>
    <row r="430" spans="1:107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1"/>
      <c r="M430" s="10"/>
      <c r="N430" s="56"/>
      <c r="O430" s="56"/>
      <c r="P430" s="10"/>
      <c r="Q430" s="158"/>
      <c r="R430" s="174"/>
      <c r="S430" s="164"/>
      <c r="T430" s="56"/>
      <c r="U430" s="56"/>
      <c r="V430" s="56"/>
      <c r="W430" s="158"/>
      <c r="X430" s="174"/>
      <c r="Y430" s="168"/>
      <c r="Z430" s="10"/>
      <c r="AA430" s="56"/>
      <c r="AB430" s="56"/>
      <c r="AC430" s="56"/>
      <c r="AD430" s="56"/>
      <c r="AE430" s="56"/>
      <c r="AF430" s="170"/>
      <c r="AG430" s="56"/>
      <c r="AH430" s="56"/>
      <c r="AI430" s="168"/>
      <c r="AJ430" s="56"/>
      <c r="AK430" s="56"/>
      <c r="AL430" s="56"/>
      <c r="AM430" s="56"/>
      <c r="AN430" s="56"/>
      <c r="AO430" s="56"/>
      <c r="AP430" s="56"/>
      <c r="AQ430" s="56"/>
      <c r="AR430" s="168"/>
      <c r="AS430" s="56"/>
      <c r="AT430" s="56"/>
      <c r="AU430" s="56"/>
      <c r="AV430" s="56"/>
      <c r="AW430" s="56"/>
      <c r="AX430" s="56"/>
      <c r="AY430" s="56"/>
      <c r="AZ430" s="56"/>
      <c r="BA430" s="168"/>
      <c r="BB430" s="56"/>
      <c r="BC430" s="56"/>
      <c r="BD430" s="56"/>
      <c r="BE430" s="168"/>
      <c r="BF430" s="56"/>
      <c r="BG430" s="10"/>
      <c r="BH430" s="56"/>
      <c r="BI430" s="56"/>
      <c r="BJ430" s="56"/>
      <c r="BK430" s="56"/>
      <c r="BS430" s="144"/>
      <c r="CM430" s="144"/>
      <c r="DC430" s="144"/>
    </row>
    <row r="431" spans="1:107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1"/>
      <c r="M431" s="10"/>
      <c r="N431" s="56"/>
      <c r="O431" s="56"/>
      <c r="P431" s="10"/>
      <c r="Q431" s="158"/>
      <c r="R431" s="174"/>
      <c r="S431" s="164"/>
      <c r="T431" s="56"/>
      <c r="U431" s="56"/>
      <c r="V431" s="56"/>
      <c r="W431" s="158"/>
      <c r="X431" s="174"/>
      <c r="Y431" s="168"/>
      <c r="Z431" s="10"/>
      <c r="AA431" s="56"/>
      <c r="AB431" s="56"/>
      <c r="AC431" s="56"/>
      <c r="AD431" s="56"/>
      <c r="AE431" s="56"/>
      <c r="AF431" s="170"/>
      <c r="AG431" s="56"/>
      <c r="AH431" s="56"/>
      <c r="AI431" s="168"/>
      <c r="AJ431" s="56"/>
      <c r="AK431" s="56"/>
      <c r="AL431" s="56"/>
      <c r="AM431" s="56"/>
      <c r="AN431" s="56"/>
      <c r="AO431" s="56"/>
      <c r="AP431" s="56"/>
      <c r="AQ431" s="56"/>
      <c r="AR431" s="168"/>
      <c r="AS431" s="56"/>
      <c r="AT431" s="56"/>
      <c r="AU431" s="56"/>
      <c r="AV431" s="56"/>
      <c r="AW431" s="56"/>
      <c r="AX431" s="56"/>
      <c r="AY431" s="56"/>
      <c r="AZ431" s="56"/>
      <c r="BA431" s="168"/>
      <c r="BB431" s="56"/>
      <c r="BC431" s="56"/>
      <c r="BD431" s="56"/>
      <c r="BE431" s="168"/>
      <c r="BF431" s="56"/>
      <c r="BG431" s="10"/>
      <c r="BH431" s="56"/>
      <c r="BI431" s="56"/>
      <c r="BJ431" s="56"/>
      <c r="BK431" s="56"/>
      <c r="BS431" s="144"/>
      <c r="CM431" s="144"/>
      <c r="DC431" s="144"/>
    </row>
    <row r="432" spans="1:107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1"/>
      <c r="M432" s="10"/>
      <c r="N432" s="56"/>
      <c r="O432" s="56"/>
      <c r="P432" s="10"/>
      <c r="Q432" s="158"/>
      <c r="R432" s="174"/>
      <c r="S432" s="164"/>
      <c r="T432" s="56"/>
      <c r="U432" s="56"/>
      <c r="V432" s="56"/>
      <c r="W432" s="158"/>
      <c r="X432" s="174"/>
      <c r="Y432" s="168"/>
      <c r="Z432" s="10"/>
      <c r="AA432" s="56"/>
      <c r="AB432" s="56"/>
      <c r="AC432" s="56"/>
      <c r="AD432" s="56"/>
      <c r="AE432" s="56"/>
      <c r="AF432" s="170"/>
      <c r="AG432" s="56"/>
      <c r="AH432" s="56"/>
      <c r="AI432" s="168"/>
      <c r="AJ432" s="56"/>
      <c r="AK432" s="56"/>
      <c r="AL432" s="56"/>
      <c r="AM432" s="56"/>
      <c r="AN432" s="56"/>
      <c r="AO432" s="56"/>
      <c r="AP432" s="56"/>
      <c r="AQ432" s="56"/>
      <c r="AR432" s="168"/>
      <c r="AS432" s="56"/>
      <c r="AT432" s="56"/>
      <c r="AU432" s="56"/>
      <c r="AV432" s="56"/>
      <c r="AW432" s="56"/>
      <c r="AX432" s="56"/>
      <c r="AY432" s="56"/>
      <c r="AZ432" s="56"/>
      <c r="BA432" s="168"/>
      <c r="BB432" s="56"/>
      <c r="BC432" s="56"/>
      <c r="BD432" s="56"/>
      <c r="BE432" s="168"/>
      <c r="BF432" s="56"/>
      <c r="BG432" s="10"/>
      <c r="BH432" s="56"/>
      <c r="BI432" s="56"/>
      <c r="BJ432" s="56"/>
      <c r="BK432" s="56"/>
      <c r="BS432" s="144"/>
      <c r="CM432" s="144"/>
      <c r="DC432" s="144"/>
    </row>
    <row r="433" spans="1:107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1"/>
      <c r="M433" s="10"/>
      <c r="N433" s="56"/>
      <c r="O433" s="56"/>
      <c r="P433" s="10"/>
      <c r="Q433" s="158"/>
      <c r="R433" s="174"/>
      <c r="S433" s="164"/>
      <c r="T433" s="56"/>
      <c r="U433" s="56"/>
      <c r="V433" s="56"/>
      <c r="W433" s="158"/>
      <c r="X433" s="174"/>
      <c r="Y433" s="168"/>
      <c r="Z433" s="10"/>
      <c r="AA433" s="56"/>
      <c r="AB433" s="56"/>
      <c r="AC433" s="56"/>
      <c r="AD433" s="56"/>
      <c r="AE433" s="56"/>
      <c r="AF433" s="170"/>
      <c r="AG433" s="56"/>
      <c r="AH433" s="56"/>
      <c r="AI433" s="168"/>
      <c r="AJ433" s="56"/>
      <c r="AK433" s="56"/>
      <c r="AL433" s="56"/>
      <c r="AM433" s="56"/>
      <c r="AN433" s="56"/>
      <c r="AO433" s="56"/>
      <c r="AP433" s="56"/>
      <c r="AQ433" s="56"/>
      <c r="AR433" s="168"/>
      <c r="AS433" s="56"/>
      <c r="AT433" s="56"/>
      <c r="AU433" s="56"/>
      <c r="AV433" s="56"/>
      <c r="AW433" s="56"/>
      <c r="AX433" s="56"/>
      <c r="AY433" s="56"/>
      <c r="AZ433" s="56"/>
      <c r="BA433" s="168"/>
      <c r="BB433" s="56"/>
      <c r="BC433" s="56"/>
      <c r="BD433" s="56"/>
      <c r="BE433" s="168"/>
      <c r="BF433" s="56"/>
      <c r="BG433" s="10"/>
      <c r="BH433" s="56"/>
      <c r="BI433" s="56"/>
      <c r="BJ433" s="56"/>
      <c r="BK433" s="56"/>
      <c r="BS433" s="144"/>
      <c r="CM433" s="144"/>
      <c r="DC433" s="144"/>
    </row>
    <row r="434" spans="1:107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1"/>
      <c r="M434" s="10"/>
      <c r="N434" s="56"/>
      <c r="O434" s="56"/>
      <c r="P434" s="10"/>
      <c r="Q434" s="158"/>
      <c r="R434" s="174"/>
      <c r="S434" s="164"/>
      <c r="T434" s="56"/>
      <c r="U434" s="56"/>
      <c r="V434" s="56"/>
      <c r="W434" s="158"/>
      <c r="X434" s="174"/>
      <c r="Y434" s="168"/>
      <c r="Z434" s="10"/>
      <c r="AA434" s="56"/>
      <c r="AB434" s="56"/>
      <c r="AC434" s="56"/>
      <c r="AD434" s="56"/>
      <c r="AE434" s="56"/>
      <c r="AF434" s="170"/>
      <c r="AG434" s="56"/>
      <c r="AH434" s="56"/>
      <c r="AI434" s="168"/>
      <c r="AJ434" s="56"/>
      <c r="AK434" s="56"/>
      <c r="AL434" s="56"/>
      <c r="AM434" s="56"/>
      <c r="AN434" s="56"/>
      <c r="AO434" s="56"/>
      <c r="AP434" s="56"/>
      <c r="AQ434" s="56"/>
      <c r="AR434" s="168"/>
      <c r="AS434" s="56"/>
      <c r="AT434" s="56"/>
      <c r="AU434" s="56"/>
      <c r="AV434" s="56"/>
      <c r="AW434" s="56"/>
      <c r="AX434" s="56"/>
      <c r="AY434" s="56"/>
      <c r="AZ434" s="56"/>
      <c r="BA434" s="168"/>
      <c r="BB434" s="56"/>
      <c r="BC434" s="56"/>
      <c r="BD434" s="56"/>
      <c r="BE434" s="168"/>
      <c r="BF434" s="56"/>
      <c r="BG434" s="10"/>
      <c r="BH434" s="56"/>
      <c r="BI434" s="56"/>
      <c r="BJ434" s="56"/>
      <c r="BK434" s="56"/>
      <c r="BS434" s="144"/>
      <c r="CM434" s="144"/>
      <c r="DC434" s="144"/>
    </row>
    <row r="435" spans="1:107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1"/>
      <c r="M435" s="10"/>
      <c r="N435" s="56"/>
      <c r="O435" s="56"/>
      <c r="P435" s="10"/>
      <c r="Q435" s="158"/>
      <c r="R435" s="174"/>
      <c r="S435" s="164"/>
      <c r="T435" s="56"/>
      <c r="U435" s="56"/>
      <c r="V435" s="56"/>
      <c r="W435" s="158"/>
      <c r="X435" s="174"/>
      <c r="Y435" s="168"/>
      <c r="Z435" s="10"/>
      <c r="AA435" s="56"/>
      <c r="AB435" s="56"/>
      <c r="AC435" s="56"/>
      <c r="AD435" s="56"/>
      <c r="AE435" s="56"/>
      <c r="AF435" s="170"/>
      <c r="AG435" s="56"/>
      <c r="AH435" s="56"/>
      <c r="AI435" s="168"/>
      <c r="AJ435" s="56"/>
      <c r="AK435" s="56"/>
      <c r="AL435" s="56"/>
      <c r="AM435" s="56"/>
      <c r="AN435" s="56"/>
      <c r="AO435" s="56"/>
      <c r="AP435" s="56"/>
      <c r="AQ435" s="56"/>
      <c r="AR435" s="168"/>
      <c r="AS435" s="56"/>
      <c r="AT435" s="56"/>
      <c r="AU435" s="56"/>
      <c r="AV435" s="56"/>
      <c r="AW435" s="56"/>
      <c r="AX435" s="56"/>
      <c r="AY435" s="56"/>
      <c r="AZ435" s="56"/>
      <c r="BA435" s="168"/>
      <c r="BB435" s="56"/>
      <c r="BC435" s="56"/>
      <c r="BD435" s="56"/>
      <c r="BE435" s="168"/>
      <c r="BF435" s="56"/>
      <c r="BG435" s="10"/>
      <c r="BH435" s="56"/>
      <c r="BI435" s="56"/>
      <c r="BJ435" s="56"/>
      <c r="BK435" s="56"/>
      <c r="BS435" s="144"/>
      <c r="CM435" s="144"/>
      <c r="DC435" s="144"/>
    </row>
    <row r="436" spans="1:107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1"/>
      <c r="M436" s="10"/>
      <c r="N436" s="56"/>
      <c r="O436" s="56"/>
      <c r="P436" s="10"/>
      <c r="Q436" s="158"/>
      <c r="R436" s="174"/>
      <c r="S436" s="164"/>
      <c r="T436" s="56"/>
      <c r="U436" s="56"/>
      <c r="V436" s="56"/>
      <c r="W436" s="158"/>
      <c r="X436" s="174"/>
      <c r="Y436" s="168"/>
      <c r="Z436" s="10"/>
      <c r="AA436" s="56"/>
      <c r="AB436" s="56"/>
      <c r="AC436" s="56"/>
      <c r="AD436" s="56"/>
      <c r="AE436" s="56"/>
      <c r="AF436" s="170"/>
      <c r="AG436" s="56"/>
      <c r="AH436" s="56"/>
      <c r="AI436" s="168"/>
      <c r="AJ436" s="56"/>
      <c r="AK436" s="56"/>
      <c r="AL436" s="56"/>
      <c r="AM436" s="56"/>
      <c r="AN436" s="56"/>
      <c r="AO436" s="56"/>
      <c r="AP436" s="56"/>
      <c r="AQ436" s="56"/>
      <c r="AR436" s="168"/>
      <c r="AS436" s="56"/>
      <c r="AT436" s="56"/>
      <c r="AU436" s="56"/>
      <c r="AV436" s="56"/>
      <c r="AW436" s="56"/>
      <c r="AX436" s="56"/>
      <c r="AY436" s="56"/>
      <c r="AZ436" s="56"/>
      <c r="BA436" s="168"/>
      <c r="BB436" s="56"/>
      <c r="BC436" s="56"/>
      <c r="BD436" s="56"/>
      <c r="BE436" s="168"/>
      <c r="BF436" s="56"/>
      <c r="BG436" s="10"/>
      <c r="BH436" s="56"/>
      <c r="BI436" s="56"/>
      <c r="BJ436" s="56"/>
      <c r="BK436" s="56"/>
      <c r="BS436" s="144"/>
      <c r="CM436" s="144"/>
      <c r="DC436" s="144"/>
    </row>
    <row r="437" spans="1:107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1"/>
      <c r="M437" s="10"/>
      <c r="N437" s="56"/>
      <c r="O437" s="56"/>
      <c r="P437" s="10"/>
      <c r="Q437" s="158"/>
      <c r="R437" s="174"/>
      <c r="S437" s="164"/>
      <c r="T437" s="56"/>
      <c r="U437" s="56"/>
      <c r="V437" s="56"/>
      <c r="W437" s="158"/>
      <c r="X437" s="174"/>
      <c r="Y437" s="168"/>
      <c r="Z437" s="10"/>
      <c r="AA437" s="56"/>
      <c r="AB437" s="56"/>
      <c r="AC437" s="56"/>
      <c r="AD437" s="56"/>
      <c r="AE437" s="56"/>
      <c r="AF437" s="170"/>
      <c r="AG437" s="56"/>
      <c r="AH437" s="56"/>
      <c r="AI437" s="168"/>
      <c r="AJ437" s="56"/>
      <c r="AK437" s="56"/>
      <c r="AL437" s="56"/>
      <c r="AM437" s="56"/>
      <c r="AN437" s="56"/>
      <c r="AO437" s="56"/>
      <c r="AP437" s="56"/>
      <c r="AQ437" s="56"/>
      <c r="AR437" s="168"/>
      <c r="AS437" s="56"/>
      <c r="AT437" s="56"/>
      <c r="AU437" s="56"/>
      <c r="AV437" s="56"/>
      <c r="AW437" s="56"/>
      <c r="AX437" s="56"/>
      <c r="AY437" s="56"/>
      <c r="AZ437" s="56"/>
      <c r="BA437" s="168"/>
      <c r="BB437" s="56"/>
      <c r="BC437" s="56"/>
      <c r="BD437" s="56"/>
      <c r="BE437" s="168"/>
      <c r="BF437" s="56"/>
      <c r="BG437" s="10"/>
      <c r="BH437" s="56"/>
      <c r="BI437" s="56"/>
      <c r="BJ437" s="56"/>
      <c r="BK437" s="56"/>
      <c r="BS437" s="144"/>
      <c r="CM437" s="144"/>
      <c r="DC437" s="144"/>
    </row>
    <row r="438" spans="1:107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1"/>
      <c r="M438" s="10"/>
      <c r="N438" s="56"/>
      <c r="O438" s="56"/>
      <c r="P438" s="10"/>
      <c r="Q438" s="158"/>
      <c r="R438" s="174"/>
      <c r="S438" s="164"/>
      <c r="T438" s="56"/>
      <c r="U438" s="56"/>
      <c r="V438" s="56"/>
      <c r="W438" s="158"/>
      <c r="X438" s="174"/>
      <c r="Y438" s="168"/>
      <c r="Z438" s="10"/>
      <c r="AA438" s="56"/>
      <c r="AB438" s="56"/>
      <c r="AC438" s="56"/>
      <c r="AD438" s="56"/>
      <c r="AE438" s="56"/>
      <c r="AF438" s="170"/>
      <c r="AG438" s="56"/>
      <c r="AH438" s="56"/>
      <c r="AI438" s="168"/>
      <c r="AJ438" s="56"/>
      <c r="AK438" s="56"/>
      <c r="AL438" s="56"/>
      <c r="AM438" s="56"/>
      <c r="AN438" s="56"/>
      <c r="AO438" s="56"/>
      <c r="AP438" s="56"/>
      <c r="AQ438" s="56"/>
      <c r="AR438" s="168"/>
      <c r="AS438" s="56"/>
      <c r="AT438" s="56"/>
      <c r="AU438" s="56"/>
      <c r="AV438" s="56"/>
      <c r="AW438" s="56"/>
      <c r="AX438" s="56"/>
      <c r="AY438" s="56"/>
      <c r="AZ438" s="56"/>
      <c r="BA438" s="168"/>
      <c r="BB438" s="56"/>
      <c r="BC438" s="56"/>
      <c r="BD438" s="56"/>
      <c r="BE438" s="168"/>
      <c r="BF438" s="56"/>
      <c r="BG438" s="10"/>
      <c r="BH438" s="56"/>
      <c r="BI438" s="56"/>
      <c r="BJ438" s="56"/>
      <c r="BK438" s="56"/>
      <c r="BS438" s="144"/>
      <c r="CM438" s="144"/>
      <c r="DC438" s="144"/>
    </row>
    <row r="439" spans="1:107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1"/>
      <c r="M439" s="10"/>
      <c r="N439" s="56"/>
      <c r="O439" s="56"/>
      <c r="P439" s="10"/>
      <c r="Q439" s="158"/>
      <c r="R439" s="174"/>
      <c r="S439" s="164"/>
      <c r="T439" s="56"/>
      <c r="U439" s="56"/>
      <c r="V439" s="56"/>
      <c r="W439" s="158"/>
      <c r="X439" s="174"/>
      <c r="Y439" s="168"/>
      <c r="Z439" s="10"/>
      <c r="AA439" s="56"/>
      <c r="AB439" s="56"/>
      <c r="AC439" s="56"/>
      <c r="AD439" s="56"/>
      <c r="AE439" s="56"/>
      <c r="AF439" s="170"/>
      <c r="AG439" s="56"/>
      <c r="AH439" s="56"/>
      <c r="AI439" s="168"/>
      <c r="AJ439" s="56"/>
      <c r="AK439" s="56"/>
      <c r="AL439" s="56"/>
      <c r="AM439" s="56"/>
      <c r="AN439" s="56"/>
      <c r="AO439" s="56"/>
      <c r="AP439" s="56"/>
      <c r="AQ439" s="56"/>
      <c r="AR439" s="168"/>
      <c r="AS439" s="56"/>
      <c r="AT439" s="56"/>
      <c r="AU439" s="56"/>
      <c r="AV439" s="56"/>
      <c r="AW439" s="56"/>
      <c r="AX439" s="56"/>
      <c r="AY439" s="56"/>
      <c r="AZ439" s="56"/>
      <c r="BA439" s="168"/>
      <c r="BB439" s="56"/>
      <c r="BC439" s="56"/>
      <c r="BD439" s="56"/>
      <c r="BE439" s="168"/>
      <c r="BF439" s="56"/>
      <c r="BG439" s="10"/>
      <c r="BH439" s="56"/>
      <c r="BI439" s="56"/>
      <c r="BJ439" s="56"/>
      <c r="BK439" s="56"/>
      <c r="BS439" s="144"/>
      <c r="CM439" s="144"/>
      <c r="DC439" s="144"/>
    </row>
    <row r="440" spans="1:107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1"/>
      <c r="M440" s="10"/>
      <c r="N440" s="56"/>
      <c r="O440" s="56"/>
      <c r="P440" s="10"/>
      <c r="Q440" s="158"/>
      <c r="R440" s="174"/>
      <c r="S440" s="164"/>
      <c r="T440" s="56"/>
      <c r="U440" s="56"/>
      <c r="V440" s="56"/>
      <c r="W440" s="158"/>
      <c r="X440" s="174"/>
      <c r="Y440" s="168"/>
      <c r="Z440" s="10"/>
      <c r="AA440" s="56"/>
      <c r="AB440" s="56"/>
      <c r="AC440" s="56"/>
      <c r="AD440" s="56"/>
      <c r="AE440" s="56"/>
      <c r="AF440" s="170"/>
      <c r="AG440" s="56"/>
      <c r="AH440" s="56"/>
      <c r="AI440" s="168"/>
      <c r="AJ440" s="56"/>
      <c r="AK440" s="56"/>
      <c r="AL440" s="56"/>
      <c r="AM440" s="56"/>
      <c r="AN440" s="56"/>
      <c r="AO440" s="56"/>
      <c r="AP440" s="56"/>
      <c r="AQ440" s="56"/>
      <c r="AR440" s="168"/>
      <c r="AS440" s="56"/>
      <c r="AT440" s="56"/>
      <c r="AU440" s="56"/>
      <c r="AV440" s="56"/>
      <c r="AW440" s="56"/>
      <c r="AX440" s="56"/>
      <c r="AY440" s="56"/>
      <c r="AZ440" s="56"/>
      <c r="BA440" s="168"/>
      <c r="BB440" s="56"/>
      <c r="BC440" s="56"/>
      <c r="BD440" s="56"/>
      <c r="BE440" s="168"/>
      <c r="BF440" s="56"/>
      <c r="BG440" s="10"/>
      <c r="BH440" s="56"/>
      <c r="BI440" s="56"/>
      <c r="BJ440" s="56"/>
      <c r="BK440" s="56"/>
      <c r="BS440" s="144"/>
      <c r="CM440" s="144"/>
      <c r="DC440" s="144"/>
    </row>
    <row r="441" spans="1:107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1"/>
      <c r="M441" s="10"/>
      <c r="N441" s="56"/>
      <c r="O441" s="56"/>
      <c r="P441" s="10"/>
      <c r="Q441" s="158"/>
      <c r="R441" s="174"/>
      <c r="S441" s="164"/>
      <c r="T441" s="56"/>
      <c r="U441" s="56"/>
      <c r="V441" s="56"/>
      <c r="W441" s="158"/>
      <c r="X441" s="174"/>
      <c r="Y441" s="168"/>
      <c r="Z441" s="10"/>
      <c r="AA441" s="56"/>
      <c r="AB441" s="56"/>
      <c r="AC441" s="56"/>
      <c r="AD441" s="56"/>
      <c r="AE441" s="56"/>
      <c r="AF441" s="170"/>
      <c r="AG441" s="56"/>
      <c r="AH441" s="56"/>
      <c r="AI441" s="168"/>
      <c r="AJ441" s="56"/>
      <c r="AK441" s="56"/>
      <c r="AL441" s="56"/>
      <c r="AM441" s="56"/>
      <c r="AN441" s="56"/>
      <c r="AO441" s="56"/>
      <c r="AP441" s="56"/>
      <c r="AQ441" s="56"/>
      <c r="AR441" s="168"/>
      <c r="AS441" s="56"/>
      <c r="AT441" s="56"/>
      <c r="AU441" s="56"/>
      <c r="AV441" s="56"/>
      <c r="AW441" s="56"/>
      <c r="AX441" s="56"/>
      <c r="AY441" s="56"/>
      <c r="AZ441" s="56"/>
      <c r="BA441" s="168"/>
      <c r="BB441" s="56"/>
      <c r="BC441" s="56"/>
      <c r="BD441" s="56"/>
      <c r="BE441" s="168"/>
      <c r="BF441" s="56"/>
      <c r="BG441" s="10"/>
      <c r="BH441" s="56"/>
      <c r="BI441" s="56"/>
      <c r="BJ441" s="56"/>
      <c r="BK441" s="56"/>
      <c r="BS441" s="144"/>
      <c r="CM441" s="144"/>
      <c r="DC441" s="144"/>
    </row>
    <row r="442" spans="1:107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1"/>
      <c r="M442" s="10"/>
      <c r="N442" s="56"/>
      <c r="O442" s="56"/>
      <c r="P442" s="10"/>
      <c r="Q442" s="158"/>
      <c r="R442" s="174"/>
      <c r="S442" s="164"/>
      <c r="T442" s="56"/>
      <c r="U442" s="56"/>
      <c r="V442" s="56"/>
      <c r="W442" s="158"/>
      <c r="X442" s="174"/>
      <c r="Y442" s="168"/>
      <c r="Z442" s="10"/>
      <c r="AA442" s="56"/>
      <c r="AB442" s="56"/>
      <c r="AC442" s="56"/>
      <c r="AD442" s="56"/>
      <c r="AE442" s="56"/>
      <c r="AF442" s="170"/>
      <c r="AG442" s="56"/>
      <c r="AH442" s="56"/>
      <c r="AI442" s="168"/>
      <c r="AJ442" s="56"/>
      <c r="AK442" s="56"/>
      <c r="AL442" s="56"/>
      <c r="AM442" s="56"/>
      <c r="AN442" s="56"/>
      <c r="AO442" s="56"/>
      <c r="AP442" s="56"/>
      <c r="AQ442" s="56"/>
      <c r="AR442" s="168"/>
      <c r="AS442" s="56"/>
      <c r="AT442" s="56"/>
      <c r="AU442" s="56"/>
      <c r="AV442" s="56"/>
      <c r="AW442" s="56"/>
      <c r="AX442" s="56"/>
      <c r="AY442" s="56"/>
      <c r="AZ442" s="56"/>
      <c r="BA442" s="168"/>
      <c r="BB442" s="56"/>
      <c r="BC442" s="56"/>
      <c r="BD442" s="56"/>
      <c r="BE442" s="168"/>
      <c r="BF442" s="56"/>
      <c r="BG442" s="10"/>
      <c r="BH442" s="56"/>
      <c r="BI442" s="56"/>
      <c r="BJ442" s="56"/>
      <c r="BK442" s="56"/>
      <c r="BS442" s="144"/>
      <c r="CM442" s="144"/>
      <c r="DC442" s="144"/>
    </row>
    <row r="443" spans="1:107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1"/>
      <c r="M443" s="10"/>
      <c r="N443" s="56"/>
      <c r="O443" s="56"/>
      <c r="P443" s="10"/>
      <c r="Q443" s="158"/>
      <c r="R443" s="174"/>
      <c r="S443" s="164"/>
      <c r="T443" s="56"/>
      <c r="U443" s="56"/>
      <c r="V443" s="56"/>
      <c r="W443" s="158"/>
      <c r="X443" s="174"/>
      <c r="Y443" s="168"/>
      <c r="Z443" s="10"/>
      <c r="AA443" s="56"/>
      <c r="AB443" s="56"/>
      <c r="AC443" s="56"/>
      <c r="AD443" s="56"/>
      <c r="AE443" s="56"/>
      <c r="AF443" s="170"/>
      <c r="AG443" s="56"/>
      <c r="AH443" s="56"/>
      <c r="AI443" s="168"/>
      <c r="AJ443" s="56"/>
      <c r="AK443" s="56"/>
      <c r="AL443" s="56"/>
      <c r="AM443" s="56"/>
      <c r="AN443" s="56"/>
      <c r="AO443" s="56"/>
      <c r="AP443" s="56"/>
      <c r="AQ443" s="56"/>
      <c r="AR443" s="168"/>
      <c r="AS443" s="56"/>
      <c r="AT443" s="56"/>
      <c r="AU443" s="56"/>
      <c r="AV443" s="56"/>
      <c r="AW443" s="56"/>
      <c r="AX443" s="56"/>
      <c r="AY443" s="56"/>
      <c r="AZ443" s="56"/>
      <c r="BA443" s="168"/>
      <c r="BB443" s="56"/>
      <c r="BC443" s="56"/>
      <c r="BD443" s="56"/>
      <c r="BE443" s="168"/>
      <c r="BF443" s="56"/>
      <c r="BG443" s="10"/>
      <c r="BH443" s="56"/>
      <c r="BI443" s="56"/>
      <c r="BJ443" s="56"/>
      <c r="BK443" s="56"/>
      <c r="BS443" s="144"/>
      <c r="CM443" s="144"/>
      <c r="DC443" s="144"/>
    </row>
    <row r="444" spans="1:107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1"/>
      <c r="M444" s="10"/>
      <c r="N444" s="56"/>
      <c r="O444" s="56"/>
      <c r="P444" s="10"/>
      <c r="Q444" s="158"/>
      <c r="R444" s="174"/>
      <c r="S444" s="164"/>
      <c r="T444" s="56"/>
      <c r="U444" s="56"/>
      <c r="V444" s="56"/>
      <c r="W444" s="158"/>
      <c r="X444" s="174"/>
      <c r="Y444" s="168"/>
      <c r="Z444" s="10"/>
      <c r="AA444" s="56"/>
      <c r="AB444" s="56"/>
      <c r="AC444" s="56"/>
      <c r="AD444" s="56"/>
      <c r="AE444" s="56"/>
      <c r="AF444" s="170"/>
      <c r="AG444" s="56"/>
      <c r="AH444" s="56"/>
      <c r="AI444" s="168"/>
      <c r="AJ444" s="56"/>
      <c r="AK444" s="56"/>
      <c r="AL444" s="56"/>
      <c r="AM444" s="56"/>
      <c r="AN444" s="56"/>
      <c r="AO444" s="56"/>
      <c r="AP444" s="56"/>
      <c r="AQ444" s="56"/>
      <c r="AR444" s="168"/>
      <c r="AS444" s="56"/>
      <c r="AT444" s="56"/>
      <c r="AU444" s="56"/>
      <c r="AV444" s="56"/>
      <c r="AW444" s="56"/>
      <c r="AX444" s="56"/>
      <c r="AY444" s="56"/>
      <c r="AZ444" s="56"/>
      <c r="BA444" s="168"/>
      <c r="BB444" s="56"/>
      <c r="BC444" s="56"/>
      <c r="BD444" s="56"/>
      <c r="BE444" s="168"/>
      <c r="BF444" s="56"/>
      <c r="BG444" s="10"/>
      <c r="BH444" s="56"/>
      <c r="BI444" s="56"/>
      <c r="BJ444" s="56"/>
      <c r="BK444" s="56"/>
      <c r="BS444" s="144"/>
      <c r="CM444" s="144"/>
      <c r="DC444" s="144"/>
    </row>
    <row r="445" spans="1:107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1"/>
      <c r="M445" s="10"/>
      <c r="N445" s="56"/>
      <c r="O445" s="56"/>
      <c r="P445" s="10"/>
      <c r="Q445" s="158"/>
      <c r="R445" s="174"/>
      <c r="S445" s="164"/>
      <c r="T445" s="56"/>
      <c r="U445" s="56"/>
      <c r="V445" s="56"/>
      <c r="W445" s="158"/>
      <c r="X445" s="174"/>
      <c r="Y445" s="168"/>
      <c r="Z445" s="10"/>
      <c r="AA445" s="56"/>
      <c r="AB445" s="56"/>
      <c r="AC445" s="56"/>
      <c r="AD445" s="56"/>
      <c r="AE445" s="56"/>
      <c r="AF445" s="170"/>
      <c r="AG445" s="56"/>
      <c r="AH445" s="56"/>
      <c r="AI445" s="168"/>
      <c r="AJ445" s="56"/>
      <c r="AK445" s="56"/>
      <c r="AL445" s="56"/>
      <c r="AM445" s="56"/>
      <c r="AN445" s="56"/>
      <c r="AO445" s="56"/>
      <c r="AP445" s="56"/>
      <c r="AQ445" s="56"/>
      <c r="AR445" s="168"/>
      <c r="AS445" s="56"/>
      <c r="AT445" s="56"/>
      <c r="AU445" s="56"/>
      <c r="AV445" s="56"/>
      <c r="AW445" s="56"/>
      <c r="AX445" s="56"/>
      <c r="AY445" s="56"/>
      <c r="AZ445" s="56"/>
      <c r="BA445" s="168"/>
      <c r="BB445" s="56"/>
      <c r="BC445" s="56"/>
      <c r="BD445" s="56"/>
      <c r="BE445" s="168"/>
      <c r="BF445" s="56"/>
      <c r="BG445" s="10"/>
      <c r="BH445" s="56"/>
      <c r="BI445" s="56"/>
      <c r="BJ445" s="56"/>
      <c r="BK445" s="56"/>
      <c r="BS445" s="144"/>
      <c r="CM445" s="144"/>
      <c r="DC445" s="144"/>
    </row>
    <row r="446" spans="1:107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1"/>
      <c r="M446" s="10"/>
      <c r="N446" s="56"/>
      <c r="O446" s="56"/>
      <c r="P446" s="10"/>
      <c r="Q446" s="158"/>
      <c r="R446" s="174"/>
      <c r="S446" s="164"/>
      <c r="T446" s="56"/>
      <c r="U446" s="56"/>
      <c r="V446" s="56"/>
      <c r="W446" s="158"/>
      <c r="X446" s="174"/>
      <c r="Y446" s="168"/>
      <c r="Z446" s="10"/>
      <c r="AA446" s="56"/>
      <c r="AB446" s="56"/>
      <c r="AC446" s="56"/>
      <c r="AD446" s="56"/>
      <c r="AE446" s="56"/>
      <c r="AF446" s="170"/>
      <c r="AG446" s="56"/>
      <c r="AH446" s="56"/>
      <c r="AI446" s="168"/>
      <c r="AJ446" s="56"/>
      <c r="AK446" s="56"/>
      <c r="AL446" s="56"/>
      <c r="AM446" s="56"/>
      <c r="AN446" s="56"/>
      <c r="AO446" s="56"/>
      <c r="AP446" s="56"/>
      <c r="AQ446" s="56"/>
      <c r="AR446" s="168"/>
      <c r="AS446" s="56"/>
      <c r="AT446" s="56"/>
      <c r="AU446" s="56"/>
      <c r="AV446" s="56"/>
      <c r="AW446" s="56"/>
      <c r="AX446" s="56"/>
      <c r="AY446" s="56"/>
      <c r="AZ446" s="56"/>
      <c r="BA446" s="168"/>
      <c r="BB446" s="56"/>
      <c r="BC446" s="56"/>
      <c r="BD446" s="56"/>
      <c r="BE446" s="168"/>
      <c r="BF446" s="56"/>
      <c r="BG446" s="10"/>
      <c r="BH446" s="56"/>
      <c r="BI446" s="56"/>
      <c r="BJ446" s="56"/>
      <c r="BK446" s="56"/>
      <c r="BS446" s="144"/>
      <c r="CM446" s="144"/>
      <c r="DC446" s="144"/>
    </row>
    <row r="447" spans="1:107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1"/>
      <c r="M447" s="10"/>
      <c r="N447" s="56"/>
      <c r="O447" s="56"/>
      <c r="P447" s="10"/>
      <c r="Q447" s="158"/>
      <c r="R447" s="174"/>
      <c r="S447" s="164"/>
      <c r="T447" s="56"/>
      <c r="U447" s="56"/>
      <c r="V447" s="56"/>
      <c r="W447" s="158"/>
      <c r="X447" s="174"/>
      <c r="Y447" s="168"/>
      <c r="Z447" s="10"/>
      <c r="AA447" s="56"/>
      <c r="AB447" s="56"/>
      <c r="AC447" s="56"/>
      <c r="AD447" s="56"/>
      <c r="AE447" s="56"/>
      <c r="AF447" s="170"/>
      <c r="AG447" s="56"/>
      <c r="AH447" s="56"/>
      <c r="AI447" s="168"/>
      <c r="AJ447" s="56"/>
      <c r="AK447" s="56"/>
      <c r="AL447" s="56"/>
      <c r="AM447" s="56"/>
      <c r="AN447" s="56"/>
      <c r="AO447" s="56"/>
      <c r="AP447" s="56"/>
      <c r="AQ447" s="56"/>
      <c r="AR447" s="168"/>
      <c r="AS447" s="56"/>
      <c r="AT447" s="56"/>
      <c r="AU447" s="56"/>
      <c r="AV447" s="56"/>
      <c r="AW447" s="56"/>
      <c r="AX447" s="56"/>
      <c r="AY447" s="56"/>
      <c r="AZ447" s="56"/>
      <c r="BA447" s="168"/>
      <c r="BB447" s="56"/>
      <c r="BC447" s="56"/>
      <c r="BD447" s="56"/>
      <c r="BE447" s="168"/>
      <c r="BF447" s="56"/>
      <c r="BG447" s="10"/>
      <c r="BH447" s="56"/>
      <c r="BI447" s="56"/>
      <c r="BJ447" s="56"/>
      <c r="BK447" s="56"/>
      <c r="BS447" s="144"/>
      <c r="CM447" s="144"/>
      <c r="DC447" s="144"/>
    </row>
    <row r="448" spans="1:107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1"/>
      <c r="M448" s="10"/>
      <c r="N448" s="56"/>
      <c r="O448" s="56"/>
      <c r="P448" s="10"/>
      <c r="Q448" s="158"/>
      <c r="R448" s="174"/>
      <c r="S448" s="164"/>
      <c r="T448" s="56"/>
      <c r="U448" s="56"/>
      <c r="V448" s="56"/>
      <c r="W448" s="158"/>
      <c r="X448" s="174"/>
      <c r="Y448" s="168"/>
      <c r="Z448" s="10"/>
      <c r="AA448" s="56"/>
      <c r="AB448" s="56"/>
      <c r="AC448" s="56"/>
      <c r="AD448" s="56"/>
      <c r="AE448" s="56"/>
      <c r="AF448" s="170"/>
      <c r="AG448" s="56"/>
      <c r="AH448" s="56"/>
      <c r="AI448" s="168"/>
      <c r="AJ448" s="56"/>
      <c r="AK448" s="56"/>
      <c r="AL448" s="56"/>
      <c r="AM448" s="56"/>
      <c r="AN448" s="56"/>
      <c r="AO448" s="56"/>
      <c r="AP448" s="56"/>
      <c r="AQ448" s="56"/>
      <c r="AR448" s="168"/>
      <c r="AS448" s="56"/>
      <c r="AT448" s="56"/>
      <c r="AU448" s="56"/>
      <c r="AV448" s="56"/>
      <c r="AW448" s="56"/>
      <c r="AX448" s="56"/>
      <c r="AY448" s="56"/>
      <c r="AZ448" s="56"/>
      <c r="BA448" s="168"/>
      <c r="BB448" s="56"/>
      <c r="BC448" s="56"/>
      <c r="BD448" s="56"/>
      <c r="BE448" s="168"/>
      <c r="BF448" s="56"/>
      <c r="BG448" s="10"/>
      <c r="BH448" s="56"/>
      <c r="BI448" s="56"/>
      <c r="BJ448" s="56"/>
      <c r="BK448" s="56"/>
      <c r="BS448" s="144"/>
      <c r="CM448" s="144"/>
      <c r="DC448" s="144"/>
    </row>
    <row r="449" spans="1:107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1"/>
      <c r="M449" s="10"/>
      <c r="N449" s="56"/>
      <c r="O449" s="56"/>
      <c r="P449" s="10"/>
      <c r="Q449" s="158"/>
      <c r="R449" s="174"/>
      <c r="S449" s="164"/>
      <c r="T449" s="56"/>
      <c r="U449" s="56"/>
      <c r="V449" s="56"/>
      <c r="W449" s="158"/>
      <c r="X449" s="174"/>
      <c r="Y449" s="168"/>
      <c r="Z449" s="10"/>
      <c r="AA449" s="56"/>
      <c r="AB449" s="56"/>
      <c r="AC449" s="56"/>
      <c r="AD449" s="56"/>
      <c r="AE449" s="56"/>
      <c r="AF449" s="170"/>
      <c r="AG449" s="56"/>
      <c r="AH449" s="56"/>
      <c r="AI449" s="168"/>
      <c r="AJ449" s="56"/>
      <c r="AK449" s="56"/>
      <c r="AL449" s="56"/>
      <c r="AM449" s="56"/>
      <c r="AN449" s="56"/>
      <c r="AO449" s="56"/>
      <c r="AP449" s="56"/>
      <c r="AQ449" s="56"/>
      <c r="AR449" s="168"/>
      <c r="AS449" s="56"/>
      <c r="AT449" s="56"/>
      <c r="AU449" s="56"/>
      <c r="AV449" s="56"/>
      <c r="AW449" s="56"/>
      <c r="AX449" s="56"/>
      <c r="AY449" s="56"/>
      <c r="AZ449" s="56"/>
      <c r="BA449" s="168"/>
      <c r="BB449" s="56"/>
      <c r="BC449" s="56"/>
      <c r="BD449" s="56"/>
      <c r="BE449" s="168"/>
      <c r="BF449" s="56"/>
      <c r="BG449" s="10"/>
      <c r="BH449" s="56"/>
      <c r="BI449" s="56"/>
      <c r="BJ449" s="56"/>
      <c r="BK449" s="56"/>
      <c r="BS449" s="144"/>
      <c r="CM449" s="144"/>
      <c r="DC449" s="144"/>
    </row>
    <row r="450" spans="1:107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1"/>
      <c r="M450" s="10"/>
      <c r="N450" s="56"/>
      <c r="O450" s="56"/>
      <c r="P450" s="10"/>
      <c r="Q450" s="158"/>
      <c r="R450" s="174"/>
      <c r="S450" s="164"/>
      <c r="T450" s="56"/>
      <c r="U450" s="56"/>
      <c r="V450" s="56"/>
      <c r="W450" s="158"/>
      <c r="X450" s="174"/>
      <c r="Y450" s="168"/>
      <c r="Z450" s="10"/>
      <c r="AA450" s="56"/>
      <c r="AB450" s="56"/>
      <c r="AC450" s="56"/>
      <c r="AD450" s="56"/>
      <c r="AE450" s="56"/>
      <c r="AF450" s="170"/>
      <c r="AG450" s="56"/>
      <c r="AH450" s="56"/>
      <c r="AI450" s="168"/>
      <c r="AJ450" s="56"/>
      <c r="AK450" s="56"/>
      <c r="AL450" s="56"/>
      <c r="AM450" s="56"/>
      <c r="AN450" s="56"/>
      <c r="AO450" s="56"/>
      <c r="AP450" s="56"/>
      <c r="AQ450" s="56"/>
      <c r="AR450" s="168"/>
      <c r="AS450" s="56"/>
      <c r="AT450" s="56"/>
      <c r="AU450" s="56"/>
      <c r="AV450" s="56"/>
      <c r="AW450" s="56"/>
      <c r="AX450" s="56"/>
      <c r="AY450" s="56"/>
      <c r="AZ450" s="56"/>
      <c r="BA450" s="168"/>
      <c r="BB450" s="56"/>
      <c r="BC450" s="56"/>
      <c r="BD450" s="56"/>
      <c r="BE450" s="168"/>
      <c r="BF450" s="56"/>
      <c r="BG450" s="10"/>
      <c r="BH450" s="56"/>
      <c r="BI450" s="56"/>
      <c r="BJ450" s="56"/>
      <c r="BK450" s="56"/>
      <c r="BS450" s="144"/>
      <c r="CM450" s="144"/>
      <c r="DC450" s="144"/>
    </row>
    <row r="451" spans="1:107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1"/>
      <c r="M451" s="10"/>
      <c r="N451" s="56"/>
      <c r="O451" s="56"/>
      <c r="P451" s="10"/>
      <c r="Q451" s="158"/>
      <c r="R451" s="174"/>
      <c r="S451" s="164"/>
      <c r="T451" s="56"/>
      <c r="U451" s="56"/>
      <c r="V451" s="56"/>
      <c r="W451" s="158"/>
      <c r="X451" s="174"/>
      <c r="Y451" s="168"/>
      <c r="Z451" s="10"/>
      <c r="AA451" s="56"/>
      <c r="AB451" s="56"/>
      <c r="AC451" s="56"/>
      <c r="AD451" s="56"/>
      <c r="AE451" s="56"/>
      <c r="AF451" s="170"/>
      <c r="AG451" s="56"/>
      <c r="AH451" s="56"/>
      <c r="AI451" s="168"/>
      <c r="AJ451" s="56"/>
      <c r="AK451" s="56"/>
      <c r="AL451" s="56"/>
      <c r="AM451" s="56"/>
      <c r="AN451" s="56"/>
      <c r="AO451" s="56"/>
      <c r="AP451" s="56"/>
      <c r="AQ451" s="56"/>
      <c r="AR451" s="168"/>
      <c r="AS451" s="56"/>
      <c r="AT451" s="56"/>
      <c r="AU451" s="56"/>
      <c r="AV451" s="56"/>
      <c r="AW451" s="56"/>
      <c r="AX451" s="56"/>
      <c r="AY451" s="56"/>
      <c r="AZ451" s="56"/>
      <c r="BA451" s="168"/>
      <c r="BB451" s="56"/>
      <c r="BC451" s="56"/>
      <c r="BD451" s="56"/>
      <c r="BE451" s="168"/>
      <c r="BF451" s="56"/>
      <c r="BG451" s="10"/>
      <c r="BH451" s="56"/>
      <c r="BI451" s="56"/>
      <c r="BJ451" s="56"/>
      <c r="BK451" s="56"/>
      <c r="BS451" s="144"/>
      <c r="CM451" s="144"/>
      <c r="DC451" s="144"/>
    </row>
    <row r="452" spans="1:107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1"/>
      <c r="M452" s="10"/>
      <c r="N452" s="56"/>
      <c r="O452" s="56"/>
      <c r="P452" s="10"/>
      <c r="Q452" s="158"/>
      <c r="R452" s="174"/>
      <c r="S452" s="164"/>
      <c r="T452" s="56"/>
      <c r="U452" s="56"/>
      <c r="V452" s="56"/>
      <c r="W452" s="158"/>
      <c r="X452" s="174"/>
      <c r="Y452" s="168"/>
      <c r="Z452" s="10"/>
      <c r="AA452" s="56"/>
      <c r="AB452" s="56"/>
      <c r="AC452" s="56"/>
      <c r="AD452" s="56"/>
      <c r="AE452" s="56"/>
      <c r="AF452" s="170"/>
      <c r="AG452" s="56"/>
      <c r="AH452" s="56"/>
      <c r="AI452" s="168"/>
      <c r="AJ452" s="56"/>
      <c r="AK452" s="56"/>
      <c r="AL452" s="56"/>
      <c r="AM452" s="56"/>
      <c r="AN452" s="56"/>
      <c r="AO452" s="56"/>
      <c r="AP452" s="56"/>
      <c r="AQ452" s="56"/>
      <c r="AR452" s="168"/>
      <c r="AS452" s="56"/>
      <c r="AT452" s="56"/>
      <c r="AU452" s="56"/>
      <c r="AV452" s="56"/>
      <c r="AW452" s="56"/>
      <c r="AX452" s="56"/>
      <c r="AY452" s="56"/>
      <c r="AZ452" s="56"/>
      <c r="BA452" s="168"/>
      <c r="BB452" s="56"/>
      <c r="BC452" s="56"/>
      <c r="BD452" s="56"/>
      <c r="BE452" s="168"/>
      <c r="BF452" s="56"/>
      <c r="BG452" s="10"/>
      <c r="BH452" s="56"/>
      <c r="BI452" s="56"/>
      <c r="BJ452" s="56"/>
      <c r="BK452" s="56"/>
      <c r="BS452" s="144"/>
      <c r="CM452" s="144"/>
      <c r="DC452" s="144"/>
    </row>
    <row r="453" spans="1:107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1"/>
      <c r="M453" s="10"/>
      <c r="N453" s="56"/>
      <c r="O453" s="56"/>
      <c r="P453" s="10"/>
      <c r="Q453" s="158"/>
      <c r="R453" s="174"/>
      <c r="S453" s="164"/>
      <c r="T453" s="56"/>
      <c r="U453" s="56"/>
      <c r="V453" s="56"/>
      <c r="W453" s="158"/>
      <c r="X453" s="174"/>
      <c r="Y453" s="168"/>
      <c r="Z453" s="10"/>
      <c r="AA453" s="56"/>
      <c r="AB453" s="56"/>
      <c r="AC453" s="56"/>
      <c r="AD453" s="56"/>
      <c r="AE453" s="56"/>
      <c r="AF453" s="170"/>
      <c r="AG453" s="56"/>
      <c r="AH453" s="56"/>
      <c r="AI453" s="168"/>
      <c r="AJ453" s="56"/>
      <c r="AK453" s="56"/>
      <c r="AL453" s="56"/>
      <c r="AM453" s="56"/>
      <c r="AN453" s="56"/>
      <c r="AO453" s="56"/>
      <c r="AP453" s="56"/>
      <c r="AQ453" s="56"/>
      <c r="AR453" s="168"/>
      <c r="AS453" s="56"/>
      <c r="AT453" s="56"/>
      <c r="AU453" s="56"/>
      <c r="AV453" s="56"/>
      <c r="AW453" s="56"/>
      <c r="AX453" s="56"/>
      <c r="AY453" s="56"/>
      <c r="AZ453" s="56"/>
      <c r="BA453" s="168"/>
      <c r="BB453" s="56"/>
      <c r="BC453" s="56"/>
      <c r="BD453" s="56"/>
      <c r="BE453" s="168"/>
      <c r="BF453" s="56"/>
      <c r="BG453" s="10"/>
      <c r="BH453" s="56"/>
      <c r="BI453" s="56"/>
      <c r="BJ453" s="56"/>
      <c r="BK453" s="56"/>
      <c r="BS453" s="144"/>
      <c r="CM453" s="144"/>
      <c r="DC453" s="144"/>
    </row>
    <row r="454" spans="1:107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1"/>
      <c r="M454" s="10"/>
      <c r="N454" s="56"/>
      <c r="O454" s="56"/>
      <c r="P454" s="10"/>
      <c r="Q454" s="158"/>
      <c r="R454" s="174"/>
      <c r="S454" s="164"/>
      <c r="T454" s="56"/>
      <c r="U454" s="56"/>
      <c r="V454" s="56"/>
      <c r="W454" s="158"/>
      <c r="X454" s="174"/>
      <c r="Y454" s="168"/>
      <c r="Z454" s="10"/>
      <c r="AA454" s="56"/>
      <c r="AB454" s="56"/>
      <c r="AC454" s="56"/>
      <c r="AD454" s="56"/>
      <c r="AE454" s="56"/>
      <c r="AF454" s="170"/>
      <c r="AG454" s="56"/>
      <c r="AH454" s="56"/>
      <c r="AI454" s="168"/>
      <c r="AJ454" s="56"/>
      <c r="AK454" s="56"/>
      <c r="AL454" s="56"/>
      <c r="AM454" s="56"/>
      <c r="AN454" s="56"/>
      <c r="AO454" s="56"/>
      <c r="AP454" s="56"/>
      <c r="AQ454" s="56"/>
      <c r="AR454" s="168"/>
      <c r="AS454" s="56"/>
      <c r="AT454" s="56"/>
      <c r="AU454" s="56"/>
      <c r="AV454" s="56"/>
      <c r="AW454" s="56"/>
      <c r="AX454" s="56"/>
      <c r="AY454" s="56"/>
      <c r="AZ454" s="56"/>
      <c r="BA454" s="168"/>
      <c r="BB454" s="56"/>
      <c r="BC454" s="56"/>
      <c r="BD454" s="56"/>
      <c r="BE454" s="168"/>
      <c r="BF454" s="56"/>
      <c r="BG454" s="10"/>
      <c r="BH454" s="56"/>
      <c r="BI454" s="56"/>
      <c r="BJ454" s="56"/>
      <c r="BK454" s="56"/>
      <c r="BS454" s="144"/>
      <c r="CM454" s="144"/>
      <c r="DC454" s="144"/>
    </row>
    <row r="455" spans="1:107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1"/>
      <c r="M455" s="10"/>
      <c r="N455" s="56"/>
      <c r="O455" s="56"/>
      <c r="P455" s="10"/>
      <c r="Q455" s="158"/>
      <c r="R455" s="174"/>
      <c r="S455" s="164"/>
      <c r="T455" s="56"/>
      <c r="U455" s="56"/>
      <c r="V455" s="56"/>
      <c r="W455" s="158"/>
      <c r="X455" s="174"/>
      <c r="Y455" s="168"/>
      <c r="Z455" s="10"/>
      <c r="AA455" s="56"/>
      <c r="AB455" s="56"/>
      <c r="AC455" s="56"/>
      <c r="AD455" s="56"/>
      <c r="AE455" s="56"/>
      <c r="AF455" s="170"/>
      <c r="AG455" s="56"/>
      <c r="AH455" s="56"/>
      <c r="AI455" s="168"/>
      <c r="AJ455" s="56"/>
      <c r="AK455" s="56"/>
      <c r="AL455" s="56"/>
      <c r="AM455" s="56"/>
      <c r="AN455" s="56"/>
      <c r="AO455" s="56"/>
      <c r="AP455" s="56"/>
      <c r="AQ455" s="56"/>
      <c r="AR455" s="168"/>
      <c r="AS455" s="56"/>
      <c r="AT455" s="56"/>
      <c r="AU455" s="56"/>
      <c r="AV455" s="56"/>
      <c r="AW455" s="56"/>
      <c r="AX455" s="56"/>
      <c r="AY455" s="56"/>
      <c r="AZ455" s="56"/>
      <c r="BA455" s="168"/>
      <c r="BB455" s="56"/>
      <c r="BC455" s="56"/>
      <c r="BD455" s="56"/>
      <c r="BE455" s="168"/>
      <c r="BF455" s="56"/>
      <c r="BG455" s="10"/>
      <c r="BH455" s="56"/>
      <c r="BI455" s="56"/>
      <c r="BJ455" s="56"/>
      <c r="BK455" s="56"/>
      <c r="BS455" s="144"/>
      <c r="CM455" s="144"/>
      <c r="DC455" s="144"/>
    </row>
    <row r="456" spans="1:107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1"/>
      <c r="M456" s="10"/>
      <c r="N456" s="56"/>
      <c r="O456" s="56"/>
      <c r="P456" s="10"/>
      <c r="Q456" s="158"/>
      <c r="R456" s="174"/>
      <c r="S456" s="164"/>
      <c r="T456" s="56"/>
      <c r="U456" s="56"/>
      <c r="V456" s="56"/>
      <c r="W456" s="158"/>
      <c r="X456" s="174"/>
      <c r="Y456" s="168"/>
      <c r="Z456" s="10"/>
      <c r="AA456" s="56"/>
      <c r="AB456" s="56"/>
      <c r="AC456" s="56"/>
      <c r="AD456" s="56"/>
      <c r="AE456" s="56"/>
      <c r="AF456" s="170"/>
      <c r="AG456" s="56"/>
      <c r="AH456" s="56"/>
      <c r="AI456" s="168"/>
      <c r="AJ456" s="56"/>
      <c r="AK456" s="56"/>
      <c r="AL456" s="56"/>
      <c r="AM456" s="56"/>
      <c r="AN456" s="56"/>
      <c r="AO456" s="56"/>
      <c r="AP456" s="56"/>
      <c r="AQ456" s="56"/>
      <c r="AR456" s="168"/>
      <c r="AS456" s="56"/>
      <c r="AT456" s="56"/>
      <c r="AU456" s="56"/>
      <c r="AV456" s="56"/>
      <c r="AW456" s="56"/>
      <c r="AX456" s="56"/>
      <c r="AY456" s="56"/>
      <c r="AZ456" s="56"/>
      <c r="BA456" s="168"/>
      <c r="BB456" s="56"/>
      <c r="BC456" s="56"/>
      <c r="BD456" s="56"/>
      <c r="BE456" s="168"/>
      <c r="BF456" s="56"/>
      <c r="BG456" s="10"/>
      <c r="BH456" s="56"/>
      <c r="BI456" s="56"/>
      <c r="BJ456" s="56"/>
      <c r="BK456" s="56"/>
      <c r="BS456" s="144"/>
      <c r="CM456" s="144"/>
      <c r="DC456" s="144"/>
    </row>
    <row r="457" spans="1:107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1"/>
      <c r="M457" s="10"/>
      <c r="N457" s="56"/>
      <c r="O457" s="56"/>
      <c r="P457" s="10"/>
      <c r="Q457" s="158"/>
      <c r="R457" s="174"/>
      <c r="S457" s="164"/>
      <c r="T457" s="56"/>
      <c r="U457" s="56"/>
      <c r="V457" s="56"/>
      <c r="W457" s="158"/>
      <c r="X457" s="174"/>
      <c r="Y457" s="168"/>
      <c r="Z457" s="10"/>
      <c r="AA457" s="56"/>
      <c r="AB457" s="56"/>
      <c r="AC457" s="56"/>
      <c r="AD457" s="56"/>
      <c r="AE457" s="56"/>
      <c r="AF457" s="170"/>
      <c r="AG457" s="56"/>
      <c r="AH457" s="56"/>
      <c r="AI457" s="168"/>
      <c r="AJ457" s="56"/>
      <c r="AK457" s="56"/>
      <c r="AL457" s="56"/>
      <c r="AM457" s="56"/>
      <c r="AN457" s="56"/>
      <c r="AO457" s="56"/>
      <c r="AP457" s="56"/>
      <c r="AQ457" s="56"/>
      <c r="AR457" s="168"/>
      <c r="AS457" s="56"/>
      <c r="AT457" s="56"/>
      <c r="AU457" s="56"/>
      <c r="AV457" s="56"/>
      <c r="AW457" s="56"/>
      <c r="AX457" s="56"/>
      <c r="AY457" s="56"/>
      <c r="AZ457" s="56"/>
      <c r="BA457" s="168"/>
      <c r="BB457" s="56"/>
      <c r="BC457" s="56"/>
      <c r="BD457" s="56"/>
      <c r="BE457" s="168"/>
      <c r="BF457" s="56"/>
      <c r="BG457" s="10"/>
      <c r="BH457" s="56"/>
      <c r="BI457" s="56"/>
      <c r="BJ457" s="56"/>
      <c r="BK457" s="56"/>
      <c r="BS457" s="144"/>
      <c r="CM457" s="144"/>
      <c r="DC457" s="144"/>
    </row>
    <row r="458" spans="1:107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1"/>
      <c r="M458" s="10"/>
      <c r="N458" s="56"/>
      <c r="O458" s="56"/>
      <c r="P458" s="10"/>
      <c r="Q458" s="158"/>
      <c r="R458" s="174"/>
      <c r="S458" s="164"/>
      <c r="T458" s="56"/>
      <c r="U458" s="56"/>
      <c r="V458" s="56"/>
      <c r="W458" s="158"/>
      <c r="X458" s="174"/>
      <c r="Y458" s="168"/>
      <c r="Z458" s="10"/>
      <c r="AA458" s="56"/>
      <c r="AB458" s="56"/>
      <c r="AC458" s="56"/>
      <c r="AD458" s="56"/>
      <c r="AE458" s="56"/>
      <c r="AF458" s="170"/>
      <c r="AG458" s="56"/>
      <c r="AH458" s="56"/>
      <c r="AI458" s="168"/>
      <c r="AJ458" s="56"/>
      <c r="AK458" s="56"/>
      <c r="AL458" s="56"/>
      <c r="AM458" s="56"/>
      <c r="AN458" s="56"/>
      <c r="AO458" s="56"/>
      <c r="AP458" s="56"/>
      <c r="AQ458" s="56"/>
      <c r="AR458" s="168"/>
      <c r="AS458" s="56"/>
      <c r="AT458" s="56"/>
      <c r="AU458" s="56"/>
      <c r="AV458" s="56"/>
      <c r="AW458" s="56"/>
      <c r="AX458" s="56"/>
      <c r="AY458" s="56"/>
      <c r="AZ458" s="56"/>
      <c r="BA458" s="168"/>
      <c r="BB458" s="56"/>
      <c r="BC458" s="56"/>
      <c r="BD458" s="56"/>
      <c r="BE458" s="168"/>
      <c r="BF458" s="56"/>
      <c r="BG458" s="10"/>
      <c r="BH458" s="56"/>
      <c r="BI458" s="56"/>
      <c r="BJ458" s="56"/>
      <c r="BK458" s="56"/>
      <c r="BS458" s="144"/>
      <c r="CM458" s="144"/>
      <c r="DC458" s="144"/>
    </row>
    <row r="459" spans="1:107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1"/>
      <c r="M459" s="10"/>
      <c r="N459" s="56"/>
      <c r="O459" s="56"/>
      <c r="P459" s="10"/>
      <c r="Q459" s="158"/>
      <c r="R459" s="174"/>
      <c r="S459" s="164"/>
      <c r="T459" s="56"/>
      <c r="U459" s="56"/>
      <c r="V459" s="56"/>
      <c r="W459" s="158"/>
      <c r="X459" s="174"/>
      <c r="Y459" s="168"/>
      <c r="Z459" s="10"/>
      <c r="AA459" s="56"/>
      <c r="AB459" s="56"/>
      <c r="AC459" s="56"/>
      <c r="AD459" s="56"/>
      <c r="AE459" s="56"/>
      <c r="AF459" s="170"/>
      <c r="AG459" s="56"/>
      <c r="AH459" s="56"/>
      <c r="AI459" s="168"/>
      <c r="AJ459" s="56"/>
      <c r="AK459" s="56"/>
      <c r="AL459" s="56"/>
      <c r="AM459" s="56"/>
      <c r="AN459" s="56"/>
      <c r="AO459" s="56"/>
      <c r="AP459" s="56"/>
      <c r="AQ459" s="56"/>
      <c r="AR459" s="168"/>
      <c r="AS459" s="56"/>
      <c r="AT459" s="56"/>
      <c r="AU459" s="56"/>
      <c r="AV459" s="56"/>
      <c r="AW459" s="56"/>
      <c r="AX459" s="56"/>
      <c r="AY459" s="56"/>
      <c r="AZ459" s="56"/>
      <c r="BA459" s="168"/>
      <c r="BB459" s="56"/>
      <c r="BC459" s="56"/>
      <c r="BD459" s="56"/>
      <c r="BE459" s="168"/>
      <c r="BF459" s="56"/>
      <c r="BG459" s="10"/>
      <c r="BH459" s="56"/>
      <c r="BI459" s="56"/>
      <c r="BJ459" s="56"/>
      <c r="BK459" s="56"/>
      <c r="BS459" s="144"/>
      <c r="CM459" s="144"/>
      <c r="DC459" s="144"/>
    </row>
    <row r="460" spans="1:107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1"/>
      <c r="M460" s="10"/>
      <c r="N460" s="56"/>
      <c r="O460" s="56"/>
      <c r="P460" s="10"/>
      <c r="Q460" s="158"/>
      <c r="R460" s="174"/>
      <c r="S460" s="164"/>
      <c r="T460" s="56"/>
      <c r="U460" s="56"/>
      <c r="V460" s="56"/>
      <c r="W460" s="158"/>
      <c r="X460" s="174"/>
      <c r="Y460" s="168"/>
      <c r="Z460" s="10"/>
      <c r="AA460" s="56"/>
      <c r="AB460" s="56"/>
      <c r="AC460" s="56"/>
      <c r="AD460" s="56"/>
      <c r="AE460" s="56"/>
      <c r="AF460" s="170"/>
      <c r="AG460" s="56"/>
      <c r="AH460" s="56"/>
      <c r="AI460" s="168"/>
      <c r="AJ460" s="56"/>
      <c r="AK460" s="56"/>
      <c r="AL460" s="56"/>
      <c r="AM460" s="56"/>
      <c r="AN460" s="56"/>
      <c r="AO460" s="56"/>
      <c r="AP460" s="56"/>
      <c r="AQ460" s="56"/>
      <c r="AR460" s="168"/>
      <c r="AS460" s="56"/>
      <c r="AT460" s="56"/>
      <c r="AU460" s="56"/>
      <c r="AV460" s="56"/>
      <c r="AW460" s="56"/>
      <c r="AX460" s="56"/>
      <c r="AY460" s="56"/>
      <c r="AZ460" s="56"/>
      <c r="BA460" s="168"/>
      <c r="BB460" s="56"/>
      <c r="BC460" s="56"/>
      <c r="BD460" s="56"/>
      <c r="BE460" s="168"/>
      <c r="BF460" s="56"/>
      <c r="BG460" s="10"/>
      <c r="BH460" s="56"/>
      <c r="BI460" s="56"/>
      <c r="BJ460" s="56"/>
      <c r="BK460" s="56"/>
      <c r="BS460" s="144"/>
      <c r="CM460" s="144"/>
      <c r="DC460" s="144"/>
    </row>
    <row r="461" spans="1:107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1"/>
      <c r="M461" s="10"/>
      <c r="N461" s="56"/>
      <c r="O461" s="56"/>
      <c r="P461" s="10"/>
      <c r="Q461" s="158"/>
      <c r="R461" s="174"/>
      <c r="S461" s="164"/>
      <c r="T461" s="56"/>
      <c r="U461" s="56"/>
      <c r="V461" s="56"/>
      <c r="W461" s="158"/>
      <c r="X461" s="174"/>
      <c r="Y461" s="168"/>
      <c r="Z461" s="10"/>
      <c r="AA461" s="56"/>
      <c r="AB461" s="56"/>
      <c r="AC461" s="56"/>
      <c r="AD461" s="56"/>
      <c r="AE461" s="56"/>
      <c r="AF461" s="170"/>
      <c r="AG461" s="56"/>
      <c r="AH461" s="56"/>
      <c r="AI461" s="168"/>
      <c r="AJ461" s="56"/>
      <c r="AK461" s="56"/>
      <c r="AL461" s="56"/>
      <c r="AM461" s="56"/>
      <c r="AN461" s="56"/>
      <c r="AO461" s="56"/>
      <c r="AP461" s="56"/>
      <c r="AQ461" s="56"/>
      <c r="AR461" s="168"/>
      <c r="AS461" s="56"/>
      <c r="AT461" s="56"/>
      <c r="AU461" s="56"/>
      <c r="AV461" s="56"/>
      <c r="AW461" s="56"/>
      <c r="AX461" s="56"/>
      <c r="AY461" s="56"/>
      <c r="AZ461" s="56"/>
      <c r="BA461" s="168"/>
      <c r="BB461" s="56"/>
      <c r="BC461" s="56"/>
      <c r="BD461" s="56"/>
      <c r="BE461" s="168"/>
      <c r="BF461" s="56"/>
      <c r="BG461" s="10"/>
      <c r="BH461" s="56"/>
      <c r="BI461" s="56"/>
      <c r="BJ461" s="56"/>
      <c r="BK461" s="56"/>
      <c r="BS461" s="144"/>
      <c r="CM461" s="144"/>
      <c r="DC461" s="144"/>
    </row>
    <row r="462" spans="1:107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1"/>
      <c r="M462" s="10"/>
      <c r="N462" s="56"/>
      <c r="O462" s="56"/>
      <c r="P462" s="10"/>
      <c r="Q462" s="158"/>
      <c r="R462" s="174"/>
      <c r="S462" s="164"/>
      <c r="T462" s="56"/>
      <c r="U462" s="56"/>
      <c r="V462" s="56"/>
      <c r="W462" s="158"/>
      <c r="X462" s="174"/>
      <c r="Y462" s="168"/>
      <c r="Z462" s="10"/>
      <c r="AA462" s="56"/>
      <c r="AB462" s="56"/>
      <c r="AC462" s="56"/>
      <c r="AD462" s="56"/>
      <c r="AE462" s="56"/>
      <c r="AF462" s="170"/>
      <c r="AG462" s="56"/>
      <c r="AH462" s="56"/>
      <c r="AI462" s="168"/>
      <c r="AJ462" s="56"/>
      <c r="AK462" s="56"/>
      <c r="AL462" s="56"/>
      <c r="AM462" s="56"/>
      <c r="AN462" s="56"/>
      <c r="AO462" s="56"/>
      <c r="AP462" s="56"/>
      <c r="AQ462" s="56"/>
      <c r="AR462" s="168"/>
      <c r="AS462" s="56"/>
      <c r="AT462" s="56"/>
      <c r="AU462" s="56"/>
      <c r="AV462" s="56"/>
      <c r="AW462" s="56"/>
      <c r="AX462" s="56"/>
      <c r="AY462" s="56"/>
      <c r="AZ462" s="56"/>
      <c r="BA462" s="168"/>
      <c r="BB462" s="56"/>
      <c r="BC462" s="56"/>
      <c r="BD462" s="56"/>
      <c r="BE462" s="168"/>
      <c r="BF462" s="56"/>
      <c r="BG462" s="10"/>
      <c r="BH462" s="56"/>
      <c r="BI462" s="56"/>
      <c r="BJ462" s="56"/>
      <c r="BK462" s="56"/>
      <c r="BS462" s="144"/>
      <c r="CM462" s="144"/>
      <c r="DC462" s="144"/>
    </row>
    <row r="463" spans="1:107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1"/>
      <c r="M463" s="10"/>
      <c r="N463" s="56"/>
      <c r="O463" s="56"/>
      <c r="P463" s="10"/>
      <c r="Q463" s="158"/>
      <c r="R463" s="174"/>
      <c r="S463" s="164"/>
      <c r="T463" s="56"/>
      <c r="U463" s="56"/>
      <c r="V463" s="56"/>
      <c r="W463" s="158"/>
      <c r="X463" s="174"/>
      <c r="Y463" s="168"/>
      <c r="Z463" s="10"/>
      <c r="AA463" s="56"/>
      <c r="AB463" s="56"/>
      <c r="AC463" s="56"/>
      <c r="AD463" s="56"/>
      <c r="AE463" s="56"/>
      <c r="AF463" s="170"/>
      <c r="AG463" s="56"/>
      <c r="AH463" s="56"/>
      <c r="AI463" s="168"/>
      <c r="AJ463" s="56"/>
      <c r="AK463" s="56"/>
      <c r="AL463" s="56"/>
      <c r="AM463" s="56"/>
      <c r="AN463" s="56"/>
      <c r="AO463" s="56"/>
      <c r="AP463" s="56"/>
      <c r="AQ463" s="56"/>
      <c r="AR463" s="168"/>
      <c r="AS463" s="56"/>
      <c r="AT463" s="56"/>
      <c r="AU463" s="56"/>
      <c r="AV463" s="56"/>
      <c r="AW463" s="56"/>
      <c r="AX463" s="56"/>
      <c r="AY463" s="56"/>
      <c r="AZ463" s="56"/>
      <c r="BA463" s="168"/>
      <c r="BB463" s="56"/>
      <c r="BC463" s="56"/>
      <c r="BD463" s="56"/>
      <c r="BE463" s="168"/>
      <c r="BF463" s="56"/>
      <c r="BG463" s="10"/>
      <c r="BH463" s="56"/>
      <c r="BI463" s="56"/>
      <c r="BJ463" s="56"/>
      <c r="BK463" s="56"/>
      <c r="BS463" s="144"/>
      <c r="CM463" s="144"/>
      <c r="DC463" s="144"/>
    </row>
    <row r="464" spans="1:107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1"/>
      <c r="M464" s="10"/>
      <c r="N464" s="56"/>
      <c r="O464" s="56"/>
      <c r="P464" s="10"/>
      <c r="Q464" s="158"/>
      <c r="R464" s="174"/>
      <c r="S464" s="164"/>
      <c r="T464" s="56"/>
      <c r="U464" s="56"/>
      <c r="V464" s="56"/>
      <c r="W464" s="158"/>
      <c r="X464" s="174"/>
      <c r="Y464" s="168"/>
      <c r="Z464" s="10"/>
      <c r="AA464" s="56"/>
      <c r="AB464" s="56"/>
      <c r="AC464" s="56"/>
      <c r="AD464" s="56"/>
      <c r="AE464" s="56"/>
      <c r="AF464" s="170"/>
      <c r="AG464" s="56"/>
      <c r="AH464" s="56"/>
      <c r="AI464" s="168"/>
      <c r="AJ464" s="56"/>
      <c r="AK464" s="56"/>
      <c r="AL464" s="56"/>
      <c r="AM464" s="56"/>
      <c r="AN464" s="56"/>
      <c r="AO464" s="56"/>
      <c r="AP464" s="56"/>
      <c r="AQ464" s="56"/>
      <c r="AR464" s="168"/>
      <c r="AS464" s="56"/>
      <c r="AT464" s="56"/>
      <c r="AU464" s="56"/>
      <c r="AV464" s="56"/>
      <c r="AW464" s="56"/>
      <c r="AX464" s="56"/>
      <c r="AY464" s="56"/>
      <c r="AZ464" s="56"/>
      <c r="BA464" s="168"/>
      <c r="BB464" s="56"/>
      <c r="BC464" s="56"/>
      <c r="BD464" s="56"/>
      <c r="BE464" s="168"/>
      <c r="BF464" s="56"/>
      <c r="BG464" s="10"/>
      <c r="BH464" s="56"/>
      <c r="BI464" s="56"/>
      <c r="BJ464" s="56"/>
      <c r="BK464" s="56"/>
      <c r="BS464" s="144"/>
      <c r="CM464" s="144"/>
      <c r="DC464" s="144"/>
    </row>
    <row r="465" spans="1:107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1"/>
      <c r="M465" s="10"/>
      <c r="N465" s="56"/>
      <c r="O465" s="56"/>
      <c r="P465" s="10"/>
      <c r="Q465" s="158"/>
      <c r="R465" s="174"/>
      <c r="S465" s="164"/>
      <c r="T465" s="56"/>
      <c r="U465" s="56"/>
      <c r="V465" s="56"/>
      <c r="W465" s="158"/>
      <c r="X465" s="174"/>
      <c r="Y465" s="168"/>
      <c r="Z465" s="10"/>
      <c r="AA465" s="56"/>
      <c r="AB465" s="56"/>
      <c r="AC465" s="56"/>
      <c r="AD465" s="56"/>
      <c r="AE465" s="56"/>
      <c r="AF465" s="170"/>
      <c r="AG465" s="56"/>
      <c r="AH465" s="56"/>
      <c r="AI465" s="168"/>
      <c r="AJ465" s="56"/>
      <c r="AK465" s="56"/>
      <c r="AL465" s="56"/>
      <c r="AM465" s="56"/>
      <c r="AN465" s="56"/>
      <c r="AO465" s="56"/>
      <c r="AP465" s="56"/>
      <c r="AQ465" s="56"/>
      <c r="AR465" s="168"/>
      <c r="AS465" s="56"/>
      <c r="AT465" s="56"/>
      <c r="AU465" s="56"/>
      <c r="AV465" s="56"/>
      <c r="AW465" s="56"/>
      <c r="AX465" s="56"/>
      <c r="AY465" s="56"/>
      <c r="AZ465" s="56"/>
      <c r="BA465" s="168"/>
      <c r="BB465" s="56"/>
      <c r="BC465" s="56"/>
      <c r="BD465" s="56"/>
      <c r="BE465" s="168"/>
      <c r="BF465" s="56"/>
      <c r="BG465" s="10"/>
      <c r="BH465" s="56"/>
      <c r="BI465" s="56"/>
      <c r="BJ465" s="56"/>
      <c r="BK465" s="56"/>
      <c r="BS465" s="144"/>
      <c r="CM465" s="144"/>
      <c r="DC465" s="144"/>
    </row>
    <row r="466" spans="1:107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1"/>
      <c r="M466" s="10"/>
      <c r="N466" s="56"/>
      <c r="O466" s="56"/>
      <c r="P466" s="10"/>
      <c r="Q466" s="158"/>
      <c r="R466" s="174"/>
      <c r="S466" s="164"/>
      <c r="T466" s="56"/>
      <c r="U466" s="56"/>
      <c r="V466" s="56"/>
      <c r="W466" s="158"/>
      <c r="X466" s="174"/>
      <c r="Y466" s="168"/>
      <c r="Z466" s="10"/>
      <c r="AA466" s="56"/>
      <c r="AB466" s="56"/>
      <c r="AC466" s="56"/>
      <c r="AD466" s="56"/>
      <c r="AE466" s="56"/>
      <c r="AF466" s="170"/>
      <c r="AG466" s="56"/>
      <c r="AH466" s="56"/>
      <c r="AI466" s="168"/>
      <c r="AJ466" s="56"/>
      <c r="AK466" s="56"/>
      <c r="AL466" s="56"/>
      <c r="AM466" s="56"/>
      <c r="AN466" s="56"/>
      <c r="AO466" s="56"/>
      <c r="AP466" s="56"/>
      <c r="AQ466" s="56"/>
      <c r="AR466" s="168"/>
      <c r="AS466" s="56"/>
      <c r="AT466" s="56"/>
      <c r="AU466" s="56"/>
      <c r="AV466" s="56"/>
      <c r="AW466" s="56"/>
      <c r="AX466" s="56"/>
      <c r="AY466" s="56"/>
      <c r="AZ466" s="56"/>
      <c r="BA466" s="168"/>
      <c r="BB466" s="56"/>
      <c r="BC466" s="56"/>
      <c r="BD466" s="56"/>
      <c r="BE466" s="168"/>
      <c r="BF466" s="56"/>
      <c r="BG466" s="10"/>
      <c r="BH466" s="56"/>
      <c r="BI466" s="56"/>
      <c r="BJ466" s="56"/>
      <c r="BK466" s="56"/>
      <c r="BS466" s="144"/>
      <c r="CM466" s="144"/>
      <c r="DC466" s="144"/>
    </row>
    <row r="467" spans="1:107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1"/>
      <c r="M467" s="10"/>
      <c r="N467" s="56"/>
      <c r="O467" s="56"/>
      <c r="P467" s="10"/>
      <c r="Q467" s="158"/>
      <c r="R467" s="174"/>
      <c r="S467" s="164"/>
      <c r="T467" s="56"/>
      <c r="U467" s="56"/>
      <c r="V467" s="56"/>
      <c r="W467" s="158"/>
      <c r="X467" s="174"/>
      <c r="Y467" s="168"/>
      <c r="Z467" s="10"/>
      <c r="AA467" s="56"/>
      <c r="AB467" s="56"/>
      <c r="AC467" s="56"/>
      <c r="AD467" s="56"/>
      <c r="AE467" s="56"/>
      <c r="AF467" s="170"/>
      <c r="AG467" s="56"/>
      <c r="AH467" s="56"/>
      <c r="AI467" s="168"/>
      <c r="AJ467" s="56"/>
      <c r="AK467" s="56"/>
      <c r="AL467" s="56"/>
      <c r="AM467" s="56"/>
      <c r="AN467" s="56"/>
      <c r="AO467" s="56"/>
      <c r="AP467" s="56"/>
      <c r="AQ467" s="56"/>
      <c r="AR467" s="168"/>
      <c r="AS467" s="56"/>
      <c r="AT467" s="56"/>
      <c r="AU467" s="56"/>
      <c r="AV467" s="56"/>
      <c r="AW467" s="56"/>
      <c r="AX467" s="56"/>
      <c r="AY467" s="56"/>
      <c r="AZ467" s="56"/>
      <c r="BA467" s="168"/>
      <c r="BB467" s="56"/>
      <c r="BC467" s="56"/>
      <c r="BD467" s="56"/>
      <c r="BE467" s="168"/>
      <c r="BF467" s="56"/>
      <c r="BG467" s="10"/>
      <c r="BH467" s="56"/>
      <c r="BI467" s="56"/>
      <c r="BJ467" s="56"/>
      <c r="BK467" s="56"/>
      <c r="BS467" s="144"/>
      <c r="CM467" s="144"/>
      <c r="DC467" s="144"/>
    </row>
    <row r="468" spans="1:107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1"/>
      <c r="M468" s="10"/>
      <c r="N468" s="56"/>
      <c r="O468" s="56"/>
      <c r="P468" s="10"/>
      <c r="Q468" s="158"/>
      <c r="R468" s="174"/>
      <c r="S468" s="164"/>
      <c r="T468" s="56"/>
      <c r="U468" s="56"/>
      <c r="V468" s="56"/>
      <c r="W468" s="158"/>
      <c r="X468" s="174"/>
      <c r="Y468" s="168"/>
      <c r="Z468" s="10"/>
      <c r="AA468" s="56"/>
      <c r="AB468" s="56"/>
      <c r="AC468" s="56"/>
      <c r="AD468" s="56"/>
      <c r="AE468" s="56"/>
      <c r="AF468" s="170"/>
      <c r="AG468" s="56"/>
      <c r="AH468" s="56"/>
      <c r="AI468" s="168"/>
      <c r="AJ468" s="56"/>
      <c r="AK468" s="56"/>
      <c r="AL468" s="56"/>
      <c r="AM468" s="56"/>
      <c r="AN468" s="56"/>
      <c r="AO468" s="56"/>
      <c r="AP468" s="56"/>
      <c r="AQ468" s="56"/>
      <c r="AR468" s="168"/>
      <c r="AS468" s="56"/>
      <c r="AT468" s="56"/>
      <c r="AU468" s="56"/>
      <c r="AV468" s="56"/>
      <c r="AW468" s="56"/>
      <c r="AX468" s="56"/>
      <c r="AY468" s="56"/>
      <c r="AZ468" s="56"/>
      <c r="BA468" s="168"/>
      <c r="BB468" s="56"/>
      <c r="BC468" s="56"/>
      <c r="BD468" s="56"/>
      <c r="BE468" s="168"/>
      <c r="BF468" s="56"/>
      <c r="BG468" s="10"/>
      <c r="BH468" s="56"/>
      <c r="BI468" s="56"/>
      <c r="BJ468" s="56"/>
      <c r="BK468" s="56"/>
      <c r="BS468" s="144"/>
      <c r="CM468" s="144"/>
      <c r="DC468" s="144"/>
    </row>
    <row r="469" spans="1:107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1"/>
      <c r="M469" s="10"/>
      <c r="N469" s="56"/>
      <c r="O469" s="56"/>
      <c r="P469" s="10"/>
      <c r="Q469" s="158"/>
      <c r="R469" s="174"/>
      <c r="S469" s="164"/>
      <c r="T469" s="56"/>
      <c r="U469" s="56"/>
      <c r="V469" s="56"/>
      <c r="W469" s="158"/>
      <c r="X469" s="174"/>
      <c r="Y469" s="168"/>
      <c r="Z469" s="10"/>
      <c r="AA469" s="56"/>
      <c r="AB469" s="56"/>
      <c r="AC469" s="56"/>
      <c r="AD469" s="56"/>
      <c r="AE469" s="56"/>
      <c r="AF469" s="170"/>
      <c r="AG469" s="56"/>
      <c r="AH469" s="56"/>
      <c r="AI469" s="168"/>
      <c r="AJ469" s="56"/>
      <c r="AK469" s="56"/>
      <c r="AL469" s="56"/>
      <c r="AM469" s="56"/>
      <c r="AN469" s="56"/>
      <c r="AO469" s="56"/>
      <c r="AP469" s="56"/>
      <c r="AQ469" s="56"/>
      <c r="AR469" s="168"/>
      <c r="AS469" s="56"/>
      <c r="AT469" s="56"/>
      <c r="AU469" s="56"/>
      <c r="AV469" s="56"/>
      <c r="AW469" s="56"/>
      <c r="AX469" s="56"/>
      <c r="AY469" s="56"/>
      <c r="AZ469" s="56"/>
      <c r="BA469" s="168"/>
      <c r="BB469" s="56"/>
      <c r="BC469" s="56"/>
      <c r="BD469" s="56"/>
      <c r="BE469" s="168"/>
      <c r="BF469" s="56"/>
      <c r="BG469" s="10"/>
      <c r="BH469" s="56"/>
      <c r="BI469" s="56"/>
      <c r="BJ469" s="56"/>
      <c r="BK469" s="56"/>
      <c r="BS469" s="144"/>
      <c r="CM469" s="144"/>
      <c r="DC469" s="144"/>
    </row>
    <row r="470" spans="1:107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1"/>
      <c r="M470" s="10"/>
      <c r="N470" s="56"/>
      <c r="O470" s="56"/>
      <c r="P470" s="10"/>
      <c r="Q470" s="158"/>
      <c r="R470" s="174"/>
      <c r="S470" s="164"/>
      <c r="T470" s="56"/>
      <c r="U470" s="56"/>
      <c r="V470" s="56"/>
      <c r="W470" s="158"/>
      <c r="X470" s="174"/>
      <c r="Y470" s="168"/>
      <c r="Z470" s="10"/>
      <c r="AA470" s="56"/>
      <c r="AB470" s="56"/>
      <c r="AC470" s="56"/>
      <c r="AD470" s="56"/>
      <c r="AE470" s="56"/>
      <c r="AF470" s="170"/>
      <c r="AG470" s="56"/>
      <c r="AH470" s="56"/>
      <c r="AI470" s="168"/>
      <c r="AJ470" s="56"/>
      <c r="AK470" s="56"/>
      <c r="AL470" s="56"/>
      <c r="AM470" s="56"/>
      <c r="AN470" s="56"/>
      <c r="AO470" s="56"/>
      <c r="AP470" s="56"/>
      <c r="AQ470" s="56"/>
      <c r="AR470" s="168"/>
      <c r="AS470" s="56"/>
      <c r="AT470" s="56"/>
      <c r="AU470" s="56"/>
      <c r="AV470" s="56"/>
      <c r="AW470" s="56"/>
      <c r="AX470" s="56"/>
      <c r="AY470" s="56"/>
      <c r="AZ470" s="56"/>
      <c r="BA470" s="168"/>
      <c r="BB470" s="56"/>
      <c r="BC470" s="56"/>
      <c r="BD470" s="56"/>
      <c r="BE470" s="168"/>
      <c r="BF470" s="56"/>
      <c r="BG470" s="10"/>
      <c r="BH470" s="56"/>
      <c r="BI470" s="56"/>
      <c r="BJ470" s="56"/>
      <c r="BK470" s="56"/>
      <c r="BS470" s="144"/>
      <c r="CM470" s="144"/>
      <c r="DC470" s="144"/>
    </row>
    <row r="471" spans="1:107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1"/>
      <c r="M471" s="10"/>
      <c r="N471" s="56"/>
      <c r="O471" s="56"/>
      <c r="P471" s="10"/>
      <c r="Q471" s="158"/>
      <c r="R471" s="174"/>
      <c r="S471" s="164"/>
      <c r="T471" s="56"/>
      <c r="U471" s="56"/>
      <c r="V471" s="56"/>
      <c r="W471" s="158"/>
      <c r="X471" s="174"/>
      <c r="Y471" s="168"/>
      <c r="Z471" s="10"/>
      <c r="AA471" s="56"/>
      <c r="AB471" s="56"/>
      <c r="AC471" s="56"/>
      <c r="AD471" s="56"/>
      <c r="AE471" s="56"/>
      <c r="AF471" s="170"/>
      <c r="AG471" s="56"/>
      <c r="AH471" s="56"/>
      <c r="AI471" s="168"/>
      <c r="AJ471" s="56"/>
      <c r="AK471" s="56"/>
      <c r="AL471" s="56"/>
      <c r="AM471" s="56"/>
      <c r="AN471" s="56"/>
      <c r="AO471" s="56"/>
      <c r="AP471" s="56"/>
      <c r="AQ471" s="56"/>
      <c r="AR471" s="168"/>
      <c r="AS471" s="56"/>
      <c r="AT471" s="56"/>
      <c r="AU471" s="56"/>
      <c r="AV471" s="56"/>
      <c r="AW471" s="56"/>
      <c r="AX471" s="56"/>
      <c r="AY471" s="56"/>
      <c r="AZ471" s="56"/>
      <c r="BA471" s="168"/>
      <c r="BB471" s="56"/>
      <c r="BC471" s="56"/>
      <c r="BD471" s="56"/>
      <c r="BE471" s="168"/>
      <c r="BF471" s="56"/>
      <c r="BG471" s="10"/>
      <c r="BH471" s="56"/>
      <c r="BI471" s="56"/>
      <c r="BJ471" s="56"/>
      <c r="BK471" s="56"/>
      <c r="BS471" s="144"/>
      <c r="CM471" s="144"/>
      <c r="DC471" s="144"/>
    </row>
    <row r="472" spans="1:107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1"/>
      <c r="M472" s="10"/>
      <c r="N472" s="56"/>
      <c r="O472" s="56"/>
      <c r="P472" s="10"/>
      <c r="Q472" s="158"/>
      <c r="R472" s="174"/>
      <c r="S472" s="164"/>
      <c r="T472" s="56"/>
      <c r="U472" s="56"/>
      <c r="V472" s="56"/>
      <c r="W472" s="158"/>
      <c r="X472" s="174"/>
      <c r="Y472" s="168"/>
      <c r="Z472" s="10"/>
      <c r="AA472" s="56"/>
      <c r="AB472" s="56"/>
      <c r="AC472" s="56"/>
      <c r="AD472" s="56"/>
      <c r="AE472" s="56"/>
      <c r="AF472" s="170"/>
      <c r="AG472" s="56"/>
      <c r="AH472" s="56"/>
      <c r="AI472" s="168"/>
      <c r="AJ472" s="56"/>
      <c r="AK472" s="56"/>
      <c r="AL472" s="56"/>
      <c r="AM472" s="56"/>
      <c r="AN472" s="56"/>
      <c r="AO472" s="56"/>
      <c r="AP472" s="56"/>
      <c r="AQ472" s="56"/>
      <c r="AR472" s="168"/>
      <c r="AS472" s="56"/>
      <c r="AT472" s="56"/>
      <c r="AU472" s="56"/>
      <c r="AV472" s="56"/>
      <c r="AW472" s="56"/>
      <c r="AX472" s="56"/>
      <c r="AY472" s="56"/>
      <c r="AZ472" s="56"/>
      <c r="BA472" s="168"/>
      <c r="BB472" s="56"/>
      <c r="BC472" s="56"/>
      <c r="BD472" s="56"/>
      <c r="BE472" s="168"/>
      <c r="BF472" s="56"/>
      <c r="BG472" s="10"/>
      <c r="BH472" s="56"/>
      <c r="BI472" s="56"/>
      <c r="BJ472" s="56"/>
      <c r="BK472" s="56"/>
      <c r="BS472" s="144"/>
      <c r="CM472" s="144"/>
      <c r="DC472" s="144"/>
    </row>
    <row r="473" spans="1:107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1"/>
      <c r="M473" s="10"/>
      <c r="N473" s="56"/>
      <c r="O473" s="56"/>
      <c r="P473" s="10"/>
      <c r="Q473" s="158"/>
      <c r="R473" s="174"/>
      <c r="S473" s="164"/>
      <c r="T473" s="56"/>
      <c r="U473" s="56"/>
      <c r="V473" s="56"/>
      <c r="W473" s="158"/>
      <c r="X473" s="174"/>
      <c r="Y473" s="168"/>
      <c r="Z473" s="10"/>
      <c r="AA473" s="56"/>
      <c r="AB473" s="56"/>
      <c r="AC473" s="56"/>
      <c r="AD473" s="56"/>
      <c r="AE473" s="56"/>
      <c r="AF473" s="170"/>
      <c r="AG473" s="56"/>
      <c r="AH473" s="56"/>
      <c r="AI473" s="168"/>
      <c r="AJ473" s="56"/>
      <c r="AK473" s="56"/>
      <c r="AL473" s="56"/>
      <c r="AM473" s="56"/>
      <c r="AN473" s="56"/>
      <c r="AO473" s="56"/>
      <c r="AP473" s="56"/>
      <c r="AQ473" s="56"/>
      <c r="AR473" s="168"/>
      <c r="AS473" s="56"/>
      <c r="AT473" s="56"/>
      <c r="AU473" s="56"/>
      <c r="AV473" s="56"/>
      <c r="AW473" s="56"/>
      <c r="AX473" s="56"/>
      <c r="AY473" s="56"/>
      <c r="AZ473" s="56"/>
      <c r="BA473" s="168"/>
      <c r="BB473" s="56"/>
      <c r="BC473" s="56"/>
      <c r="BD473" s="56"/>
      <c r="BE473" s="168"/>
      <c r="BF473" s="56"/>
      <c r="BG473" s="10"/>
      <c r="BH473" s="56"/>
      <c r="BI473" s="56"/>
      <c r="BJ473" s="56"/>
      <c r="BK473" s="56"/>
      <c r="BS473" s="144"/>
      <c r="CM473" s="144"/>
      <c r="DC473" s="144"/>
    </row>
    <row r="474" spans="1:107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1"/>
      <c r="M474" s="10"/>
      <c r="N474" s="56"/>
      <c r="O474" s="56"/>
      <c r="P474" s="10"/>
      <c r="Q474" s="158"/>
      <c r="R474" s="174"/>
      <c r="S474" s="164"/>
      <c r="T474" s="56"/>
      <c r="U474" s="56"/>
      <c r="V474" s="56"/>
      <c r="W474" s="158"/>
      <c r="X474" s="174"/>
      <c r="Y474" s="168"/>
      <c r="Z474" s="10"/>
      <c r="AA474" s="56"/>
      <c r="AB474" s="56"/>
      <c r="AC474" s="56"/>
      <c r="AD474" s="56"/>
      <c r="AE474" s="56"/>
      <c r="AF474" s="170"/>
      <c r="AG474" s="56"/>
      <c r="AH474" s="56"/>
      <c r="AI474" s="168"/>
      <c r="AJ474" s="56"/>
      <c r="AK474" s="56"/>
      <c r="AL474" s="56"/>
      <c r="AM474" s="56"/>
      <c r="AN474" s="56"/>
      <c r="AO474" s="56"/>
      <c r="AP474" s="56"/>
      <c r="AQ474" s="56"/>
      <c r="AR474" s="168"/>
      <c r="AS474" s="56"/>
      <c r="AT474" s="56"/>
      <c r="AU474" s="56"/>
      <c r="AV474" s="56"/>
      <c r="AW474" s="56"/>
      <c r="AX474" s="56"/>
      <c r="AY474" s="56"/>
      <c r="AZ474" s="56"/>
      <c r="BA474" s="168"/>
      <c r="BB474" s="56"/>
      <c r="BC474" s="56"/>
      <c r="BD474" s="56"/>
      <c r="BE474" s="168"/>
      <c r="BF474" s="56"/>
      <c r="BG474" s="10"/>
      <c r="BH474" s="56"/>
      <c r="BI474" s="56"/>
      <c r="BJ474" s="56"/>
      <c r="BK474" s="56"/>
      <c r="BS474" s="144"/>
      <c r="CM474" s="144"/>
      <c r="DC474" s="144"/>
    </row>
    <row r="475" spans="1:107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1"/>
      <c r="M475" s="10"/>
      <c r="N475" s="56"/>
      <c r="O475" s="56"/>
      <c r="P475" s="10"/>
      <c r="Q475" s="158"/>
      <c r="R475" s="174"/>
      <c r="S475" s="164"/>
      <c r="T475" s="56"/>
      <c r="U475" s="56"/>
      <c r="V475" s="56"/>
      <c r="W475" s="158"/>
      <c r="X475" s="174"/>
      <c r="Y475" s="168"/>
      <c r="Z475" s="10"/>
      <c r="AA475" s="56"/>
      <c r="AB475" s="56"/>
      <c r="AC475" s="56"/>
      <c r="AD475" s="56"/>
      <c r="AE475" s="56"/>
      <c r="AF475" s="170"/>
      <c r="AG475" s="56"/>
      <c r="AH475" s="56"/>
      <c r="AI475" s="168"/>
      <c r="AJ475" s="56"/>
      <c r="AK475" s="56"/>
      <c r="AL475" s="56"/>
      <c r="AM475" s="56"/>
      <c r="AN475" s="56"/>
      <c r="AO475" s="56"/>
      <c r="AP475" s="56"/>
      <c r="AQ475" s="56"/>
      <c r="AR475" s="168"/>
      <c r="AS475" s="56"/>
      <c r="AT475" s="56"/>
      <c r="AU475" s="56"/>
      <c r="AV475" s="56"/>
      <c r="AW475" s="56"/>
      <c r="AX475" s="56"/>
      <c r="AY475" s="56"/>
      <c r="AZ475" s="56"/>
      <c r="BA475" s="168"/>
      <c r="BB475" s="56"/>
      <c r="BC475" s="56"/>
      <c r="BD475" s="56"/>
      <c r="BE475" s="168"/>
      <c r="BF475" s="56"/>
      <c r="BG475" s="10"/>
      <c r="BH475" s="56"/>
      <c r="BI475" s="56"/>
      <c r="BJ475" s="56"/>
      <c r="BK475" s="56"/>
      <c r="BS475" s="144"/>
      <c r="CM475" s="144"/>
      <c r="DC475" s="144"/>
    </row>
    <row r="476" spans="1:107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1"/>
      <c r="M476" s="10"/>
      <c r="N476" s="56"/>
      <c r="O476" s="56"/>
      <c r="P476" s="10"/>
      <c r="Q476" s="158"/>
      <c r="R476" s="174"/>
      <c r="S476" s="164"/>
      <c r="T476" s="56"/>
      <c r="U476" s="56"/>
      <c r="V476" s="56"/>
      <c r="W476" s="158"/>
      <c r="X476" s="174"/>
      <c r="Y476" s="168"/>
      <c r="Z476" s="10"/>
      <c r="AA476" s="56"/>
      <c r="AB476" s="56"/>
      <c r="AC476" s="56"/>
      <c r="AD476" s="56"/>
      <c r="AE476" s="56"/>
      <c r="AF476" s="170"/>
      <c r="AG476" s="56"/>
      <c r="AH476" s="56"/>
      <c r="AI476" s="168"/>
      <c r="AJ476" s="56"/>
      <c r="AK476" s="56"/>
      <c r="AL476" s="56"/>
      <c r="AM476" s="56"/>
      <c r="AN476" s="56"/>
      <c r="AO476" s="56"/>
      <c r="AP476" s="56"/>
      <c r="AQ476" s="56"/>
      <c r="AR476" s="168"/>
      <c r="AS476" s="56"/>
      <c r="AT476" s="56"/>
      <c r="AU476" s="56"/>
      <c r="AV476" s="56"/>
      <c r="AW476" s="56"/>
      <c r="AX476" s="56"/>
      <c r="AY476" s="56"/>
      <c r="AZ476" s="56"/>
      <c r="BA476" s="168"/>
      <c r="BB476" s="56"/>
      <c r="BC476" s="56"/>
      <c r="BD476" s="56"/>
      <c r="BE476" s="168"/>
      <c r="BF476" s="56"/>
      <c r="BG476" s="10"/>
      <c r="BH476" s="56"/>
      <c r="BI476" s="56"/>
      <c r="BJ476" s="56"/>
      <c r="BK476" s="56"/>
      <c r="BS476" s="144"/>
      <c r="CM476" s="144"/>
      <c r="DC476" s="144"/>
    </row>
    <row r="477" spans="1:107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1"/>
      <c r="M477" s="10"/>
      <c r="N477" s="56"/>
      <c r="O477" s="56"/>
      <c r="P477" s="10"/>
      <c r="Q477" s="158"/>
      <c r="R477" s="174"/>
      <c r="S477" s="164"/>
      <c r="T477" s="56"/>
      <c r="U477" s="56"/>
      <c r="V477" s="56"/>
      <c r="W477" s="158"/>
      <c r="X477" s="174"/>
      <c r="Y477" s="168"/>
      <c r="Z477" s="10"/>
      <c r="AA477" s="56"/>
      <c r="AB477" s="56"/>
      <c r="AC477" s="56"/>
      <c r="AD477" s="56"/>
      <c r="AE477" s="56"/>
      <c r="AF477" s="170"/>
      <c r="AG477" s="56"/>
      <c r="AH477" s="56"/>
      <c r="AI477" s="168"/>
      <c r="AJ477" s="56"/>
      <c r="AK477" s="56"/>
      <c r="AL477" s="56"/>
      <c r="AM477" s="56"/>
      <c r="AN477" s="56"/>
      <c r="AO477" s="56"/>
      <c r="AP477" s="56"/>
      <c r="AQ477" s="56"/>
      <c r="AR477" s="168"/>
      <c r="AS477" s="56"/>
      <c r="AT477" s="56"/>
      <c r="AU477" s="56"/>
      <c r="AV477" s="56"/>
      <c r="AW477" s="56"/>
      <c r="AX477" s="56"/>
      <c r="AY477" s="56"/>
      <c r="AZ477" s="56"/>
      <c r="BA477" s="168"/>
      <c r="BB477" s="56"/>
      <c r="BC477" s="56"/>
      <c r="BD477" s="56"/>
      <c r="BE477" s="168"/>
      <c r="BF477" s="56"/>
      <c r="BG477" s="10"/>
      <c r="BH477" s="56"/>
      <c r="BI477" s="56"/>
      <c r="BJ477" s="56"/>
      <c r="BK477" s="56"/>
      <c r="BS477" s="144"/>
      <c r="CM477" s="144"/>
      <c r="DC477" s="144"/>
    </row>
    <row r="478" spans="1:107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1"/>
      <c r="M478" s="10"/>
      <c r="N478" s="56"/>
      <c r="O478" s="56"/>
      <c r="P478" s="10"/>
      <c r="Q478" s="158"/>
      <c r="R478" s="174"/>
      <c r="S478" s="164"/>
      <c r="T478" s="56"/>
      <c r="U478" s="56"/>
      <c r="V478" s="56"/>
      <c r="W478" s="158"/>
      <c r="X478" s="174"/>
      <c r="Y478" s="168"/>
      <c r="Z478" s="10"/>
      <c r="AA478" s="56"/>
      <c r="AB478" s="56"/>
      <c r="AC478" s="56"/>
      <c r="AD478" s="56"/>
      <c r="AE478" s="56"/>
      <c r="AF478" s="170"/>
      <c r="AG478" s="56"/>
      <c r="AH478" s="56"/>
      <c r="AI478" s="168"/>
      <c r="AJ478" s="56"/>
      <c r="AK478" s="56"/>
      <c r="AL478" s="56"/>
      <c r="AM478" s="56"/>
      <c r="AN478" s="56"/>
      <c r="AO478" s="56"/>
      <c r="AP478" s="56"/>
      <c r="AQ478" s="56"/>
      <c r="AR478" s="168"/>
      <c r="AS478" s="56"/>
      <c r="AT478" s="56"/>
      <c r="AU478" s="56"/>
      <c r="AV478" s="56"/>
      <c r="AW478" s="56"/>
      <c r="AX478" s="56"/>
      <c r="AY478" s="56"/>
      <c r="AZ478" s="56"/>
      <c r="BA478" s="168"/>
      <c r="BB478" s="56"/>
      <c r="BC478" s="56"/>
      <c r="BD478" s="56"/>
      <c r="BE478" s="168"/>
      <c r="BF478" s="56"/>
      <c r="BG478" s="10"/>
      <c r="BH478" s="56"/>
      <c r="BI478" s="56"/>
      <c r="BJ478" s="56"/>
      <c r="BK478" s="56"/>
      <c r="BS478" s="144"/>
      <c r="CM478" s="144"/>
      <c r="DC478" s="144"/>
    </row>
    <row r="479" spans="1:107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1"/>
      <c r="M479" s="10"/>
      <c r="N479" s="56"/>
      <c r="O479" s="56"/>
      <c r="P479" s="10"/>
      <c r="Q479" s="158"/>
      <c r="R479" s="174"/>
      <c r="S479" s="164"/>
      <c r="T479" s="56"/>
      <c r="U479" s="56"/>
      <c r="V479" s="56"/>
      <c r="W479" s="158"/>
      <c r="X479" s="174"/>
      <c r="Y479" s="168"/>
      <c r="Z479" s="10"/>
      <c r="AA479" s="56"/>
      <c r="AB479" s="56"/>
      <c r="AC479" s="56"/>
      <c r="AD479" s="56"/>
      <c r="AE479" s="56"/>
      <c r="AF479" s="170"/>
      <c r="AG479" s="56"/>
      <c r="AH479" s="56"/>
      <c r="AI479" s="168"/>
      <c r="AJ479" s="56"/>
      <c r="AK479" s="56"/>
      <c r="AL479" s="56"/>
      <c r="AM479" s="56"/>
      <c r="AN479" s="56"/>
      <c r="AO479" s="56"/>
      <c r="AP479" s="56"/>
      <c r="AQ479" s="56"/>
      <c r="AR479" s="168"/>
      <c r="AS479" s="56"/>
      <c r="AT479" s="56"/>
      <c r="AU479" s="56"/>
      <c r="AV479" s="56"/>
      <c r="AW479" s="56"/>
      <c r="AX479" s="56"/>
      <c r="AY479" s="56"/>
      <c r="AZ479" s="56"/>
      <c r="BA479" s="168"/>
      <c r="BB479" s="56"/>
      <c r="BC479" s="56"/>
      <c r="BD479" s="56"/>
      <c r="BE479" s="168"/>
      <c r="BF479" s="56"/>
      <c r="BG479" s="10"/>
      <c r="BH479" s="56"/>
      <c r="BI479" s="56"/>
      <c r="BJ479" s="56"/>
      <c r="BK479" s="56"/>
      <c r="BS479" s="144"/>
      <c r="CM479" s="144"/>
      <c r="DC479" s="144"/>
    </row>
    <row r="480" spans="1:107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1"/>
      <c r="M480" s="10"/>
      <c r="N480" s="56"/>
      <c r="O480" s="56"/>
      <c r="P480" s="10"/>
      <c r="Q480" s="158"/>
      <c r="R480" s="174"/>
      <c r="S480" s="164"/>
      <c r="T480" s="56"/>
      <c r="U480" s="56"/>
      <c r="V480" s="56"/>
      <c r="W480" s="158"/>
      <c r="X480" s="174"/>
      <c r="Y480" s="168"/>
      <c r="Z480" s="10"/>
      <c r="AA480" s="56"/>
      <c r="AB480" s="56"/>
      <c r="AC480" s="56"/>
      <c r="AD480" s="56"/>
      <c r="AE480" s="56"/>
      <c r="AF480" s="170"/>
      <c r="AG480" s="56"/>
      <c r="AH480" s="56"/>
      <c r="AI480" s="168"/>
      <c r="AJ480" s="56"/>
      <c r="AK480" s="56"/>
      <c r="AL480" s="56"/>
      <c r="AM480" s="56"/>
      <c r="AN480" s="56"/>
      <c r="AO480" s="56"/>
      <c r="AP480" s="56"/>
      <c r="AQ480" s="56"/>
      <c r="AR480" s="168"/>
      <c r="AS480" s="56"/>
      <c r="AT480" s="56"/>
      <c r="AU480" s="56"/>
      <c r="AV480" s="56"/>
      <c r="AW480" s="56"/>
      <c r="AX480" s="56"/>
      <c r="AY480" s="56"/>
      <c r="AZ480" s="56"/>
      <c r="BA480" s="168"/>
      <c r="BB480" s="56"/>
      <c r="BC480" s="56"/>
      <c r="BD480" s="56"/>
      <c r="BE480" s="168"/>
      <c r="BF480" s="56"/>
      <c r="BG480" s="10"/>
      <c r="BH480" s="56"/>
      <c r="BI480" s="56"/>
      <c r="BJ480" s="56"/>
      <c r="BK480" s="56"/>
      <c r="BS480" s="144"/>
      <c r="CM480" s="144"/>
      <c r="DC480" s="144"/>
    </row>
    <row r="481" spans="1:107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1"/>
      <c r="M481" s="10"/>
      <c r="N481" s="56"/>
      <c r="O481" s="56"/>
      <c r="P481" s="10"/>
      <c r="Q481" s="158"/>
      <c r="R481" s="174"/>
      <c r="S481" s="164"/>
      <c r="T481" s="56"/>
      <c r="U481" s="56"/>
      <c r="V481" s="56"/>
      <c r="W481" s="158"/>
      <c r="X481" s="174"/>
      <c r="Y481" s="168"/>
      <c r="Z481" s="10"/>
      <c r="AA481" s="56"/>
      <c r="AB481" s="56"/>
      <c r="AC481" s="56"/>
      <c r="AD481" s="56"/>
      <c r="AE481" s="56"/>
      <c r="AF481" s="170"/>
      <c r="AG481" s="56"/>
      <c r="AH481" s="56"/>
      <c r="AI481" s="168"/>
      <c r="AJ481" s="56"/>
      <c r="AK481" s="56"/>
      <c r="AL481" s="56"/>
      <c r="AM481" s="56"/>
      <c r="AN481" s="56"/>
      <c r="AO481" s="56"/>
      <c r="AP481" s="56"/>
      <c r="AQ481" s="56"/>
      <c r="AR481" s="168"/>
      <c r="AS481" s="56"/>
      <c r="AT481" s="56"/>
      <c r="AU481" s="56"/>
      <c r="AV481" s="56"/>
      <c r="AW481" s="56"/>
      <c r="AX481" s="56"/>
      <c r="AY481" s="56"/>
      <c r="AZ481" s="56"/>
      <c r="BA481" s="168"/>
      <c r="BB481" s="56"/>
      <c r="BC481" s="56"/>
      <c r="BD481" s="56"/>
      <c r="BE481" s="168"/>
      <c r="BF481" s="56"/>
      <c r="BG481" s="10"/>
      <c r="BH481" s="56"/>
      <c r="BI481" s="56"/>
      <c r="BJ481" s="56"/>
      <c r="BK481" s="56"/>
      <c r="BS481" s="144"/>
      <c r="CM481" s="144"/>
      <c r="DC481" s="144"/>
    </row>
    <row r="482" spans="1:107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1"/>
      <c r="M482" s="10"/>
      <c r="N482" s="56"/>
      <c r="O482" s="56"/>
      <c r="P482" s="10"/>
      <c r="Q482" s="158"/>
      <c r="R482" s="174"/>
      <c r="S482" s="164"/>
      <c r="T482" s="56"/>
      <c r="U482" s="56"/>
      <c r="V482" s="56"/>
      <c r="W482" s="158"/>
      <c r="X482" s="174"/>
      <c r="Y482" s="168"/>
      <c r="Z482" s="10"/>
      <c r="AA482" s="56"/>
      <c r="AB482" s="56"/>
      <c r="AC482" s="56"/>
      <c r="AD482" s="56"/>
      <c r="AE482" s="56"/>
      <c r="AF482" s="170"/>
      <c r="AG482" s="56"/>
      <c r="AH482" s="56"/>
      <c r="AI482" s="168"/>
      <c r="AJ482" s="56"/>
      <c r="AK482" s="56"/>
      <c r="AL482" s="56"/>
      <c r="AM482" s="56"/>
      <c r="AN482" s="56"/>
      <c r="AO482" s="56"/>
      <c r="AP482" s="56"/>
      <c r="AQ482" s="56"/>
      <c r="AR482" s="168"/>
      <c r="AS482" s="56"/>
      <c r="AT482" s="56"/>
      <c r="AU482" s="56"/>
      <c r="AV482" s="56"/>
      <c r="AW482" s="56"/>
      <c r="AX482" s="56"/>
      <c r="AY482" s="56"/>
      <c r="AZ482" s="56"/>
      <c r="BA482" s="168"/>
      <c r="BB482" s="56"/>
      <c r="BC482" s="56"/>
      <c r="BD482" s="56"/>
      <c r="BE482" s="168"/>
      <c r="BF482" s="56"/>
      <c r="BG482" s="10"/>
      <c r="BH482" s="56"/>
      <c r="BI482" s="56"/>
      <c r="BJ482" s="56"/>
      <c r="BK482" s="56"/>
      <c r="BS482" s="144"/>
      <c r="CM482" s="144"/>
      <c r="DC482" s="144"/>
    </row>
    <row r="483" spans="1:107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1"/>
      <c r="M483" s="10"/>
      <c r="N483" s="56"/>
      <c r="O483" s="56"/>
      <c r="P483" s="10"/>
      <c r="Q483" s="158"/>
      <c r="R483" s="174"/>
      <c r="S483" s="164"/>
      <c r="T483" s="56"/>
      <c r="U483" s="56"/>
      <c r="V483" s="56"/>
      <c r="W483" s="158"/>
      <c r="X483" s="174"/>
      <c r="Y483" s="168"/>
      <c r="Z483" s="10"/>
      <c r="AA483" s="56"/>
      <c r="AB483" s="56"/>
      <c r="AC483" s="56"/>
      <c r="AD483" s="56"/>
      <c r="AE483" s="56"/>
      <c r="AF483" s="170"/>
      <c r="AG483" s="56"/>
      <c r="AH483" s="56"/>
      <c r="AI483" s="168"/>
      <c r="AJ483" s="56"/>
      <c r="AK483" s="56"/>
      <c r="AL483" s="56"/>
      <c r="AM483" s="56"/>
      <c r="AN483" s="56"/>
      <c r="AO483" s="56"/>
      <c r="AP483" s="56"/>
      <c r="AQ483" s="56"/>
      <c r="AR483" s="168"/>
      <c r="AS483" s="56"/>
      <c r="AT483" s="56"/>
      <c r="AU483" s="56"/>
      <c r="AV483" s="56"/>
      <c r="AW483" s="56"/>
      <c r="AX483" s="56"/>
      <c r="AY483" s="56"/>
      <c r="AZ483" s="56"/>
      <c r="BA483" s="168"/>
      <c r="BB483" s="56"/>
      <c r="BC483" s="56"/>
      <c r="BD483" s="56"/>
      <c r="BE483" s="168"/>
      <c r="BF483" s="56"/>
      <c r="BG483" s="10"/>
      <c r="BH483" s="56"/>
      <c r="BI483" s="56"/>
      <c r="BJ483" s="56"/>
      <c r="BK483" s="56"/>
      <c r="BS483" s="144"/>
      <c r="CM483" s="144"/>
      <c r="DC483" s="144"/>
    </row>
    <row r="484" spans="1:107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1"/>
      <c r="M484" s="10"/>
      <c r="N484" s="56"/>
      <c r="O484" s="56"/>
      <c r="P484" s="10"/>
      <c r="Q484" s="158"/>
      <c r="R484" s="174"/>
      <c r="S484" s="164"/>
      <c r="T484" s="56"/>
      <c r="U484" s="56"/>
      <c r="V484" s="56"/>
      <c r="W484" s="158"/>
      <c r="X484" s="174"/>
      <c r="Y484" s="168"/>
      <c r="Z484" s="10"/>
      <c r="AA484" s="56"/>
      <c r="AB484" s="56"/>
      <c r="AC484" s="56"/>
      <c r="AD484" s="56"/>
      <c r="AE484" s="56"/>
      <c r="AF484" s="170"/>
      <c r="AG484" s="56"/>
      <c r="AH484" s="56"/>
      <c r="AI484" s="168"/>
      <c r="AJ484" s="56"/>
      <c r="AK484" s="56"/>
      <c r="AL484" s="56"/>
      <c r="AM484" s="56"/>
      <c r="AN484" s="56"/>
      <c r="AO484" s="56"/>
      <c r="AP484" s="56"/>
      <c r="AQ484" s="56"/>
      <c r="AR484" s="168"/>
      <c r="AS484" s="56"/>
      <c r="AT484" s="56"/>
      <c r="AU484" s="56"/>
      <c r="AV484" s="56"/>
      <c r="AW484" s="56"/>
      <c r="AX484" s="56"/>
      <c r="AY484" s="56"/>
      <c r="AZ484" s="56"/>
      <c r="BA484" s="168"/>
      <c r="BB484" s="56"/>
      <c r="BC484" s="56"/>
      <c r="BD484" s="56"/>
      <c r="BE484" s="168"/>
      <c r="BF484" s="56"/>
      <c r="BG484" s="10"/>
      <c r="BH484" s="56"/>
      <c r="BI484" s="56"/>
      <c r="BJ484" s="56"/>
      <c r="BK484" s="56"/>
      <c r="BS484" s="144"/>
      <c r="CM484" s="144"/>
      <c r="DC484" s="144"/>
    </row>
    <row r="485" spans="1:107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1"/>
      <c r="M485" s="10"/>
      <c r="N485" s="56"/>
      <c r="O485" s="56"/>
      <c r="P485" s="10"/>
      <c r="Q485" s="158"/>
      <c r="R485" s="174"/>
      <c r="S485" s="164"/>
      <c r="T485" s="56"/>
      <c r="U485" s="56"/>
      <c r="V485" s="56"/>
      <c r="W485" s="158"/>
      <c r="X485" s="174"/>
      <c r="Y485" s="168"/>
      <c r="Z485" s="10"/>
      <c r="AA485" s="56"/>
      <c r="AB485" s="56"/>
      <c r="AC485" s="56"/>
      <c r="AD485" s="56"/>
      <c r="AE485" s="56"/>
      <c r="AF485" s="170"/>
      <c r="AG485" s="56"/>
      <c r="AH485" s="56"/>
      <c r="AI485" s="168"/>
      <c r="AJ485" s="56"/>
      <c r="AK485" s="56"/>
      <c r="AL485" s="56"/>
      <c r="AM485" s="56"/>
      <c r="AN485" s="56"/>
      <c r="AO485" s="56"/>
      <c r="AP485" s="56"/>
      <c r="AQ485" s="56"/>
      <c r="AR485" s="168"/>
      <c r="AS485" s="56"/>
      <c r="AT485" s="56"/>
      <c r="AU485" s="56"/>
      <c r="AV485" s="56"/>
      <c r="AW485" s="56"/>
      <c r="AX485" s="56"/>
      <c r="AY485" s="56"/>
      <c r="AZ485" s="56"/>
      <c r="BA485" s="168"/>
      <c r="BB485" s="56"/>
      <c r="BC485" s="56"/>
      <c r="BD485" s="56"/>
      <c r="BE485" s="168"/>
      <c r="BF485" s="56"/>
      <c r="BG485" s="10"/>
      <c r="BH485" s="56"/>
      <c r="BI485" s="56"/>
      <c r="BJ485" s="56"/>
      <c r="BK485" s="56"/>
      <c r="BS485" s="144"/>
      <c r="CM485" s="144"/>
      <c r="DC485" s="144"/>
    </row>
    <row r="486" spans="1:107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1"/>
      <c r="M486" s="10"/>
      <c r="N486" s="56"/>
      <c r="O486" s="56"/>
      <c r="P486" s="10"/>
      <c r="Q486" s="158"/>
      <c r="R486" s="174"/>
      <c r="S486" s="164"/>
      <c r="T486" s="56"/>
      <c r="U486" s="56"/>
      <c r="V486" s="56"/>
      <c r="W486" s="158"/>
      <c r="X486" s="174"/>
      <c r="Y486" s="168"/>
      <c r="Z486" s="10"/>
      <c r="AA486" s="56"/>
      <c r="AB486" s="56"/>
      <c r="AC486" s="56"/>
      <c r="AD486" s="56"/>
      <c r="AE486" s="56"/>
      <c r="AF486" s="170"/>
      <c r="AG486" s="56"/>
      <c r="AH486" s="56"/>
      <c r="AI486" s="168"/>
      <c r="AJ486" s="56"/>
      <c r="AK486" s="56"/>
      <c r="AL486" s="56"/>
      <c r="AM486" s="56"/>
      <c r="AN486" s="56"/>
      <c r="AO486" s="56"/>
      <c r="AP486" s="56"/>
      <c r="AQ486" s="56"/>
      <c r="AR486" s="168"/>
      <c r="AS486" s="56"/>
      <c r="AT486" s="56"/>
      <c r="AU486" s="56"/>
      <c r="AV486" s="56"/>
      <c r="AW486" s="56"/>
      <c r="AX486" s="56"/>
      <c r="AY486" s="56"/>
      <c r="AZ486" s="56"/>
      <c r="BA486" s="168"/>
      <c r="BB486" s="56"/>
      <c r="BC486" s="56"/>
      <c r="BD486" s="56"/>
      <c r="BE486" s="168"/>
      <c r="BF486" s="56"/>
      <c r="BG486" s="10"/>
      <c r="BH486" s="56"/>
      <c r="BI486" s="56"/>
      <c r="BJ486" s="56"/>
      <c r="BK486" s="56"/>
      <c r="BS486" s="144"/>
      <c r="CM486" s="144"/>
      <c r="DC486" s="144"/>
    </row>
    <row r="487" spans="1:107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1"/>
      <c r="M487" s="10"/>
      <c r="N487" s="56"/>
      <c r="O487" s="56"/>
      <c r="P487" s="10"/>
      <c r="Q487" s="158"/>
      <c r="R487" s="174"/>
      <c r="S487" s="164"/>
      <c r="T487" s="56"/>
      <c r="U487" s="56"/>
      <c r="V487" s="56"/>
      <c r="W487" s="158"/>
      <c r="X487" s="174"/>
      <c r="Y487" s="168"/>
      <c r="Z487" s="10"/>
      <c r="AA487" s="56"/>
      <c r="AB487" s="56"/>
      <c r="AC487" s="56"/>
      <c r="AD487" s="56"/>
      <c r="AE487" s="56"/>
      <c r="AF487" s="170"/>
      <c r="AG487" s="56"/>
      <c r="AH487" s="56"/>
      <c r="AI487" s="168"/>
      <c r="AJ487" s="56"/>
      <c r="AK487" s="56"/>
      <c r="AL487" s="56"/>
      <c r="AM487" s="56"/>
      <c r="AN487" s="56"/>
      <c r="AO487" s="56"/>
      <c r="AP487" s="56"/>
      <c r="AQ487" s="56"/>
      <c r="AR487" s="168"/>
      <c r="AS487" s="56"/>
      <c r="AT487" s="56"/>
      <c r="AU487" s="56"/>
      <c r="AV487" s="56"/>
      <c r="AW487" s="56"/>
      <c r="AX487" s="56"/>
      <c r="AY487" s="56"/>
      <c r="AZ487" s="56"/>
      <c r="BA487" s="168"/>
      <c r="BB487" s="56"/>
      <c r="BC487" s="56"/>
      <c r="BD487" s="56"/>
      <c r="BE487" s="168"/>
      <c r="BF487" s="56"/>
      <c r="BG487" s="10"/>
      <c r="BH487" s="56"/>
      <c r="BI487" s="56"/>
      <c r="BJ487" s="56"/>
      <c r="BK487" s="56"/>
      <c r="BS487" s="144"/>
      <c r="CM487" s="144"/>
      <c r="DC487" s="144"/>
    </row>
    <row r="488" spans="1:107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1"/>
      <c r="M488" s="10"/>
      <c r="N488" s="56"/>
      <c r="O488" s="56"/>
      <c r="P488" s="10"/>
      <c r="Q488" s="158"/>
      <c r="R488" s="174"/>
      <c r="S488" s="164"/>
      <c r="T488" s="56"/>
      <c r="U488" s="56"/>
      <c r="V488" s="56"/>
      <c r="W488" s="158"/>
      <c r="X488" s="174"/>
      <c r="Y488" s="168"/>
      <c r="Z488" s="10"/>
      <c r="AA488" s="56"/>
      <c r="AB488" s="56"/>
      <c r="AC488" s="56"/>
      <c r="AD488" s="56"/>
      <c r="AE488" s="56"/>
      <c r="AF488" s="170"/>
      <c r="AG488" s="56"/>
      <c r="AH488" s="56"/>
      <c r="AI488" s="168"/>
      <c r="AJ488" s="56"/>
      <c r="AK488" s="56"/>
      <c r="AL488" s="56"/>
      <c r="AM488" s="56"/>
      <c r="AN488" s="56"/>
      <c r="AO488" s="56"/>
      <c r="AP488" s="56"/>
      <c r="AQ488" s="56"/>
      <c r="AR488" s="168"/>
      <c r="AS488" s="56"/>
      <c r="AT488" s="56"/>
      <c r="AU488" s="56"/>
      <c r="AV488" s="56"/>
      <c r="AW488" s="56"/>
      <c r="AX488" s="56"/>
      <c r="AY488" s="56"/>
      <c r="AZ488" s="56"/>
      <c r="BA488" s="168"/>
      <c r="BB488" s="56"/>
      <c r="BC488" s="56"/>
      <c r="BD488" s="56"/>
      <c r="BE488" s="168"/>
      <c r="BF488" s="56"/>
      <c r="BG488" s="10"/>
      <c r="BH488" s="56"/>
      <c r="BI488" s="56"/>
      <c r="BJ488" s="56"/>
      <c r="BK488" s="56"/>
      <c r="BS488" s="144"/>
      <c r="CM488" s="144"/>
      <c r="DC488" s="144"/>
    </row>
    <row r="489" spans="1:107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1"/>
      <c r="M489" s="10"/>
      <c r="N489" s="56"/>
      <c r="O489" s="56"/>
      <c r="P489" s="10"/>
      <c r="Q489" s="158"/>
      <c r="R489" s="174"/>
      <c r="S489" s="164"/>
      <c r="T489" s="56"/>
      <c r="U489" s="56"/>
      <c r="V489" s="56"/>
      <c r="W489" s="158"/>
      <c r="X489" s="174"/>
      <c r="Y489" s="168"/>
      <c r="Z489" s="10"/>
      <c r="AA489" s="56"/>
      <c r="AB489" s="56"/>
      <c r="AC489" s="56"/>
      <c r="AD489" s="56"/>
      <c r="AE489" s="56"/>
      <c r="AF489" s="170"/>
      <c r="AG489" s="56"/>
      <c r="AH489" s="56"/>
      <c r="AI489" s="168"/>
      <c r="AJ489" s="56"/>
      <c r="AK489" s="56"/>
      <c r="AL489" s="56"/>
      <c r="AM489" s="56"/>
      <c r="AN489" s="56"/>
      <c r="AO489" s="56"/>
      <c r="AP489" s="56"/>
      <c r="AQ489" s="56"/>
      <c r="AR489" s="168"/>
      <c r="AS489" s="56"/>
      <c r="AT489" s="56"/>
      <c r="AU489" s="56"/>
      <c r="AV489" s="56"/>
      <c r="AW489" s="56"/>
      <c r="AX489" s="56"/>
      <c r="AY489" s="56"/>
      <c r="AZ489" s="56"/>
      <c r="BA489" s="168"/>
      <c r="BB489" s="56"/>
      <c r="BC489" s="56"/>
      <c r="BD489" s="56"/>
      <c r="BE489" s="168"/>
      <c r="BF489" s="56"/>
      <c r="BG489" s="10"/>
      <c r="BH489" s="56"/>
      <c r="BI489" s="56"/>
      <c r="BJ489" s="56"/>
      <c r="BK489" s="56"/>
      <c r="BS489" s="144"/>
      <c r="CM489" s="144"/>
      <c r="DC489" s="144"/>
    </row>
    <row r="490" spans="1:107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1"/>
      <c r="M490" s="10"/>
      <c r="N490" s="56"/>
      <c r="O490" s="56"/>
      <c r="P490" s="10"/>
      <c r="Q490" s="158"/>
      <c r="R490" s="174"/>
      <c r="S490" s="164"/>
      <c r="T490" s="56"/>
      <c r="U490" s="56"/>
      <c r="V490" s="56"/>
      <c r="W490" s="158"/>
      <c r="X490" s="174"/>
      <c r="Y490" s="168"/>
      <c r="Z490" s="10"/>
      <c r="AA490" s="56"/>
      <c r="AB490" s="56"/>
      <c r="AC490" s="56"/>
      <c r="AD490" s="56"/>
      <c r="AE490" s="56"/>
      <c r="AF490" s="170"/>
      <c r="AG490" s="56"/>
      <c r="AH490" s="56"/>
      <c r="AI490" s="168"/>
      <c r="AJ490" s="56"/>
      <c r="AK490" s="56"/>
      <c r="AL490" s="56"/>
      <c r="AM490" s="56"/>
      <c r="AN490" s="56"/>
      <c r="AO490" s="56"/>
      <c r="AP490" s="56"/>
      <c r="AQ490" s="56"/>
      <c r="AR490" s="168"/>
      <c r="AS490" s="56"/>
      <c r="AT490" s="56"/>
      <c r="AU490" s="56"/>
      <c r="AV490" s="56"/>
      <c r="AW490" s="56"/>
      <c r="AX490" s="56"/>
      <c r="AY490" s="56"/>
      <c r="AZ490" s="56"/>
      <c r="BA490" s="168"/>
      <c r="BB490" s="56"/>
      <c r="BC490" s="56"/>
      <c r="BD490" s="56"/>
      <c r="BE490" s="168"/>
      <c r="BF490" s="56"/>
      <c r="BG490" s="10"/>
      <c r="BH490" s="56"/>
      <c r="BI490" s="56"/>
      <c r="BJ490" s="56"/>
      <c r="BK490" s="56"/>
      <c r="BS490" s="144"/>
      <c r="CM490" s="144"/>
      <c r="DC490" s="144"/>
    </row>
    <row r="491" spans="1:107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1"/>
      <c r="M491" s="10"/>
      <c r="N491" s="56"/>
      <c r="O491" s="56"/>
      <c r="P491" s="10"/>
      <c r="Q491" s="158"/>
      <c r="R491" s="174"/>
      <c r="S491" s="164"/>
      <c r="T491" s="56"/>
      <c r="U491" s="56"/>
      <c r="V491" s="56"/>
      <c r="W491" s="158"/>
      <c r="X491" s="174"/>
      <c r="Y491" s="168"/>
      <c r="Z491" s="10"/>
      <c r="AA491" s="56"/>
      <c r="AB491" s="56"/>
      <c r="AC491" s="56"/>
      <c r="AD491" s="56"/>
      <c r="AE491" s="56"/>
      <c r="AF491" s="170"/>
      <c r="AG491" s="56"/>
      <c r="AH491" s="56"/>
      <c r="AI491" s="168"/>
      <c r="AJ491" s="56"/>
      <c r="AK491" s="56"/>
      <c r="AL491" s="56"/>
      <c r="AM491" s="56"/>
      <c r="AN491" s="56"/>
      <c r="AO491" s="56"/>
      <c r="AP491" s="56"/>
      <c r="AQ491" s="56"/>
      <c r="AR491" s="168"/>
      <c r="AS491" s="56"/>
      <c r="AT491" s="56"/>
      <c r="AU491" s="56"/>
      <c r="AV491" s="56"/>
      <c r="AW491" s="56"/>
      <c r="AX491" s="56"/>
      <c r="AY491" s="56"/>
      <c r="AZ491" s="56"/>
      <c r="BA491" s="168"/>
      <c r="BB491" s="56"/>
      <c r="BC491" s="56"/>
      <c r="BD491" s="56"/>
      <c r="BE491" s="168"/>
      <c r="BF491" s="56"/>
      <c r="BG491" s="10"/>
      <c r="BH491" s="56"/>
      <c r="BI491" s="56"/>
      <c r="BJ491" s="56"/>
      <c r="BK491" s="56"/>
      <c r="BS491" s="144"/>
      <c r="CM491" s="144"/>
      <c r="DC491" s="144"/>
    </row>
    <row r="492" spans="1:107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1"/>
      <c r="M492" s="10"/>
      <c r="N492" s="56"/>
      <c r="O492" s="56"/>
      <c r="P492" s="10"/>
      <c r="Q492" s="158"/>
      <c r="R492" s="174"/>
      <c r="S492" s="164"/>
      <c r="T492" s="56"/>
      <c r="U492" s="56"/>
      <c r="V492" s="56"/>
      <c r="W492" s="158"/>
      <c r="X492" s="174"/>
      <c r="Y492" s="168"/>
      <c r="Z492" s="10"/>
      <c r="AA492" s="56"/>
      <c r="AB492" s="56"/>
      <c r="AC492" s="56"/>
      <c r="AD492" s="56"/>
      <c r="AE492" s="56"/>
      <c r="AF492" s="170"/>
      <c r="AG492" s="56"/>
      <c r="AH492" s="56"/>
      <c r="AI492" s="168"/>
      <c r="AJ492" s="56"/>
      <c r="AK492" s="56"/>
      <c r="AL492" s="56"/>
      <c r="AM492" s="56"/>
      <c r="AN492" s="56"/>
      <c r="AO492" s="56"/>
      <c r="AP492" s="56"/>
      <c r="AQ492" s="56"/>
      <c r="AR492" s="168"/>
      <c r="AS492" s="56"/>
      <c r="AT492" s="56"/>
      <c r="AU492" s="56"/>
      <c r="AV492" s="56"/>
      <c r="AW492" s="56"/>
      <c r="AX492" s="56"/>
      <c r="AY492" s="56"/>
      <c r="AZ492" s="56"/>
      <c r="BA492" s="168"/>
      <c r="BB492" s="56"/>
      <c r="BC492" s="56"/>
      <c r="BD492" s="56"/>
      <c r="BE492" s="168"/>
      <c r="BF492" s="56"/>
      <c r="BG492" s="10"/>
      <c r="BH492" s="56"/>
      <c r="BI492" s="56"/>
      <c r="BJ492" s="56"/>
      <c r="BK492" s="56"/>
      <c r="BS492" s="144"/>
      <c r="CM492" s="144"/>
      <c r="DC492" s="144"/>
    </row>
    <row r="493" spans="1:107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1"/>
      <c r="M493" s="10"/>
      <c r="N493" s="56"/>
      <c r="O493" s="56"/>
      <c r="P493" s="10"/>
      <c r="Q493" s="158"/>
      <c r="R493" s="174"/>
      <c r="S493" s="164"/>
      <c r="T493" s="56"/>
      <c r="U493" s="56"/>
      <c r="V493" s="56"/>
      <c r="W493" s="158"/>
      <c r="X493" s="174"/>
      <c r="Y493" s="168"/>
      <c r="Z493" s="10"/>
      <c r="AA493" s="56"/>
      <c r="AB493" s="56"/>
      <c r="AC493" s="56"/>
      <c r="AD493" s="56"/>
      <c r="AE493" s="56"/>
      <c r="AF493" s="170"/>
      <c r="AG493" s="56"/>
      <c r="AH493" s="56"/>
      <c r="AI493" s="168"/>
      <c r="AJ493" s="56"/>
      <c r="AK493" s="56"/>
      <c r="AL493" s="56"/>
      <c r="AM493" s="56"/>
      <c r="AN493" s="56"/>
      <c r="AO493" s="56"/>
      <c r="AP493" s="56"/>
      <c r="AQ493" s="56"/>
      <c r="AR493" s="168"/>
      <c r="AS493" s="56"/>
      <c r="AT493" s="56"/>
      <c r="AU493" s="56"/>
      <c r="AV493" s="56"/>
      <c r="AW493" s="56"/>
      <c r="AX493" s="56"/>
      <c r="AY493" s="56"/>
      <c r="AZ493" s="56"/>
      <c r="BA493" s="168"/>
      <c r="BB493" s="56"/>
      <c r="BC493" s="56"/>
      <c r="BD493" s="56"/>
      <c r="BE493" s="168"/>
      <c r="BF493" s="56"/>
      <c r="BG493" s="10"/>
      <c r="BH493" s="56"/>
      <c r="BI493" s="56"/>
      <c r="BJ493" s="56"/>
      <c r="BK493" s="56"/>
      <c r="BS493" s="144"/>
      <c r="CM493" s="144"/>
      <c r="DC493" s="144"/>
    </row>
    <row r="494" spans="1:107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1"/>
      <c r="M494" s="10"/>
      <c r="N494" s="56"/>
      <c r="O494" s="56"/>
      <c r="P494" s="10"/>
      <c r="Q494" s="158"/>
      <c r="R494" s="174"/>
      <c r="S494" s="164"/>
      <c r="T494" s="56"/>
      <c r="U494" s="56"/>
      <c r="V494" s="56"/>
      <c r="W494" s="158"/>
      <c r="X494" s="174"/>
      <c r="Y494" s="168"/>
      <c r="Z494" s="10"/>
      <c r="AA494" s="56"/>
      <c r="AB494" s="56"/>
      <c r="AC494" s="56"/>
      <c r="AD494" s="56"/>
      <c r="AE494" s="56"/>
      <c r="AF494" s="170"/>
      <c r="AG494" s="56"/>
      <c r="AH494" s="56"/>
      <c r="AI494" s="168"/>
      <c r="AJ494" s="56"/>
      <c r="AK494" s="56"/>
      <c r="AL494" s="56"/>
      <c r="AM494" s="56"/>
      <c r="AN494" s="56"/>
      <c r="AO494" s="56"/>
      <c r="AP494" s="56"/>
      <c r="AQ494" s="56"/>
      <c r="AR494" s="168"/>
      <c r="AS494" s="56"/>
      <c r="AT494" s="56"/>
      <c r="AU494" s="56"/>
      <c r="AV494" s="56"/>
      <c r="AW494" s="56"/>
      <c r="AX494" s="56"/>
      <c r="AY494" s="56"/>
      <c r="AZ494" s="56"/>
      <c r="BA494" s="168"/>
      <c r="BB494" s="56"/>
      <c r="BC494" s="56"/>
      <c r="BD494" s="56"/>
      <c r="BE494" s="168"/>
      <c r="BF494" s="56"/>
      <c r="BG494" s="10"/>
      <c r="BH494" s="56"/>
      <c r="BI494" s="56"/>
      <c r="BJ494" s="56"/>
      <c r="BK494" s="56"/>
      <c r="BS494" s="144"/>
      <c r="CM494" s="144"/>
      <c r="DC494" s="144"/>
    </row>
    <row r="495" spans="1:107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1"/>
      <c r="M495" s="10"/>
      <c r="N495" s="56"/>
      <c r="O495" s="56"/>
      <c r="P495" s="10"/>
      <c r="Q495" s="158"/>
      <c r="R495" s="174"/>
      <c r="S495" s="164"/>
      <c r="T495" s="56"/>
      <c r="U495" s="56"/>
      <c r="V495" s="56"/>
      <c r="W495" s="158"/>
      <c r="X495" s="174"/>
      <c r="Y495" s="168"/>
      <c r="Z495" s="10"/>
      <c r="AA495" s="56"/>
      <c r="AB495" s="56"/>
      <c r="AC495" s="56"/>
      <c r="AD495" s="56"/>
      <c r="AE495" s="56"/>
      <c r="AF495" s="170"/>
      <c r="AG495" s="56"/>
      <c r="AH495" s="56"/>
      <c r="AI495" s="168"/>
      <c r="AJ495" s="56"/>
      <c r="AK495" s="56"/>
      <c r="AL495" s="56"/>
      <c r="AM495" s="56"/>
      <c r="AN495" s="56"/>
      <c r="AO495" s="56"/>
      <c r="AP495" s="56"/>
      <c r="AQ495" s="56"/>
      <c r="AR495" s="168"/>
      <c r="AS495" s="56"/>
      <c r="AT495" s="56"/>
      <c r="AU495" s="56"/>
      <c r="AV495" s="56"/>
      <c r="AW495" s="56"/>
      <c r="AX495" s="56"/>
      <c r="AY495" s="56"/>
      <c r="AZ495" s="56"/>
      <c r="BA495" s="168"/>
      <c r="BB495" s="56"/>
      <c r="BC495" s="56"/>
      <c r="BD495" s="56"/>
      <c r="BE495" s="168"/>
      <c r="BF495" s="56"/>
      <c r="BG495" s="10"/>
      <c r="BH495" s="56"/>
      <c r="BI495" s="56"/>
      <c r="BJ495" s="56"/>
      <c r="BK495" s="56"/>
      <c r="BS495" s="144"/>
      <c r="CM495" s="144"/>
      <c r="DC495" s="144"/>
    </row>
    <row r="496" spans="1:107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1"/>
      <c r="M496" s="10"/>
      <c r="N496" s="56"/>
      <c r="O496" s="56"/>
      <c r="P496" s="10"/>
      <c r="Q496" s="158"/>
      <c r="R496" s="174"/>
      <c r="S496" s="164"/>
      <c r="T496" s="56"/>
      <c r="U496" s="56"/>
      <c r="V496" s="56"/>
      <c r="W496" s="158"/>
      <c r="X496" s="174"/>
      <c r="Y496" s="168"/>
      <c r="Z496" s="10"/>
      <c r="AA496" s="56"/>
      <c r="AB496" s="56"/>
      <c r="AC496" s="56"/>
      <c r="AD496" s="56"/>
      <c r="AE496" s="56"/>
      <c r="AF496" s="170"/>
      <c r="AG496" s="56"/>
      <c r="AH496" s="56"/>
      <c r="AI496" s="168"/>
      <c r="AJ496" s="56"/>
      <c r="AK496" s="56"/>
      <c r="AL496" s="56"/>
      <c r="AM496" s="56"/>
      <c r="AN496" s="56"/>
      <c r="AO496" s="56"/>
      <c r="AP496" s="56"/>
      <c r="AQ496" s="56"/>
      <c r="AR496" s="168"/>
      <c r="AS496" s="56"/>
      <c r="AT496" s="56"/>
      <c r="AU496" s="56"/>
      <c r="AV496" s="56"/>
      <c r="AW496" s="56"/>
      <c r="AX496" s="56"/>
      <c r="AY496" s="56"/>
      <c r="AZ496" s="56"/>
      <c r="BA496" s="168"/>
      <c r="BB496" s="56"/>
      <c r="BC496" s="56"/>
      <c r="BD496" s="56"/>
      <c r="BE496" s="168"/>
      <c r="BF496" s="56"/>
      <c r="BG496" s="10"/>
      <c r="BH496" s="56"/>
      <c r="BI496" s="56"/>
      <c r="BJ496" s="56"/>
      <c r="BK496" s="56"/>
      <c r="BS496" s="144"/>
      <c r="CM496" s="144"/>
      <c r="DC496" s="144"/>
    </row>
    <row r="497" spans="1:107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1"/>
      <c r="M497" s="10"/>
      <c r="N497" s="56"/>
      <c r="O497" s="56"/>
      <c r="P497" s="10"/>
      <c r="Q497" s="158"/>
      <c r="R497" s="174"/>
      <c r="S497" s="164"/>
      <c r="T497" s="56"/>
      <c r="U497" s="56"/>
      <c r="V497" s="56"/>
      <c r="W497" s="158"/>
      <c r="X497" s="174"/>
      <c r="Y497" s="168"/>
      <c r="Z497" s="10"/>
      <c r="AA497" s="56"/>
      <c r="AB497" s="56"/>
      <c r="AC497" s="56"/>
      <c r="AD497" s="56"/>
      <c r="AE497" s="56"/>
      <c r="AF497" s="170"/>
      <c r="AG497" s="56"/>
      <c r="AH497" s="56"/>
      <c r="AI497" s="168"/>
      <c r="AJ497" s="56"/>
      <c r="AK497" s="56"/>
      <c r="AL497" s="56"/>
      <c r="AM497" s="56"/>
      <c r="AN497" s="56"/>
      <c r="AO497" s="56"/>
      <c r="AP497" s="56"/>
      <c r="AQ497" s="56"/>
      <c r="AR497" s="168"/>
      <c r="AS497" s="56"/>
      <c r="AT497" s="56"/>
      <c r="AU497" s="56"/>
      <c r="AV497" s="56"/>
      <c r="AW497" s="56"/>
      <c r="AX497" s="56"/>
      <c r="AY497" s="56"/>
      <c r="AZ497" s="56"/>
      <c r="BA497" s="168"/>
      <c r="BB497" s="56"/>
      <c r="BC497" s="56"/>
      <c r="BD497" s="56"/>
      <c r="BE497" s="168"/>
      <c r="BF497" s="56"/>
      <c r="BG497" s="10"/>
      <c r="BH497" s="56"/>
      <c r="BI497" s="56"/>
      <c r="BJ497" s="56"/>
      <c r="BK497" s="56"/>
      <c r="BS497" s="144"/>
      <c r="CM497" s="144"/>
      <c r="DC497" s="144"/>
    </row>
    <row r="498" spans="1:107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1"/>
      <c r="M498" s="10"/>
      <c r="N498" s="56"/>
      <c r="O498" s="56"/>
      <c r="P498" s="10"/>
      <c r="Q498" s="158"/>
      <c r="R498" s="174"/>
      <c r="S498" s="164"/>
      <c r="T498" s="56"/>
      <c r="U498" s="56"/>
      <c r="V498" s="56"/>
      <c r="W498" s="158"/>
      <c r="X498" s="174"/>
      <c r="Y498" s="168"/>
      <c r="Z498" s="10"/>
      <c r="AA498" s="56"/>
      <c r="AB498" s="56"/>
      <c r="AC498" s="56"/>
      <c r="AD498" s="56"/>
      <c r="AE498" s="56"/>
      <c r="AF498" s="170"/>
      <c r="AG498" s="56"/>
      <c r="AH498" s="56"/>
      <c r="AI498" s="168"/>
      <c r="AJ498" s="56"/>
      <c r="AK498" s="56"/>
      <c r="AL498" s="56"/>
      <c r="AM498" s="56"/>
      <c r="AN498" s="56"/>
      <c r="AO498" s="56"/>
      <c r="AP498" s="56"/>
      <c r="AQ498" s="56"/>
      <c r="AR498" s="168"/>
      <c r="AS498" s="56"/>
      <c r="AT498" s="56"/>
      <c r="AU498" s="56"/>
      <c r="AV498" s="56"/>
      <c r="AW498" s="56"/>
      <c r="AX498" s="56"/>
      <c r="AY498" s="56"/>
      <c r="AZ498" s="56"/>
      <c r="BA498" s="168"/>
      <c r="BB498" s="56"/>
      <c r="BC498" s="56"/>
      <c r="BD498" s="56"/>
      <c r="BE498" s="168"/>
      <c r="BF498" s="56"/>
      <c r="BG498" s="10"/>
      <c r="BH498" s="56"/>
      <c r="BI498" s="56"/>
      <c r="BJ498" s="56"/>
      <c r="BK498" s="56"/>
      <c r="BS498" s="144"/>
      <c r="CM498" s="144"/>
      <c r="DC498" s="144"/>
    </row>
    <row r="499" spans="1:107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1"/>
      <c r="M499" s="10"/>
      <c r="N499" s="56"/>
      <c r="O499" s="56"/>
      <c r="P499" s="10"/>
      <c r="Q499" s="158"/>
      <c r="R499" s="174"/>
      <c r="S499" s="164"/>
      <c r="T499" s="56"/>
      <c r="U499" s="56"/>
      <c r="V499" s="56"/>
      <c r="W499" s="158"/>
      <c r="X499" s="174"/>
      <c r="Y499" s="168"/>
      <c r="Z499" s="10"/>
      <c r="AA499" s="56"/>
      <c r="AB499" s="56"/>
      <c r="AC499" s="56"/>
      <c r="AD499" s="56"/>
      <c r="AE499" s="56"/>
      <c r="AF499" s="170"/>
      <c r="AG499" s="56"/>
      <c r="AH499" s="56"/>
      <c r="AI499" s="168"/>
      <c r="AJ499" s="56"/>
      <c r="AK499" s="56"/>
      <c r="AL499" s="56"/>
      <c r="AM499" s="56"/>
      <c r="AN499" s="56"/>
      <c r="AO499" s="56"/>
      <c r="AP499" s="56"/>
      <c r="AQ499" s="56"/>
      <c r="AR499" s="168"/>
      <c r="AS499" s="56"/>
      <c r="AT499" s="56"/>
      <c r="AU499" s="56"/>
      <c r="AV499" s="56"/>
      <c r="AW499" s="56"/>
      <c r="AX499" s="56"/>
      <c r="AY499" s="56"/>
      <c r="AZ499" s="56"/>
      <c r="BA499" s="168"/>
      <c r="BB499" s="56"/>
      <c r="BC499" s="56"/>
      <c r="BD499" s="56"/>
      <c r="BE499" s="168"/>
      <c r="BF499" s="56"/>
      <c r="BG499" s="10"/>
      <c r="BH499" s="56"/>
      <c r="BI499" s="56"/>
      <c r="BJ499" s="56"/>
      <c r="BK499" s="56"/>
      <c r="BS499" s="144"/>
      <c r="CM499" s="144"/>
      <c r="DC499" s="144"/>
    </row>
    <row r="500" spans="1:107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1"/>
      <c r="M500" s="10"/>
      <c r="N500" s="56"/>
      <c r="O500" s="56"/>
      <c r="P500" s="10"/>
      <c r="Q500" s="158"/>
      <c r="R500" s="174"/>
      <c r="S500" s="164"/>
      <c r="T500" s="56"/>
      <c r="U500" s="56"/>
      <c r="V500" s="56"/>
      <c r="W500" s="158"/>
      <c r="X500" s="174"/>
      <c r="Y500" s="168"/>
      <c r="Z500" s="10"/>
      <c r="AA500" s="56"/>
      <c r="AB500" s="56"/>
      <c r="AC500" s="56"/>
      <c r="AD500" s="56"/>
      <c r="AE500" s="56"/>
      <c r="AF500" s="170"/>
      <c r="AG500" s="56"/>
      <c r="AH500" s="56"/>
      <c r="AI500" s="168"/>
      <c r="AJ500" s="56"/>
      <c r="AK500" s="56"/>
      <c r="AL500" s="56"/>
      <c r="AM500" s="56"/>
      <c r="AN500" s="56"/>
      <c r="AO500" s="56"/>
      <c r="AP500" s="56"/>
      <c r="AQ500" s="56"/>
      <c r="AR500" s="168"/>
      <c r="AS500" s="56"/>
      <c r="AT500" s="56"/>
      <c r="AU500" s="56"/>
      <c r="AV500" s="56"/>
      <c r="AW500" s="56"/>
      <c r="AX500" s="56"/>
      <c r="AY500" s="56"/>
      <c r="AZ500" s="56"/>
      <c r="BA500" s="168"/>
      <c r="BB500" s="56"/>
      <c r="BC500" s="56"/>
      <c r="BD500" s="56"/>
      <c r="BE500" s="168"/>
      <c r="BF500" s="56"/>
      <c r="BG500" s="10"/>
      <c r="BH500" s="56"/>
      <c r="BI500" s="56"/>
      <c r="BJ500" s="56"/>
      <c r="BK500" s="56"/>
      <c r="BS500" s="144"/>
      <c r="CM500" s="144"/>
      <c r="DC500" s="144"/>
    </row>
    <row r="501" spans="1:107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1"/>
      <c r="M501" s="10"/>
      <c r="N501" s="56"/>
      <c r="O501" s="56"/>
      <c r="P501" s="10"/>
      <c r="Q501" s="158"/>
      <c r="R501" s="174"/>
      <c r="S501" s="164"/>
      <c r="T501" s="56"/>
      <c r="U501" s="56"/>
      <c r="V501" s="56"/>
      <c r="W501" s="158"/>
      <c r="X501" s="174"/>
      <c r="Y501" s="168"/>
      <c r="Z501" s="10"/>
      <c r="AA501" s="56"/>
      <c r="AB501" s="56"/>
      <c r="AC501" s="56"/>
      <c r="AD501" s="56"/>
      <c r="AE501" s="56"/>
      <c r="AF501" s="170"/>
      <c r="AG501" s="56"/>
      <c r="AH501" s="56"/>
      <c r="AI501" s="168"/>
      <c r="AJ501" s="56"/>
      <c r="AK501" s="56"/>
      <c r="AL501" s="56"/>
      <c r="AM501" s="56"/>
      <c r="AN501" s="56"/>
      <c r="AO501" s="56"/>
      <c r="AP501" s="56"/>
      <c r="AQ501" s="56"/>
      <c r="AR501" s="168"/>
      <c r="AS501" s="56"/>
      <c r="AT501" s="56"/>
      <c r="AU501" s="56"/>
      <c r="AV501" s="56"/>
      <c r="AW501" s="56"/>
      <c r="AX501" s="56"/>
      <c r="AY501" s="56"/>
      <c r="AZ501" s="56"/>
      <c r="BA501" s="168"/>
      <c r="BB501" s="56"/>
      <c r="BC501" s="56"/>
      <c r="BD501" s="56"/>
      <c r="BE501" s="168"/>
      <c r="BF501" s="56"/>
      <c r="BG501" s="10"/>
      <c r="BH501" s="56"/>
      <c r="BI501" s="56"/>
      <c r="BJ501" s="56"/>
      <c r="BK501" s="56"/>
      <c r="BS501" s="144"/>
      <c r="CM501" s="144"/>
      <c r="DC501" s="144"/>
    </row>
    <row r="502" spans="1:107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1"/>
      <c r="M502" s="10"/>
      <c r="N502" s="56"/>
      <c r="O502" s="56"/>
      <c r="P502" s="10"/>
      <c r="Q502" s="158"/>
      <c r="R502" s="174"/>
      <c r="S502" s="164"/>
      <c r="T502" s="56"/>
      <c r="U502" s="56"/>
      <c r="V502" s="56"/>
      <c r="W502" s="158"/>
      <c r="X502" s="174"/>
      <c r="Y502" s="168"/>
      <c r="Z502" s="10"/>
      <c r="AA502" s="56"/>
      <c r="AB502" s="56"/>
      <c r="AC502" s="56"/>
      <c r="AD502" s="56"/>
      <c r="AE502" s="56"/>
      <c r="AF502" s="170"/>
      <c r="AG502" s="56"/>
      <c r="AH502" s="56"/>
      <c r="AI502" s="168"/>
      <c r="AJ502" s="56"/>
      <c r="AK502" s="56"/>
      <c r="AL502" s="56"/>
      <c r="AM502" s="56"/>
      <c r="AN502" s="56"/>
      <c r="AO502" s="56"/>
      <c r="AP502" s="56"/>
      <c r="AQ502" s="56"/>
      <c r="AR502" s="168"/>
      <c r="AS502" s="56"/>
      <c r="AT502" s="56"/>
      <c r="AU502" s="56"/>
      <c r="AV502" s="56"/>
      <c r="AW502" s="56"/>
      <c r="AX502" s="56"/>
      <c r="AY502" s="56"/>
      <c r="AZ502" s="56"/>
      <c r="BA502" s="168"/>
      <c r="BB502" s="56"/>
      <c r="BC502" s="56"/>
      <c r="BD502" s="56"/>
      <c r="BE502" s="168"/>
      <c r="BF502" s="56"/>
      <c r="BG502" s="10"/>
      <c r="BH502" s="56"/>
      <c r="BI502" s="56"/>
      <c r="BJ502" s="56"/>
      <c r="BK502" s="56"/>
      <c r="BS502" s="144"/>
      <c r="CM502" s="144"/>
      <c r="DC502" s="144"/>
    </row>
    <row r="503" spans="1:107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1"/>
      <c r="M503" s="10"/>
      <c r="N503" s="56"/>
      <c r="O503" s="56"/>
      <c r="P503" s="10"/>
      <c r="Q503" s="158"/>
      <c r="R503" s="174"/>
      <c r="S503" s="164"/>
      <c r="T503" s="56"/>
      <c r="U503" s="56"/>
      <c r="V503" s="56"/>
      <c r="W503" s="158"/>
      <c r="X503" s="174"/>
      <c r="Y503" s="168"/>
      <c r="Z503" s="10"/>
      <c r="AA503" s="56"/>
      <c r="AB503" s="56"/>
      <c r="AC503" s="56"/>
      <c r="AD503" s="56"/>
      <c r="AE503" s="56"/>
      <c r="AF503" s="170"/>
      <c r="AG503" s="56"/>
      <c r="AH503" s="56"/>
      <c r="AI503" s="168"/>
      <c r="AJ503" s="56"/>
      <c r="AK503" s="56"/>
      <c r="AL503" s="56"/>
      <c r="AM503" s="56"/>
      <c r="AN503" s="56"/>
      <c r="AO503" s="56"/>
      <c r="AP503" s="56"/>
      <c r="AQ503" s="56"/>
      <c r="AR503" s="168"/>
      <c r="AS503" s="56"/>
      <c r="AT503" s="56"/>
      <c r="AU503" s="56"/>
      <c r="AV503" s="56"/>
      <c r="AW503" s="56"/>
      <c r="AX503" s="56"/>
      <c r="AY503" s="56"/>
      <c r="AZ503" s="56"/>
      <c r="BA503" s="168"/>
      <c r="BB503" s="56"/>
      <c r="BC503" s="56"/>
      <c r="BD503" s="56"/>
      <c r="BE503" s="168"/>
      <c r="BF503" s="56"/>
      <c r="BG503" s="10"/>
      <c r="BH503" s="56"/>
      <c r="BI503" s="56"/>
      <c r="BJ503" s="56"/>
      <c r="BK503" s="56"/>
      <c r="BS503" s="144"/>
      <c r="CM503" s="144"/>
      <c r="DC503" s="144"/>
    </row>
    <row r="504" spans="1:107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1"/>
      <c r="M504" s="10"/>
      <c r="N504" s="56"/>
      <c r="O504" s="56"/>
      <c r="P504" s="10"/>
      <c r="Q504" s="158"/>
      <c r="R504" s="174"/>
      <c r="S504" s="164"/>
      <c r="T504" s="56"/>
      <c r="U504" s="56"/>
      <c r="V504" s="56"/>
      <c r="W504" s="158"/>
      <c r="X504" s="174"/>
      <c r="Y504" s="168"/>
      <c r="Z504" s="10"/>
      <c r="AA504" s="56"/>
      <c r="AB504" s="56"/>
      <c r="AC504" s="56"/>
      <c r="AD504" s="56"/>
      <c r="AE504" s="56"/>
      <c r="AF504" s="170"/>
      <c r="AG504" s="56"/>
      <c r="AH504" s="56"/>
      <c r="AI504" s="168"/>
      <c r="AJ504" s="56"/>
      <c r="AK504" s="56"/>
      <c r="AL504" s="56"/>
      <c r="AM504" s="56"/>
      <c r="AN504" s="56"/>
      <c r="AO504" s="56"/>
      <c r="AP504" s="56"/>
      <c r="AQ504" s="56"/>
      <c r="AR504" s="168"/>
      <c r="AS504" s="56"/>
      <c r="AT504" s="56"/>
      <c r="AU504" s="56"/>
      <c r="AV504" s="56"/>
      <c r="AW504" s="56"/>
      <c r="AX504" s="56"/>
      <c r="AY504" s="56"/>
      <c r="AZ504" s="56"/>
      <c r="BA504" s="168"/>
      <c r="BB504" s="56"/>
      <c r="BC504" s="56"/>
      <c r="BD504" s="56"/>
      <c r="BE504" s="168"/>
      <c r="BF504" s="56"/>
      <c r="BG504" s="10"/>
      <c r="BH504" s="56"/>
      <c r="BI504" s="56"/>
      <c r="BJ504" s="56"/>
      <c r="BK504" s="56"/>
      <c r="BS504" s="144"/>
      <c r="CM504" s="144"/>
      <c r="DC504" s="144"/>
    </row>
    <row r="505" spans="1:107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1"/>
      <c r="M505" s="10"/>
      <c r="N505" s="56"/>
      <c r="O505" s="56"/>
      <c r="P505" s="10"/>
      <c r="Q505" s="158"/>
      <c r="R505" s="174"/>
      <c r="S505" s="164"/>
      <c r="T505" s="56"/>
      <c r="U505" s="56"/>
      <c r="V505" s="56"/>
      <c r="W505" s="158"/>
      <c r="X505" s="174"/>
      <c r="Y505" s="168"/>
      <c r="Z505" s="10"/>
      <c r="AA505" s="56"/>
      <c r="AB505" s="56"/>
      <c r="AC505" s="56"/>
      <c r="AD505" s="56"/>
      <c r="AE505" s="56"/>
      <c r="AF505" s="170"/>
      <c r="AG505" s="56"/>
      <c r="AH505" s="56"/>
      <c r="AI505" s="168"/>
      <c r="AJ505" s="56"/>
      <c r="AK505" s="56"/>
      <c r="AL505" s="56"/>
      <c r="AM505" s="56"/>
      <c r="AN505" s="56"/>
      <c r="AO505" s="56"/>
      <c r="AP505" s="56"/>
      <c r="AQ505" s="56"/>
      <c r="AR505" s="168"/>
      <c r="AS505" s="56"/>
      <c r="AT505" s="56"/>
      <c r="AU505" s="56"/>
      <c r="AV505" s="56"/>
      <c r="AW505" s="56"/>
      <c r="AX505" s="56"/>
      <c r="AY505" s="56"/>
      <c r="AZ505" s="56"/>
      <c r="BA505" s="168"/>
      <c r="BB505" s="56"/>
      <c r="BC505" s="56"/>
      <c r="BD505" s="56"/>
      <c r="BE505" s="168"/>
      <c r="BF505" s="56"/>
      <c r="BG505" s="10"/>
      <c r="BH505" s="56"/>
      <c r="BI505" s="56"/>
      <c r="BJ505" s="56"/>
      <c r="BK505" s="56"/>
      <c r="BS505" s="144"/>
      <c r="CM505" s="144"/>
      <c r="DC505" s="144"/>
    </row>
    <row r="506" spans="1:107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1"/>
      <c r="M506" s="10"/>
      <c r="N506" s="56"/>
      <c r="O506" s="56"/>
      <c r="P506" s="10"/>
      <c r="Q506" s="158"/>
      <c r="R506" s="174"/>
      <c r="S506" s="164"/>
      <c r="T506" s="56"/>
      <c r="U506" s="56"/>
      <c r="V506" s="56"/>
      <c r="W506" s="158"/>
      <c r="X506" s="174"/>
      <c r="Y506" s="168"/>
      <c r="Z506" s="10"/>
      <c r="AA506" s="56"/>
      <c r="AB506" s="56"/>
      <c r="AC506" s="56"/>
      <c r="AD506" s="56"/>
      <c r="AE506" s="56"/>
      <c r="AF506" s="170"/>
      <c r="AG506" s="56"/>
      <c r="AH506" s="56"/>
      <c r="AI506" s="168"/>
      <c r="AJ506" s="56"/>
      <c r="AK506" s="56"/>
      <c r="AL506" s="56"/>
      <c r="AM506" s="56"/>
      <c r="AN506" s="56"/>
      <c r="AO506" s="56"/>
      <c r="AP506" s="56"/>
      <c r="AQ506" s="56"/>
      <c r="AR506" s="168"/>
      <c r="AS506" s="56"/>
      <c r="AT506" s="56"/>
      <c r="AU506" s="56"/>
      <c r="AV506" s="56"/>
      <c r="AW506" s="56"/>
      <c r="AX506" s="56"/>
      <c r="AY506" s="56"/>
      <c r="AZ506" s="56"/>
      <c r="BA506" s="168"/>
      <c r="BB506" s="56"/>
      <c r="BC506" s="56"/>
      <c r="BD506" s="56"/>
      <c r="BE506" s="168"/>
      <c r="BF506" s="56"/>
      <c r="BG506" s="10"/>
      <c r="BH506" s="56"/>
      <c r="BI506" s="56"/>
      <c r="BJ506" s="56"/>
      <c r="BK506" s="56"/>
      <c r="BS506" s="144"/>
      <c r="CM506" s="144"/>
      <c r="DC506" s="144"/>
    </row>
    <row r="507" spans="1:107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1"/>
      <c r="M507" s="10"/>
      <c r="N507" s="56"/>
      <c r="O507" s="56"/>
      <c r="P507" s="10"/>
      <c r="Q507" s="158"/>
      <c r="R507" s="174"/>
      <c r="S507" s="164"/>
      <c r="T507" s="56"/>
      <c r="U507" s="56"/>
      <c r="V507" s="56"/>
      <c r="W507" s="158"/>
      <c r="X507" s="174"/>
      <c r="Y507" s="168"/>
      <c r="Z507" s="10"/>
      <c r="AA507" s="56"/>
      <c r="AB507" s="56"/>
      <c r="AC507" s="56"/>
      <c r="AD507" s="56"/>
      <c r="AE507" s="56"/>
      <c r="AF507" s="170"/>
      <c r="AG507" s="56"/>
      <c r="AH507" s="56"/>
      <c r="AI507" s="168"/>
      <c r="AJ507" s="56"/>
      <c r="AK507" s="56"/>
      <c r="AL507" s="56"/>
      <c r="AM507" s="56"/>
      <c r="AN507" s="56"/>
      <c r="AO507" s="56"/>
      <c r="AP507" s="56"/>
      <c r="AQ507" s="56"/>
      <c r="AR507" s="168"/>
      <c r="AS507" s="56"/>
      <c r="AT507" s="56"/>
      <c r="AU507" s="56"/>
      <c r="AV507" s="56"/>
      <c r="AW507" s="56"/>
      <c r="AX507" s="56"/>
      <c r="AY507" s="56"/>
      <c r="AZ507" s="56"/>
      <c r="BA507" s="168"/>
      <c r="BB507" s="56"/>
      <c r="BC507" s="56"/>
      <c r="BD507" s="56"/>
      <c r="BE507" s="168"/>
      <c r="BF507" s="56"/>
      <c r="BG507" s="10"/>
      <c r="BH507" s="56"/>
      <c r="BI507" s="56"/>
      <c r="BJ507" s="56"/>
      <c r="BK507" s="56"/>
      <c r="BS507" s="144"/>
      <c r="CM507" s="144"/>
      <c r="DC507" s="144"/>
    </row>
    <row r="508" spans="1:107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1"/>
      <c r="M508" s="10"/>
      <c r="N508" s="56"/>
      <c r="O508" s="56"/>
      <c r="P508" s="10"/>
      <c r="Q508" s="158"/>
      <c r="R508" s="174"/>
      <c r="S508" s="164"/>
      <c r="T508" s="56"/>
      <c r="U508" s="56"/>
      <c r="V508" s="56"/>
      <c r="W508" s="158"/>
      <c r="X508" s="174"/>
      <c r="Y508" s="168"/>
      <c r="Z508" s="10"/>
      <c r="AA508" s="56"/>
      <c r="AB508" s="56"/>
      <c r="AC508" s="56"/>
      <c r="AD508" s="56"/>
      <c r="AE508" s="56"/>
      <c r="AF508" s="170"/>
      <c r="AG508" s="56"/>
      <c r="AH508" s="56"/>
      <c r="AI508" s="168"/>
      <c r="AJ508" s="56"/>
      <c r="AK508" s="56"/>
      <c r="AL508" s="56"/>
      <c r="AM508" s="56"/>
      <c r="AN508" s="56"/>
      <c r="AO508" s="56"/>
      <c r="AP508" s="56"/>
      <c r="AQ508" s="56"/>
      <c r="AR508" s="168"/>
      <c r="AS508" s="56"/>
      <c r="AT508" s="56"/>
      <c r="AU508" s="56"/>
      <c r="AV508" s="56"/>
      <c r="AW508" s="56"/>
      <c r="AX508" s="56"/>
      <c r="AY508" s="56"/>
      <c r="AZ508" s="56"/>
      <c r="BA508" s="168"/>
      <c r="BB508" s="56"/>
      <c r="BC508" s="56"/>
      <c r="BD508" s="56"/>
      <c r="BE508" s="168"/>
      <c r="BF508" s="56"/>
      <c r="BG508" s="10"/>
      <c r="BH508" s="56"/>
      <c r="BI508" s="56"/>
      <c r="BJ508" s="56"/>
      <c r="BK508" s="56"/>
      <c r="BS508" s="144"/>
      <c r="CM508" s="144"/>
      <c r="DC508" s="144"/>
    </row>
    <row r="509" spans="1:107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1"/>
      <c r="M509" s="10"/>
      <c r="N509" s="56"/>
      <c r="O509" s="56"/>
      <c r="P509" s="10"/>
      <c r="Q509" s="158"/>
      <c r="R509" s="174"/>
      <c r="S509" s="164"/>
      <c r="T509" s="56"/>
      <c r="U509" s="56"/>
      <c r="V509" s="56"/>
      <c r="W509" s="158"/>
      <c r="X509" s="174"/>
      <c r="Y509" s="168"/>
      <c r="Z509" s="10"/>
      <c r="AA509" s="56"/>
      <c r="AB509" s="56"/>
      <c r="AC509" s="56"/>
      <c r="AD509" s="56"/>
      <c r="AE509" s="56"/>
      <c r="AF509" s="170"/>
      <c r="AG509" s="56"/>
      <c r="AH509" s="56"/>
      <c r="AI509" s="168"/>
      <c r="AJ509" s="56"/>
      <c r="AK509" s="56"/>
      <c r="AL509" s="56"/>
      <c r="AM509" s="56"/>
      <c r="AN509" s="56"/>
      <c r="AO509" s="56"/>
      <c r="AP509" s="56"/>
      <c r="AQ509" s="56"/>
      <c r="AR509" s="168"/>
      <c r="AS509" s="56"/>
      <c r="AT509" s="56"/>
      <c r="AU509" s="56"/>
      <c r="AV509" s="56"/>
      <c r="AW509" s="56"/>
      <c r="AX509" s="56"/>
      <c r="AY509" s="56"/>
      <c r="AZ509" s="56"/>
      <c r="BA509" s="168"/>
      <c r="BB509" s="56"/>
      <c r="BC509" s="56"/>
      <c r="BD509" s="56"/>
      <c r="BE509" s="168"/>
      <c r="BF509" s="56"/>
      <c r="BG509" s="10"/>
      <c r="BH509" s="56"/>
      <c r="BI509" s="56"/>
      <c r="BJ509" s="56"/>
      <c r="BK509" s="56"/>
      <c r="BS509" s="144"/>
      <c r="CM509" s="144"/>
      <c r="DC509" s="144"/>
    </row>
    <row r="510" spans="1:107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1"/>
      <c r="M510" s="10"/>
      <c r="N510" s="56"/>
      <c r="O510" s="56"/>
      <c r="P510" s="10"/>
      <c r="Q510" s="158"/>
      <c r="R510" s="174"/>
      <c r="S510" s="164"/>
      <c r="T510" s="56"/>
      <c r="U510" s="56"/>
      <c r="V510" s="56"/>
      <c r="W510" s="158"/>
      <c r="X510" s="174"/>
      <c r="Y510" s="168"/>
      <c r="Z510" s="10"/>
      <c r="AA510" s="56"/>
      <c r="AB510" s="56"/>
      <c r="AC510" s="56"/>
      <c r="AD510" s="56"/>
      <c r="AE510" s="56"/>
      <c r="AF510" s="170"/>
      <c r="AG510" s="56"/>
      <c r="AH510" s="56"/>
      <c r="AI510" s="168"/>
      <c r="AJ510" s="56"/>
      <c r="AK510" s="56"/>
      <c r="AL510" s="56"/>
      <c r="AM510" s="56"/>
      <c r="AN510" s="56"/>
      <c r="AO510" s="56"/>
      <c r="AP510" s="56"/>
      <c r="AQ510" s="56"/>
      <c r="AR510" s="168"/>
      <c r="AS510" s="56"/>
      <c r="AT510" s="56"/>
      <c r="AU510" s="56"/>
      <c r="AV510" s="56"/>
      <c r="AW510" s="56"/>
      <c r="AX510" s="56"/>
      <c r="AY510" s="56"/>
      <c r="AZ510" s="56"/>
      <c r="BA510" s="168"/>
      <c r="BB510" s="56"/>
      <c r="BC510" s="56"/>
      <c r="BD510" s="56"/>
      <c r="BE510" s="168"/>
      <c r="BF510" s="56"/>
      <c r="BG510" s="10"/>
      <c r="BH510" s="56"/>
      <c r="BI510" s="56"/>
      <c r="BJ510" s="56"/>
      <c r="BK510" s="56"/>
      <c r="BS510" s="144"/>
      <c r="CM510" s="144"/>
      <c r="DC510" s="144"/>
    </row>
    <row r="511" spans="1:107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1"/>
      <c r="M511" s="10"/>
      <c r="N511" s="56"/>
      <c r="O511" s="56"/>
      <c r="P511" s="10"/>
      <c r="Q511" s="158"/>
      <c r="R511" s="174"/>
      <c r="S511" s="164"/>
      <c r="T511" s="56"/>
      <c r="U511" s="56"/>
      <c r="V511" s="56"/>
      <c r="W511" s="158"/>
      <c r="X511" s="174"/>
      <c r="Y511" s="168"/>
      <c r="Z511" s="10"/>
      <c r="AA511" s="56"/>
      <c r="AB511" s="56"/>
      <c r="AC511" s="56"/>
      <c r="AD511" s="56"/>
      <c r="AE511" s="56"/>
      <c r="AF511" s="170"/>
      <c r="AG511" s="56"/>
      <c r="AH511" s="56"/>
      <c r="AI511" s="168"/>
      <c r="AJ511" s="56"/>
      <c r="AK511" s="56"/>
      <c r="AL511" s="56"/>
      <c r="AM511" s="56"/>
      <c r="AN511" s="56"/>
      <c r="AO511" s="56"/>
      <c r="AP511" s="56"/>
      <c r="AQ511" s="56"/>
      <c r="AR511" s="168"/>
      <c r="AS511" s="56"/>
      <c r="AT511" s="56"/>
      <c r="AU511" s="56"/>
      <c r="AV511" s="56"/>
      <c r="AW511" s="56"/>
      <c r="AX511" s="56"/>
      <c r="AY511" s="56"/>
      <c r="AZ511" s="56"/>
      <c r="BA511" s="168"/>
      <c r="BB511" s="56"/>
      <c r="BC511" s="56"/>
      <c r="BD511" s="56"/>
      <c r="BE511" s="168"/>
      <c r="BF511" s="56"/>
      <c r="BG511" s="10"/>
      <c r="BH511" s="56"/>
      <c r="BI511" s="56"/>
      <c r="BJ511" s="56"/>
      <c r="BK511" s="56"/>
      <c r="BS511" s="144"/>
      <c r="CM511" s="144"/>
      <c r="DC511" s="144"/>
    </row>
    <row r="512" spans="1:107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1"/>
      <c r="M512" s="10"/>
      <c r="N512" s="56"/>
      <c r="O512" s="56"/>
      <c r="P512" s="10"/>
      <c r="Q512" s="158"/>
      <c r="R512" s="174"/>
      <c r="S512" s="164"/>
      <c r="T512" s="56"/>
      <c r="U512" s="56"/>
      <c r="V512" s="56"/>
      <c r="W512" s="158"/>
      <c r="X512" s="174"/>
      <c r="Y512" s="168"/>
      <c r="Z512" s="10"/>
      <c r="AA512" s="56"/>
      <c r="AB512" s="56"/>
      <c r="AC512" s="56"/>
      <c r="AD512" s="56"/>
      <c r="AE512" s="56"/>
      <c r="AF512" s="170"/>
      <c r="AG512" s="56"/>
      <c r="AH512" s="56"/>
      <c r="AI512" s="168"/>
      <c r="AJ512" s="56"/>
      <c r="AK512" s="56"/>
      <c r="AL512" s="56"/>
      <c r="AM512" s="56"/>
      <c r="AN512" s="56"/>
      <c r="AO512" s="56"/>
      <c r="AP512" s="56"/>
      <c r="AQ512" s="56"/>
      <c r="AR512" s="168"/>
      <c r="AS512" s="56"/>
      <c r="AT512" s="56"/>
      <c r="AU512" s="56"/>
      <c r="AV512" s="56"/>
      <c r="AW512" s="56"/>
      <c r="AX512" s="56"/>
      <c r="AY512" s="56"/>
      <c r="AZ512" s="56"/>
      <c r="BA512" s="168"/>
      <c r="BB512" s="56"/>
      <c r="BC512" s="56"/>
      <c r="BD512" s="56"/>
      <c r="BE512" s="168"/>
      <c r="BF512" s="56"/>
      <c r="BG512" s="10"/>
      <c r="BH512" s="56"/>
      <c r="BI512" s="56"/>
      <c r="BJ512" s="56"/>
      <c r="BK512" s="56"/>
      <c r="BS512" s="144"/>
      <c r="CM512" s="144"/>
      <c r="DC512" s="144"/>
    </row>
    <row r="513" spans="1:107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1"/>
      <c r="M513" s="10"/>
      <c r="N513" s="56"/>
      <c r="O513" s="56"/>
      <c r="P513" s="10"/>
      <c r="Q513" s="158"/>
      <c r="R513" s="174"/>
      <c r="S513" s="164"/>
      <c r="T513" s="56"/>
      <c r="U513" s="56"/>
      <c r="V513" s="56"/>
      <c r="W513" s="158"/>
      <c r="X513" s="174"/>
      <c r="Y513" s="168"/>
      <c r="Z513" s="10"/>
      <c r="AA513" s="56"/>
      <c r="AB513" s="56"/>
      <c r="AC513" s="56"/>
      <c r="AD513" s="56"/>
      <c r="AE513" s="56"/>
      <c r="AF513" s="170"/>
      <c r="AG513" s="56"/>
      <c r="AH513" s="56"/>
      <c r="AI513" s="168"/>
      <c r="AJ513" s="56"/>
      <c r="AK513" s="56"/>
      <c r="AL513" s="56"/>
      <c r="AM513" s="56"/>
      <c r="AN513" s="56"/>
      <c r="AO513" s="56"/>
      <c r="AP513" s="56"/>
      <c r="AQ513" s="56"/>
      <c r="AR513" s="168"/>
      <c r="AS513" s="56"/>
      <c r="AT513" s="56"/>
      <c r="AU513" s="56"/>
      <c r="AV513" s="56"/>
      <c r="AW513" s="56"/>
      <c r="AX513" s="56"/>
      <c r="AY513" s="56"/>
      <c r="AZ513" s="56"/>
      <c r="BA513" s="168"/>
      <c r="BB513" s="56"/>
      <c r="BC513" s="56"/>
      <c r="BD513" s="56"/>
      <c r="BE513" s="168"/>
      <c r="BF513" s="56"/>
      <c r="BG513" s="10"/>
      <c r="BH513" s="56"/>
      <c r="BI513" s="56"/>
      <c r="BJ513" s="56"/>
      <c r="BK513" s="56"/>
      <c r="BS513" s="144"/>
      <c r="CM513" s="144"/>
      <c r="DC513" s="144"/>
    </row>
    <row r="514" spans="1:107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1"/>
      <c r="M514" s="10"/>
      <c r="N514" s="56"/>
      <c r="O514" s="56"/>
      <c r="P514" s="10"/>
      <c r="Q514" s="158"/>
      <c r="R514" s="174"/>
      <c r="S514" s="164"/>
      <c r="T514" s="56"/>
      <c r="U514" s="56"/>
      <c r="V514" s="56"/>
      <c r="W514" s="158"/>
      <c r="X514" s="174"/>
      <c r="Y514" s="168"/>
      <c r="Z514" s="10"/>
      <c r="AA514" s="56"/>
      <c r="AB514" s="56"/>
      <c r="AC514" s="56"/>
      <c r="AD514" s="56"/>
      <c r="AE514" s="56"/>
      <c r="AF514" s="170"/>
      <c r="AG514" s="56"/>
      <c r="AH514" s="56"/>
      <c r="AI514" s="168"/>
      <c r="AJ514" s="56"/>
      <c r="AK514" s="56"/>
      <c r="AL514" s="56"/>
      <c r="AM514" s="56"/>
      <c r="AN514" s="56"/>
      <c r="AO514" s="56"/>
      <c r="AP514" s="56"/>
      <c r="AQ514" s="56"/>
      <c r="AR514" s="168"/>
      <c r="AS514" s="56"/>
      <c r="AT514" s="56"/>
      <c r="AU514" s="56"/>
      <c r="AV514" s="56"/>
      <c r="AW514" s="56"/>
      <c r="AX514" s="56"/>
      <c r="AY514" s="56"/>
      <c r="AZ514" s="56"/>
      <c r="BA514" s="168"/>
      <c r="BB514" s="56"/>
      <c r="BC514" s="56"/>
      <c r="BD514" s="56"/>
      <c r="BE514" s="168"/>
      <c r="BF514" s="56"/>
      <c r="BG514" s="10"/>
      <c r="BH514" s="56"/>
      <c r="BI514" s="56"/>
      <c r="BJ514" s="56"/>
      <c r="BK514" s="56"/>
      <c r="BS514" s="144"/>
      <c r="CM514" s="144"/>
      <c r="DC514" s="144"/>
    </row>
    <row r="515" spans="1:107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1"/>
      <c r="M515" s="10"/>
      <c r="N515" s="56"/>
      <c r="O515" s="56"/>
      <c r="P515" s="10"/>
      <c r="Q515" s="158"/>
      <c r="R515" s="174"/>
      <c r="S515" s="164"/>
      <c r="T515" s="56"/>
      <c r="U515" s="56"/>
      <c r="V515" s="56"/>
      <c r="W515" s="158"/>
      <c r="X515" s="174"/>
      <c r="Y515" s="168"/>
      <c r="Z515" s="10"/>
      <c r="AA515" s="56"/>
      <c r="AB515" s="56"/>
      <c r="AC515" s="56"/>
      <c r="AD515" s="56"/>
      <c r="AE515" s="56"/>
      <c r="AF515" s="170"/>
      <c r="AG515" s="56"/>
      <c r="AH515" s="56"/>
      <c r="AI515" s="168"/>
      <c r="AJ515" s="56"/>
      <c r="AK515" s="56"/>
      <c r="AL515" s="56"/>
      <c r="AM515" s="56"/>
      <c r="AN515" s="56"/>
      <c r="AO515" s="56"/>
      <c r="AP515" s="56"/>
      <c r="AQ515" s="56"/>
      <c r="AR515" s="168"/>
      <c r="AS515" s="56"/>
      <c r="AT515" s="56"/>
      <c r="AU515" s="56"/>
      <c r="AV515" s="56"/>
      <c r="AW515" s="56"/>
      <c r="AX515" s="56"/>
      <c r="AY515" s="56"/>
      <c r="AZ515" s="56"/>
      <c r="BA515" s="168"/>
      <c r="BB515" s="56"/>
      <c r="BC515" s="56"/>
      <c r="BD515" s="56"/>
      <c r="BE515" s="168"/>
      <c r="BF515" s="56"/>
      <c r="BG515" s="10"/>
      <c r="BH515" s="56"/>
      <c r="BI515" s="56"/>
      <c r="BJ515" s="56"/>
      <c r="BK515" s="56"/>
      <c r="BS515" s="144"/>
      <c r="CM515" s="144"/>
      <c r="DC515" s="144"/>
    </row>
    <row r="516" spans="1:107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1"/>
      <c r="M516" s="10"/>
      <c r="N516" s="56"/>
      <c r="O516" s="56"/>
      <c r="P516" s="10"/>
      <c r="Q516" s="158"/>
      <c r="R516" s="174"/>
      <c r="S516" s="164"/>
      <c r="T516" s="56"/>
      <c r="U516" s="56"/>
      <c r="V516" s="56"/>
      <c r="W516" s="158"/>
      <c r="X516" s="174"/>
      <c r="Y516" s="168"/>
      <c r="Z516" s="10"/>
      <c r="AA516" s="56"/>
      <c r="AB516" s="56"/>
      <c r="AC516" s="56"/>
      <c r="AD516" s="56"/>
      <c r="AE516" s="56"/>
      <c r="AF516" s="170"/>
      <c r="AG516" s="56"/>
      <c r="AH516" s="56"/>
      <c r="AI516" s="168"/>
      <c r="AJ516" s="56"/>
      <c r="AK516" s="56"/>
      <c r="AL516" s="56"/>
      <c r="AM516" s="56"/>
      <c r="AN516" s="56"/>
      <c r="AO516" s="56"/>
      <c r="AP516" s="56"/>
      <c r="AQ516" s="56"/>
      <c r="AR516" s="168"/>
      <c r="AS516" s="56"/>
      <c r="AT516" s="56"/>
      <c r="AU516" s="56"/>
      <c r="AV516" s="56"/>
      <c r="AW516" s="56"/>
      <c r="AX516" s="56"/>
      <c r="AY516" s="56"/>
      <c r="AZ516" s="56"/>
      <c r="BA516" s="168"/>
      <c r="BB516" s="56"/>
      <c r="BC516" s="56"/>
      <c r="BD516" s="56"/>
      <c r="BE516" s="168"/>
      <c r="BF516" s="56"/>
      <c r="BG516" s="10"/>
      <c r="BH516" s="56"/>
      <c r="BI516" s="56"/>
      <c r="BJ516" s="56"/>
      <c r="BK516" s="56"/>
      <c r="BS516" s="144"/>
      <c r="CM516" s="144"/>
      <c r="DC516" s="144"/>
    </row>
    <row r="517" spans="1:107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1"/>
      <c r="M517" s="10"/>
      <c r="N517" s="56"/>
      <c r="O517" s="56"/>
      <c r="P517" s="10"/>
      <c r="Q517" s="158"/>
      <c r="R517" s="174"/>
      <c r="S517" s="164"/>
      <c r="T517" s="56"/>
      <c r="U517" s="56"/>
      <c r="V517" s="56"/>
      <c r="W517" s="158"/>
      <c r="X517" s="174"/>
      <c r="Y517" s="168"/>
      <c r="Z517" s="10"/>
      <c r="AA517" s="56"/>
      <c r="AB517" s="56"/>
      <c r="AC517" s="56"/>
      <c r="AD517" s="56"/>
      <c r="AE517" s="56"/>
      <c r="AF517" s="170"/>
      <c r="AG517" s="56"/>
      <c r="AH517" s="56"/>
      <c r="AI517" s="168"/>
      <c r="AJ517" s="56"/>
      <c r="AK517" s="56"/>
      <c r="AL517" s="56"/>
      <c r="AM517" s="56"/>
      <c r="AN517" s="56"/>
      <c r="AO517" s="56"/>
      <c r="AP517" s="56"/>
      <c r="AQ517" s="56"/>
      <c r="AR517" s="168"/>
      <c r="AS517" s="56"/>
      <c r="AT517" s="56"/>
      <c r="AU517" s="56"/>
      <c r="AV517" s="56"/>
      <c r="AW517" s="56"/>
      <c r="AX517" s="56"/>
      <c r="AY517" s="56"/>
      <c r="AZ517" s="56"/>
      <c r="BA517" s="168"/>
      <c r="BB517" s="56"/>
      <c r="BC517" s="56"/>
      <c r="BD517" s="56"/>
      <c r="BE517" s="168"/>
      <c r="BF517" s="56"/>
      <c r="BG517" s="10"/>
      <c r="BH517" s="56"/>
      <c r="BI517" s="56"/>
      <c r="BJ517" s="56"/>
      <c r="BK517" s="56"/>
      <c r="BS517" s="144"/>
      <c r="CM517" s="144"/>
      <c r="DC517" s="144"/>
    </row>
    <row r="518" spans="1:107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1"/>
      <c r="M518" s="10"/>
      <c r="N518" s="56"/>
      <c r="O518" s="56"/>
      <c r="P518" s="10"/>
      <c r="Q518" s="158"/>
      <c r="R518" s="174"/>
      <c r="S518" s="164"/>
      <c r="T518" s="56"/>
      <c r="U518" s="56"/>
      <c r="V518" s="56"/>
      <c r="W518" s="158"/>
      <c r="X518" s="174"/>
      <c r="Y518" s="168"/>
      <c r="Z518" s="10"/>
      <c r="AA518" s="56"/>
      <c r="AB518" s="56"/>
      <c r="AC518" s="56"/>
      <c r="AD518" s="56"/>
      <c r="AE518" s="56"/>
      <c r="AF518" s="170"/>
      <c r="AG518" s="56"/>
      <c r="AH518" s="56"/>
      <c r="AI518" s="168"/>
      <c r="AJ518" s="56"/>
      <c r="AK518" s="56"/>
      <c r="AL518" s="56"/>
      <c r="AM518" s="56"/>
      <c r="AN518" s="56"/>
      <c r="AO518" s="56"/>
      <c r="AP518" s="56"/>
      <c r="AQ518" s="56"/>
      <c r="AR518" s="168"/>
      <c r="AS518" s="56"/>
      <c r="AT518" s="56"/>
      <c r="AU518" s="56"/>
      <c r="AV518" s="56"/>
      <c r="AW518" s="56"/>
      <c r="AX518" s="56"/>
      <c r="AY518" s="56"/>
      <c r="AZ518" s="56"/>
      <c r="BA518" s="168"/>
      <c r="BB518" s="56"/>
      <c r="BC518" s="56"/>
      <c r="BD518" s="56"/>
      <c r="BE518" s="168"/>
      <c r="BF518" s="56"/>
      <c r="BG518" s="10"/>
      <c r="BH518" s="56"/>
      <c r="BI518" s="56"/>
      <c r="BJ518" s="56"/>
      <c r="BK518" s="56"/>
      <c r="BS518" s="144"/>
      <c r="CM518" s="144"/>
      <c r="DC518" s="144"/>
    </row>
    <row r="519" spans="1:107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1"/>
      <c r="M519" s="10"/>
      <c r="N519" s="56"/>
      <c r="O519" s="56"/>
      <c r="P519" s="10"/>
      <c r="Q519" s="158"/>
      <c r="R519" s="174"/>
      <c r="S519" s="164"/>
      <c r="T519" s="56"/>
      <c r="U519" s="56"/>
      <c r="V519" s="56"/>
      <c r="W519" s="158"/>
      <c r="X519" s="174"/>
      <c r="Y519" s="168"/>
      <c r="Z519" s="10"/>
      <c r="AA519" s="56"/>
      <c r="AB519" s="56"/>
      <c r="AC519" s="56"/>
      <c r="AD519" s="56"/>
      <c r="AE519" s="56"/>
      <c r="AF519" s="170"/>
      <c r="AG519" s="56"/>
      <c r="AH519" s="56"/>
      <c r="AI519" s="168"/>
      <c r="AJ519" s="56"/>
      <c r="AK519" s="56"/>
      <c r="AL519" s="56"/>
      <c r="AM519" s="56"/>
      <c r="AN519" s="56"/>
      <c r="AO519" s="56"/>
      <c r="AP519" s="56"/>
      <c r="AQ519" s="56"/>
      <c r="AR519" s="168"/>
      <c r="AS519" s="56"/>
      <c r="AT519" s="56"/>
      <c r="AU519" s="56"/>
      <c r="AV519" s="56"/>
      <c r="AW519" s="56"/>
      <c r="AX519" s="56"/>
      <c r="AY519" s="56"/>
      <c r="AZ519" s="56"/>
      <c r="BA519" s="168"/>
      <c r="BB519" s="56"/>
      <c r="BC519" s="56"/>
      <c r="BD519" s="56"/>
      <c r="BE519" s="168"/>
      <c r="BF519" s="56"/>
      <c r="BG519" s="10"/>
      <c r="BH519" s="56"/>
      <c r="BI519" s="56"/>
      <c r="BJ519" s="56"/>
      <c r="BK519" s="56"/>
      <c r="BS519" s="144"/>
      <c r="CM519" s="144"/>
      <c r="DC519" s="144"/>
    </row>
    <row r="520" spans="1:107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1"/>
      <c r="M520" s="10"/>
      <c r="N520" s="56"/>
      <c r="O520" s="56"/>
      <c r="P520" s="10"/>
      <c r="Q520" s="158"/>
      <c r="R520" s="174"/>
      <c r="S520" s="164"/>
      <c r="T520" s="56"/>
      <c r="U520" s="56"/>
      <c r="V520" s="56"/>
      <c r="W520" s="158"/>
      <c r="X520" s="174"/>
      <c r="Y520" s="168"/>
      <c r="Z520" s="10"/>
      <c r="AA520" s="56"/>
      <c r="AB520" s="56"/>
      <c r="AC520" s="56"/>
      <c r="AD520" s="56"/>
      <c r="AE520" s="56"/>
      <c r="AF520" s="170"/>
      <c r="AG520" s="56"/>
      <c r="AH520" s="56"/>
      <c r="AI520" s="168"/>
      <c r="AJ520" s="56"/>
      <c r="AK520" s="56"/>
      <c r="AL520" s="56"/>
      <c r="AM520" s="56"/>
      <c r="AN520" s="56"/>
      <c r="AO520" s="56"/>
      <c r="AP520" s="56"/>
      <c r="AQ520" s="56"/>
      <c r="AR520" s="168"/>
      <c r="AS520" s="56"/>
      <c r="AT520" s="56"/>
      <c r="AU520" s="56"/>
      <c r="AV520" s="56"/>
      <c r="AW520" s="56"/>
      <c r="AX520" s="56"/>
      <c r="AY520" s="56"/>
      <c r="AZ520" s="56"/>
      <c r="BA520" s="168"/>
      <c r="BB520" s="56"/>
      <c r="BC520" s="56"/>
      <c r="BD520" s="56"/>
      <c r="BE520" s="168"/>
      <c r="BF520" s="56"/>
      <c r="BG520" s="10"/>
      <c r="BH520" s="56"/>
      <c r="BI520" s="56"/>
      <c r="BJ520" s="56"/>
      <c r="BK520" s="56"/>
      <c r="BS520" s="144"/>
      <c r="CM520" s="144"/>
      <c r="DC520" s="144"/>
    </row>
    <row r="521" spans="1:107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1"/>
      <c r="M521" s="10"/>
      <c r="N521" s="56"/>
      <c r="O521" s="56"/>
      <c r="P521" s="10"/>
      <c r="Q521" s="158"/>
      <c r="R521" s="174"/>
      <c r="S521" s="164"/>
      <c r="T521" s="56"/>
      <c r="U521" s="56"/>
      <c r="V521" s="56"/>
      <c r="W521" s="158"/>
      <c r="X521" s="174"/>
      <c r="Y521" s="168"/>
      <c r="Z521" s="10"/>
      <c r="AA521" s="56"/>
      <c r="AB521" s="56"/>
      <c r="AC521" s="56"/>
      <c r="AD521" s="56"/>
      <c r="AE521" s="56"/>
      <c r="AF521" s="170"/>
      <c r="AG521" s="56"/>
      <c r="AH521" s="56"/>
      <c r="AI521" s="168"/>
      <c r="AJ521" s="56"/>
      <c r="AK521" s="56"/>
      <c r="AL521" s="56"/>
      <c r="AM521" s="56"/>
      <c r="AN521" s="56"/>
      <c r="AO521" s="56"/>
      <c r="AP521" s="56"/>
      <c r="AQ521" s="56"/>
      <c r="AR521" s="168"/>
      <c r="AS521" s="56"/>
      <c r="AT521" s="56"/>
      <c r="AU521" s="56"/>
      <c r="AV521" s="56"/>
      <c r="AW521" s="56"/>
      <c r="AX521" s="56"/>
      <c r="AY521" s="56"/>
      <c r="AZ521" s="56"/>
      <c r="BA521" s="168"/>
      <c r="BB521" s="56"/>
      <c r="BC521" s="56"/>
      <c r="BD521" s="56"/>
      <c r="BE521" s="168"/>
      <c r="BF521" s="56"/>
      <c r="BG521" s="10"/>
      <c r="BH521" s="56"/>
      <c r="BI521" s="56"/>
      <c r="BJ521" s="56"/>
      <c r="BK521" s="56"/>
      <c r="BS521" s="144"/>
      <c r="CM521" s="144"/>
      <c r="DC521" s="144"/>
    </row>
    <row r="522" spans="1:107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1"/>
      <c r="M522" s="10"/>
      <c r="N522" s="56"/>
      <c r="O522" s="56"/>
      <c r="P522" s="10"/>
      <c r="Q522" s="158"/>
      <c r="R522" s="174"/>
      <c r="S522" s="164"/>
      <c r="T522" s="56"/>
      <c r="U522" s="56"/>
      <c r="V522" s="56"/>
      <c r="W522" s="158"/>
      <c r="X522" s="174"/>
      <c r="Y522" s="168"/>
      <c r="Z522" s="10"/>
      <c r="AA522" s="56"/>
      <c r="AB522" s="56"/>
      <c r="AC522" s="56"/>
      <c r="AD522" s="56"/>
      <c r="AE522" s="56"/>
      <c r="AF522" s="170"/>
      <c r="AG522" s="56"/>
      <c r="AH522" s="56"/>
      <c r="AI522" s="168"/>
      <c r="AJ522" s="56"/>
      <c r="AK522" s="56"/>
      <c r="AL522" s="56"/>
      <c r="AM522" s="56"/>
      <c r="AN522" s="56"/>
      <c r="AO522" s="56"/>
      <c r="AP522" s="56"/>
      <c r="AQ522" s="56"/>
      <c r="AR522" s="168"/>
      <c r="AS522" s="56"/>
      <c r="AT522" s="56"/>
      <c r="AU522" s="56"/>
      <c r="AV522" s="56"/>
      <c r="AW522" s="56"/>
      <c r="AX522" s="56"/>
      <c r="AY522" s="56"/>
      <c r="AZ522" s="56"/>
      <c r="BA522" s="168"/>
      <c r="BB522" s="56"/>
      <c r="BC522" s="56"/>
      <c r="BD522" s="56"/>
      <c r="BE522" s="168"/>
      <c r="BF522" s="56"/>
      <c r="BG522" s="10"/>
      <c r="BH522" s="56"/>
      <c r="BI522" s="56"/>
      <c r="BJ522" s="56"/>
      <c r="BK522" s="56"/>
      <c r="BS522" s="144"/>
      <c r="CM522" s="144"/>
      <c r="DC522" s="144"/>
    </row>
    <row r="523" spans="1:107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1"/>
      <c r="M523" s="10"/>
      <c r="N523" s="56"/>
      <c r="O523" s="56"/>
      <c r="P523" s="10"/>
      <c r="Q523" s="158"/>
      <c r="R523" s="174"/>
      <c r="S523" s="164"/>
      <c r="T523" s="56"/>
      <c r="U523" s="56"/>
      <c r="V523" s="56"/>
      <c r="W523" s="158"/>
      <c r="X523" s="174"/>
      <c r="Y523" s="168"/>
      <c r="Z523" s="10"/>
      <c r="AA523" s="56"/>
      <c r="AB523" s="56"/>
      <c r="AC523" s="56"/>
      <c r="AD523" s="56"/>
      <c r="AE523" s="56"/>
      <c r="AF523" s="170"/>
      <c r="AG523" s="56"/>
      <c r="AH523" s="56"/>
      <c r="AI523" s="168"/>
      <c r="AJ523" s="56"/>
      <c r="AK523" s="56"/>
      <c r="AL523" s="56"/>
      <c r="AM523" s="56"/>
      <c r="AN523" s="56"/>
      <c r="AO523" s="56"/>
      <c r="AP523" s="56"/>
      <c r="AQ523" s="56"/>
      <c r="AR523" s="168"/>
      <c r="AS523" s="56"/>
      <c r="AT523" s="56"/>
      <c r="AU523" s="56"/>
      <c r="AV523" s="56"/>
      <c r="AW523" s="56"/>
      <c r="AX523" s="56"/>
      <c r="AY523" s="56"/>
      <c r="AZ523" s="56"/>
      <c r="BA523" s="168"/>
      <c r="BB523" s="56"/>
      <c r="BC523" s="56"/>
      <c r="BD523" s="56"/>
      <c r="BE523" s="168"/>
      <c r="BF523" s="56"/>
      <c r="BG523" s="10"/>
      <c r="BH523" s="56"/>
      <c r="BI523" s="56"/>
      <c r="BJ523" s="56"/>
      <c r="BK523" s="56"/>
      <c r="BS523" s="144"/>
      <c r="CM523" s="144"/>
      <c r="DC523" s="144"/>
    </row>
    <row r="524" spans="1:107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1"/>
      <c r="M524" s="10"/>
      <c r="N524" s="56"/>
      <c r="O524" s="56"/>
      <c r="P524" s="10"/>
      <c r="Q524" s="158"/>
      <c r="R524" s="174"/>
      <c r="S524" s="164"/>
      <c r="T524" s="56"/>
      <c r="U524" s="56"/>
      <c r="V524" s="56"/>
      <c r="W524" s="158"/>
      <c r="X524" s="174"/>
      <c r="Y524" s="168"/>
      <c r="Z524" s="10"/>
      <c r="AA524" s="56"/>
      <c r="AB524" s="56"/>
      <c r="AC524" s="56"/>
      <c r="AD524" s="56"/>
      <c r="AE524" s="56"/>
      <c r="AF524" s="170"/>
      <c r="AG524" s="56"/>
      <c r="AH524" s="56"/>
      <c r="AI524" s="168"/>
      <c r="AJ524" s="56"/>
      <c r="AK524" s="56"/>
      <c r="AL524" s="56"/>
      <c r="AM524" s="56"/>
      <c r="AN524" s="56"/>
      <c r="AO524" s="56"/>
      <c r="AP524" s="56"/>
      <c r="AQ524" s="56"/>
      <c r="AR524" s="168"/>
      <c r="AS524" s="56"/>
      <c r="AT524" s="56"/>
      <c r="AU524" s="56"/>
      <c r="AV524" s="56"/>
      <c r="AW524" s="56"/>
      <c r="AX524" s="56"/>
      <c r="AY524" s="56"/>
      <c r="AZ524" s="56"/>
      <c r="BA524" s="168"/>
      <c r="BB524" s="56"/>
      <c r="BC524" s="56"/>
      <c r="BD524" s="56"/>
      <c r="BE524" s="168"/>
      <c r="BF524" s="56"/>
      <c r="BG524" s="10"/>
      <c r="BH524" s="56"/>
      <c r="BI524" s="56"/>
      <c r="BJ524" s="56"/>
      <c r="BK524" s="56"/>
      <c r="BS524" s="144"/>
      <c r="CM524" s="144"/>
      <c r="DC524" s="144"/>
    </row>
    <row r="525" spans="1:107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1"/>
      <c r="M525" s="10"/>
      <c r="N525" s="56"/>
      <c r="O525" s="56"/>
      <c r="P525" s="10"/>
      <c r="Q525" s="158"/>
      <c r="R525" s="174"/>
      <c r="S525" s="164"/>
      <c r="T525" s="56"/>
      <c r="U525" s="56"/>
      <c r="V525" s="56"/>
      <c r="W525" s="158"/>
      <c r="X525" s="174"/>
      <c r="Y525" s="168"/>
      <c r="Z525" s="10"/>
      <c r="AA525" s="56"/>
      <c r="AB525" s="56"/>
      <c r="AC525" s="56"/>
      <c r="AD525" s="56"/>
      <c r="AE525" s="56"/>
      <c r="AF525" s="170"/>
      <c r="AG525" s="56"/>
      <c r="AH525" s="56"/>
      <c r="AI525" s="168"/>
      <c r="AJ525" s="56"/>
      <c r="AK525" s="56"/>
      <c r="AL525" s="56"/>
      <c r="AM525" s="56"/>
      <c r="AN525" s="56"/>
      <c r="AO525" s="56"/>
      <c r="AP525" s="56"/>
      <c r="AQ525" s="56"/>
      <c r="AR525" s="168"/>
      <c r="AS525" s="56"/>
      <c r="AT525" s="56"/>
      <c r="AU525" s="56"/>
      <c r="AV525" s="56"/>
      <c r="AW525" s="56"/>
      <c r="AX525" s="56"/>
      <c r="AY525" s="56"/>
      <c r="AZ525" s="56"/>
      <c r="BA525" s="168"/>
      <c r="BB525" s="56"/>
      <c r="BC525" s="56"/>
      <c r="BD525" s="56"/>
      <c r="BE525" s="168"/>
      <c r="BF525" s="56"/>
      <c r="BG525" s="10"/>
      <c r="BH525" s="56"/>
      <c r="BI525" s="56"/>
      <c r="BJ525" s="56"/>
      <c r="BK525" s="56"/>
      <c r="BS525" s="144"/>
      <c r="CM525" s="144"/>
      <c r="DC525" s="144"/>
    </row>
    <row r="526" spans="1:107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1"/>
      <c r="M526" s="10"/>
      <c r="N526" s="56"/>
      <c r="O526" s="56"/>
      <c r="P526" s="10"/>
      <c r="Q526" s="158"/>
      <c r="R526" s="174"/>
      <c r="S526" s="164"/>
      <c r="T526" s="56"/>
      <c r="U526" s="56"/>
      <c r="V526" s="56"/>
      <c r="W526" s="158"/>
      <c r="X526" s="174"/>
      <c r="Y526" s="168"/>
      <c r="Z526" s="10"/>
      <c r="AA526" s="56"/>
      <c r="AB526" s="56"/>
      <c r="AC526" s="56"/>
      <c r="AD526" s="56"/>
      <c r="AE526" s="56"/>
      <c r="AF526" s="170"/>
      <c r="AG526" s="56"/>
      <c r="AH526" s="56"/>
      <c r="AI526" s="168"/>
      <c r="AJ526" s="56"/>
      <c r="AK526" s="56"/>
      <c r="AL526" s="56"/>
      <c r="AM526" s="56"/>
      <c r="AN526" s="56"/>
      <c r="AO526" s="56"/>
      <c r="AP526" s="56"/>
      <c r="AQ526" s="56"/>
      <c r="AR526" s="168"/>
      <c r="AS526" s="56"/>
      <c r="AT526" s="56"/>
      <c r="AU526" s="56"/>
      <c r="AV526" s="56"/>
      <c r="AW526" s="56"/>
      <c r="AX526" s="56"/>
      <c r="AY526" s="56"/>
      <c r="AZ526" s="56"/>
      <c r="BA526" s="168"/>
      <c r="BB526" s="56"/>
      <c r="BC526" s="56"/>
      <c r="BD526" s="56"/>
      <c r="BE526" s="168"/>
      <c r="BF526" s="56"/>
      <c r="BG526" s="10"/>
      <c r="BH526" s="56"/>
      <c r="BI526" s="56"/>
      <c r="BJ526" s="56"/>
      <c r="BK526" s="56"/>
      <c r="BS526" s="144"/>
      <c r="CM526" s="144"/>
      <c r="DC526" s="144"/>
    </row>
    <row r="527" spans="1:107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1"/>
      <c r="M527" s="10"/>
      <c r="N527" s="56"/>
      <c r="O527" s="56"/>
      <c r="P527" s="10"/>
      <c r="Q527" s="158"/>
      <c r="R527" s="174"/>
      <c r="S527" s="164"/>
      <c r="T527" s="56"/>
      <c r="U527" s="56"/>
      <c r="V527" s="56"/>
      <c r="W527" s="158"/>
      <c r="X527" s="174"/>
      <c r="Y527" s="168"/>
      <c r="Z527" s="10"/>
      <c r="AA527" s="56"/>
      <c r="AB527" s="56"/>
      <c r="AC527" s="56"/>
      <c r="AD527" s="56"/>
      <c r="AE527" s="56"/>
      <c r="AF527" s="170"/>
      <c r="AG527" s="56"/>
      <c r="AH527" s="56"/>
      <c r="AI527" s="168"/>
      <c r="AJ527" s="56"/>
      <c r="AK527" s="56"/>
      <c r="AL527" s="56"/>
      <c r="AM527" s="56"/>
      <c r="AN527" s="56"/>
      <c r="AO527" s="56"/>
      <c r="AP527" s="56"/>
      <c r="AQ527" s="56"/>
      <c r="AR527" s="168"/>
      <c r="AS527" s="56"/>
      <c r="AT527" s="56"/>
      <c r="AU527" s="56"/>
      <c r="AV527" s="56"/>
      <c r="AW527" s="56"/>
      <c r="AX527" s="56"/>
      <c r="AY527" s="56"/>
      <c r="AZ527" s="56"/>
      <c r="BA527" s="168"/>
      <c r="BB527" s="56"/>
      <c r="BC527" s="56"/>
      <c r="BD527" s="56"/>
      <c r="BE527" s="168"/>
      <c r="BF527" s="56"/>
      <c r="BG527" s="10"/>
      <c r="BH527" s="56"/>
      <c r="BI527" s="56"/>
      <c r="BJ527" s="56"/>
      <c r="BK527" s="56"/>
      <c r="BS527" s="144"/>
      <c r="CM527" s="144"/>
      <c r="DC527" s="144"/>
    </row>
    <row r="528" spans="1:107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1"/>
      <c r="M528" s="10"/>
      <c r="N528" s="56"/>
      <c r="O528" s="56"/>
      <c r="P528" s="10"/>
      <c r="Q528" s="158"/>
      <c r="R528" s="174"/>
      <c r="S528" s="164"/>
      <c r="T528" s="56"/>
      <c r="U528" s="56"/>
      <c r="V528" s="56"/>
      <c r="W528" s="158"/>
      <c r="X528" s="174"/>
      <c r="Y528" s="168"/>
      <c r="Z528" s="10"/>
      <c r="AA528" s="56"/>
      <c r="AB528" s="56"/>
      <c r="AC528" s="56"/>
      <c r="AD528" s="56"/>
      <c r="AE528" s="56"/>
      <c r="AF528" s="170"/>
      <c r="AG528" s="56"/>
      <c r="AH528" s="56"/>
      <c r="AI528" s="168"/>
      <c r="AJ528" s="56"/>
      <c r="AK528" s="56"/>
      <c r="AL528" s="56"/>
      <c r="AM528" s="56"/>
      <c r="AN528" s="56"/>
      <c r="AO528" s="56"/>
      <c r="AP528" s="56"/>
      <c r="AQ528" s="56"/>
      <c r="AR528" s="168"/>
      <c r="AS528" s="56"/>
      <c r="AT528" s="56"/>
      <c r="AU528" s="56"/>
      <c r="AV528" s="56"/>
      <c r="AW528" s="56"/>
      <c r="AX528" s="56"/>
      <c r="AY528" s="56"/>
      <c r="AZ528" s="56"/>
      <c r="BA528" s="168"/>
      <c r="BB528" s="56"/>
      <c r="BC528" s="56"/>
      <c r="BD528" s="56"/>
      <c r="BE528" s="168"/>
      <c r="BF528" s="56"/>
      <c r="BG528" s="10"/>
      <c r="BH528" s="56"/>
      <c r="BI528" s="56"/>
      <c r="BJ528" s="56"/>
      <c r="BK528" s="56"/>
      <c r="BS528" s="144"/>
      <c r="CM528" s="144"/>
      <c r="DC528" s="144"/>
    </row>
    <row r="529" spans="1:107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1"/>
      <c r="M529" s="10"/>
      <c r="N529" s="56"/>
      <c r="O529" s="56"/>
      <c r="P529" s="10"/>
      <c r="Q529" s="158"/>
      <c r="R529" s="174"/>
      <c r="S529" s="164"/>
      <c r="T529" s="56"/>
      <c r="U529" s="56"/>
      <c r="V529" s="56"/>
      <c r="W529" s="158"/>
      <c r="X529" s="174"/>
      <c r="Y529" s="168"/>
      <c r="Z529" s="10"/>
      <c r="AA529" s="56"/>
      <c r="AB529" s="56"/>
      <c r="AC529" s="56"/>
      <c r="AD529" s="56"/>
      <c r="AE529" s="56"/>
      <c r="AF529" s="170"/>
      <c r="AG529" s="56"/>
      <c r="AH529" s="56"/>
      <c r="AI529" s="168"/>
      <c r="AJ529" s="56"/>
      <c r="AK529" s="56"/>
      <c r="AL529" s="56"/>
      <c r="AM529" s="56"/>
      <c r="AN529" s="56"/>
      <c r="AO529" s="56"/>
      <c r="AP529" s="56"/>
      <c r="AQ529" s="56"/>
      <c r="AR529" s="168"/>
      <c r="AS529" s="56"/>
      <c r="AT529" s="56"/>
      <c r="AU529" s="56"/>
      <c r="AV529" s="56"/>
      <c r="AW529" s="56"/>
      <c r="AX529" s="56"/>
      <c r="AY529" s="56"/>
      <c r="AZ529" s="56"/>
      <c r="BA529" s="168"/>
      <c r="BB529" s="56"/>
      <c r="BC529" s="56"/>
      <c r="BD529" s="56"/>
      <c r="BE529" s="168"/>
      <c r="BF529" s="56"/>
      <c r="BG529" s="10"/>
      <c r="BH529" s="56"/>
      <c r="BI529" s="56"/>
      <c r="BJ529" s="56"/>
      <c r="BK529" s="56"/>
      <c r="BS529" s="144"/>
      <c r="CM529" s="144"/>
      <c r="DC529" s="144"/>
    </row>
    <row r="530" spans="1:107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1"/>
      <c r="M530" s="10"/>
      <c r="N530" s="56"/>
      <c r="O530" s="56"/>
      <c r="P530" s="10"/>
      <c r="Q530" s="158"/>
      <c r="R530" s="174"/>
      <c r="S530" s="164"/>
      <c r="T530" s="56"/>
      <c r="U530" s="56"/>
      <c r="V530" s="56"/>
      <c r="W530" s="158"/>
      <c r="X530" s="174"/>
      <c r="Y530" s="168"/>
      <c r="Z530" s="10"/>
      <c r="AA530" s="56"/>
      <c r="AB530" s="56"/>
      <c r="AC530" s="56"/>
      <c r="AD530" s="56"/>
      <c r="AE530" s="56"/>
      <c r="AF530" s="170"/>
      <c r="AG530" s="56"/>
      <c r="AH530" s="56"/>
      <c r="AI530" s="168"/>
      <c r="AJ530" s="56"/>
      <c r="AK530" s="56"/>
      <c r="AL530" s="56"/>
      <c r="AM530" s="56"/>
      <c r="AN530" s="56"/>
      <c r="AO530" s="56"/>
      <c r="AP530" s="56"/>
      <c r="AQ530" s="56"/>
      <c r="AR530" s="168"/>
      <c r="AS530" s="56"/>
      <c r="AT530" s="56"/>
      <c r="AU530" s="56"/>
      <c r="AV530" s="56"/>
      <c r="AW530" s="56"/>
      <c r="AX530" s="56"/>
      <c r="AY530" s="56"/>
      <c r="AZ530" s="56"/>
      <c r="BA530" s="168"/>
      <c r="BB530" s="56"/>
      <c r="BC530" s="56"/>
      <c r="BD530" s="56"/>
      <c r="BE530" s="168"/>
      <c r="BF530" s="56"/>
      <c r="BG530" s="10"/>
      <c r="BH530" s="56"/>
      <c r="BI530" s="56"/>
      <c r="BJ530" s="56"/>
      <c r="BK530" s="56"/>
      <c r="BS530" s="144"/>
      <c r="CM530" s="144"/>
      <c r="DC530" s="144"/>
    </row>
    <row r="531" spans="1:107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1"/>
      <c r="M531" s="10"/>
      <c r="N531" s="56"/>
      <c r="O531" s="56"/>
      <c r="P531" s="10"/>
      <c r="Q531" s="158"/>
      <c r="R531" s="174"/>
      <c r="S531" s="164"/>
      <c r="T531" s="56"/>
      <c r="U531" s="56"/>
      <c r="V531" s="56"/>
      <c r="W531" s="158"/>
      <c r="X531" s="174"/>
      <c r="Y531" s="168"/>
      <c r="Z531" s="10"/>
      <c r="AA531" s="56"/>
      <c r="AB531" s="56"/>
      <c r="AC531" s="56"/>
      <c r="AD531" s="56"/>
      <c r="AE531" s="56"/>
      <c r="AF531" s="170"/>
      <c r="AG531" s="56"/>
      <c r="AH531" s="56"/>
      <c r="AI531" s="168"/>
      <c r="AJ531" s="56"/>
      <c r="AK531" s="56"/>
      <c r="AL531" s="56"/>
      <c r="AM531" s="56"/>
      <c r="AN531" s="56"/>
      <c r="AO531" s="56"/>
      <c r="AP531" s="56"/>
      <c r="AQ531" s="56"/>
      <c r="AR531" s="168"/>
      <c r="AS531" s="56"/>
      <c r="AT531" s="56"/>
      <c r="AU531" s="56"/>
      <c r="AV531" s="56"/>
      <c r="AW531" s="56"/>
      <c r="AX531" s="56"/>
      <c r="AY531" s="56"/>
      <c r="AZ531" s="56"/>
      <c r="BA531" s="168"/>
      <c r="BB531" s="56"/>
      <c r="BC531" s="56"/>
      <c r="BD531" s="56"/>
      <c r="BE531" s="168"/>
      <c r="BF531" s="56"/>
      <c r="BG531" s="10"/>
      <c r="BH531" s="56"/>
      <c r="BI531" s="56"/>
      <c r="BJ531" s="56"/>
      <c r="BK531" s="56"/>
      <c r="BS531" s="144"/>
      <c r="CM531" s="144"/>
      <c r="DC531" s="144"/>
    </row>
    <row r="532" spans="1:107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1"/>
      <c r="M532" s="10"/>
      <c r="N532" s="56"/>
      <c r="O532" s="56"/>
      <c r="P532" s="10"/>
      <c r="Q532" s="158"/>
      <c r="R532" s="174"/>
      <c r="S532" s="164"/>
      <c r="T532" s="56"/>
      <c r="U532" s="56"/>
      <c r="V532" s="56"/>
      <c r="W532" s="158"/>
      <c r="X532" s="174"/>
      <c r="Y532" s="168"/>
      <c r="Z532" s="10"/>
      <c r="AA532" s="56"/>
      <c r="AB532" s="56"/>
      <c r="AC532" s="56"/>
      <c r="AD532" s="56"/>
      <c r="AE532" s="56"/>
      <c r="AF532" s="170"/>
      <c r="AG532" s="56"/>
      <c r="AH532" s="56"/>
      <c r="AI532" s="168"/>
      <c r="AJ532" s="56"/>
      <c r="AK532" s="56"/>
      <c r="AL532" s="56"/>
      <c r="AM532" s="56"/>
      <c r="AN532" s="56"/>
      <c r="AO532" s="56"/>
      <c r="AP532" s="56"/>
      <c r="AQ532" s="56"/>
      <c r="AR532" s="168"/>
      <c r="AS532" s="56"/>
      <c r="AT532" s="56"/>
      <c r="AU532" s="56"/>
      <c r="AV532" s="56"/>
      <c r="AW532" s="56"/>
      <c r="AX532" s="56"/>
      <c r="AY532" s="56"/>
      <c r="AZ532" s="56"/>
      <c r="BA532" s="168"/>
      <c r="BB532" s="56"/>
      <c r="BC532" s="56"/>
      <c r="BD532" s="56"/>
      <c r="BE532" s="168"/>
      <c r="BF532" s="56"/>
      <c r="BG532" s="10"/>
      <c r="BH532" s="56"/>
      <c r="BI532" s="56"/>
      <c r="BJ532" s="56"/>
      <c r="BK532" s="56"/>
      <c r="BS532" s="144"/>
      <c r="CM532" s="144"/>
      <c r="DC532" s="144"/>
    </row>
    <row r="533" spans="1:107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1"/>
      <c r="M533" s="10"/>
      <c r="N533" s="56"/>
      <c r="O533" s="56"/>
      <c r="P533" s="10"/>
      <c r="Q533" s="158"/>
      <c r="R533" s="174"/>
      <c r="S533" s="164"/>
      <c r="T533" s="56"/>
      <c r="U533" s="56"/>
      <c r="V533" s="56"/>
      <c r="W533" s="158"/>
      <c r="X533" s="174"/>
      <c r="Y533" s="168"/>
      <c r="Z533" s="10"/>
      <c r="AA533" s="56"/>
      <c r="AB533" s="56"/>
      <c r="AC533" s="56"/>
      <c r="AD533" s="56"/>
      <c r="AE533" s="56"/>
      <c r="AF533" s="170"/>
      <c r="AG533" s="56"/>
      <c r="AH533" s="56"/>
      <c r="AI533" s="168"/>
      <c r="AJ533" s="56"/>
      <c r="AK533" s="56"/>
      <c r="AL533" s="56"/>
      <c r="AM533" s="56"/>
      <c r="AN533" s="56"/>
      <c r="AO533" s="56"/>
      <c r="AP533" s="56"/>
      <c r="AQ533" s="56"/>
      <c r="AR533" s="168"/>
      <c r="AS533" s="56"/>
      <c r="AT533" s="56"/>
      <c r="AU533" s="56"/>
      <c r="AV533" s="56"/>
      <c r="AW533" s="56"/>
      <c r="AX533" s="56"/>
      <c r="AY533" s="56"/>
      <c r="AZ533" s="56"/>
      <c r="BA533" s="168"/>
      <c r="BB533" s="56"/>
      <c r="BC533" s="56"/>
      <c r="BD533" s="56"/>
      <c r="BE533" s="168"/>
      <c r="BF533" s="56"/>
      <c r="BG533" s="10"/>
      <c r="BH533" s="56"/>
      <c r="BI533" s="56"/>
      <c r="BJ533" s="56"/>
      <c r="BK533" s="56"/>
      <c r="BS533" s="144"/>
      <c r="CM533" s="144"/>
      <c r="DC533" s="144"/>
    </row>
    <row r="534" spans="1:107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1"/>
      <c r="M534" s="10"/>
      <c r="N534" s="56"/>
      <c r="O534" s="56"/>
      <c r="P534" s="10"/>
      <c r="Q534" s="158"/>
      <c r="R534" s="174"/>
      <c r="S534" s="164"/>
      <c r="T534" s="56"/>
      <c r="U534" s="56"/>
      <c r="V534" s="56"/>
      <c r="W534" s="158"/>
      <c r="X534" s="174"/>
      <c r="Y534" s="168"/>
      <c r="Z534" s="10"/>
      <c r="AA534" s="56"/>
      <c r="AB534" s="56"/>
      <c r="AC534" s="56"/>
      <c r="AD534" s="56"/>
      <c r="AE534" s="56"/>
      <c r="AF534" s="170"/>
      <c r="AG534" s="56"/>
      <c r="AH534" s="56"/>
      <c r="AI534" s="168"/>
      <c r="AJ534" s="56"/>
      <c r="AK534" s="56"/>
      <c r="AL534" s="56"/>
      <c r="AM534" s="56"/>
      <c r="AN534" s="56"/>
      <c r="AO534" s="56"/>
      <c r="AP534" s="56"/>
      <c r="AQ534" s="56"/>
      <c r="AR534" s="168"/>
      <c r="AS534" s="56"/>
      <c r="AT534" s="56"/>
      <c r="AU534" s="56"/>
      <c r="AV534" s="56"/>
      <c r="AW534" s="56"/>
      <c r="AX534" s="56"/>
      <c r="AY534" s="56"/>
      <c r="AZ534" s="56"/>
      <c r="BA534" s="168"/>
      <c r="BB534" s="56"/>
      <c r="BC534" s="56"/>
      <c r="BD534" s="56"/>
      <c r="BE534" s="168"/>
      <c r="BF534" s="56"/>
      <c r="BG534" s="10"/>
      <c r="BH534" s="56"/>
      <c r="BI534" s="56"/>
      <c r="BJ534" s="56"/>
      <c r="BK534" s="56"/>
      <c r="BS534" s="144"/>
      <c r="CM534" s="144"/>
      <c r="DC534" s="144"/>
    </row>
    <row r="535" spans="1:107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1"/>
      <c r="M535" s="10"/>
      <c r="N535" s="56"/>
      <c r="O535" s="56"/>
      <c r="P535" s="10"/>
      <c r="Q535" s="158"/>
      <c r="R535" s="174"/>
      <c r="S535" s="164"/>
      <c r="T535" s="56"/>
      <c r="U535" s="56"/>
      <c r="V535" s="56"/>
      <c r="W535" s="158"/>
      <c r="X535" s="174"/>
      <c r="Y535" s="168"/>
      <c r="Z535" s="10"/>
      <c r="AA535" s="56"/>
      <c r="AB535" s="56"/>
      <c r="AC535" s="56"/>
      <c r="AD535" s="56"/>
      <c r="AE535" s="56"/>
      <c r="AF535" s="170"/>
      <c r="AG535" s="56"/>
      <c r="AH535" s="56"/>
      <c r="AI535" s="168"/>
      <c r="AJ535" s="56"/>
      <c r="AK535" s="56"/>
      <c r="AL535" s="56"/>
      <c r="AM535" s="56"/>
      <c r="AN535" s="56"/>
      <c r="AO535" s="56"/>
      <c r="AP535" s="56"/>
      <c r="AQ535" s="56"/>
      <c r="AR535" s="168"/>
      <c r="AS535" s="56"/>
      <c r="AT535" s="56"/>
      <c r="AU535" s="56"/>
      <c r="AV535" s="56"/>
      <c r="AW535" s="56"/>
      <c r="AX535" s="56"/>
      <c r="AY535" s="56"/>
      <c r="AZ535" s="56"/>
      <c r="BA535" s="168"/>
      <c r="BB535" s="56"/>
      <c r="BC535" s="56"/>
      <c r="BD535" s="56"/>
      <c r="BE535" s="168"/>
      <c r="BF535" s="56"/>
      <c r="BG535" s="10"/>
      <c r="BH535" s="56"/>
      <c r="BI535" s="56"/>
      <c r="BJ535" s="56"/>
      <c r="BK535" s="56"/>
      <c r="BS535" s="144"/>
      <c r="CM535" s="144"/>
      <c r="DC535" s="144"/>
    </row>
    <row r="536" spans="1:107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1"/>
      <c r="M536" s="10"/>
      <c r="N536" s="56"/>
      <c r="O536" s="56"/>
      <c r="P536" s="10"/>
      <c r="Q536" s="158"/>
      <c r="R536" s="174"/>
      <c r="S536" s="164"/>
      <c r="T536" s="56"/>
      <c r="U536" s="56"/>
      <c r="V536" s="56"/>
      <c r="W536" s="158"/>
      <c r="X536" s="174"/>
      <c r="Y536" s="168"/>
      <c r="Z536" s="10"/>
      <c r="AA536" s="56"/>
      <c r="AB536" s="56"/>
      <c r="AC536" s="56"/>
      <c r="AD536" s="56"/>
      <c r="AE536" s="56"/>
      <c r="AF536" s="170"/>
      <c r="AG536" s="56"/>
      <c r="AH536" s="56"/>
      <c r="AI536" s="168"/>
      <c r="AJ536" s="56"/>
      <c r="AK536" s="56"/>
      <c r="AL536" s="56"/>
      <c r="AM536" s="56"/>
      <c r="AN536" s="56"/>
      <c r="AO536" s="56"/>
      <c r="AP536" s="56"/>
      <c r="AQ536" s="56"/>
      <c r="AR536" s="168"/>
      <c r="AS536" s="56"/>
      <c r="AT536" s="56"/>
      <c r="AU536" s="56"/>
      <c r="AV536" s="56"/>
      <c r="AW536" s="56"/>
      <c r="AX536" s="56"/>
      <c r="AY536" s="56"/>
      <c r="AZ536" s="56"/>
      <c r="BA536" s="168"/>
      <c r="BB536" s="56"/>
      <c r="BC536" s="56"/>
      <c r="BD536" s="56"/>
      <c r="BE536" s="168"/>
      <c r="BF536" s="56"/>
      <c r="BG536" s="10"/>
      <c r="BH536" s="56"/>
      <c r="BI536" s="56"/>
      <c r="BJ536" s="56"/>
      <c r="BK536" s="56"/>
      <c r="BS536" s="144"/>
      <c r="CM536" s="144"/>
      <c r="DC536" s="144"/>
    </row>
    <row r="537" spans="1:107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1"/>
      <c r="M537" s="10"/>
      <c r="N537" s="56"/>
      <c r="O537" s="56"/>
      <c r="P537" s="10"/>
      <c r="Q537" s="158"/>
      <c r="R537" s="174"/>
      <c r="S537" s="164"/>
      <c r="T537" s="56"/>
      <c r="U537" s="56"/>
      <c r="V537" s="56"/>
      <c r="W537" s="158"/>
      <c r="X537" s="174"/>
      <c r="Y537" s="168"/>
      <c r="Z537" s="10"/>
      <c r="AA537" s="56"/>
      <c r="AB537" s="56"/>
      <c r="AC537" s="56"/>
      <c r="AD537" s="56"/>
      <c r="AE537" s="56"/>
      <c r="AF537" s="170"/>
      <c r="AG537" s="56"/>
      <c r="AH537" s="56"/>
      <c r="AI537" s="168"/>
      <c r="AJ537" s="56"/>
      <c r="AK537" s="56"/>
      <c r="AL537" s="56"/>
      <c r="AM537" s="56"/>
      <c r="AN537" s="56"/>
      <c r="AO537" s="56"/>
      <c r="AP537" s="56"/>
      <c r="AQ537" s="56"/>
      <c r="AR537" s="168"/>
      <c r="AS537" s="56"/>
      <c r="AT537" s="56"/>
      <c r="AU537" s="56"/>
      <c r="AV537" s="56"/>
      <c r="AW537" s="56"/>
      <c r="AX537" s="56"/>
      <c r="AY537" s="56"/>
      <c r="AZ537" s="56"/>
      <c r="BA537" s="168"/>
      <c r="BB537" s="56"/>
      <c r="BC537" s="56"/>
      <c r="BD537" s="56"/>
      <c r="BE537" s="168"/>
      <c r="BF537" s="56"/>
      <c r="BG537" s="10"/>
      <c r="BH537" s="56"/>
      <c r="BI537" s="56"/>
      <c r="BJ537" s="56"/>
      <c r="BK537" s="56"/>
      <c r="BS537" s="144"/>
      <c r="CM537" s="144"/>
      <c r="DC537" s="144"/>
    </row>
    <row r="538" spans="1:107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1"/>
      <c r="M538" s="10"/>
      <c r="N538" s="56"/>
      <c r="O538" s="56"/>
      <c r="P538" s="10"/>
      <c r="Q538" s="158"/>
      <c r="R538" s="174"/>
      <c r="S538" s="164"/>
      <c r="T538" s="56"/>
      <c r="U538" s="56"/>
      <c r="V538" s="56"/>
      <c r="W538" s="158"/>
      <c r="X538" s="174"/>
      <c r="Y538" s="168"/>
      <c r="Z538" s="10"/>
      <c r="AA538" s="56"/>
      <c r="AB538" s="56"/>
      <c r="AC538" s="56"/>
      <c r="AD538" s="56"/>
      <c r="AE538" s="56"/>
      <c r="AF538" s="170"/>
      <c r="AG538" s="56"/>
      <c r="AH538" s="56"/>
      <c r="AI538" s="168"/>
      <c r="AJ538" s="56"/>
      <c r="AK538" s="56"/>
      <c r="AL538" s="56"/>
      <c r="AM538" s="56"/>
      <c r="AN538" s="56"/>
      <c r="AO538" s="56"/>
      <c r="AP538" s="56"/>
      <c r="AQ538" s="56"/>
      <c r="AR538" s="168"/>
      <c r="AS538" s="56"/>
      <c r="AT538" s="56"/>
      <c r="AU538" s="56"/>
      <c r="AV538" s="56"/>
      <c r="AW538" s="56"/>
      <c r="AX538" s="56"/>
      <c r="AY538" s="56"/>
      <c r="AZ538" s="56"/>
      <c r="BA538" s="168"/>
      <c r="BB538" s="56"/>
      <c r="BC538" s="56"/>
      <c r="BD538" s="56"/>
      <c r="BE538" s="168"/>
      <c r="BF538" s="56"/>
      <c r="BG538" s="10"/>
      <c r="BH538" s="56"/>
      <c r="BI538" s="56"/>
      <c r="BJ538" s="56"/>
      <c r="BK538" s="56"/>
      <c r="BS538" s="144"/>
      <c r="CM538" s="144"/>
      <c r="DC538" s="144"/>
    </row>
    <row r="539" spans="1:107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1"/>
      <c r="M539" s="10"/>
      <c r="N539" s="56"/>
      <c r="O539" s="56"/>
      <c r="P539" s="10"/>
      <c r="Q539" s="158"/>
      <c r="R539" s="174"/>
      <c r="S539" s="164"/>
      <c r="T539" s="56"/>
      <c r="U539" s="56"/>
      <c r="V539" s="56"/>
      <c r="W539" s="158"/>
      <c r="X539" s="174"/>
      <c r="Y539" s="168"/>
      <c r="Z539" s="10"/>
      <c r="AA539" s="56"/>
      <c r="AB539" s="56"/>
      <c r="AC539" s="56"/>
      <c r="AD539" s="56"/>
      <c r="AE539" s="56"/>
      <c r="AF539" s="170"/>
      <c r="AG539" s="56"/>
      <c r="AH539" s="56"/>
      <c r="AI539" s="168"/>
      <c r="AJ539" s="56"/>
      <c r="AK539" s="56"/>
      <c r="AL539" s="56"/>
      <c r="AM539" s="56"/>
      <c r="AN539" s="56"/>
      <c r="AO539" s="56"/>
      <c r="AP539" s="56"/>
      <c r="AQ539" s="56"/>
      <c r="AR539" s="168"/>
      <c r="AS539" s="56"/>
      <c r="AT539" s="56"/>
      <c r="AU539" s="56"/>
      <c r="AV539" s="56"/>
      <c r="AW539" s="56"/>
      <c r="AX539" s="56"/>
      <c r="AY539" s="56"/>
      <c r="AZ539" s="56"/>
      <c r="BA539" s="168"/>
      <c r="BB539" s="56"/>
      <c r="BC539" s="56"/>
      <c r="BD539" s="56"/>
      <c r="BE539" s="168"/>
      <c r="BF539" s="56"/>
      <c r="BG539" s="10"/>
      <c r="BH539" s="56"/>
      <c r="BI539" s="56"/>
      <c r="BJ539" s="56"/>
      <c r="BK539" s="56"/>
      <c r="BS539" s="144"/>
      <c r="CM539" s="144"/>
      <c r="DC539" s="144"/>
    </row>
    <row r="540" spans="1:107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1"/>
      <c r="M540" s="10"/>
      <c r="N540" s="56"/>
      <c r="O540" s="56"/>
      <c r="P540" s="10"/>
      <c r="Q540" s="158"/>
      <c r="R540" s="174"/>
      <c r="S540" s="164"/>
      <c r="T540" s="56"/>
      <c r="U540" s="56"/>
      <c r="V540" s="56"/>
      <c r="W540" s="158"/>
      <c r="X540" s="174"/>
      <c r="Y540" s="168"/>
      <c r="Z540" s="10"/>
      <c r="AA540" s="56"/>
      <c r="AB540" s="56"/>
      <c r="AC540" s="56"/>
      <c r="AD540" s="56"/>
      <c r="AE540" s="56"/>
      <c r="AF540" s="170"/>
      <c r="AG540" s="56"/>
      <c r="AH540" s="56"/>
      <c r="AI540" s="168"/>
      <c r="AJ540" s="56"/>
      <c r="AK540" s="56"/>
      <c r="AL540" s="56"/>
      <c r="AM540" s="56"/>
      <c r="AN540" s="56"/>
      <c r="AO540" s="56"/>
      <c r="AP540" s="56"/>
      <c r="AQ540" s="56"/>
      <c r="AR540" s="168"/>
      <c r="AS540" s="56"/>
      <c r="AT540" s="56"/>
      <c r="AU540" s="56"/>
      <c r="AV540" s="56"/>
      <c r="AW540" s="56"/>
      <c r="AX540" s="56"/>
      <c r="AY540" s="56"/>
      <c r="AZ540" s="56"/>
      <c r="BA540" s="168"/>
      <c r="BB540" s="56"/>
      <c r="BC540" s="56"/>
      <c r="BD540" s="56"/>
      <c r="BE540" s="168"/>
      <c r="BF540" s="56"/>
      <c r="BG540" s="10"/>
      <c r="BH540" s="56"/>
      <c r="BI540" s="56"/>
      <c r="BJ540" s="56"/>
      <c r="BK540" s="56"/>
      <c r="BS540" s="144"/>
      <c r="CM540" s="144"/>
      <c r="DC540" s="144"/>
    </row>
    <row r="541" spans="1:107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1"/>
      <c r="M541" s="10"/>
      <c r="N541" s="56"/>
      <c r="O541" s="56"/>
      <c r="P541" s="10"/>
      <c r="Q541" s="158"/>
      <c r="R541" s="174"/>
      <c r="S541" s="164"/>
      <c r="T541" s="56"/>
      <c r="U541" s="56"/>
      <c r="V541" s="56"/>
      <c r="W541" s="158"/>
      <c r="X541" s="174"/>
      <c r="Y541" s="168"/>
      <c r="Z541" s="10"/>
      <c r="AA541" s="56"/>
      <c r="AB541" s="56"/>
      <c r="AC541" s="56"/>
      <c r="AD541" s="56"/>
      <c r="AE541" s="56"/>
      <c r="AF541" s="170"/>
      <c r="AG541" s="56"/>
      <c r="AH541" s="56"/>
      <c r="AI541" s="168"/>
      <c r="AJ541" s="56"/>
      <c r="AK541" s="56"/>
      <c r="AL541" s="56"/>
      <c r="AM541" s="56"/>
      <c r="AN541" s="56"/>
      <c r="AO541" s="56"/>
      <c r="AP541" s="56"/>
      <c r="AQ541" s="56"/>
      <c r="AR541" s="168"/>
      <c r="AS541" s="56"/>
      <c r="AT541" s="56"/>
      <c r="AU541" s="56"/>
      <c r="AV541" s="56"/>
      <c r="AW541" s="56"/>
      <c r="AX541" s="56"/>
      <c r="AY541" s="56"/>
      <c r="AZ541" s="56"/>
      <c r="BA541" s="168"/>
      <c r="BB541" s="56"/>
      <c r="BC541" s="56"/>
      <c r="BD541" s="56"/>
      <c r="BE541" s="168"/>
      <c r="BF541" s="56"/>
      <c r="BG541" s="10"/>
      <c r="BH541" s="56"/>
      <c r="BI541" s="56"/>
      <c r="BJ541" s="56"/>
      <c r="BK541" s="56"/>
      <c r="BS541" s="144"/>
      <c r="CM541" s="144"/>
      <c r="DC541" s="144"/>
    </row>
    <row r="542" spans="1:107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1"/>
      <c r="M542" s="10"/>
      <c r="N542" s="56"/>
      <c r="O542" s="56"/>
      <c r="P542" s="10"/>
      <c r="Q542" s="158"/>
      <c r="R542" s="174"/>
      <c r="S542" s="164"/>
      <c r="T542" s="56"/>
      <c r="U542" s="56"/>
      <c r="V542" s="56"/>
      <c r="W542" s="158"/>
      <c r="X542" s="174"/>
      <c r="Y542" s="168"/>
      <c r="Z542" s="10"/>
      <c r="AA542" s="56"/>
      <c r="AB542" s="56"/>
      <c r="AC542" s="56"/>
      <c r="AD542" s="56"/>
      <c r="AE542" s="56"/>
      <c r="AF542" s="170"/>
      <c r="AG542" s="56"/>
      <c r="AH542" s="56"/>
      <c r="AI542" s="168"/>
      <c r="AJ542" s="56"/>
      <c r="AK542" s="56"/>
      <c r="AL542" s="56"/>
      <c r="AM542" s="56"/>
      <c r="AN542" s="56"/>
      <c r="AO542" s="56"/>
      <c r="AP542" s="56"/>
      <c r="AQ542" s="56"/>
      <c r="AR542" s="168"/>
      <c r="AS542" s="56"/>
      <c r="AT542" s="56"/>
      <c r="AU542" s="56"/>
      <c r="AV542" s="56"/>
      <c r="AW542" s="56"/>
      <c r="AX542" s="56"/>
      <c r="AY542" s="56"/>
      <c r="AZ542" s="56"/>
      <c r="BA542" s="168"/>
      <c r="BB542" s="56"/>
      <c r="BC542" s="56"/>
      <c r="BD542" s="56"/>
      <c r="BE542" s="168"/>
      <c r="BF542" s="56"/>
      <c r="BG542" s="10"/>
      <c r="BH542" s="56"/>
      <c r="BI542" s="56"/>
      <c r="BJ542" s="56"/>
      <c r="BK542" s="56"/>
      <c r="BS542" s="144"/>
      <c r="CM542" s="144"/>
      <c r="DC542" s="144"/>
    </row>
    <row r="543" spans="1:107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1"/>
      <c r="M543" s="10"/>
      <c r="N543" s="56"/>
      <c r="O543" s="56"/>
      <c r="P543" s="10"/>
      <c r="Q543" s="158"/>
      <c r="R543" s="174"/>
      <c r="S543" s="164"/>
      <c r="T543" s="56"/>
      <c r="U543" s="56"/>
      <c r="V543" s="56"/>
      <c r="W543" s="158"/>
      <c r="X543" s="174"/>
      <c r="Y543" s="168"/>
      <c r="Z543" s="10"/>
      <c r="AA543" s="56"/>
      <c r="AB543" s="56"/>
      <c r="AC543" s="56"/>
      <c r="AD543" s="56"/>
      <c r="AE543" s="56"/>
      <c r="AF543" s="170"/>
      <c r="AG543" s="56"/>
      <c r="AH543" s="56"/>
      <c r="AI543" s="168"/>
      <c r="AJ543" s="56"/>
      <c r="AK543" s="56"/>
      <c r="AL543" s="56"/>
      <c r="AM543" s="56"/>
      <c r="AN543" s="56"/>
      <c r="AO543" s="56"/>
      <c r="AP543" s="56"/>
      <c r="AQ543" s="56"/>
      <c r="AR543" s="168"/>
      <c r="AS543" s="56"/>
      <c r="AT543" s="56"/>
      <c r="AU543" s="56"/>
      <c r="AV543" s="56"/>
      <c r="AW543" s="56"/>
      <c r="AX543" s="56"/>
      <c r="AY543" s="56"/>
      <c r="AZ543" s="56"/>
      <c r="BA543" s="168"/>
      <c r="BB543" s="56"/>
      <c r="BC543" s="56"/>
      <c r="BD543" s="56"/>
      <c r="BE543" s="168"/>
      <c r="BF543" s="56"/>
      <c r="BG543" s="10"/>
      <c r="BH543" s="56"/>
      <c r="BI543" s="56"/>
      <c r="BJ543" s="56"/>
      <c r="BK543" s="56"/>
      <c r="BS543" s="144"/>
      <c r="CM543" s="144"/>
      <c r="DC543" s="144"/>
    </row>
    <row r="544" spans="1:107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1"/>
      <c r="M544" s="10"/>
      <c r="N544" s="56"/>
      <c r="O544" s="56"/>
      <c r="P544" s="10"/>
      <c r="Q544" s="158"/>
      <c r="R544" s="174"/>
      <c r="S544" s="164"/>
      <c r="T544" s="56"/>
      <c r="U544" s="56"/>
      <c r="V544" s="56"/>
      <c r="W544" s="158"/>
      <c r="X544" s="174"/>
      <c r="Y544" s="168"/>
      <c r="Z544" s="10"/>
      <c r="AA544" s="56"/>
      <c r="AB544" s="56"/>
      <c r="AC544" s="56"/>
      <c r="AD544" s="56"/>
      <c r="AE544" s="56"/>
      <c r="AF544" s="170"/>
      <c r="AG544" s="56"/>
      <c r="AH544" s="56"/>
      <c r="AI544" s="168"/>
      <c r="AJ544" s="56"/>
      <c r="AK544" s="56"/>
      <c r="AL544" s="56"/>
      <c r="AM544" s="56"/>
      <c r="AN544" s="56"/>
      <c r="AO544" s="56"/>
      <c r="AP544" s="56"/>
      <c r="AQ544" s="56"/>
      <c r="AR544" s="168"/>
      <c r="AS544" s="56"/>
      <c r="AT544" s="56"/>
      <c r="AU544" s="56"/>
      <c r="AV544" s="56"/>
      <c r="AW544" s="56"/>
      <c r="AX544" s="56"/>
      <c r="AY544" s="56"/>
      <c r="AZ544" s="56"/>
      <c r="BA544" s="168"/>
      <c r="BB544" s="56"/>
      <c r="BC544" s="56"/>
      <c r="BD544" s="56"/>
      <c r="BE544" s="168"/>
      <c r="BF544" s="56"/>
      <c r="BG544" s="10"/>
      <c r="BH544" s="56"/>
      <c r="BI544" s="56"/>
      <c r="BJ544" s="56"/>
      <c r="BK544" s="56"/>
      <c r="BS544" s="144"/>
      <c r="CM544" s="144"/>
      <c r="DC544" s="144"/>
    </row>
    <row r="545" spans="1:107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1"/>
      <c r="M545" s="10"/>
      <c r="N545" s="56"/>
      <c r="O545" s="56"/>
      <c r="P545" s="10"/>
      <c r="Q545" s="158"/>
      <c r="R545" s="174"/>
      <c r="S545" s="164"/>
      <c r="T545" s="56"/>
      <c r="U545" s="56"/>
      <c r="V545" s="56"/>
      <c r="W545" s="158"/>
      <c r="X545" s="174"/>
      <c r="Y545" s="168"/>
      <c r="Z545" s="10"/>
      <c r="AA545" s="56"/>
      <c r="AB545" s="56"/>
      <c r="AC545" s="56"/>
      <c r="AD545" s="56"/>
      <c r="AE545" s="56"/>
      <c r="AF545" s="170"/>
      <c r="AG545" s="56"/>
      <c r="AH545" s="56"/>
      <c r="AI545" s="168"/>
      <c r="AJ545" s="56"/>
      <c r="AK545" s="56"/>
      <c r="AL545" s="56"/>
      <c r="AM545" s="56"/>
      <c r="AN545" s="56"/>
      <c r="AO545" s="56"/>
      <c r="AP545" s="56"/>
      <c r="AQ545" s="56"/>
      <c r="AR545" s="168"/>
      <c r="AS545" s="56"/>
      <c r="AT545" s="56"/>
      <c r="AU545" s="56"/>
      <c r="AV545" s="56"/>
      <c r="AW545" s="56"/>
      <c r="AX545" s="56"/>
      <c r="AY545" s="56"/>
      <c r="AZ545" s="56"/>
      <c r="BA545" s="168"/>
      <c r="BB545" s="56"/>
      <c r="BC545" s="56"/>
      <c r="BD545" s="56"/>
      <c r="BE545" s="168"/>
      <c r="BF545" s="56"/>
      <c r="BG545" s="10"/>
      <c r="BH545" s="56"/>
      <c r="BI545" s="56"/>
      <c r="BJ545" s="56"/>
      <c r="BK545" s="56"/>
      <c r="BS545" s="144"/>
      <c r="CM545" s="144"/>
      <c r="DC545" s="144"/>
    </row>
    <row r="546" spans="1:107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1"/>
      <c r="M546" s="10"/>
      <c r="N546" s="56"/>
      <c r="O546" s="56"/>
      <c r="P546" s="10"/>
      <c r="Q546" s="158"/>
      <c r="R546" s="174"/>
      <c r="S546" s="164"/>
      <c r="T546" s="56"/>
      <c r="U546" s="56"/>
      <c r="V546" s="56"/>
      <c r="W546" s="158"/>
      <c r="X546" s="174"/>
      <c r="Y546" s="168"/>
      <c r="Z546" s="10"/>
      <c r="AA546" s="56"/>
      <c r="AB546" s="56"/>
      <c r="AC546" s="56"/>
      <c r="AD546" s="56"/>
      <c r="AE546" s="56"/>
      <c r="AF546" s="170"/>
      <c r="AG546" s="56"/>
      <c r="AH546" s="56"/>
      <c r="AI546" s="168"/>
      <c r="AJ546" s="56"/>
      <c r="AK546" s="56"/>
      <c r="AL546" s="56"/>
      <c r="AM546" s="56"/>
      <c r="AN546" s="56"/>
      <c r="AO546" s="56"/>
      <c r="AP546" s="56"/>
      <c r="AQ546" s="56"/>
      <c r="AR546" s="168"/>
      <c r="AS546" s="56"/>
      <c r="AT546" s="56"/>
      <c r="AU546" s="56"/>
      <c r="AV546" s="56"/>
      <c r="AW546" s="56"/>
      <c r="AX546" s="56"/>
      <c r="AY546" s="56"/>
      <c r="AZ546" s="56"/>
      <c r="BA546" s="168"/>
      <c r="BB546" s="56"/>
      <c r="BC546" s="56"/>
      <c r="BD546" s="56"/>
      <c r="BE546" s="168"/>
      <c r="BF546" s="56"/>
      <c r="BG546" s="10"/>
      <c r="BH546" s="56"/>
      <c r="BI546" s="56"/>
      <c r="BJ546" s="56"/>
      <c r="BK546" s="56"/>
      <c r="BS546" s="144"/>
      <c r="CM546" s="144"/>
      <c r="DC546" s="144"/>
    </row>
    <row r="547" spans="1:107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1"/>
      <c r="M547" s="10"/>
      <c r="N547" s="56"/>
      <c r="O547" s="56"/>
      <c r="P547" s="10"/>
      <c r="Q547" s="158"/>
      <c r="R547" s="174"/>
      <c r="S547" s="164"/>
      <c r="T547" s="56"/>
      <c r="U547" s="56"/>
      <c r="V547" s="56"/>
      <c r="W547" s="158"/>
      <c r="X547" s="174"/>
      <c r="Y547" s="168"/>
      <c r="Z547" s="10"/>
      <c r="AA547" s="56"/>
      <c r="AB547" s="56"/>
      <c r="AC547" s="56"/>
      <c r="AD547" s="56"/>
      <c r="AE547" s="56"/>
      <c r="AF547" s="170"/>
      <c r="AG547" s="56"/>
      <c r="AH547" s="56"/>
      <c r="AI547" s="168"/>
      <c r="AJ547" s="56"/>
      <c r="AK547" s="56"/>
      <c r="AL547" s="56"/>
      <c r="AM547" s="56"/>
      <c r="AN547" s="56"/>
      <c r="AO547" s="56"/>
      <c r="AP547" s="56"/>
      <c r="AQ547" s="56"/>
      <c r="AR547" s="168"/>
      <c r="AS547" s="56"/>
      <c r="AT547" s="56"/>
      <c r="AU547" s="56"/>
      <c r="AV547" s="56"/>
      <c r="AW547" s="56"/>
      <c r="AX547" s="56"/>
      <c r="AY547" s="56"/>
      <c r="AZ547" s="56"/>
      <c r="BA547" s="168"/>
      <c r="BB547" s="56"/>
      <c r="BC547" s="56"/>
      <c r="BD547" s="56"/>
      <c r="BE547" s="168"/>
      <c r="BF547" s="56"/>
      <c r="BG547" s="10"/>
      <c r="BH547" s="56"/>
      <c r="BI547" s="56"/>
      <c r="BJ547" s="56"/>
      <c r="BK547" s="56"/>
      <c r="BS547" s="144"/>
      <c r="CM547" s="144"/>
      <c r="DC547" s="144"/>
    </row>
    <row r="548" spans="1:107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1"/>
      <c r="M548" s="10"/>
      <c r="N548" s="56"/>
      <c r="O548" s="56"/>
      <c r="P548" s="10"/>
      <c r="Q548" s="158"/>
      <c r="R548" s="174"/>
      <c r="S548" s="164"/>
      <c r="T548" s="56"/>
      <c r="U548" s="56"/>
      <c r="V548" s="56"/>
      <c r="W548" s="158"/>
      <c r="X548" s="174"/>
      <c r="Y548" s="168"/>
      <c r="Z548" s="10"/>
      <c r="AA548" s="56"/>
      <c r="AB548" s="56"/>
      <c r="AC548" s="56"/>
      <c r="AD548" s="56"/>
      <c r="AE548" s="56"/>
      <c r="AF548" s="170"/>
      <c r="AG548" s="56"/>
      <c r="AH548" s="56"/>
      <c r="AI548" s="168"/>
      <c r="AJ548" s="56"/>
      <c r="AK548" s="56"/>
      <c r="AL548" s="56"/>
      <c r="AM548" s="56"/>
      <c r="AN548" s="56"/>
      <c r="AO548" s="56"/>
      <c r="AP548" s="56"/>
      <c r="AQ548" s="56"/>
      <c r="AR548" s="168"/>
      <c r="AS548" s="56"/>
      <c r="AT548" s="56"/>
      <c r="AU548" s="56"/>
      <c r="AV548" s="56"/>
      <c r="AW548" s="56"/>
      <c r="AX548" s="56"/>
      <c r="AY548" s="56"/>
      <c r="AZ548" s="56"/>
      <c r="BA548" s="168"/>
      <c r="BB548" s="56"/>
      <c r="BC548" s="56"/>
      <c r="BD548" s="56"/>
      <c r="BE548" s="168"/>
      <c r="BF548" s="56"/>
      <c r="BG548" s="10"/>
      <c r="BH548" s="56"/>
      <c r="BI548" s="56"/>
      <c r="BJ548" s="56"/>
      <c r="BK548" s="56"/>
      <c r="BS548" s="144"/>
      <c r="CM548" s="144"/>
      <c r="DC548" s="144"/>
    </row>
    <row r="549" spans="1:107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1"/>
      <c r="M549" s="10"/>
      <c r="N549" s="56"/>
      <c r="O549" s="56"/>
      <c r="P549" s="10"/>
      <c r="Q549" s="158"/>
      <c r="R549" s="174"/>
      <c r="S549" s="164"/>
      <c r="T549" s="56"/>
      <c r="U549" s="56"/>
      <c r="V549" s="56"/>
      <c r="W549" s="158"/>
      <c r="X549" s="174"/>
      <c r="Y549" s="168"/>
      <c r="Z549" s="10"/>
      <c r="AA549" s="56"/>
      <c r="AB549" s="56"/>
      <c r="AC549" s="56"/>
      <c r="AD549" s="56"/>
      <c r="AE549" s="56"/>
      <c r="AF549" s="170"/>
      <c r="AG549" s="56"/>
      <c r="AH549" s="56"/>
      <c r="AI549" s="168"/>
      <c r="AJ549" s="56"/>
      <c r="AK549" s="56"/>
      <c r="AL549" s="56"/>
      <c r="AM549" s="56"/>
      <c r="AN549" s="56"/>
      <c r="AO549" s="56"/>
      <c r="AP549" s="56"/>
      <c r="AQ549" s="56"/>
      <c r="AR549" s="168"/>
      <c r="AS549" s="56"/>
      <c r="AT549" s="56"/>
      <c r="AU549" s="56"/>
      <c r="AV549" s="56"/>
      <c r="AW549" s="56"/>
      <c r="AX549" s="56"/>
      <c r="AY549" s="56"/>
      <c r="AZ549" s="56"/>
      <c r="BA549" s="168"/>
      <c r="BB549" s="56"/>
      <c r="BC549" s="56"/>
      <c r="BD549" s="56"/>
      <c r="BE549" s="168"/>
      <c r="BF549" s="56"/>
      <c r="BG549" s="10"/>
      <c r="BH549" s="56"/>
      <c r="BI549" s="56"/>
      <c r="BJ549" s="56"/>
      <c r="BK549" s="56"/>
      <c r="BS549" s="144"/>
      <c r="CM549" s="144"/>
      <c r="DC549" s="144"/>
    </row>
    <row r="550" spans="1:107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1"/>
      <c r="M550" s="10"/>
      <c r="N550" s="56"/>
      <c r="O550" s="56"/>
      <c r="P550" s="10"/>
      <c r="Q550" s="158"/>
      <c r="R550" s="174"/>
      <c r="S550" s="164"/>
      <c r="T550" s="56"/>
      <c r="U550" s="56"/>
      <c r="V550" s="56"/>
      <c r="W550" s="158"/>
      <c r="X550" s="174"/>
      <c r="Y550" s="168"/>
      <c r="Z550" s="10"/>
      <c r="AA550" s="56"/>
      <c r="AB550" s="56"/>
      <c r="AC550" s="56"/>
      <c r="AD550" s="56"/>
      <c r="AE550" s="56"/>
      <c r="AF550" s="170"/>
      <c r="AG550" s="56"/>
      <c r="AH550" s="56"/>
      <c r="AI550" s="168"/>
      <c r="AJ550" s="56"/>
      <c r="AK550" s="56"/>
      <c r="AL550" s="56"/>
      <c r="AM550" s="56"/>
      <c r="AN550" s="56"/>
      <c r="AO550" s="56"/>
      <c r="AP550" s="56"/>
      <c r="AQ550" s="56"/>
      <c r="AR550" s="168"/>
      <c r="AS550" s="56"/>
      <c r="AT550" s="56"/>
      <c r="AU550" s="56"/>
      <c r="AV550" s="56"/>
      <c r="AW550" s="56"/>
      <c r="AX550" s="56"/>
      <c r="AY550" s="56"/>
      <c r="AZ550" s="56"/>
      <c r="BA550" s="168"/>
      <c r="BB550" s="56"/>
      <c r="BC550" s="56"/>
      <c r="BD550" s="56"/>
      <c r="BE550" s="168"/>
      <c r="BF550" s="56"/>
      <c r="BG550" s="10"/>
      <c r="BH550" s="56"/>
      <c r="BI550" s="56"/>
      <c r="BJ550" s="56"/>
      <c r="BK550" s="56"/>
      <c r="BS550" s="144"/>
      <c r="CM550" s="144"/>
      <c r="DC550" s="144"/>
    </row>
    <row r="551" spans="1:107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1"/>
      <c r="M551" s="10"/>
      <c r="N551" s="56"/>
      <c r="O551" s="56"/>
      <c r="P551" s="10"/>
      <c r="Q551" s="158"/>
      <c r="R551" s="174"/>
      <c r="S551" s="164"/>
      <c r="T551" s="56"/>
      <c r="U551" s="56"/>
      <c r="V551" s="56"/>
      <c r="W551" s="158"/>
      <c r="X551" s="174"/>
      <c r="Y551" s="168"/>
      <c r="Z551" s="10"/>
      <c r="AA551" s="56"/>
      <c r="AB551" s="56"/>
      <c r="AC551" s="56"/>
      <c r="AD551" s="56"/>
      <c r="AE551" s="56"/>
      <c r="AF551" s="170"/>
      <c r="AG551" s="56"/>
      <c r="AH551" s="56"/>
      <c r="AI551" s="168"/>
      <c r="AJ551" s="56"/>
      <c r="AK551" s="56"/>
      <c r="AL551" s="56"/>
      <c r="AM551" s="56"/>
      <c r="AN551" s="56"/>
      <c r="AO551" s="56"/>
      <c r="AP551" s="56"/>
      <c r="AQ551" s="56"/>
      <c r="AR551" s="168"/>
      <c r="AS551" s="56"/>
      <c r="AT551" s="56"/>
      <c r="AU551" s="56"/>
      <c r="AV551" s="56"/>
      <c r="AW551" s="56"/>
      <c r="AX551" s="56"/>
      <c r="AY551" s="56"/>
      <c r="AZ551" s="56"/>
      <c r="BA551" s="168"/>
      <c r="BB551" s="56"/>
      <c r="BC551" s="56"/>
      <c r="BD551" s="56"/>
      <c r="BE551" s="168"/>
      <c r="BF551" s="56"/>
      <c r="BG551" s="10"/>
      <c r="BH551" s="56"/>
      <c r="BI551" s="56"/>
      <c r="BJ551" s="56"/>
      <c r="BK551" s="56"/>
      <c r="BS551" s="144"/>
      <c r="CM551" s="144"/>
      <c r="DC551" s="144"/>
    </row>
    <row r="552" spans="1:107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1"/>
      <c r="M552" s="10"/>
      <c r="N552" s="56"/>
      <c r="O552" s="56"/>
      <c r="P552" s="10"/>
      <c r="Q552" s="158"/>
      <c r="R552" s="174"/>
      <c r="S552" s="164"/>
      <c r="T552" s="56"/>
      <c r="U552" s="56"/>
      <c r="V552" s="56"/>
      <c r="W552" s="158"/>
      <c r="X552" s="174"/>
      <c r="Y552" s="168"/>
      <c r="Z552" s="10"/>
      <c r="AA552" s="56"/>
      <c r="AB552" s="56"/>
      <c r="AC552" s="56"/>
      <c r="AD552" s="56"/>
      <c r="AE552" s="56"/>
      <c r="AF552" s="170"/>
      <c r="AG552" s="56"/>
      <c r="AH552" s="56"/>
      <c r="AI552" s="168"/>
      <c r="AJ552" s="56"/>
      <c r="AK552" s="56"/>
      <c r="AL552" s="56"/>
      <c r="AM552" s="56"/>
      <c r="AN552" s="56"/>
      <c r="AO552" s="56"/>
      <c r="AP552" s="56"/>
      <c r="AQ552" s="56"/>
      <c r="AR552" s="168"/>
      <c r="AS552" s="56"/>
      <c r="AT552" s="56"/>
      <c r="AU552" s="56"/>
      <c r="AV552" s="56"/>
      <c r="AW552" s="56"/>
      <c r="AX552" s="56"/>
      <c r="AY552" s="56"/>
      <c r="AZ552" s="56"/>
      <c r="BA552" s="168"/>
      <c r="BB552" s="56"/>
      <c r="BC552" s="56"/>
      <c r="BD552" s="56"/>
      <c r="BE552" s="168"/>
      <c r="BF552" s="56"/>
      <c r="BG552" s="10"/>
      <c r="BH552" s="56"/>
      <c r="BI552" s="56"/>
      <c r="BJ552" s="56"/>
      <c r="BK552" s="56"/>
      <c r="BS552" s="144"/>
      <c r="CM552" s="144"/>
      <c r="DC552" s="144"/>
    </row>
    <row r="553" spans="1:107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1"/>
      <c r="M553" s="10"/>
      <c r="N553" s="56"/>
      <c r="O553" s="56"/>
      <c r="P553" s="10"/>
      <c r="Q553" s="158"/>
      <c r="R553" s="174"/>
      <c r="S553" s="164"/>
      <c r="T553" s="56"/>
      <c r="U553" s="56"/>
      <c r="V553" s="56"/>
      <c r="W553" s="158"/>
      <c r="X553" s="174"/>
      <c r="Y553" s="168"/>
      <c r="Z553" s="10"/>
      <c r="AA553" s="56"/>
      <c r="AB553" s="56"/>
      <c r="AC553" s="56"/>
      <c r="AD553" s="56"/>
      <c r="AE553" s="56"/>
      <c r="AF553" s="170"/>
      <c r="AG553" s="56"/>
      <c r="AH553" s="56"/>
      <c r="AI553" s="168"/>
      <c r="AJ553" s="56"/>
      <c r="AK553" s="56"/>
      <c r="AL553" s="56"/>
      <c r="AM553" s="56"/>
      <c r="AN553" s="56"/>
      <c r="AO553" s="56"/>
      <c r="AP553" s="56"/>
      <c r="AQ553" s="56"/>
      <c r="AR553" s="168"/>
      <c r="AS553" s="56"/>
      <c r="AT553" s="56"/>
      <c r="AU553" s="56"/>
      <c r="AV553" s="56"/>
      <c r="AW553" s="56"/>
      <c r="AX553" s="56"/>
      <c r="AY553" s="56"/>
      <c r="AZ553" s="56"/>
      <c r="BA553" s="168"/>
      <c r="BB553" s="56"/>
      <c r="BC553" s="56"/>
      <c r="BD553" s="56"/>
      <c r="BE553" s="168"/>
      <c r="BF553" s="56"/>
      <c r="BG553" s="10"/>
      <c r="BH553" s="56"/>
      <c r="BI553" s="56"/>
      <c r="BJ553" s="56"/>
      <c r="BK553" s="56"/>
      <c r="BS553" s="144"/>
      <c r="CM553" s="144"/>
      <c r="DC553" s="144"/>
    </row>
    <row r="554" spans="1:107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1"/>
      <c r="M554" s="10"/>
      <c r="N554" s="56"/>
      <c r="O554" s="56"/>
      <c r="P554" s="10"/>
      <c r="Q554" s="158"/>
      <c r="R554" s="174"/>
      <c r="S554" s="164"/>
      <c r="T554" s="56"/>
      <c r="U554" s="56"/>
      <c r="V554" s="56"/>
      <c r="W554" s="158"/>
      <c r="X554" s="174"/>
      <c r="Y554" s="168"/>
      <c r="Z554" s="10"/>
      <c r="AA554" s="56"/>
      <c r="AB554" s="56"/>
      <c r="AC554" s="56"/>
      <c r="AD554" s="56"/>
      <c r="AE554" s="56"/>
      <c r="AF554" s="170"/>
      <c r="AG554" s="56"/>
      <c r="AH554" s="56"/>
      <c r="AI554" s="168"/>
      <c r="AJ554" s="56"/>
      <c r="AK554" s="56"/>
      <c r="AL554" s="56"/>
      <c r="AM554" s="56"/>
      <c r="AN554" s="56"/>
      <c r="AO554" s="56"/>
      <c r="AP554" s="56"/>
      <c r="AQ554" s="56"/>
      <c r="AR554" s="168"/>
      <c r="AS554" s="56"/>
      <c r="AT554" s="56"/>
      <c r="AU554" s="56"/>
      <c r="AV554" s="56"/>
      <c r="AW554" s="56"/>
      <c r="AX554" s="56"/>
      <c r="AY554" s="56"/>
      <c r="AZ554" s="56"/>
      <c r="BA554" s="168"/>
      <c r="BB554" s="56"/>
      <c r="BC554" s="56"/>
      <c r="BD554" s="56"/>
      <c r="BE554" s="168"/>
      <c r="BF554" s="56"/>
      <c r="BG554" s="10"/>
      <c r="BH554" s="56"/>
      <c r="BI554" s="56"/>
      <c r="BJ554" s="56"/>
      <c r="BK554" s="56"/>
      <c r="BS554" s="144"/>
      <c r="CM554" s="144"/>
      <c r="DC554" s="144"/>
    </row>
    <row r="555" spans="1:107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1"/>
      <c r="M555" s="10"/>
      <c r="N555" s="56"/>
      <c r="O555" s="56"/>
      <c r="P555" s="10"/>
      <c r="Q555" s="158"/>
      <c r="R555" s="174"/>
      <c r="S555" s="164"/>
      <c r="T555" s="56"/>
      <c r="U555" s="56"/>
      <c r="V555" s="56"/>
      <c r="W555" s="158"/>
      <c r="X555" s="174"/>
      <c r="Y555" s="168"/>
      <c r="Z555" s="10"/>
      <c r="AA555" s="56"/>
      <c r="AB555" s="56"/>
      <c r="AC555" s="56"/>
      <c r="AD555" s="56"/>
      <c r="AE555" s="56"/>
      <c r="AF555" s="170"/>
      <c r="AG555" s="56"/>
      <c r="AH555" s="56"/>
      <c r="AI555" s="168"/>
      <c r="AJ555" s="56"/>
      <c r="AK555" s="56"/>
      <c r="AL555" s="56"/>
      <c r="AM555" s="56"/>
      <c r="AN555" s="56"/>
      <c r="AO555" s="56"/>
      <c r="AP555" s="56"/>
      <c r="AQ555" s="56"/>
      <c r="AR555" s="168"/>
      <c r="AS555" s="56"/>
      <c r="AT555" s="56"/>
      <c r="AU555" s="56"/>
      <c r="AV555" s="56"/>
      <c r="AW555" s="56"/>
      <c r="AX555" s="56"/>
      <c r="AY555" s="56"/>
      <c r="AZ555" s="56"/>
      <c r="BA555" s="168"/>
      <c r="BB555" s="56"/>
      <c r="BC555" s="56"/>
      <c r="BD555" s="56"/>
      <c r="BE555" s="168"/>
      <c r="BF555" s="56"/>
      <c r="BG555" s="10"/>
      <c r="BH555" s="56"/>
      <c r="BI555" s="56"/>
      <c r="BJ555" s="56"/>
      <c r="BK555" s="56"/>
      <c r="BS555" s="144"/>
      <c r="CM555" s="144"/>
      <c r="DC555" s="144"/>
    </row>
    <row r="556" spans="1:107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1"/>
      <c r="M556" s="10"/>
      <c r="N556" s="56"/>
      <c r="O556" s="56"/>
      <c r="P556" s="10"/>
      <c r="Q556" s="158"/>
      <c r="R556" s="174"/>
      <c r="S556" s="164"/>
      <c r="T556" s="56"/>
      <c r="U556" s="56"/>
      <c r="V556" s="56"/>
      <c r="W556" s="158"/>
      <c r="X556" s="174"/>
      <c r="Y556" s="168"/>
      <c r="Z556" s="10"/>
      <c r="AA556" s="56"/>
      <c r="AB556" s="56"/>
      <c r="AC556" s="56"/>
      <c r="AD556" s="56"/>
      <c r="AE556" s="56"/>
      <c r="AF556" s="170"/>
      <c r="AG556" s="56"/>
      <c r="AH556" s="56"/>
      <c r="AI556" s="168"/>
      <c r="AJ556" s="56"/>
      <c r="AK556" s="56"/>
      <c r="AL556" s="56"/>
      <c r="AM556" s="56"/>
      <c r="AN556" s="56"/>
      <c r="AO556" s="56"/>
      <c r="AP556" s="56"/>
      <c r="AQ556" s="56"/>
      <c r="AR556" s="168"/>
      <c r="AS556" s="56"/>
      <c r="AT556" s="56"/>
      <c r="AU556" s="56"/>
      <c r="AV556" s="56"/>
      <c r="AW556" s="56"/>
      <c r="AX556" s="56"/>
      <c r="AY556" s="56"/>
      <c r="AZ556" s="56"/>
      <c r="BA556" s="168"/>
      <c r="BB556" s="56"/>
      <c r="BC556" s="56"/>
      <c r="BD556" s="56"/>
      <c r="BE556" s="168"/>
      <c r="BF556" s="56"/>
      <c r="BG556" s="10"/>
      <c r="BH556" s="56"/>
      <c r="BI556" s="56"/>
      <c r="BJ556" s="56"/>
      <c r="BK556" s="56"/>
      <c r="BS556" s="144"/>
      <c r="CM556" s="144"/>
      <c r="DC556" s="144"/>
    </row>
    <row r="557" spans="1:107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1"/>
      <c r="M557" s="10"/>
      <c r="N557" s="56"/>
      <c r="O557" s="56"/>
      <c r="P557" s="10"/>
      <c r="Q557" s="158"/>
      <c r="R557" s="174"/>
      <c r="S557" s="164"/>
      <c r="T557" s="56"/>
      <c r="U557" s="56"/>
      <c r="V557" s="56"/>
      <c r="W557" s="158"/>
      <c r="X557" s="174"/>
      <c r="Y557" s="168"/>
      <c r="Z557" s="10"/>
      <c r="AA557" s="56"/>
      <c r="AB557" s="56"/>
      <c r="AC557" s="56"/>
      <c r="AD557" s="56"/>
      <c r="AE557" s="56"/>
      <c r="AF557" s="170"/>
      <c r="AG557" s="56"/>
      <c r="AH557" s="56"/>
      <c r="AI557" s="168"/>
      <c r="AJ557" s="56"/>
      <c r="AK557" s="56"/>
      <c r="AL557" s="56"/>
      <c r="AM557" s="56"/>
      <c r="AN557" s="56"/>
      <c r="AO557" s="56"/>
      <c r="AP557" s="56"/>
      <c r="AQ557" s="56"/>
      <c r="AR557" s="168"/>
      <c r="AS557" s="56"/>
      <c r="AT557" s="56"/>
      <c r="AU557" s="56"/>
      <c r="AV557" s="56"/>
      <c r="AW557" s="56"/>
      <c r="AX557" s="56"/>
      <c r="AY557" s="56"/>
      <c r="AZ557" s="56"/>
      <c r="BA557" s="168"/>
      <c r="BB557" s="56"/>
      <c r="BC557" s="56"/>
      <c r="BD557" s="56"/>
      <c r="BE557" s="168"/>
      <c r="BF557" s="56"/>
      <c r="BG557" s="10"/>
      <c r="BH557" s="56"/>
      <c r="BI557" s="56"/>
      <c r="BJ557" s="56"/>
      <c r="BK557" s="56"/>
      <c r="BS557" s="144"/>
      <c r="CM557" s="144"/>
      <c r="DC557" s="144"/>
    </row>
    <row r="558" spans="1:107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1"/>
      <c r="M558" s="10"/>
      <c r="N558" s="56"/>
      <c r="O558" s="56"/>
      <c r="P558" s="10"/>
      <c r="Q558" s="158"/>
      <c r="R558" s="174"/>
      <c r="S558" s="164"/>
      <c r="T558" s="56"/>
      <c r="U558" s="56"/>
      <c r="V558" s="56"/>
      <c r="W558" s="158"/>
      <c r="X558" s="174"/>
      <c r="Y558" s="168"/>
      <c r="Z558" s="10"/>
      <c r="AA558" s="56"/>
      <c r="AB558" s="56"/>
      <c r="AC558" s="56"/>
      <c r="AD558" s="56"/>
      <c r="AE558" s="56"/>
      <c r="AF558" s="170"/>
      <c r="AG558" s="56"/>
      <c r="AH558" s="56"/>
      <c r="AI558" s="168"/>
      <c r="AJ558" s="56"/>
      <c r="AK558" s="56"/>
      <c r="AL558" s="56"/>
      <c r="AM558" s="56"/>
      <c r="AN558" s="56"/>
      <c r="AO558" s="56"/>
      <c r="AP558" s="56"/>
      <c r="AQ558" s="56"/>
      <c r="AR558" s="168"/>
      <c r="AS558" s="56"/>
      <c r="AT558" s="56"/>
      <c r="AU558" s="56"/>
      <c r="AV558" s="56"/>
      <c r="AW558" s="56"/>
      <c r="AX558" s="56"/>
      <c r="AY558" s="56"/>
      <c r="AZ558" s="56"/>
      <c r="BA558" s="168"/>
      <c r="BB558" s="56"/>
      <c r="BC558" s="56"/>
      <c r="BD558" s="56"/>
      <c r="BE558" s="168"/>
      <c r="BF558" s="56"/>
      <c r="BG558" s="10"/>
      <c r="BH558" s="56"/>
      <c r="BI558" s="56"/>
      <c r="BJ558" s="56"/>
      <c r="BK558" s="56"/>
      <c r="BS558" s="144"/>
      <c r="CM558" s="144"/>
      <c r="DC558" s="144"/>
    </row>
    <row r="559" spans="1:107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1"/>
      <c r="M559" s="10"/>
      <c r="N559" s="56"/>
      <c r="O559" s="56"/>
      <c r="P559" s="10"/>
      <c r="Q559" s="158"/>
      <c r="R559" s="174"/>
      <c r="S559" s="164"/>
      <c r="T559" s="56"/>
      <c r="U559" s="56"/>
      <c r="V559" s="56"/>
      <c r="W559" s="158"/>
      <c r="X559" s="174"/>
      <c r="Y559" s="168"/>
      <c r="Z559" s="10"/>
      <c r="AA559" s="56"/>
      <c r="AB559" s="56"/>
      <c r="AC559" s="56"/>
      <c r="AD559" s="56"/>
      <c r="AE559" s="56"/>
      <c r="AF559" s="170"/>
      <c r="AG559" s="56"/>
      <c r="AH559" s="56"/>
      <c r="AI559" s="168"/>
      <c r="AJ559" s="56"/>
      <c r="AK559" s="56"/>
      <c r="AL559" s="56"/>
      <c r="AM559" s="56"/>
      <c r="AN559" s="56"/>
      <c r="AO559" s="56"/>
      <c r="AP559" s="56"/>
      <c r="AQ559" s="56"/>
      <c r="AR559" s="168"/>
      <c r="AS559" s="56"/>
      <c r="AT559" s="56"/>
      <c r="AU559" s="56"/>
      <c r="AV559" s="56"/>
      <c r="AW559" s="56"/>
      <c r="AX559" s="56"/>
      <c r="AY559" s="56"/>
      <c r="AZ559" s="56"/>
      <c r="BA559" s="168"/>
      <c r="BB559" s="56"/>
      <c r="BC559" s="56"/>
      <c r="BD559" s="56"/>
      <c r="BE559" s="168"/>
      <c r="BF559" s="56"/>
      <c r="BG559" s="10"/>
      <c r="BH559" s="56"/>
      <c r="BI559" s="56"/>
      <c r="BJ559" s="56"/>
      <c r="BK559" s="56"/>
      <c r="BS559" s="144"/>
      <c r="CM559" s="144"/>
      <c r="DC559" s="144"/>
    </row>
    <row r="560" spans="1:107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1"/>
      <c r="M560" s="10"/>
      <c r="N560" s="56"/>
      <c r="O560" s="56"/>
      <c r="P560" s="10"/>
      <c r="Q560" s="158"/>
      <c r="R560" s="174"/>
      <c r="S560" s="164"/>
      <c r="T560" s="56"/>
      <c r="U560" s="56"/>
      <c r="V560" s="56"/>
      <c r="W560" s="158"/>
      <c r="X560" s="174"/>
      <c r="Y560" s="168"/>
      <c r="Z560" s="10"/>
      <c r="AA560" s="56"/>
      <c r="AB560" s="56"/>
      <c r="AC560" s="56"/>
      <c r="AD560" s="56"/>
      <c r="AE560" s="56"/>
      <c r="AF560" s="170"/>
      <c r="AG560" s="56"/>
      <c r="AH560" s="56"/>
      <c r="AI560" s="168"/>
      <c r="AJ560" s="56"/>
      <c r="AK560" s="56"/>
      <c r="AL560" s="56"/>
      <c r="AM560" s="56"/>
      <c r="AN560" s="56"/>
      <c r="AO560" s="56"/>
      <c r="AP560" s="56"/>
      <c r="AQ560" s="56"/>
      <c r="AR560" s="168"/>
      <c r="AS560" s="56"/>
      <c r="AT560" s="56"/>
      <c r="AU560" s="56"/>
      <c r="AV560" s="56"/>
      <c r="AW560" s="56"/>
      <c r="AX560" s="56"/>
      <c r="AY560" s="56"/>
      <c r="AZ560" s="56"/>
      <c r="BA560" s="168"/>
      <c r="BB560" s="56"/>
      <c r="BC560" s="56"/>
      <c r="BD560" s="56"/>
      <c r="BE560" s="168"/>
      <c r="BF560" s="56"/>
      <c r="BG560" s="10"/>
      <c r="BH560" s="56"/>
      <c r="BI560" s="56"/>
      <c r="BJ560" s="56"/>
      <c r="BK560" s="56"/>
      <c r="BS560" s="144"/>
      <c r="CM560" s="144"/>
      <c r="DC560" s="144"/>
    </row>
    <row r="561" spans="1:107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1"/>
      <c r="M561" s="10"/>
      <c r="N561" s="56"/>
      <c r="O561" s="56"/>
      <c r="P561" s="10"/>
      <c r="Q561" s="158"/>
      <c r="R561" s="174"/>
      <c r="S561" s="164"/>
      <c r="T561" s="56"/>
      <c r="U561" s="56"/>
      <c r="V561" s="56"/>
      <c r="W561" s="158"/>
      <c r="X561" s="174"/>
      <c r="Y561" s="168"/>
      <c r="Z561" s="10"/>
      <c r="AA561" s="56"/>
      <c r="AB561" s="56"/>
      <c r="AC561" s="56"/>
      <c r="AD561" s="56"/>
      <c r="AE561" s="56"/>
      <c r="AF561" s="170"/>
      <c r="AG561" s="56"/>
      <c r="AH561" s="56"/>
      <c r="AI561" s="168"/>
      <c r="AJ561" s="56"/>
      <c r="AK561" s="56"/>
      <c r="AL561" s="56"/>
      <c r="AM561" s="56"/>
      <c r="AN561" s="56"/>
      <c r="AO561" s="56"/>
      <c r="AP561" s="56"/>
      <c r="AQ561" s="56"/>
      <c r="AR561" s="168"/>
      <c r="AS561" s="56"/>
      <c r="AT561" s="56"/>
      <c r="AU561" s="56"/>
      <c r="AV561" s="56"/>
      <c r="AW561" s="56"/>
      <c r="AX561" s="56"/>
      <c r="AY561" s="56"/>
      <c r="AZ561" s="56"/>
      <c r="BA561" s="168"/>
      <c r="BB561" s="56"/>
      <c r="BC561" s="56"/>
      <c r="BD561" s="56"/>
      <c r="BE561" s="168"/>
      <c r="BF561" s="56"/>
      <c r="BG561" s="10"/>
      <c r="BH561" s="56"/>
      <c r="BI561" s="56"/>
      <c r="BJ561" s="56"/>
      <c r="BK561" s="56"/>
      <c r="BS561" s="144"/>
      <c r="CM561" s="144"/>
      <c r="DC561" s="144"/>
    </row>
    <row r="562" spans="1:107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1"/>
      <c r="M562" s="10"/>
      <c r="N562" s="56"/>
      <c r="O562" s="56"/>
      <c r="P562" s="10"/>
      <c r="Q562" s="158"/>
      <c r="R562" s="174"/>
      <c r="S562" s="164"/>
      <c r="T562" s="56"/>
      <c r="U562" s="56"/>
      <c r="V562" s="56"/>
      <c r="W562" s="158"/>
      <c r="X562" s="174"/>
      <c r="Y562" s="168"/>
      <c r="Z562" s="10"/>
      <c r="AA562" s="56"/>
      <c r="AB562" s="56"/>
      <c r="AC562" s="56"/>
      <c r="AD562" s="56"/>
      <c r="AE562" s="56"/>
      <c r="AF562" s="170"/>
      <c r="AG562" s="56"/>
      <c r="AH562" s="56"/>
      <c r="AI562" s="168"/>
      <c r="AJ562" s="56"/>
      <c r="AK562" s="56"/>
      <c r="AL562" s="56"/>
      <c r="AM562" s="56"/>
      <c r="AN562" s="56"/>
      <c r="AO562" s="56"/>
      <c r="AP562" s="56"/>
      <c r="AQ562" s="56"/>
      <c r="AR562" s="168"/>
      <c r="AS562" s="56"/>
      <c r="AT562" s="56"/>
      <c r="AU562" s="56"/>
      <c r="AV562" s="56"/>
      <c r="AW562" s="56"/>
      <c r="AX562" s="56"/>
      <c r="AY562" s="56"/>
      <c r="AZ562" s="56"/>
      <c r="BA562" s="168"/>
      <c r="BB562" s="56"/>
      <c r="BC562" s="56"/>
      <c r="BD562" s="56"/>
      <c r="BE562" s="168"/>
      <c r="BF562" s="56"/>
      <c r="BG562" s="10"/>
      <c r="BH562" s="56"/>
      <c r="BI562" s="56"/>
      <c r="BJ562" s="56"/>
      <c r="BK562" s="56"/>
      <c r="BS562" s="144"/>
      <c r="CM562" s="144"/>
      <c r="DC562" s="144"/>
    </row>
    <row r="563" spans="1:107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1"/>
      <c r="M563" s="10"/>
      <c r="N563" s="56"/>
      <c r="O563" s="56"/>
      <c r="P563" s="10"/>
      <c r="Q563" s="158"/>
      <c r="R563" s="174"/>
      <c r="S563" s="164"/>
      <c r="T563" s="56"/>
      <c r="U563" s="56"/>
      <c r="V563" s="56"/>
      <c r="W563" s="158"/>
      <c r="X563" s="174"/>
      <c r="Y563" s="168"/>
      <c r="Z563" s="10"/>
      <c r="AA563" s="56"/>
      <c r="AB563" s="56"/>
      <c r="AC563" s="56"/>
      <c r="AD563" s="56"/>
      <c r="AE563" s="56"/>
      <c r="AF563" s="170"/>
      <c r="AG563" s="56"/>
      <c r="AH563" s="56"/>
      <c r="AI563" s="168"/>
      <c r="AJ563" s="56"/>
      <c r="AK563" s="56"/>
      <c r="AL563" s="56"/>
      <c r="AM563" s="56"/>
      <c r="AN563" s="56"/>
      <c r="AO563" s="56"/>
      <c r="AP563" s="56"/>
      <c r="AQ563" s="56"/>
      <c r="AR563" s="168"/>
      <c r="AS563" s="56"/>
      <c r="AT563" s="56"/>
      <c r="AU563" s="56"/>
      <c r="AV563" s="56"/>
      <c r="AW563" s="56"/>
      <c r="AX563" s="56"/>
      <c r="AY563" s="56"/>
      <c r="AZ563" s="56"/>
      <c r="BA563" s="168"/>
      <c r="BB563" s="56"/>
      <c r="BC563" s="56"/>
      <c r="BD563" s="56"/>
      <c r="BE563" s="168"/>
      <c r="BF563" s="56"/>
      <c r="BG563" s="10"/>
      <c r="BH563" s="56"/>
      <c r="BI563" s="56"/>
      <c r="BJ563" s="56"/>
      <c r="BK563" s="56"/>
      <c r="BS563" s="144"/>
      <c r="CM563" s="144"/>
      <c r="DC563" s="144"/>
    </row>
    <row r="564" spans="1:107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1"/>
      <c r="M564" s="10"/>
      <c r="N564" s="56"/>
      <c r="O564" s="56"/>
      <c r="P564" s="10"/>
      <c r="Q564" s="158"/>
      <c r="R564" s="174"/>
      <c r="S564" s="164"/>
      <c r="T564" s="56"/>
      <c r="U564" s="56"/>
      <c r="V564" s="56"/>
      <c r="W564" s="158"/>
      <c r="X564" s="174"/>
      <c r="Y564" s="168"/>
      <c r="Z564" s="10"/>
      <c r="AA564" s="56"/>
      <c r="AB564" s="56"/>
      <c r="AC564" s="56"/>
      <c r="AD564" s="56"/>
      <c r="AE564" s="56"/>
      <c r="AF564" s="170"/>
      <c r="AG564" s="56"/>
      <c r="AH564" s="56"/>
      <c r="AI564" s="168"/>
      <c r="AJ564" s="56"/>
      <c r="AK564" s="56"/>
      <c r="AL564" s="56"/>
      <c r="AM564" s="56"/>
      <c r="AN564" s="56"/>
      <c r="AO564" s="56"/>
      <c r="AP564" s="56"/>
      <c r="AQ564" s="56"/>
      <c r="AR564" s="168"/>
      <c r="AS564" s="56"/>
      <c r="AT564" s="56"/>
      <c r="AU564" s="56"/>
      <c r="AV564" s="56"/>
      <c r="AW564" s="56"/>
      <c r="AX564" s="56"/>
      <c r="AY564" s="56"/>
      <c r="AZ564" s="56"/>
      <c r="BA564" s="168"/>
      <c r="BB564" s="56"/>
      <c r="BC564" s="56"/>
      <c r="BD564" s="56"/>
      <c r="BE564" s="168"/>
      <c r="BF564" s="56"/>
      <c r="BG564" s="10"/>
      <c r="BH564" s="56"/>
      <c r="BI564" s="56"/>
      <c r="BJ564" s="56"/>
      <c r="BK564" s="56"/>
      <c r="BS564" s="144"/>
      <c r="CM564" s="144"/>
      <c r="DC564" s="144"/>
    </row>
    <row r="565" spans="1:107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1"/>
      <c r="M565" s="10"/>
      <c r="N565" s="56"/>
      <c r="O565" s="56"/>
      <c r="P565" s="10"/>
      <c r="Q565" s="158"/>
      <c r="R565" s="174"/>
      <c r="S565" s="164"/>
      <c r="T565" s="56"/>
      <c r="U565" s="56"/>
      <c r="V565" s="56"/>
      <c r="W565" s="158"/>
      <c r="X565" s="174"/>
      <c r="Y565" s="168"/>
      <c r="Z565" s="10"/>
      <c r="AA565" s="56"/>
      <c r="AB565" s="56"/>
      <c r="AC565" s="56"/>
      <c r="AD565" s="56"/>
      <c r="AE565" s="56"/>
      <c r="AF565" s="170"/>
      <c r="AG565" s="56"/>
      <c r="AH565" s="56"/>
      <c r="AI565" s="168"/>
      <c r="AJ565" s="56"/>
      <c r="AK565" s="56"/>
      <c r="AL565" s="56"/>
      <c r="AM565" s="56"/>
      <c r="AN565" s="56"/>
      <c r="AO565" s="56"/>
      <c r="AP565" s="56"/>
      <c r="AQ565" s="56"/>
      <c r="AR565" s="168"/>
      <c r="AS565" s="56"/>
      <c r="AT565" s="56"/>
      <c r="AU565" s="56"/>
      <c r="AV565" s="56"/>
      <c r="AW565" s="56"/>
      <c r="AX565" s="56"/>
      <c r="AY565" s="56"/>
      <c r="AZ565" s="56"/>
      <c r="BA565" s="168"/>
      <c r="BB565" s="56"/>
      <c r="BC565" s="56"/>
      <c r="BD565" s="56"/>
      <c r="BE565" s="168"/>
      <c r="BF565" s="56"/>
      <c r="BG565" s="10"/>
      <c r="BH565" s="56"/>
      <c r="BI565" s="56"/>
      <c r="BJ565" s="56"/>
      <c r="BK565" s="56"/>
      <c r="BS565" s="144"/>
      <c r="CM565" s="144"/>
      <c r="DC565" s="144"/>
    </row>
    <row r="566" spans="1:107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1"/>
      <c r="M566" s="10"/>
      <c r="N566" s="56"/>
      <c r="O566" s="56"/>
      <c r="P566" s="10"/>
      <c r="Q566" s="158"/>
      <c r="R566" s="174"/>
      <c r="S566" s="164"/>
      <c r="T566" s="56"/>
      <c r="U566" s="56"/>
      <c r="V566" s="56"/>
      <c r="W566" s="158"/>
      <c r="X566" s="174"/>
      <c r="Y566" s="168"/>
      <c r="Z566" s="10"/>
      <c r="AA566" s="56"/>
      <c r="AB566" s="56"/>
      <c r="AC566" s="56"/>
      <c r="AD566" s="56"/>
      <c r="AE566" s="56"/>
      <c r="AF566" s="170"/>
      <c r="AG566" s="56"/>
      <c r="AH566" s="56"/>
      <c r="AI566" s="168"/>
      <c r="AJ566" s="56"/>
      <c r="AK566" s="56"/>
      <c r="AL566" s="56"/>
      <c r="AM566" s="56"/>
      <c r="AN566" s="56"/>
      <c r="AO566" s="56"/>
      <c r="AP566" s="56"/>
      <c r="AQ566" s="56"/>
      <c r="AR566" s="168"/>
      <c r="AS566" s="56"/>
      <c r="AT566" s="56"/>
      <c r="AU566" s="56"/>
      <c r="AV566" s="56"/>
      <c r="AW566" s="56"/>
      <c r="AX566" s="56"/>
      <c r="AY566" s="56"/>
      <c r="AZ566" s="56"/>
      <c r="BA566" s="168"/>
      <c r="BB566" s="56"/>
      <c r="BC566" s="56"/>
      <c r="BD566" s="56"/>
      <c r="BE566" s="168"/>
      <c r="BF566" s="56"/>
      <c r="BG566" s="10"/>
      <c r="BH566" s="56"/>
      <c r="BI566" s="56"/>
      <c r="BJ566" s="56"/>
      <c r="BK566" s="56"/>
      <c r="BS566" s="144"/>
      <c r="CM566" s="144"/>
      <c r="DC566" s="144"/>
    </row>
    <row r="567" spans="1:107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1"/>
      <c r="M567" s="10"/>
      <c r="N567" s="56"/>
      <c r="O567" s="56"/>
      <c r="P567" s="10"/>
      <c r="Q567" s="158"/>
      <c r="R567" s="174"/>
      <c r="S567" s="164"/>
      <c r="T567" s="56"/>
      <c r="U567" s="56"/>
      <c r="V567" s="56"/>
      <c r="W567" s="158"/>
      <c r="X567" s="174"/>
      <c r="Y567" s="168"/>
      <c r="Z567" s="10"/>
      <c r="AA567" s="56"/>
      <c r="AB567" s="56"/>
      <c r="AC567" s="56"/>
      <c r="AD567" s="56"/>
      <c r="AE567" s="56"/>
      <c r="AF567" s="170"/>
      <c r="AG567" s="56"/>
      <c r="AH567" s="56"/>
      <c r="AI567" s="168"/>
      <c r="AJ567" s="56"/>
      <c r="AK567" s="56"/>
      <c r="AL567" s="56"/>
      <c r="AM567" s="56"/>
      <c r="AN567" s="56"/>
      <c r="AO567" s="56"/>
      <c r="AP567" s="56"/>
      <c r="AQ567" s="56"/>
      <c r="AR567" s="168"/>
      <c r="AS567" s="56"/>
      <c r="AT567" s="56"/>
      <c r="AU567" s="56"/>
      <c r="AV567" s="56"/>
      <c r="AW567" s="56"/>
      <c r="AX567" s="56"/>
      <c r="AY567" s="56"/>
      <c r="AZ567" s="56"/>
      <c r="BA567" s="168"/>
      <c r="BB567" s="56"/>
      <c r="BC567" s="56"/>
      <c r="BD567" s="56"/>
      <c r="BE567" s="168"/>
      <c r="BF567" s="56"/>
      <c r="BG567" s="10"/>
      <c r="BH567" s="56"/>
      <c r="BI567" s="56"/>
      <c r="BJ567" s="56"/>
      <c r="BK567" s="56"/>
      <c r="BS567" s="144"/>
      <c r="CM567" s="144"/>
      <c r="DC567" s="144"/>
    </row>
    <row r="568" spans="1:107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1"/>
      <c r="M568" s="10"/>
      <c r="N568" s="56"/>
      <c r="O568" s="56"/>
      <c r="P568" s="10"/>
      <c r="Q568" s="158"/>
      <c r="R568" s="174"/>
      <c r="S568" s="164"/>
      <c r="T568" s="56"/>
      <c r="U568" s="56"/>
      <c r="V568" s="56"/>
      <c r="W568" s="158"/>
      <c r="X568" s="174"/>
      <c r="Y568" s="168"/>
      <c r="Z568" s="10"/>
      <c r="AA568" s="56"/>
      <c r="AB568" s="56"/>
      <c r="AC568" s="56"/>
      <c r="AD568" s="56"/>
      <c r="AE568" s="56"/>
      <c r="AF568" s="170"/>
      <c r="AG568" s="56"/>
      <c r="AH568" s="56"/>
      <c r="AI568" s="168"/>
      <c r="AJ568" s="56"/>
      <c r="AK568" s="56"/>
      <c r="AL568" s="56"/>
      <c r="AM568" s="56"/>
      <c r="AN568" s="56"/>
      <c r="AO568" s="56"/>
      <c r="AP568" s="56"/>
      <c r="AQ568" s="56"/>
      <c r="AR568" s="168"/>
      <c r="AS568" s="56"/>
      <c r="AT568" s="56"/>
      <c r="AU568" s="56"/>
      <c r="AV568" s="56"/>
      <c r="AW568" s="56"/>
      <c r="AX568" s="56"/>
      <c r="AY568" s="56"/>
      <c r="AZ568" s="56"/>
      <c r="BA568" s="168"/>
      <c r="BB568" s="56"/>
      <c r="BC568" s="56"/>
      <c r="BD568" s="56"/>
      <c r="BE568" s="168"/>
      <c r="BF568" s="56"/>
      <c r="BG568" s="10"/>
      <c r="BH568" s="56"/>
      <c r="BI568" s="56"/>
      <c r="BJ568" s="56"/>
      <c r="BK568" s="56"/>
      <c r="BS568" s="144"/>
      <c r="CM568" s="144"/>
      <c r="DC568" s="144"/>
    </row>
    <row r="569" spans="1:107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1"/>
      <c r="M569" s="10"/>
      <c r="N569" s="56"/>
      <c r="O569" s="56"/>
      <c r="P569" s="10"/>
      <c r="Q569" s="158"/>
      <c r="R569" s="174"/>
      <c r="S569" s="164"/>
      <c r="T569" s="56"/>
      <c r="U569" s="56"/>
      <c r="V569" s="56"/>
      <c r="W569" s="158"/>
      <c r="X569" s="174"/>
      <c r="Y569" s="168"/>
      <c r="Z569" s="10"/>
      <c r="AA569" s="56"/>
      <c r="AB569" s="56"/>
      <c r="AC569" s="56"/>
      <c r="AD569" s="56"/>
      <c r="AE569" s="56"/>
      <c r="AF569" s="170"/>
      <c r="AG569" s="56"/>
      <c r="AH569" s="56"/>
      <c r="AI569" s="168"/>
      <c r="AJ569" s="56"/>
      <c r="AK569" s="56"/>
      <c r="AL569" s="56"/>
      <c r="AM569" s="56"/>
      <c r="AN569" s="56"/>
      <c r="AO569" s="56"/>
      <c r="AP569" s="56"/>
      <c r="AQ569" s="56"/>
      <c r="AR569" s="168"/>
      <c r="AS569" s="56"/>
      <c r="AT569" s="56"/>
      <c r="AU569" s="56"/>
      <c r="AV569" s="56"/>
      <c r="AW569" s="56"/>
      <c r="AX569" s="56"/>
      <c r="AY569" s="56"/>
      <c r="AZ569" s="56"/>
      <c r="BA569" s="168"/>
      <c r="BB569" s="56"/>
      <c r="BC569" s="56"/>
      <c r="BD569" s="56"/>
      <c r="BE569" s="168"/>
      <c r="BF569" s="56"/>
      <c r="BG569" s="10"/>
      <c r="BH569" s="56"/>
      <c r="BI569" s="56"/>
      <c r="BJ569" s="56"/>
      <c r="BK569" s="56"/>
      <c r="BS569" s="144"/>
      <c r="CM569" s="144"/>
      <c r="DC569" s="144"/>
    </row>
    <row r="570" spans="1:107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1"/>
      <c r="M570" s="10"/>
      <c r="N570" s="56"/>
      <c r="O570" s="56"/>
      <c r="P570" s="10"/>
      <c r="Q570" s="158"/>
      <c r="R570" s="174"/>
      <c r="S570" s="164"/>
      <c r="T570" s="56"/>
      <c r="U570" s="56"/>
      <c r="V570" s="56"/>
      <c r="W570" s="158"/>
      <c r="X570" s="174"/>
      <c r="Y570" s="168"/>
      <c r="Z570" s="10"/>
      <c r="AA570" s="56"/>
      <c r="AB570" s="56"/>
      <c r="AC570" s="56"/>
      <c r="AD570" s="56"/>
      <c r="AE570" s="56"/>
      <c r="AF570" s="170"/>
      <c r="AG570" s="56"/>
      <c r="AH570" s="56"/>
      <c r="AI570" s="168"/>
      <c r="AJ570" s="56"/>
      <c r="AK570" s="56"/>
      <c r="AL570" s="56"/>
      <c r="AM570" s="56"/>
      <c r="AN570" s="56"/>
      <c r="AO570" s="56"/>
      <c r="AP570" s="56"/>
      <c r="AQ570" s="56"/>
      <c r="AR570" s="168"/>
      <c r="AS570" s="56"/>
      <c r="AT570" s="56"/>
      <c r="AU570" s="56"/>
      <c r="AV570" s="56"/>
      <c r="AW570" s="56"/>
      <c r="AX570" s="56"/>
      <c r="AY570" s="56"/>
      <c r="AZ570" s="56"/>
      <c r="BA570" s="168"/>
      <c r="BB570" s="56"/>
      <c r="BC570" s="56"/>
      <c r="BD570" s="56"/>
      <c r="BE570" s="168"/>
      <c r="BF570" s="56"/>
      <c r="BG570" s="10"/>
      <c r="BH570" s="56"/>
      <c r="BI570" s="56"/>
      <c r="BJ570" s="56"/>
      <c r="BK570" s="56"/>
      <c r="BS570" s="144"/>
      <c r="CM570" s="144"/>
      <c r="DC570" s="144"/>
    </row>
    <row r="571" spans="1:107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1"/>
      <c r="M571" s="10"/>
      <c r="N571" s="56"/>
      <c r="O571" s="56"/>
      <c r="P571" s="10"/>
      <c r="Q571" s="158"/>
      <c r="R571" s="174"/>
      <c r="S571" s="164"/>
      <c r="T571" s="56"/>
      <c r="U571" s="56"/>
      <c r="V571" s="56"/>
      <c r="W571" s="158"/>
      <c r="X571" s="174"/>
      <c r="Y571" s="168"/>
      <c r="Z571" s="10"/>
      <c r="AA571" s="56"/>
      <c r="AB571" s="56"/>
      <c r="AC571" s="56"/>
      <c r="AD571" s="56"/>
      <c r="AE571" s="56"/>
      <c r="AF571" s="170"/>
      <c r="AG571" s="56"/>
      <c r="AH571" s="56"/>
      <c r="AI571" s="168"/>
      <c r="AJ571" s="56"/>
      <c r="AK571" s="56"/>
      <c r="AL571" s="56"/>
      <c r="AM571" s="56"/>
      <c r="AN571" s="56"/>
      <c r="AO571" s="56"/>
      <c r="AP571" s="56"/>
      <c r="AQ571" s="56"/>
      <c r="AR571" s="168"/>
      <c r="AS571" s="56"/>
      <c r="AT571" s="56"/>
      <c r="AU571" s="56"/>
      <c r="AV571" s="56"/>
      <c r="AW571" s="56"/>
      <c r="AX571" s="56"/>
      <c r="AY571" s="56"/>
      <c r="AZ571" s="56"/>
      <c r="BA571" s="168"/>
      <c r="BB571" s="56"/>
      <c r="BC571" s="56"/>
      <c r="BD571" s="56"/>
      <c r="BE571" s="168"/>
      <c r="BF571" s="56"/>
      <c r="BG571" s="10"/>
      <c r="BH571" s="56"/>
      <c r="BI571" s="56"/>
      <c r="BJ571" s="56"/>
      <c r="BK571" s="56"/>
      <c r="BS571" s="144"/>
      <c r="CM571" s="144"/>
      <c r="DC571" s="144"/>
    </row>
    <row r="572" spans="1:107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1"/>
      <c r="M572" s="10"/>
      <c r="N572" s="56"/>
      <c r="O572" s="56"/>
      <c r="P572" s="10"/>
      <c r="Q572" s="158"/>
      <c r="R572" s="174"/>
      <c r="S572" s="164"/>
      <c r="T572" s="56"/>
      <c r="U572" s="56"/>
      <c r="V572" s="56"/>
      <c r="W572" s="158"/>
      <c r="X572" s="174"/>
      <c r="Y572" s="168"/>
      <c r="Z572" s="10"/>
      <c r="AA572" s="56"/>
      <c r="AB572" s="56"/>
      <c r="AC572" s="56"/>
      <c r="AD572" s="56"/>
      <c r="AE572" s="56"/>
      <c r="AF572" s="170"/>
      <c r="AG572" s="56"/>
      <c r="AH572" s="56"/>
      <c r="AI572" s="168"/>
      <c r="AJ572" s="56"/>
      <c r="AK572" s="56"/>
      <c r="AL572" s="56"/>
      <c r="AM572" s="56"/>
      <c r="AN572" s="56"/>
      <c r="AO572" s="56"/>
      <c r="AP572" s="56"/>
      <c r="AQ572" s="56"/>
      <c r="AR572" s="168"/>
      <c r="AS572" s="56"/>
      <c r="AT572" s="56"/>
      <c r="AU572" s="56"/>
      <c r="AV572" s="56"/>
      <c r="AW572" s="56"/>
      <c r="AX572" s="56"/>
      <c r="AY572" s="56"/>
      <c r="AZ572" s="56"/>
      <c r="BA572" s="168"/>
      <c r="BB572" s="56"/>
      <c r="BC572" s="56"/>
      <c r="BD572" s="56"/>
      <c r="BE572" s="168"/>
      <c r="BF572" s="56"/>
      <c r="BG572" s="10"/>
      <c r="BH572" s="56"/>
      <c r="BI572" s="56"/>
      <c r="BJ572" s="56"/>
      <c r="BK572" s="56"/>
      <c r="BS572" s="144"/>
      <c r="CM572" s="144"/>
      <c r="DC572" s="144"/>
    </row>
    <row r="573" spans="1:107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1"/>
      <c r="M573" s="10"/>
      <c r="N573" s="56"/>
      <c r="O573" s="56"/>
      <c r="P573" s="10"/>
      <c r="Q573" s="158"/>
      <c r="R573" s="174"/>
      <c r="S573" s="164"/>
      <c r="T573" s="56"/>
      <c r="U573" s="56"/>
      <c r="V573" s="56"/>
      <c r="W573" s="158"/>
      <c r="X573" s="174"/>
      <c r="Y573" s="168"/>
      <c r="Z573" s="10"/>
      <c r="AA573" s="56"/>
      <c r="AB573" s="56"/>
      <c r="AC573" s="56"/>
      <c r="AD573" s="56"/>
      <c r="AE573" s="56"/>
      <c r="AF573" s="170"/>
      <c r="AG573" s="56"/>
      <c r="AH573" s="56"/>
      <c r="AI573" s="168"/>
      <c r="AJ573" s="56"/>
      <c r="AK573" s="56"/>
      <c r="AL573" s="56"/>
      <c r="AM573" s="56"/>
      <c r="AN573" s="56"/>
      <c r="AO573" s="56"/>
      <c r="AP573" s="56"/>
      <c r="AQ573" s="56"/>
      <c r="AR573" s="168"/>
      <c r="AS573" s="56"/>
      <c r="AT573" s="56"/>
      <c r="AU573" s="56"/>
      <c r="AV573" s="56"/>
      <c r="AW573" s="56"/>
      <c r="AX573" s="56"/>
      <c r="AY573" s="56"/>
      <c r="AZ573" s="56"/>
      <c r="BA573" s="168"/>
      <c r="BB573" s="56"/>
      <c r="BC573" s="56"/>
      <c r="BD573" s="56"/>
      <c r="BE573" s="168"/>
      <c r="BF573" s="56"/>
      <c r="BG573" s="10"/>
      <c r="BH573" s="56"/>
      <c r="BI573" s="56"/>
      <c r="BJ573" s="56"/>
      <c r="BK573" s="56"/>
      <c r="BS573" s="144"/>
      <c r="CM573" s="144"/>
      <c r="DC573" s="144"/>
    </row>
    <row r="574" spans="1:107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1"/>
      <c r="M574" s="10"/>
      <c r="N574" s="56"/>
      <c r="O574" s="56"/>
      <c r="P574" s="10"/>
      <c r="Q574" s="158"/>
      <c r="R574" s="174"/>
      <c r="S574" s="164"/>
      <c r="T574" s="56"/>
      <c r="U574" s="56"/>
      <c r="V574" s="56"/>
      <c r="W574" s="158"/>
      <c r="X574" s="174"/>
      <c r="Y574" s="168"/>
      <c r="Z574" s="10"/>
      <c r="AA574" s="56"/>
      <c r="AB574" s="56"/>
      <c r="AC574" s="56"/>
      <c r="AD574" s="56"/>
      <c r="AE574" s="56"/>
      <c r="AF574" s="170"/>
      <c r="AG574" s="56"/>
      <c r="AH574" s="56"/>
      <c r="AI574" s="168"/>
      <c r="AJ574" s="56"/>
      <c r="AK574" s="56"/>
      <c r="AL574" s="56"/>
      <c r="AM574" s="56"/>
      <c r="AN574" s="56"/>
      <c r="AO574" s="56"/>
      <c r="AP574" s="56"/>
      <c r="AQ574" s="56"/>
      <c r="AR574" s="168"/>
      <c r="AS574" s="56"/>
      <c r="AT574" s="56"/>
      <c r="AU574" s="56"/>
      <c r="AV574" s="56"/>
      <c r="AW574" s="56"/>
      <c r="AX574" s="56"/>
      <c r="AY574" s="56"/>
      <c r="AZ574" s="56"/>
      <c r="BA574" s="168"/>
      <c r="BB574" s="56"/>
      <c r="BC574" s="56"/>
      <c r="BD574" s="56"/>
      <c r="BE574" s="168"/>
      <c r="BF574" s="56"/>
      <c r="BG574" s="10"/>
      <c r="BH574" s="56"/>
      <c r="BI574" s="56"/>
      <c r="BJ574" s="56"/>
      <c r="BK574" s="56"/>
      <c r="BS574" s="144"/>
      <c r="CM574" s="144"/>
      <c r="DC574" s="144"/>
    </row>
    <row r="575" spans="1:107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1"/>
      <c r="M575" s="10"/>
      <c r="N575" s="56"/>
      <c r="O575" s="56"/>
      <c r="P575" s="10"/>
      <c r="Q575" s="158"/>
      <c r="R575" s="174"/>
      <c r="S575" s="164"/>
      <c r="T575" s="56"/>
      <c r="U575" s="56"/>
      <c r="V575" s="56"/>
      <c r="W575" s="158"/>
      <c r="X575" s="174"/>
      <c r="Y575" s="168"/>
      <c r="Z575" s="10"/>
      <c r="AA575" s="56"/>
      <c r="AB575" s="56"/>
      <c r="AC575" s="56"/>
      <c r="AD575" s="56"/>
      <c r="AE575" s="56"/>
      <c r="AF575" s="170"/>
      <c r="AG575" s="56"/>
      <c r="AH575" s="56"/>
      <c r="AI575" s="168"/>
      <c r="AJ575" s="56"/>
      <c r="AK575" s="56"/>
      <c r="AL575" s="56"/>
      <c r="AM575" s="56"/>
      <c r="AN575" s="56"/>
      <c r="AO575" s="56"/>
      <c r="AP575" s="56"/>
      <c r="AQ575" s="56"/>
      <c r="AR575" s="168"/>
      <c r="AS575" s="56"/>
      <c r="AT575" s="56"/>
      <c r="AU575" s="56"/>
      <c r="AV575" s="56"/>
      <c r="AW575" s="56"/>
      <c r="AX575" s="56"/>
      <c r="AY575" s="56"/>
      <c r="AZ575" s="56"/>
      <c r="BA575" s="168"/>
      <c r="BB575" s="56"/>
      <c r="BC575" s="56"/>
      <c r="BD575" s="56"/>
      <c r="BE575" s="168"/>
      <c r="BF575" s="56"/>
      <c r="BG575" s="10"/>
      <c r="BH575" s="56"/>
      <c r="BI575" s="56"/>
      <c r="BJ575" s="56"/>
      <c r="BK575" s="56"/>
      <c r="BS575" s="144"/>
      <c r="CM575" s="144"/>
      <c r="DC575" s="144"/>
    </row>
    <row r="576" spans="1:107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1"/>
      <c r="M576" s="10"/>
      <c r="N576" s="56"/>
      <c r="O576" s="56"/>
      <c r="P576" s="10"/>
      <c r="Q576" s="158"/>
      <c r="R576" s="174"/>
      <c r="S576" s="164"/>
      <c r="T576" s="56"/>
      <c r="U576" s="56"/>
      <c r="V576" s="56"/>
      <c r="W576" s="158"/>
      <c r="X576" s="174"/>
      <c r="Y576" s="168"/>
      <c r="Z576" s="10"/>
      <c r="AA576" s="56"/>
      <c r="AB576" s="56"/>
      <c r="AC576" s="56"/>
      <c r="AD576" s="56"/>
      <c r="AE576" s="56"/>
      <c r="AF576" s="170"/>
      <c r="AG576" s="56"/>
      <c r="AH576" s="56"/>
      <c r="AI576" s="168"/>
      <c r="AJ576" s="56"/>
      <c r="AK576" s="56"/>
      <c r="AL576" s="56"/>
      <c r="AM576" s="56"/>
      <c r="AN576" s="56"/>
      <c r="AO576" s="56"/>
      <c r="AP576" s="56"/>
      <c r="AQ576" s="56"/>
      <c r="AR576" s="168"/>
      <c r="AS576" s="56"/>
      <c r="AT576" s="56"/>
      <c r="AU576" s="56"/>
      <c r="AV576" s="56"/>
      <c r="AW576" s="56"/>
      <c r="AX576" s="56"/>
      <c r="AY576" s="56"/>
      <c r="AZ576" s="56"/>
      <c r="BA576" s="168"/>
      <c r="BB576" s="56"/>
      <c r="BC576" s="56"/>
      <c r="BD576" s="56"/>
      <c r="BE576" s="168"/>
      <c r="BF576" s="56"/>
      <c r="BG576" s="10"/>
      <c r="BH576" s="56"/>
      <c r="BI576" s="56"/>
      <c r="BJ576" s="56"/>
      <c r="BK576" s="56"/>
      <c r="BS576" s="144"/>
      <c r="CM576" s="144"/>
      <c r="DC576" s="144"/>
    </row>
    <row r="577" spans="1:107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1"/>
      <c r="M577" s="10"/>
      <c r="N577" s="56"/>
      <c r="O577" s="56"/>
      <c r="P577" s="10"/>
      <c r="Q577" s="158"/>
      <c r="R577" s="174"/>
      <c r="S577" s="164"/>
      <c r="T577" s="56"/>
      <c r="U577" s="56"/>
      <c r="V577" s="56"/>
      <c r="W577" s="158"/>
      <c r="X577" s="174"/>
      <c r="Y577" s="168"/>
      <c r="Z577" s="10"/>
      <c r="AA577" s="56"/>
      <c r="AB577" s="56"/>
      <c r="AC577" s="56"/>
      <c r="AD577" s="56"/>
      <c r="AE577" s="56"/>
      <c r="AF577" s="170"/>
      <c r="AG577" s="56"/>
      <c r="AH577" s="56"/>
      <c r="AI577" s="168"/>
      <c r="AJ577" s="56"/>
      <c r="AK577" s="56"/>
      <c r="AL577" s="56"/>
      <c r="AM577" s="56"/>
      <c r="AN577" s="56"/>
      <c r="AO577" s="56"/>
      <c r="AP577" s="56"/>
      <c r="AQ577" s="56"/>
      <c r="AR577" s="168"/>
      <c r="AS577" s="56"/>
      <c r="AT577" s="56"/>
      <c r="AU577" s="56"/>
      <c r="AV577" s="56"/>
      <c r="AW577" s="56"/>
      <c r="AX577" s="56"/>
      <c r="AY577" s="56"/>
      <c r="AZ577" s="56"/>
      <c r="BA577" s="168"/>
      <c r="BB577" s="56"/>
      <c r="BC577" s="56"/>
      <c r="BD577" s="56"/>
      <c r="BE577" s="168"/>
      <c r="BF577" s="56"/>
      <c r="BG577" s="10"/>
      <c r="BH577" s="56"/>
      <c r="BI577" s="56"/>
      <c r="BJ577" s="56"/>
      <c r="BK577" s="56"/>
      <c r="BS577" s="144"/>
      <c r="CM577" s="144"/>
      <c r="DC577" s="144"/>
    </row>
    <row r="578" spans="1:107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1"/>
      <c r="M578" s="10"/>
      <c r="N578" s="56"/>
      <c r="O578" s="56"/>
      <c r="P578" s="10"/>
      <c r="Q578" s="158"/>
      <c r="R578" s="174"/>
      <c r="S578" s="164"/>
      <c r="T578" s="56"/>
      <c r="U578" s="56"/>
      <c r="V578" s="56"/>
      <c r="W578" s="158"/>
      <c r="X578" s="174"/>
      <c r="Y578" s="168"/>
      <c r="Z578" s="10"/>
      <c r="AA578" s="56"/>
      <c r="AB578" s="56"/>
      <c r="AC578" s="56"/>
      <c r="AD578" s="56"/>
      <c r="AE578" s="56"/>
      <c r="AF578" s="170"/>
      <c r="AG578" s="56"/>
      <c r="AH578" s="56"/>
      <c r="AI578" s="168"/>
      <c r="AJ578" s="56"/>
      <c r="AK578" s="56"/>
      <c r="AL578" s="56"/>
      <c r="AM578" s="56"/>
      <c r="AN578" s="56"/>
      <c r="AO578" s="56"/>
      <c r="AP578" s="56"/>
      <c r="AQ578" s="56"/>
      <c r="AR578" s="168"/>
      <c r="AS578" s="56"/>
      <c r="AT578" s="56"/>
      <c r="AU578" s="56"/>
      <c r="AV578" s="56"/>
      <c r="AW578" s="56"/>
      <c r="AX578" s="56"/>
      <c r="AY578" s="56"/>
      <c r="AZ578" s="56"/>
      <c r="BA578" s="168"/>
      <c r="BB578" s="56"/>
      <c r="BC578" s="56"/>
      <c r="BD578" s="56"/>
      <c r="BE578" s="168"/>
      <c r="BF578" s="56"/>
      <c r="BG578" s="10"/>
      <c r="BH578" s="56"/>
      <c r="BI578" s="56"/>
      <c r="BJ578" s="56"/>
      <c r="BK578" s="56"/>
      <c r="BS578" s="144"/>
      <c r="CM578" s="144"/>
      <c r="DC578" s="144"/>
    </row>
    <row r="579" spans="1:107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1"/>
      <c r="M579" s="10"/>
      <c r="N579" s="56"/>
      <c r="O579" s="56"/>
      <c r="P579" s="10"/>
      <c r="Q579" s="158"/>
      <c r="R579" s="174"/>
      <c r="S579" s="164"/>
      <c r="T579" s="56"/>
      <c r="U579" s="56"/>
      <c r="V579" s="56"/>
      <c r="W579" s="158"/>
      <c r="X579" s="174"/>
      <c r="Y579" s="168"/>
      <c r="Z579" s="10"/>
      <c r="AA579" s="56"/>
      <c r="AB579" s="56"/>
      <c r="AC579" s="56"/>
      <c r="AD579" s="56"/>
      <c r="AE579" s="56"/>
      <c r="AF579" s="170"/>
      <c r="AG579" s="56"/>
      <c r="AH579" s="56"/>
      <c r="AI579" s="168"/>
      <c r="AJ579" s="56"/>
      <c r="AK579" s="56"/>
      <c r="AL579" s="56"/>
      <c r="AM579" s="56"/>
      <c r="AN579" s="56"/>
      <c r="AO579" s="56"/>
      <c r="AP579" s="56"/>
      <c r="AQ579" s="56"/>
      <c r="AR579" s="168"/>
      <c r="AS579" s="56"/>
      <c r="AT579" s="56"/>
      <c r="AU579" s="56"/>
      <c r="AV579" s="56"/>
      <c r="AW579" s="56"/>
      <c r="AX579" s="56"/>
      <c r="AY579" s="56"/>
      <c r="AZ579" s="56"/>
      <c r="BA579" s="168"/>
      <c r="BB579" s="56"/>
      <c r="BC579" s="56"/>
      <c r="BD579" s="56"/>
      <c r="BE579" s="168"/>
      <c r="BF579" s="56"/>
      <c r="BG579" s="10"/>
      <c r="BH579" s="56"/>
      <c r="BI579" s="56"/>
      <c r="BJ579" s="56"/>
      <c r="BK579" s="56"/>
      <c r="BS579" s="144"/>
      <c r="CM579" s="144"/>
      <c r="DC579" s="144"/>
    </row>
    <row r="580" spans="1:107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1"/>
      <c r="M580" s="10"/>
      <c r="N580" s="56"/>
      <c r="O580" s="56"/>
      <c r="P580" s="10"/>
      <c r="Q580" s="158"/>
      <c r="R580" s="174"/>
      <c r="S580" s="164"/>
      <c r="T580" s="56"/>
      <c r="U580" s="56"/>
      <c r="V580" s="56"/>
      <c r="W580" s="158"/>
      <c r="X580" s="174"/>
      <c r="Y580" s="168"/>
      <c r="Z580" s="10"/>
      <c r="AA580" s="56"/>
      <c r="AB580" s="56"/>
      <c r="AC580" s="56"/>
      <c r="AD580" s="56"/>
      <c r="AE580" s="56"/>
      <c r="AF580" s="170"/>
      <c r="AG580" s="56"/>
      <c r="AH580" s="56"/>
      <c r="AI580" s="168"/>
      <c r="AJ580" s="56"/>
      <c r="AK580" s="56"/>
      <c r="AL580" s="56"/>
      <c r="AM580" s="56"/>
      <c r="AN580" s="56"/>
      <c r="AO580" s="56"/>
      <c r="AP580" s="56"/>
      <c r="AQ580" s="56"/>
      <c r="AR580" s="168"/>
      <c r="AS580" s="56"/>
      <c r="AT580" s="56"/>
      <c r="AU580" s="56"/>
      <c r="AV580" s="56"/>
      <c r="AW580" s="56"/>
      <c r="AX580" s="56"/>
      <c r="AY580" s="56"/>
      <c r="AZ580" s="56"/>
      <c r="BA580" s="168"/>
      <c r="BB580" s="56"/>
      <c r="BC580" s="56"/>
      <c r="BD580" s="56"/>
      <c r="BE580" s="168"/>
      <c r="BF580" s="56"/>
      <c r="BG580" s="10"/>
      <c r="BH580" s="56"/>
      <c r="BI580" s="56"/>
      <c r="BJ580" s="56"/>
      <c r="BK580" s="56"/>
      <c r="BS580" s="144"/>
      <c r="CM580" s="144"/>
      <c r="DC580" s="144"/>
    </row>
    <row r="581" spans="1:107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1"/>
      <c r="M581" s="10"/>
      <c r="N581" s="56"/>
      <c r="O581" s="56"/>
      <c r="P581" s="10"/>
      <c r="Q581" s="158"/>
      <c r="R581" s="174"/>
      <c r="S581" s="164"/>
      <c r="T581" s="56"/>
      <c r="U581" s="56"/>
      <c r="V581" s="56"/>
      <c r="W581" s="158"/>
      <c r="X581" s="174"/>
      <c r="Y581" s="168"/>
      <c r="Z581" s="10"/>
      <c r="AA581" s="56"/>
      <c r="AB581" s="56"/>
      <c r="AC581" s="56"/>
      <c r="AD581" s="56"/>
      <c r="AE581" s="56"/>
      <c r="AF581" s="170"/>
      <c r="AG581" s="56"/>
      <c r="AH581" s="56"/>
      <c r="AI581" s="168"/>
      <c r="AJ581" s="56"/>
      <c r="AK581" s="56"/>
      <c r="AL581" s="56"/>
      <c r="AM581" s="56"/>
      <c r="AN581" s="56"/>
      <c r="AO581" s="56"/>
      <c r="AP581" s="56"/>
      <c r="AQ581" s="56"/>
      <c r="AR581" s="168"/>
      <c r="AS581" s="56"/>
      <c r="AT581" s="56"/>
      <c r="AU581" s="56"/>
      <c r="AV581" s="56"/>
      <c r="AW581" s="56"/>
      <c r="AX581" s="56"/>
      <c r="AY581" s="56"/>
      <c r="AZ581" s="56"/>
      <c r="BA581" s="168"/>
      <c r="BB581" s="56"/>
      <c r="BC581" s="56"/>
      <c r="BD581" s="56"/>
      <c r="BE581" s="168"/>
      <c r="BF581" s="56"/>
      <c r="BG581" s="10"/>
      <c r="BH581" s="56"/>
      <c r="BI581" s="56"/>
      <c r="BJ581" s="56"/>
      <c r="BK581" s="56"/>
      <c r="BS581" s="144"/>
      <c r="CM581" s="144"/>
      <c r="DC581" s="144"/>
    </row>
    <row r="582" spans="1:107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1"/>
      <c r="M582" s="10"/>
      <c r="N582" s="56"/>
      <c r="O582" s="56"/>
      <c r="P582" s="10"/>
      <c r="Q582" s="158"/>
      <c r="R582" s="174"/>
      <c r="S582" s="164"/>
      <c r="T582" s="56"/>
      <c r="U582" s="56"/>
      <c r="V582" s="56"/>
      <c r="W582" s="158"/>
      <c r="X582" s="174"/>
      <c r="Y582" s="168"/>
      <c r="Z582" s="10"/>
      <c r="AA582" s="56"/>
      <c r="AB582" s="56"/>
      <c r="AC582" s="56"/>
      <c r="AD582" s="56"/>
      <c r="AE582" s="56"/>
      <c r="AF582" s="170"/>
      <c r="AG582" s="56"/>
      <c r="AH582" s="56"/>
      <c r="AI582" s="168"/>
      <c r="AJ582" s="56"/>
      <c r="AK582" s="56"/>
      <c r="AL582" s="56"/>
      <c r="AM582" s="56"/>
      <c r="AN582" s="56"/>
      <c r="AO582" s="56"/>
      <c r="AP582" s="56"/>
      <c r="AQ582" s="56"/>
      <c r="AR582" s="168"/>
      <c r="AS582" s="56"/>
      <c r="AT582" s="56"/>
      <c r="AU582" s="56"/>
      <c r="AV582" s="56"/>
      <c r="AW582" s="56"/>
      <c r="AX582" s="56"/>
      <c r="AY582" s="56"/>
      <c r="AZ582" s="56"/>
      <c r="BA582" s="168"/>
      <c r="BB582" s="56"/>
      <c r="BC582" s="56"/>
      <c r="BD582" s="56"/>
      <c r="BE582" s="168"/>
      <c r="BF582" s="56"/>
      <c r="BG582" s="10"/>
      <c r="BH582" s="56"/>
      <c r="BI582" s="56"/>
      <c r="BJ582" s="56"/>
      <c r="BK582" s="56"/>
      <c r="BS582" s="144"/>
      <c r="CM582" s="144"/>
      <c r="DC582" s="144"/>
    </row>
    <row r="583" spans="1:107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1"/>
      <c r="M583" s="10"/>
      <c r="N583" s="56"/>
      <c r="O583" s="56"/>
      <c r="P583" s="10"/>
      <c r="Q583" s="158"/>
      <c r="R583" s="174"/>
      <c r="S583" s="164"/>
      <c r="T583" s="56"/>
      <c r="U583" s="56"/>
      <c r="V583" s="56"/>
      <c r="W583" s="158"/>
      <c r="X583" s="174"/>
      <c r="Y583" s="168"/>
      <c r="Z583" s="10"/>
      <c r="AA583" s="56"/>
      <c r="AB583" s="56"/>
      <c r="AC583" s="56"/>
      <c r="AD583" s="56"/>
      <c r="AE583" s="56"/>
      <c r="AF583" s="170"/>
      <c r="AG583" s="56"/>
      <c r="AH583" s="56"/>
      <c r="AI583" s="168"/>
      <c r="AJ583" s="56"/>
      <c r="AK583" s="56"/>
      <c r="AL583" s="56"/>
      <c r="AM583" s="56"/>
      <c r="AN583" s="56"/>
      <c r="AO583" s="56"/>
      <c r="AP583" s="56"/>
      <c r="AQ583" s="56"/>
      <c r="AR583" s="168"/>
      <c r="AS583" s="56"/>
      <c r="AT583" s="56"/>
      <c r="AU583" s="56"/>
      <c r="AV583" s="56"/>
      <c r="AW583" s="56"/>
      <c r="AX583" s="56"/>
      <c r="AY583" s="56"/>
      <c r="AZ583" s="56"/>
      <c r="BA583" s="168"/>
      <c r="BB583" s="56"/>
      <c r="BC583" s="56"/>
      <c r="BD583" s="56"/>
      <c r="BE583" s="168"/>
      <c r="BF583" s="56"/>
      <c r="BG583" s="10"/>
      <c r="BH583" s="56"/>
      <c r="BI583" s="56"/>
      <c r="BJ583" s="56"/>
      <c r="BK583" s="56"/>
      <c r="BS583" s="144"/>
      <c r="CM583" s="144"/>
      <c r="DC583" s="144"/>
    </row>
    <row r="584" spans="1:107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1"/>
      <c r="M584" s="10"/>
      <c r="N584" s="56"/>
      <c r="O584" s="56"/>
      <c r="P584" s="10"/>
      <c r="Q584" s="158"/>
      <c r="R584" s="174"/>
      <c r="S584" s="164"/>
      <c r="T584" s="56"/>
      <c r="U584" s="56"/>
      <c r="V584" s="56"/>
      <c r="W584" s="158"/>
      <c r="X584" s="174"/>
      <c r="Y584" s="168"/>
      <c r="Z584" s="10"/>
      <c r="AA584" s="56"/>
      <c r="AB584" s="56"/>
      <c r="AC584" s="56"/>
      <c r="AD584" s="56"/>
      <c r="AE584" s="56"/>
      <c r="AF584" s="170"/>
      <c r="AG584" s="56"/>
      <c r="AH584" s="56"/>
      <c r="AI584" s="168"/>
      <c r="AJ584" s="56"/>
      <c r="AK584" s="56"/>
      <c r="AL584" s="56"/>
      <c r="AM584" s="56"/>
      <c r="AN584" s="56"/>
      <c r="AO584" s="56"/>
      <c r="AP584" s="56"/>
      <c r="AQ584" s="56"/>
      <c r="AR584" s="168"/>
      <c r="AS584" s="56"/>
      <c r="AT584" s="56"/>
      <c r="AU584" s="56"/>
      <c r="AV584" s="56"/>
      <c r="AW584" s="56"/>
      <c r="AX584" s="56"/>
      <c r="AY584" s="56"/>
      <c r="AZ584" s="56"/>
      <c r="BA584" s="168"/>
      <c r="BB584" s="56"/>
      <c r="BC584" s="56"/>
      <c r="BD584" s="56"/>
      <c r="BE584" s="168"/>
      <c r="BF584" s="56"/>
      <c r="BG584" s="10"/>
      <c r="BH584" s="56"/>
      <c r="BI584" s="56"/>
      <c r="BJ584" s="56"/>
      <c r="BK584" s="56"/>
      <c r="BS584" s="144"/>
      <c r="CM584" s="144"/>
      <c r="DC584" s="144"/>
    </row>
    <row r="585" spans="1:107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1"/>
      <c r="M585" s="10"/>
      <c r="N585" s="56"/>
      <c r="O585" s="56"/>
      <c r="P585" s="10"/>
      <c r="Q585" s="158"/>
      <c r="R585" s="174"/>
      <c r="S585" s="164"/>
      <c r="T585" s="56"/>
      <c r="U585" s="56"/>
      <c r="V585" s="56"/>
      <c r="W585" s="158"/>
      <c r="X585" s="174"/>
      <c r="Y585" s="168"/>
      <c r="Z585" s="10"/>
      <c r="AA585" s="56"/>
      <c r="AB585" s="56"/>
      <c r="AC585" s="56"/>
      <c r="AD585" s="56"/>
      <c r="AE585" s="56"/>
      <c r="AF585" s="170"/>
      <c r="AG585" s="56"/>
      <c r="AH585" s="56"/>
      <c r="AI585" s="168"/>
      <c r="AJ585" s="56"/>
      <c r="AK585" s="56"/>
      <c r="AL585" s="56"/>
      <c r="AM585" s="56"/>
      <c r="AN585" s="56"/>
      <c r="AO585" s="56"/>
      <c r="AP585" s="56"/>
      <c r="AQ585" s="56"/>
      <c r="AR585" s="168"/>
      <c r="AS585" s="56"/>
      <c r="AT585" s="56"/>
      <c r="AU585" s="56"/>
      <c r="AV585" s="56"/>
      <c r="AW585" s="56"/>
      <c r="AX585" s="56"/>
      <c r="AY585" s="56"/>
      <c r="AZ585" s="56"/>
      <c r="BA585" s="168"/>
      <c r="BB585" s="56"/>
      <c r="BC585" s="56"/>
      <c r="BD585" s="56"/>
      <c r="BE585" s="168"/>
      <c r="BF585" s="56"/>
      <c r="BG585" s="10"/>
      <c r="BH585" s="56"/>
      <c r="BI585" s="56"/>
      <c r="BJ585" s="56"/>
      <c r="BK585" s="56"/>
      <c r="BS585" s="144"/>
      <c r="CM585" s="144"/>
      <c r="DC585" s="144"/>
    </row>
    <row r="586" spans="1:107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1"/>
      <c r="M586" s="10"/>
      <c r="N586" s="56"/>
      <c r="O586" s="56"/>
      <c r="P586" s="10"/>
      <c r="Q586" s="158"/>
      <c r="R586" s="174"/>
      <c r="S586" s="164"/>
      <c r="T586" s="56"/>
      <c r="U586" s="56"/>
      <c r="V586" s="56"/>
      <c r="W586" s="158"/>
      <c r="X586" s="174"/>
      <c r="Y586" s="168"/>
      <c r="Z586" s="10"/>
      <c r="AA586" s="56"/>
      <c r="AB586" s="56"/>
      <c r="AC586" s="56"/>
      <c r="AD586" s="56"/>
      <c r="AE586" s="56"/>
      <c r="AF586" s="170"/>
      <c r="AG586" s="56"/>
      <c r="AH586" s="56"/>
      <c r="AI586" s="168"/>
      <c r="AJ586" s="56"/>
      <c r="AK586" s="56"/>
      <c r="AL586" s="56"/>
      <c r="AM586" s="56"/>
      <c r="AN586" s="56"/>
      <c r="AO586" s="56"/>
      <c r="AP586" s="56"/>
      <c r="AQ586" s="56"/>
      <c r="AR586" s="168"/>
      <c r="AS586" s="56"/>
      <c r="AT586" s="56"/>
      <c r="AU586" s="56"/>
      <c r="AV586" s="56"/>
      <c r="AW586" s="56"/>
      <c r="AX586" s="56"/>
      <c r="AY586" s="56"/>
      <c r="AZ586" s="56"/>
      <c r="BA586" s="168"/>
      <c r="BB586" s="56"/>
      <c r="BC586" s="56"/>
      <c r="BD586" s="56"/>
      <c r="BE586" s="168"/>
      <c r="BF586" s="56"/>
      <c r="BG586" s="10"/>
      <c r="BH586" s="56"/>
      <c r="BI586" s="56"/>
      <c r="BJ586" s="56"/>
      <c r="BK586" s="56"/>
      <c r="BS586" s="144"/>
      <c r="CM586" s="144"/>
      <c r="DC586" s="144"/>
    </row>
    <row r="587" spans="1:107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1"/>
      <c r="M587" s="10"/>
      <c r="N587" s="56"/>
      <c r="O587" s="56"/>
      <c r="P587" s="10"/>
      <c r="Q587" s="158"/>
      <c r="R587" s="174"/>
      <c r="S587" s="164"/>
      <c r="T587" s="56"/>
      <c r="U587" s="56"/>
      <c r="V587" s="56"/>
      <c r="W587" s="158"/>
      <c r="X587" s="174"/>
      <c r="Y587" s="168"/>
      <c r="Z587" s="10"/>
      <c r="AA587" s="56"/>
      <c r="AB587" s="56"/>
      <c r="AC587" s="56"/>
      <c r="AD587" s="56"/>
      <c r="AE587" s="56"/>
      <c r="AF587" s="170"/>
      <c r="AG587" s="56"/>
      <c r="AH587" s="56"/>
      <c r="AI587" s="168"/>
      <c r="AJ587" s="56"/>
      <c r="AK587" s="56"/>
      <c r="AL587" s="56"/>
      <c r="AM587" s="56"/>
      <c r="AN587" s="56"/>
      <c r="AO587" s="56"/>
      <c r="AP587" s="56"/>
      <c r="AQ587" s="56"/>
      <c r="AR587" s="168"/>
      <c r="AS587" s="56"/>
      <c r="AT587" s="56"/>
      <c r="AU587" s="56"/>
      <c r="AV587" s="56"/>
      <c r="AW587" s="56"/>
      <c r="AX587" s="56"/>
      <c r="AY587" s="56"/>
      <c r="AZ587" s="56"/>
      <c r="BA587" s="168"/>
      <c r="BB587" s="56"/>
      <c r="BC587" s="56"/>
      <c r="BD587" s="56"/>
      <c r="BE587" s="168"/>
      <c r="BF587" s="56"/>
      <c r="BG587" s="10"/>
      <c r="BH587" s="56"/>
      <c r="BI587" s="56"/>
      <c r="BJ587" s="56"/>
      <c r="BK587" s="56"/>
      <c r="BS587" s="144"/>
      <c r="CM587" s="144"/>
      <c r="DC587" s="144"/>
    </row>
    <row r="588" spans="1:107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1"/>
      <c r="M588" s="10"/>
      <c r="N588" s="56"/>
      <c r="O588" s="56"/>
      <c r="P588" s="10"/>
      <c r="Q588" s="158"/>
      <c r="R588" s="174"/>
      <c r="S588" s="164"/>
      <c r="T588" s="56"/>
      <c r="U588" s="56"/>
      <c r="V588" s="56"/>
      <c r="W588" s="158"/>
      <c r="X588" s="174"/>
      <c r="Y588" s="168"/>
      <c r="Z588" s="10"/>
      <c r="AA588" s="56"/>
      <c r="AB588" s="56"/>
      <c r="AC588" s="56"/>
      <c r="AD588" s="56"/>
      <c r="AE588" s="56"/>
      <c r="AF588" s="170"/>
      <c r="AG588" s="56"/>
      <c r="AH588" s="56"/>
      <c r="AI588" s="168"/>
      <c r="AJ588" s="56"/>
      <c r="AK588" s="56"/>
      <c r="AL588" s="56"/>
      <c r="AM588" s="56"/>
      <c r="AN588" s="56"/>
      <c r="AO588" s="56"/>
      <c r="AP588" s="56"/>
      <c r="AQ588" s="56"/>
      <c r="AR588" s="168"/>
      <c r="AS588" s="56"/>
      <c r="AT588" s="56"/>
      <c r="AU588" s="56"/>
      <c r="AV588" s="56"/>
      <c r="AW588" s="56"/>
      <c r="AX588" s="56"/>
      <c r="AY588" s="56"/>
      <c r="AZ588" s="56"/>
      <c r="BA588" s="168"/>
      <c r="BB588" s="56"/>
      <c r="BC588" s="56"/>
      <c r="BD588" s="56"/>
      <c r="BE588" s="168"/>
      <c r="BF588" s="56"/>
      <c r="BG588" s="10"/>
      <c r="BH588" s="56"/>
      <c r="BI588" s="56"/>
      <c r="BJ588" s="56"/>
      <c r="BK588" s="56"/>
      <c r="BS588" s="144"/>
      <c r="CM588" s="144"/>
      <c r="DC588" s="144"/>
    </row>
    <row r="589" spans="1:107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1"/>
      <c r="M589" s="10"/>
      <c r="N589" s="56"/>
      <c r="O589" s="56"/>
      <c r="P589" s="10"/>
      <c r="Q589" s="158"/>
      <c r="R589" s="174"/>
      <c r="S589" s="164"/>
      <c r="T589" s="56"/>
      <c r="U589" s="56"/>
      <c r="V589" s="56"/>
      <c r="W589" s="158"/>
      <c r="X589" s="174"/>
      <c r="Y589" s="168"/>
      <c r="Z589" s="10"/>
      <c r="AA589" s="56"/>
      <c r="AB589" s="56"/>
      <c r="AC589" s="56"/>
      <c r="AD589" s="56"/>
      <c r="AE589" s="56"/>
      <c r="AF589" s="170"/>
      <c r="AG589" s="56"/>
      <c r="AH589" s="56"/>
      <c r="AI589" s="168"/>
      <c r="AJ589" s="56"/>
      <c r="AK589" s="56"/>
      <c r="AL589" s="56"/>
      <c r="AM589" s="56"/>
      <c r="AN589" s="56"/>
      <c r="AO589" s="56"/>
      <c r="AP589" s="56"/>
      <c r="AQ589" s="56"/>
      <c r="AR589" s="168"/>
      <c r="AS589" s="56"/>
      <c r="AT589" s="56"/>
      <c r="AU589" s="56"/>
      <c r="AV589" s="56"/>
      <c r="AW589" s="56"/>
      <c r="AX589" s="56"/>
      <c r="AY589" s="56"/>
      <c r="AZ589" s="56"/>
      <c r="BA589" s="168"/>
      <c r="BB589" s="56"/>
      <c r="BC589" s="56"/>
      <c r="BD589" s="56"/>
      <c r="BE589" s="168"/>
      <c r="BF589" s="56"/>
      <c r="BG589" s="10"/>
      <c r="BH589" s="56"/>
      <c r="BI589" s="56"/>
      <c r="BJ589" s="56"/>
      <c r="BK589" s="56"/>
      <c r="BS589" s="144"/>
      <c r="CM589" s="144"/>
      <c r="DC589" s="144"/>
    </row>
    <row r="590" spans="1:107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1"/>
      <c r="M590" s="10"/>
      <c r="N590" s="56"/>
      <c r="O590" s="56"/>
      <c r="P590" s="10"/>
      <c r="Q590" s="158"/>
      <c r="R590" s="174"/>
      <c r="S590" s="164"/>
      <c r="T590" s="56"/>
      <c r="U590" s="56"/>
      <c r="V590" s="56"/>
      <c r="W590" s="158"/>
      <c r="X590" s="174"/>
      <c r="Y590" s="168"/>
      <c r="Z590" s="10"/>
      <c r="AA590" s="56"/>
      <c r="AB590" s="56"/>
      <c r="AC590" s="56"/>
      <c r="AD590" s="56"/>
      <c r="AE590" s="56"/>
      <c r="AF590" s="170"/>
      <c r="AG590" s="56"/>
      <c r="AH590" s="56"/>
      <c r="AI590" s="168"/>
      <c r="AJ590" s="56"/>
      <c r="AK590" s="56"/>
      <c r="AL590" s="56"/>
      <c r="AM590" s="56"/>
      <c r="AN590" s="56"/>
      <c r="AO590" s="56"/>
      <c r="AP590" s="56"/>
      <c r="AQ590" s="56"/>
      <c r="AR590" s="168"/>
      <c r="AS590" s="56"/>
      <c r="AT590" s="56"/>
      <c r="AU590" s="56"/>
      <c r="AV590" s="56"/>
      <c r="AW590" s="56"/>
      <c r="AX590" s="56"/>
      <c r="AY590" s="56"/>
      <c r="AZ590" s="56"/>
      <c r="BA590" s="168"/>
      <c r="BB590" s="56"/>
      <c r="BC590" s="56"/>
      <c r="BD590" s="56"/>
      <c r="BE590" s="168"/>
      <c r="BF590" s="56"/>
      <c r="BG590" s="10"/>
      <c r="BH590" s="56"/>
      <c r="BI590" s="56"/>
      <c r="BJ590" s="56"/>
      <c r="BK590" s="56"/>
      <c r="BS590" s="144"/>
      <c r="CM590" s="144"/>
      <c r="DC590" s="144"/>
    </row>
    <row r="591" spans="1:107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1"/>
      <c r="M591" s="10"/>
      <c r="N591" s="56"/>
      <c r="O591" s="56"/>
      <c r="P591" s="10"/>
      <c r="Q591" s="158"/>
      <c r="R591" s="174"/>
      <c r="S591" s="164"/>
      <c r="T591" s="56"/>
      <c r="U591" s="56"/>
      <c r="V591" s="56"/>
      <c r="W591" s="158"/>
      <c r="X591" s="174"/>
      <c r="Y591" s="168"/>
      <c r="Z591" s="10"/>
      <c r="AA591" s="56"/>
      <c r="AB591" s="56"/>
      <c r="AC591" s="56"/>
      <c r="AD591" s="56"/>
      <c r="AE591" s="56"/>
      <c r="AF591" s="170"/>
      <c r="AG591" s="56"/>
      <c r="AH591" s="56"/>
      <c r="AI591" s="168"/>
      <c r="AJ591" s="56"/>
      <c r="AK591" s="56"/>
      <c r="AL591" s="56"/>
      <c r="AM591" s="56"/>
      <c r="AN591" s="56"/>
      <c r="AO591" s="56"/>
      <c r="AP591" s="56"/>
      <c r="AQ591" s="56"/>
      <c r="AR591" s="168"/>
      <c r="AS591" s="56"/>
      <c r="AT591" s="56"/>
      <c r="AU591" s="56"/>
      <c r="AV591" s="56"/>
      <c r="AW591" s="56"/>
      <c r="AX591" s="56"/>
      <c r="AY591" s="56"/>
      <c r="AZ591" s="56"/>
      <c r="BA591" s="168"/>
      <c r="BB591" s="56"/>
      <c r="BC591" s="56"/>
      <c r="BD591" s="56"/>
      <c r="BE591" s="168"/>
      <c r="BF591" s="56"/>
      <c r="BG591" s="10"/>
      <c r="BH591" s="56"/>
      <c r="BI591" s="56"/>
      <c r="BJ591" s="56"/>
      <c r="BK591" s="56"/>
      <c r="BS591" s="144"/>
      <c r="CM591" s="144"/>
      <c r="DC591" s="144"/>
    </row>
    <row r="592" spans="1:107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1"/>
      <c r="M592" s="10"/>
      <c r="N592" s="56"/>
      <c r="O592" s="56"/>
      <c r="P592" s="10"/>
      <c r="Q592" s="158"/>
      <c r="R592" s="174"/>
      <c r="S592" s="164"/>
      <c r="T592" s="56"/>
      <c r="U592" s="56"/>
      <c r="V592" s="56"/>
      <c r="W592" s="158"/>
      <c r="X592" s="174"/>
      <c r="Y592" s="168"/>
      <c r="Z592" s="10"/>
      <c r="AA592" s="56"/>
      <c r="AB592" s="56"/>
      <c r="AC592" s="56"/>
      <c r="AD592" s="56"/>
      <c r="AE592" s="56"/>
      <c r="AF592" s="170"/>
      <c r="AG592" s="56"/>
      <c r="AH592" s="56"/>
      <c r="AI592" s="168"/>
      <c r="AJ592" s="56"/>
      <c r="AK592" s="56"/>
      <c r="AL592" s="56"/>
      <c r="AM592" s="56"/>
      <c r="AN592" s="56"/>
      <c r="AO592" s="56"/>
      <c r="AP592" s="56"/>
      <c r="AQ592" s="56"/>
      <c r="AR592" s="168"/>
      <c r="AS592" s="56"/>
      <c r="AT592" s="56"/>
      <c r="AU592" s="56"/>
      <c r="AV592" s="56"/>
      <c r="AW592" s="56"/>
      <c r="AX592" s="56"/>
      <c r="AY592" s="56"/>
      <c r="AZ592" s="56"/>
      <c r="BA592" s="168"/>
      <c r="BB592" s="56"/>
      <c r="BC592" s="56"/>
      <c r="BD592" s="56"/>
      <c r="BE592" s="168"/>
      <c r="BF592" s="56"/>
      <c r="BG592" s="10"/>
      <c r="BH592" s="56"/>
      <c r="BI592" s="56"/>
      <c r="BJ592" s="56"/>
      <c r="BK592" s="56"/>
      <c r="BS592" s="144"/>
      <c r="CM592" s="144"/>
      <c r="DC592" s="144"/>
    </row>
    <row r="593" spans="1:107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1"/>
      <c r="M593" s="10"/>
      <c r="N593" s="56"/>
      <c r="O593" s="56"/>
      <c r="P593" s="10"/>
      <c r="Q593" s="158"/>
      <c r="R593" s="174"/>
      <c r="S593" s="164"/>
      <c r="T593" s="56"/>
      <c r="U593" s="56"/>
      <c r="V593" s="56"/>
      <c r="W593" s="158"/>
      <c r="X593" s="174"/>
      <c r="Y593" s="168"/>
      <c r="Z593" s="10"/>
      <c r="AA593" s="56"/>
      <c r="AB593" s="56"/>
      <c r="AC593" s="56"/>
      <c r="AD593" s="56"/>
      <c r="AE593" s="56"/>
      <c r="AF593" s="170"/>
      <c r="AG593" s="56"/>
      <c r="AH593" s="56"/>
      <c r="AI593" s="168"/>
      <c r="AJ593" s="56"/>
      <c r="AK593" s="56"/>
      <c r="AL593" s="56"/>
      <c r="AM593" s="56"/>
      <c r="AN593" s="56"/>
      <c r="AO593" s="56"/>
      <c r="AP593" s="56"/>
      <c r="AQ593" s="56"/>
      <c r="AR593" s="168"/>
      <c r="AS593" s="56"/>
      <c r="AT593" s="56"/>
      <c r="AU593" s="56"/>
      <c r="AV593" s="56"/>
      <c r="AW593" s="56"/>
      <c r="AX593" s="56"/>
      <c r="AY593" s="56"/>
      <c r="AZ593" s="56"/>
      <c r="BA593" s="168"/>
      <c r="BB593" s="56"/>
      <c r="BC593" s="56"/>
      <c r="BD593" s="56"/>
      <c r="BE593" s="168"/>
      <c r="BF593" s="56"/>
      <c r="BG593" s="10"/>
      <c r="BH593" s="56"/>
      <c r="BI593" s="56"/>
      <c r="BJ593" s="56"/>
      <c r="BK593" s="56"/>
      <c r="BS593" s="144"/>
      <c r="CM593" s="144"/>
      <c r="DC593" s="144"/>
    </row>
    <row r="594" spans="1:107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1"/>
      <c r="M594" s="10"/>
      <c r="N594" s="56"/>
      <c r="O594" s="56"/>
      <c r="P594" s="10"/>
      <c r="Q594" s="158"/>
      <c r="R594" s="174"/>
      <c r="S594" s="164"/>
      <c r="T594" s="56"/>
      <c r="U594" s="56"/>
      <c r="V594" s="56"/>
      <c r="W594" s="158"/>
      <c r="X594" s="174"/>
      <c r="Y594" s="168"/>
      <c r="Z594" s="10"/>
      <c r="AA594" s="56"/>
      <c r="AB594" s="56"/>
      <c r="AC594" s="56"/>
      <c r="AD594" s="56"/>
      <c r="AE594" s="56"/>
      <c r="AF594" s="170"/>
      <c r="AG594" s="56"/>
      <c r="AH594" s="56"/>
      <c r="AI594" s="168"/>
      <c r="AJ594" s="56"/>
      <c r="AK594" s="56"/>
      <c r="AL594" s="56"/>
      <c r="AM594" s="56"/>
      <c r="AN594" s="56"/>
      <c r="AO594" s="56"/>
      <c r="AP594" s="56"/>
      <c r="AQ594" s="56"/>
      <c r="AR594" s="168"/>
      <c r="AS594" s="56"/>
      <c r="AT594" s="56"/>
      <c r="AU594" s="56"/>
      <c r="AV594" s="56"/>
      <c r="AW594" s="56"/>
      <c r="AX594" s="56"/>
      <c r="AY594" s="56"/>
      <c r="AZ594" s="56"/>
      <c r="BA594" s="168"/>
      <c r="BB594" s="56"/>
      <c r="BC594" s="56"/>
      <c r="BD594" s="56"/>
      <c r="BE594" s="168"/>
      <c r="BF594" s="56"/>
      <c r="BG594" s="10"/>
      <c r="BH594" s="56"/>
      <c r="BI594" s="56"/>
      <c r="BJ594" s="56"/>
      <c r="BK594" s="56"/>
      <c r="BS594" s="144"/>
      <c r="CM594" s="144"/>
      <c r="DC594" s="144"/>
    </row>
    <row r="595" spans="1:107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1"/>
      <c r="M595" s="10"/>
      <c r="N595" s="56"/>
      <c r="O595" s="56"/>
      <c r="P595" s="10"/>
      <c r="Q595" s="158"/>
      <c r="R595" s="174"/>
      <c r="S595" s="164"/>
      <c r="T595" s="56"/>
      <c r="U595" s="56"/>
      <c r="V595" s="56"/>
      <c r="W595" s="158"/>
      <c r="X595" s="174"/>
      <c r="Y595" s="168"/>
      <c r="Z595" s="10"/>
      <c r="AA595" s="56"/>
      <c r="AB595" s="56"/>
      <c r="AC595" s="56"/>
      <c r="AD595" s="56"/>
      <c r="AE595" s="56"/>
      <c r="AF595" s="170"/>
      <c r="AG595" s="56"/>
      <c r="AH595" s="56"/>
      <c r="AI595" s="168"/>
      <c r="AJ595" s="56"/>
      <c r="AK595" s="56"/>
      <c r="AL595" s="56"/>
      <c r="AM595" s="56"/>
      <c r="AN595" s="56"/>
      <c r="AO595" s="56"/>
      <c r="AP595" s="56"/>
      <c r="AQ595" s="56"/>
      <c r="AR595" s="168"/>
      <c r="AS595" s="56"/>
      <c r="AT595" s="56"/>
      <c r="AU595" s="56"/>
      <c r="AV595" s="56"/>
      <c r="AW595" s="56"/>
      <c r="AX595" s="56"/>
      <c r="AY595" s="56"/>
      <c r="AZ595" s="56"/>
      <c r="BA595" s="168"/>
      <c r="BB595" s="56"/>
      <c r="BC595" s="56"/>
      <c r="BD595" s="56"/>
      <c r="BE595" s="168"/>
      <c r="BF595" s="56"/>
      <c r="BG595" s="10"/>
      <c r="BH595" s="56"/>
      <c r="BI595" s="56"/>
      <c r="BJ595" s="56"/>
      <c r="BK595" s="56"/>
      <c r="BS595" s="144"/>
      <c r="CM595" s="144"/>
      <c r="DC595" s="144"/>
    </row>
    <row r="596" spans="1:107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1"/>
      <c r="M596" s="10"/>
      <c r="N596" s="56"/>
      <c r="O596" s="56"/>
      <c r="P596" s="10"/>
      <c r="Q596" s="158"/>
      <c r="R596" s="174"/>
      <c r="S596" s="164"/>
      <c r="T596" s="56"/>
      <c r="U596" s="56"/>
      <c r="V596" s="56"/>
      <c r="W596" s="158"/>
      <c r="X596" s="174"/>
      <c r="Y596" s="168"/>
      <c r="Z596" s="10"/>
      <c r="AA596" s="56"/>
      <c r="AB596" s="56"/>
      <c r="AC596" s="56"/>
      <c r="AD596" s="56"/>
      <c r="AE596" s="56"/>
      <c r="AF596" s="170"/>
      <c r="AG596" s="56"/>
      <c r="AH596" s="56"/>
      <c r="AI596" s="168"/>
      <c r="AJ596" s="56"/>
      <c r="AK596" s="56"/>
      <c r="AL596" s="56"/>
      <c r="AM596" s="56"/>
      <c r="AN596" s="56"/>
      <c r="AO596" s="56"/>
      <c r="AP596" s="56"/>
      <c r="AQ596" s="56"/>
      <c r="AR596" s="168"/>
      <c r="AS596" s="56"/>
      <c r="AT596" s="56"/>
      <c r="AU596" s="56"/>
      <c r="AV596" s="56"/>
      <c r="AW596" s="56"/>
      <c r="AX596" s="56"/>
      <c r="AY596" s="56"/>
      <c r="AZ596" s="56"/>
      <c r="BA596" s="168"/>
      <c r="BB596" s="56"/>
      <c r="BC596" s="56"/>
      <c r="BD596" s="56"/>
      <c r="BE596" s="168"/>
      <c r="BF596" s="56"/>
      <c r="BG596" s="10"/>
      <c r="BH596" s="56"/>
      <c r="BI596" s="56"/>
      <c r="BJ596" s="56"/>
      <c r="BK596" s="56"/>
      <c r="BS596" s="144"/>
      <c r="CM596" s="144"/>
      <c r="DC596" s="144"/>
    </row>
    <row r="597" spans="1:107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1"/>
      <c r="M597" s="10"/>
      <c r="N597" s="56"/>
      <c r="O597" s="56"/>
      <c r="P597" s="10"/>
      <c r="Q597" s="158"/>
      <c r="R597" s="174"/>
      <c r="S597" s="164"/>
      <c r="T597" s="56"/>
      <c r="U597" s="56"/>
      <c r="V597" s="56"/>
      <c r="W597" s="158"/>
      <c r="X597" s="174"/>
      <c r="Y597" s="168"/>
      <c r="Z597" s="10"/>
      <c r="AA597" s="56"/>
      <c r="AB597" s="56"/>
      <c r="AC597" s="56"/>
      <c r="AD597" s="56"/>
      <c r="AE597" s="56"/>
      <c r="AF597" s="170"/>
      <c r="AG597" s="56"/>
      <c r="AH597" s="56"/>
      <c r="AI597" s="168"/>
      <c r="AJ597" s="56"/>
      <c r="AK597" s="56"/>
      <c r="AL597" s="56"/>
      <c r="AM597" s="56"/>
      <c r="AN597" s="56"/>
      <c r="AO597" s="56"/>
      <c r="AP597" s="56"/>
      <c r="AQ597" s="56"/>
      <c r="AR597" s="168"/>
      <c r="AS597" s="56"/>
      <c r="AT597" s="56"/>
      <c r="AU597" s="56"/>
      <c r="AV597" s="56"/>
      <c r="AW597" s="56"/>
      <c r="AX597" s="56"/>
      <c r="AY597" s="56"/>
      <c r="AZ597" s="56"/>
      <c r="BA597" s="168"/>
      <c r="BB597" s="56"/>
      <c r="BC597" s="56"/>
      <c r="BD597" s="56"/>
      <c r="BE597" s="168"/>
      <c r="BF597" s="56"/>
      <c r="BG597" s="10"/>
      <c r="BH597" s="56"/>
      <c r="BI597" s="56"/>
      <c r="BJ597" s="56"/>
      <c r="BK597" s="56"/>
      <c r="BS597" s="144"/>
      <c r="CM597" s="144"/>
      <c r="DC597" s="144"/>
    </row>
    <row r="598" spans="1:107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1"/>
      <c r="M598" s="10"/>
      <c r="N598" s="56"/>
      <c r="O598" s="56"/>
      <c r="P598" s="10"/>
      <c r="Q598" s="158"/>
      <c r="R598" s="174"/>
      <c r="S598" s="164"/>
      <c r="T598" s="56"/>
      <c r="U598" s="56"/>
      <c r="V598" s="56"/>
      <c r="W598" s="158"/>
      <c r="X598" s="174"/>
      <c r="Y598" s="168"/>
      <c r="Z598" s="10"/>
      <c r="AA598" s="56"/>
      <c r="AB598" s="56"/>
      <c r="AC598" s="56"/>
      <c r="AD598" s="56"/>
      <c r="AE598" s="56"/>
      <c r="AF598" s="170"/>
      <c r="AG598" s="56"/>
      <c r="AH598" s="56"/>
      <c r="AI598" s="168"/>
      <c r="AJ598" s="56"/>
      <c r="AK598" s="56"/>
      <c r="AL598" s="56"/>
      <c r="AM598" s="56"/>
      <c r="AN598" s="56"/>
      <c r="AO598" s="56"/>
      <c r="AP598" s="56"/>
      <c r="AQ598" s="56"/>
      <c r="AR598" s="168"/>
      <c r="AS598" s="56"/>
      <c r="AT598" s="56"/>
      <c r="AU598" s="56"/>
      <c r="AV598" s="56"/>
      <c r="AW598" s="56"/>
      <c r="AX598" s="56"/>
      <c r="AY598" s="56"/>
      <c r="AZ598" s="56"/>
      <c r="BA598" s="168"/>
      <c r="BB598" s="56"/>
      <c r="BC598" s="56"/>
      <c r="BD598" s="56"/>
      <c r="BE598" s="168"/>
      <c r="BF598" s="56"/>
      <c r="BG598" s="10"/>
      <c r="BH598" s="56"/>
      <c r="BI598" s="56"/>
      <c r="BJ598" s="56"/>
      <c r="BK598" s="56"/>
      <c r="BS598" s="144"/>
      <c r="CM598" s="144"/>
      <c r="DC598" s="144"/>
    </row>
    <row r="599" spans="1:107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1"/>
      <c r="M599" s="10"/>
      <c r="N599" s="56"/>
      <c r="O599" s="56"/>
      <c r="P599" s="10"/>
      <c r="Q599" s="158"/>
      <c r="R599" s="174"/>
      <c r="S599" s="164"/>
      <c r="T599" s="56"/>
      <c r="U599" s="56"/>
      <c r="V599" s="56"/>
      <c r="W599" s="158"/>
      <c r="X599" s="174"/>
      <c r="Y599" s="168"/>
      <c r="Z599" s="10"/>
      <c r="AA599" s="56"/>
      <c r="AB599" s="56"/>
      <c r="AC599" s="56"/>
      <c r="AD599" s="56"/>
      <c r="AE599" s="56"/>
      <c r="AF599" s="170"/>
      <c r="AG599" s="56"/>
      <c r="AH599" s="56"/>
      <c r="AI599" s="168"/>
      <c r="AJ599" s="56"/>
      <c r="AK599" s="56"/>
      <c r="AL599" s="56"/>
      <c r="AM599" s="56"/>
      <c r="AN599" s="56"/>
      <c r="AO599" s="56"/>
      <c r="AP599" s="56"/>
      <c r="AQ599" s="56"/>
      <c r="AR599" s="168"/>
      <c r="AS599" s="56"/>
      <c r="AT599" s="56"/>
      <c r="AU599" s="56"/>
      <c r="AV599" s="56"/>
      <c r="AW599" s="56"/>
      <c r="AX599" s="56"/>
      <c r="AY599" s="56"/>
      <c r="AZ599" s="56"/>
      <c r="BA599" s="168"/>
      <c r="BB599" s="56"/>
      <c r="BC599" s="56"/>
      <c r="BD599" s="56"/>
      <c r="BE599" s="168"/>
      <c r="BF599" s="56"/>
      <c r="BG599" s="10"/>
      <c r="BH599" s="56"/>
      <c r="BI599" s="56"/>
      <c r="BJ599" s="56"/>
      <c r="BK599" s="56"/>
      <c r="BS599" s="144"/>
      <c r="CM599" s="144"/>
      <c r="DC599" s="144"/>
    </row>
    <row r="600" spans="1:107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1"/>
      <c r="M600" s="10"/>
      <c r="N600" s="56"/>
      <c r="O600" s="56"/>
      <c r="P600" s="10"/>
      <c r="Q600" s="158"/>
      <c r="R600" s="174"/>
      <c r="S600" s="164"/>
      <c r="T600" s="56"/>
      <c r="U600" s="56"/>
      <c r="V600" s="56"/>
      <c r="W600" s="158"/>
      <c r="X600" s="174"/>
      <c r="Y600" s="168"/>
      <c r="Z600" s="10"/>
      <c r="AA600" s="56"/>
      <c r="AB600" s="56"/>
      <c r="AC600" s="56"/>
      <c r="AD600" s="56"/>
      <c r="AE600" s="56"/>
      <c r="AF600" s="170"/>
      <c r="AG600" s="56"/>
      <c r="AH600" s="56"/>
      <c r="AI600" s="168"/>
      <c r="AJ600" s="56"/>
      <c r="AK600" s="56"/>
      <c r="AL600" s="56"/>
      <c r="AM600" s="56"/>
      <c r="AN600" s="56"/>
      <c r="AO600" s="56"/>
      <c r="AP600" s="56"/>
      <c r="AQ600" s="56"/>
      <c r="AR600" s="168"/>
      <c r="AS600" s="56"/>
      <c r="AT600" s="56"/>
      <c r="AU600" s="56"/>
      <c r="AV600" s="56"/>
      <c r="AW600" s="56"/>
      <c r="AX600" s="56"/>
      <c r="AY600" s="56"/>
      <c r="AZ600" s="56"/>
      <c r="BA600" s="168"/>
      <c r="BB600" s="56"/>
      <c r="BC600" s="56"/>
      <c r="BD600" s="56"/>
      <c r="BE600" s="168"/>
      <c r="BF600" s="56"/>
      <c r="BG600" s="10"/>
      <c r="BH600" s="56"/>
      <c r="BI600" s="56"/>
      <c r="BJ600" s="56"/>
      <c r="BK600" s="56"/>
      <c r="BS600" s="144"/>
      <c r="CM600" s="144"/>
      <c r="DC600" s="144"/>
    </row>
    <row r="601" spans="1:107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1"/>
      <c r="M601" s="10"/>
      <c r="N601" s="56"/>
      <c r="O601" s="56"/>
      <c r="P601" s="10"/>
      <c r="Q601" s="158"/>
      <c r="R601" s="174"/>
      <c r="S601" s="164"/>
      <c r="T601" s="56"/>
      <c r="U601" s="56"/>
      <c r="V601" s="56"/>
      <c r="W601" s="158"/>
      <c r="X601" s="174"/>
      <c r="Y601" s="168"/>
      <c r="Z601" s="10"/>
      <c r="AA601" s="56"/>
      <c r="AB601" s="56"/>
      <c r="AC601" s="56"/>
      <c r="AD601" s="56"/>
      <c r="AE601" s="56"/>
      <c r="AF601" s="170"/>
      <c r="AG601" s="56"/>
      <c r="AH601" s="56"/>
      <c r="AI601" s="168"/>
      <c r="AJ601" s="56"/>
      <c r="AK601" s="56"/>
      <c r="AL601" s="56"/>
      <c r="AM601" s="56"/>
      <c r="AN601" s="56"/>
      <c r="AO601" s="56"/>
      <c r="AP601" s="56"/>
      <c r="AQ601" s="56"/>
      <c r="AR601" s="168"/>
      <c r="AS601" s="56"/>
      <c r="AT601" s="56"/>
      <c r="AU601" s="56"/>
      <c r="AV601" s="56"/>
      <c r="AW601" s="56"/>
      <c r="AX601" s="56"/>
      <c r="AY601" s="56"/>
      <c r="AZ601" s="56"/>
      <c r="BA601" s="168"/>
      <c r="BB601" s="56"/>
      <c r="BC601" s="56"/>
      <c r="BD601" s="56"/>
      <c r="BE601" s="168"/>
      <c r="BF601" s="56"/>
      <c r="BG601" s="10"/>
      <c r="BH601" s="56"/>
      <c r="BI601" s="56"/>
      <c r="BJ601" s="56"/>
      <c r="BK601" s="56"/>
      <c r="BS601" s="144"/>
      <c r="CM601" s="144"/>
      <c r="DC601" s="144"/>
    </row>
    <row r="602" spans="1:107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1"/>
      <c r="M602" s="10"/>
      <c r="N602" s="56"/>
      <c r="O602" s="56"/>
      <c r="P602" s="10"/>
      <c r="Q602" s="158"/>
      <c r="R602" s="174"/>
      <c r="S602" s="164"/>
      <c r="T602" s="56"/>
      <c r="U602" s="56"/>
      <c r="V602" s="56"/>
      <c r="W602" s="158"/>
      <c r="X602" s="174"/>
      <c r="Y602" s="168"/>
      <c r="Z602" s="10"/>
      <c r="AA602" s="56"/>
      <c r="AB602" s="56"/>
      <c r="AC602" s="56"/>
      <c r="AD602" s="56"/>
      <c r="AE602" s="56"/>
      <c r="AF602" s="170"/>
      <c r="AG602" s="56"/>
      <c r="AH602" s="56"/>
      <c r="AI602" s="168"/>
      <c r="AJ602" s="56"/>
      <c r="AK602" s="56"/>
      <c r="AL602" s="56"/>
      <c r="AM602" s="56"/>
      <c r="AN602" s="56"/>
      <c r="AO602" s="56"/>
      <c r="AP602" s="56"/>
      <c r="AQ602" s="56"/>
      <c r="AR602" s="168"/>
      <c r="AS602" s="56"/>
      <c r="AT602" s="56"/>
      <c r="AU602" s="56"/>
      <c r="AV602" s="56"/>
      <c r="AW602" s="56"/>
      <c r="AX602" s="56"/>
      <c r="AY602" s="56"/>
      <c r="AZ602" s="56"/>
      <c r="BA602" s="168"/>
      <c r="BB602" s="56"/>
      <c r="BC602" s="56"/>
      <c r="BD602" s="56"/>
      <c r="BE602" s="168"/>
      <c r="BF602" s="56"/>
      <c r="BG602" s="10"/>
      <c r="BH602" s="56"/>
      <c r="BI602" s="56"/>
      <c r="BJ602" s="56"/>
      <c r="BK602" s="56"/>
      <c r="BS602" s="144"/>
      <c r="CM602" s="144"/>
      <c r="DC602" s="144"/>
    </row>
    <row r="603" spans="1:107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1"/>
      <c r="M603" s="10"/>
      <c r="N603" s="56"/>
      <c r="O603" s="56"/>
      <c r="P603" s="10"/>
      <c r="Q603" s="158"/>
      <c r="R603" s="174"/>
      <c r="S603" s="164"/>
      <c r="T603" s="56"/>
      <c r="U603" s="56"/>
      <c r="V603" s="56"/>
      <c r="W603" s="158"/>
      <c r="X603" s="174"/>
      <c r="Y603" s="168"/>
      <c r="Z603" s="10"/>
      <c r="AA603" s="56"/>
      <c r="AB603" s="56"/>
      <c r="AC603" s="56"/>
      <c r="AD603" s="56"/>
      <c r="AE603" s="56"/>
      <c r="AF603" s="170"/>
      <c r="AG603" s="56"/>
      <c r="AH603" s="56"/>
      <c r="AI603" s="168"/>
      <c r="AJ603" s="56"/>
      <c r="AK603" s="56"/>
      <c r="AL603" s="56"/>
      <c r="AM603" s="56"/>
      <c r="AN603" s="56"/>
      <c r="AO603" s="56"/>
      <c r="AP603" s="56"/>
      <c r="AQ603" s="56"/>
      <c r="AR603" s="168"/>
      <c r="AS603" s="56"/>
      <c r="AT603" s="56"/>
      <c r="AU603" s="56"/>
      <c r="AV603" s="56"/>
      <c r="AW603" s="56"/>
      <c r="AX603" s="56"/>
      <c r="AY603" s="56"/>
      <c r="AZ603" s="56"/>
      <c r="BA603" s="168"/>
      <c r="BB603" s="56"/>
      <c r="BC603" s="56"/>
      <c r="BD603" s="56"/>
      <c r="BE603" s="168"/>
      <c r="BF603" s="56"/>
      <c r="BG603" s="10"/>
      <c r="BH603" s="56"/>
      <c r="BI603" s="56"/>
      <c r="BJ603" s="56"/>
      <c r="BK603" s="56"/>
      <c r="BS603" s="144"/>
      <c r="CM603" s="144"/>
      <c r="DC603" s="144"/>
    </row>
    <row r="604" spans="1:107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1"/>
      <c r="M604" s="10"/>
      <c r="N604" s="56"/>
      <c r="O604" s="56"/>
      <c r="P604" s="10"/>
      <c r="Q604" s="158"/>
      <c r="R604" s="174"/>
      <c r="S604" s="164"/>
      <c r="T604" s="56"/>
      <c r="U604" s="56"/>
      <c r="V604" s="56"/>
      <c r="W604" s="158"/>
      <c r="X604" s="174"/>
      <c r="Y604" s="168"/>
      <c r="Z604" s="10"/>
      <c r="AA604" s="56"/>
      <c r="AB604" s="56"/>
      <c r="AC604" s="56"/>
      <c r="AD604" s="56"/>
      <c r="AE604" s="56"/>
      <c r="AF604" s="170"/>
      <c r="AG604" s="56"/>
      <c r="AH604" s="56"/>
      <c r="AI604" s="168"/>
      <c r="AJ604" s="56"/>
      <c r="AK604" s="56"/>
      <c r="AL604" s="56"/>
      <c r="AM604" s="56"/>
      <c r="AN604" s="56"/>
      <c r="AO604" s="56"/>
      <c r="AP604" s="56"/>
      <c r="AQ604" s="56"/>
      <c r="AR604" s="168"/>
      <c r="AS604" s="56"/>
      <c r="AT604" s="56"/>
      <c r="AU604" s="56"/>
      <c r="AV604" s="56"/>
      <c r="AW604" s="56"/>
      <c r="AX604" s="56"/>
      <c r="AY604" s="56"/>
      <c r="AZ604" s="56"/>
      <c r="BA604" s="168"/>
      <c r="BB604" s="56"/>
      <c r="BC604" s="56"/>
      <c r="BD604" s="56"/>
      <c r="BE604" s="168"/>
      <c r="BF604" s="56"/>
      <c r="BG604" s="10"/>
      <c r="BH604" s="56"/>
      <c r="BI604" s="56"/>
      <c r="BJ604" s="56"/>
      <c r="BK604" s="56"/>
      <c r="BS604" s="144"/>
      <c r="CM604" s="144"/>
      <c r="DC604" s="144"/>
    </row>
    <row r="605" spans="1:107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1"/>
      <c r="M605" s="10"/>
      <c r="N605" s="56"/>
      <c r="O605" s="56"/>
      <c r="P605" s="10"/>
      <c r="Q605" s="158"/>
      <c r="R605" s="174"/>
      <c r="S605" s="164"/>
      <c r="T605" s="56"/>
      <c r="U605" s="56"/>
      <c r="V605" s="56"/>
      <c r="W605" s="158"/>
      <c r="X605" s="174"/>
      <c r="Y605" s="168"/>
      <c r="Z605" s="10"/>
      <c r="AA605" s="56"/>
      <c r="AB605" s="56"/>
      <c r="AC605" s="56"/>
      <c r="AD605" s="56"/>
      <c r="AE605" s="56"/>
      <c r="AF605" s="170"/>
      <c r="AG605" s="56"/>
      <c r="AH605" s="56"/>
      <c r="AI605" s="168"/>
      <c r="AJ605" s="56"/>
      <c r="AK605" s="56"/>
      <c r="AL605" s="56"/>
      <c r="AM605" s="56"/>
      <c r="AN605" s="56"/>
      <c r="AO605" s="56"/>
      <c r="AP605" s="56"/>
      <c r="AQ605" s="56"/>
      <c r="AR605" s="168"/>
      <c r="AS605" s="56"/>
      <c r="AT605" s="56"/>
      <c r="AU605" s="56"/>
      <c r="AV605" s="56"/>
      <c r="AW605" s="56"/>
      <c r="AX605" s="56"/>
      <c r="AY605" s="56"/>
      <c r="AZ605" s="56"/>
      <c r="BA605" s="168"/>
      <c r="BB605" s="56"/>
      <c r="BC605" s="56"/>
      <c r="BD605" s="56"/>
      <c r="BE605" s="168"/>
      <c r="BF605" s="56"/>
      <c r="BG605" s="10"/>
      <c r="BH605" s="56"/>
      <c r="BI605" s="56"/>
      <c r="BJ605" s="56"/>
      <c r="BK605" s="56"/>
      <c r="BS605" s="144"/>
      <c r="CM605" s="144"/>
      <c r="DC605" s="144"/>
    </row>
    <row r="606" spans="1:107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1"/>
      <c r="M606" s="10"/>
      <c r="N606" s="56"/>
      <c r="O606" s="56"/>
      <c r="P606" s="10"/>
      <c r="Q606" s="158"/>
      <c r="R606" s="174"/>
      <c r="S606" s="164"/>
      <c r="T606" s="56"/>
      <c r="U606" s="56"/>
      <c r="V606" s="56"/>
      <c r="W606" s="158"/>
      <c r="X606" s="174"/>
      <c r="Y606" s="168"/>
      <c r="Z606" s="10"/>
      <c r="AA606" s="56"/>
      <c r="AB606" s="56"/>
      <c r="AC606" s="56"/>
      <c r="AD606" s="56"/>
      <c r="AE606" s="56"/>
      <c r="AF606" s="170"/>
      <c r="AG606" s="56"/>
      <c r="AH606" s="56"/>
      <c r="AI606" s="168"/>
      <c r="AJ606" s="56"/>
      <c r="AK606" s="56"/>
      <c r="AL606" s="56"/>
      <c r="AM606" s="56"/>
      <c r="AN606" s="56"/>
      <c r="AO606" s="56"/>
      <c r="AP606" s="56"/>
      <c r="AQ606" s="56"/>
      <c r="AR606" s="168"/>
      <c r="AS606" s="56"/>
      <c r="AT606" s="56"/>
      <c r="AU606" s="56"/>
      <c r="AV606" s="56"/>
      <c r="AW606" s="56"/>
      <c r="AX606" s="56"/>
      <c r="AY606" s="56"/>
      <c r="AZ606" s="56"/>
      <c r="BA606" s="168"/>
      <c r="BB606" s="56"/>
      <c r="BC606" s="56"/>
      <c r="BD606" s="56"/>
      <c r="BE606" s="168"/>
      <c r="BF606" s="56"/>
      <c r="BG606" s="10"/>
      <c r="BH606" s="56"/>
      <c r="BI606" s="56"/>
      <c r="BJ606" s="56"/>
      <c r="BK606" s="56"/>
      <c r="BS606" s="144"/>
      <c r="CM606" s="144"/>
      <c r="DC606" s="144"/>
    </row>
    <row r="607" spans="1:107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1"/>
      <c r="M607" s="10"/>
      <c r="N607" s="56"/>
      <c r="O607" s="56"/>
      <c r="P607" s="10"/>
      <c r="Q607" s="158"/>
      <c r="R607" s="174"/>
      <c r="S607" s="164"/>
      <c r="T607" s="56"/>
      <c r="U607" s="56"/>
      <c r="V607" s="56"/>
      <c r="W607" s="158"/>
      <c r="X607" s="174"/>
      <c r="Y607" s="168"/>
      <c r="Z607" s="10"/>
      <c r="AA607" s="56"/>
      <c r="AB607" s="56"/>
      <c r="AC607" s="56"/>
      <c r="AD607" s="56"/>
      <c r="AE607" s="56"/>
      <c r="AF607" s="170"/>
      <c r="AG607" s="56"/>
      <c r="AH607" s="56"/>
      <c r="AI607" s="168"/>
      <c r="AJ607" s="56"/>
      <c r="AK607" s="56"/>
      <c r="AL607" s="56"/>
      <c r="AM607" s="56"/>
      <c r="AN607" s="56"/>
      <c r="AO607" s="56"/>
      <c r="AP607" s="56"/>
      <c r="AQ607" s="56"/>
      <c r="AR607" s="168"/>
      <c r="AS607" s="56"/>
      <c r="AT607" s="56"/>
      <c r="AU607" s="56"/>
      <c r="AV607" s="56"/>
      <c r="AW607" s="56"/>
      <c r="AX607" s="56"/>
      <c r="AY607" s="56"/>
      <c r="AZ607" s="56"/>
      <c r="BA607" s="168"/>
      <c r="BB607" s="56"/>
      <c r="BC607" s="56"/>
      <c r="BD607" s="56"/>
      <c r="BE607" s="168"/>
      <c r="BF607" s="56"/>
      <c r="BG607" s="10"/>
      <c r="BH607" s="56"/>
      <c r="BI607" s="56"/>
      <c r="BJ607" s="56"/>
      <c r="BK607" s="56"/>
      <c r="BS607" s="144"/>
      <c r="CM607" s="144"/>
      <c r="DC607" s="144"/>
    </row>
    <row r="608" spans="1:107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1"/>
      <c r="M608" s="10"/>
      <c r="N608" s="56"/>
      <c r="O608" s="56"/>
      <c r="P608" s="10"/>
      <c r="Q608" s="158"/>
      <c r="R608" s="174"/>
      <c r="S608" s="164"/>
      <c r="T608" s="56"/>
      <c r="U608" s="56"/>
      <c r="V608" s="56"/>
      <c r="W608" s="158"/>
      <c r="X608" s="174"/>
      <c r="Y608" s="168"/>
      <c r="Z608" s="10"/>
      <c r="AA608" s="56"/>
      <c r="AB608" s="56"/>
      <c r="AC608" s="56"/>
      <c r="AD608" s="56"/>
      <c r="AE608" s="56"/>
      <c r="AF608" s="170"/>
      <c r="AG608" s="56"/>
      <c r="AH608" s="56"/>
      <c r="AI608" s="168"/>
      <c r="AJ608" s="56"/>
      <c r="AK608" s="56"/>
      <c r="AL608" s="56"/>
      <c r="AM608" s="56"/>
      <c r="AN608" s="56"/>
      <c r="AO608" s="56"/>
      <c r="AP608" s="56"/>
      <c r="AQ608" s="56"/>
      <c r="AR608" s="168"/>
      <c r="AS608" s="56"/>
      <c r="AT608" s="56"/>
      <c r="AU608" s="56"/>
      <c r="AV608" s="56"/>
      <c r="AW608" s="56"/>
      <c r="AX608" s="56"/>
      <c r="AY608" s="56"/>
      <c r="AZ608" s="56"/>
      <c r="BA608" s="168"/>
      <c r="BB608" s="56"/>
      <c r="BC608" s="56"/>
      <c r="BD608" s="56"/>
      <c r="BE608" s="168"/>
      <c r="BF608" s="56"/>
      <c r="BG608" s="10"/>
      <c r="BH608" s="56"/>
      <c r="BI608" s="56"/>
      <c r="BJ608" s="56"/>
      <c r="BK608" s="56"/>
      <c r="BS608" s="144"/>
      <c r="CM608" s="144"/>
      <c r="DC608" s="144"/>
    </row>
    <row r="609" spans="1:107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1"/>
      <c r="M609" s="10"/>
      <c r="N609" s="56"/>
      <c r="O609" s="56"/>
      <c r="P609" s="10"/>
      <c r="Q609" s="158"/>
      <c r="R609" s="174"/>
      <c r="S609" s="164"/>
      <c r="T609" s="56"/>
      <c r="U609" s="56"/>
      <c r="V609" s="56"/>
      <c r="W609" s="158"/>
      <c r="X609" s="174"/>
      <c r="Y609" s="168"/>
      <c r="Z609" s="10"/>
      <c r="AA609" s="56"/>
      <c r="AB609" s="56"/>
      <c r="AC609" s="56"/>
      <c r="AD609" s="56"/>
      <c r="AE609" s="56"/>
      <c r="AF609" s="170"/>
      <c r="AG609" s="56"/>
      <c r="AH609" s="56"/>
      <c r="AI609" s="168"/>
      <c r="AJ609" s="56"/>
      <c r="AK609" s="56"/>
      <c r="AL609" s="56"/>
      <c r="AM609" s="56"/>
      <c r="AN609" s="56"/>
      <c r="AO609" s="56"/>
      <c r="AP609" s="56"/>
      <c r="AQ609" s="56"/>
      <c r="AR609" s="168"/>
      <c r="AS609" s="56"/>
      <c r="AT609" s="56"/>
      <c r="AU609" s="56"/>
      <c r="AV609" s="56"/>
      <c r="AW609" s="56"/>
      <c r="AX609" s="56"/>
      <c r="AY609" s="56"/>
      <c r="AZ609" s="56"/>
      <c r="BA609" s="168"/>
      <c r="BB609" s="56"/>
      <c r="BC609" s="56"/>
      <c r="BD609" s="56"/>
      <c r="BE609" s="168"/>
      <c r="BF609" s="56"/>
      <c r="BG609" s="10"/>
      <c r="BH609" s="56"/>
      <c r="BI609" s="56"/>
      <c r="BJ609" s="56"/>
      <c r="BK609" s="56"/>
      <c r="BS609" s="144"/>
      <c r="CM609" s="144"/>
      <c r="DC609" s="144"/>
    </row>
    <row r="610" spans="1:107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1"/>
      <c r="M610" s="10"/>
      <c r="N610" s="56"/>
      <c r="O610" s="56"/>
      <c r="P610" s="10"/>
      <c r="Q610" s="158"/>
      <c r="R610" s="174"/>
      <c r="S610" s="164"/>
      <c r="T610" s="56"/>
      <c r="U610" s="56"/>
      <c r="V610" s="56"/>
      <c r="W610" s="158"/>
      <c r="X610" s="174"/>
      <c r="Y610" s="168"/>
      <c r="Z610" s="10"/>
      <c r="AA610" s="56"/>
      <c r="AB610" s="56"/>
      <c r="AC610" s="56"/>
      <c r="AD610" s="56"/>
      <c r="AE610" s="56"/>
      <c r="AF610" s="170"/>
      <c r="AG610" s="56"/>
      <c r="AH610" s="56"/>
      <c r="AI610" s="168"/>
      <c r="AJ610" s="56"/>
      <c r="AK610" s="56"/>
      <c r="AL610" s="56"/>
      <c r="AM610" s="56"/>
      <c r="AN610" s="56"/>
      <c r="AO610" s="56"/>
      <c r="AP610" s="56"/>
      <c r="AQ610" s="56"/>
      <c r="AR610" s="168"/>
      <c r="AS610" s="56"/>
      <c r="AT610" s="56"/>
      <c r="AU610" s="56"/>
      <c r="AV610" s="56"/>
      <c r="AW610" s="56"/>
      <c r="AX610" s="56"/>
      <c r="AY610" s="56"/>
      <c r="AZ610" s="56"/>
      <c r="BA610" s="168"/>
      <c r="BB610" s="56"/>
      <c r="BC610" s="56"/>
      <c r="BD610" s="56"/>
      <c r="BE610" s="168"/>
      <c r="BF610" s="56"/>
      <c r="BG610" s="10"/>
      <c r="BH610" s="56"/>
      <c r="BI610" s="56"/>
      <c r="BJ610" s="56"/>
      <c r="BK610" s="56"/>
      <c r="BS610" s="144"/>
      <c r="CM610" s="144"/>
      <c r="DC610" s="144"/>
    </row>
    <row r="611" spans="1:107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1"/>
      <c r="M611" s="10"/>
      <c r="N611" s="56"/>
      <c r="O611" s="56"/>
      <c r="P611" s="10"/>
      <c r="Q611" s="158"/>
      <c r="R611" s="174"/>
      <c r="S611" s="164"/>
      <c r="T611" s="56"/>
      <c r="U611" s="56"/>
      <c r="V611" s="56"/>
      <c r="W611" s="158"/>
      <c r="X611" s="174"/>
      <c r="Y611" s="168"/>
      <c r="Z611" s="10"/>
      <c r="AA611" s="56"/>
      <c r="AB611" s="56"/>
      <c r="AC611" s="56"/>
      <c r="AD611" s="56"/>
      <c r="AE611" s="56"/>
      <c r="AF611" s="170"/>
      <c r="AG611" s="56"/>
      <c r="AH611" s="56"/>
      <c r="AI611" s="168"/>
      <c r="AJ611" s="56"/>
      <c r="AK611" s="56"/>
      <c r="AL611" s="56"/>
      <c r="AM611" s="56"/>
      <c r="AN611" s="56"/>
      <c r="AO611" s="56"/>
      <c r="AP611" s="56"/>
      <c r="AQ611" s="56"/>
      <c r="AR611" s="168"/>
      <c r="AS611" s="56"/>
      <c r="AT611" s="56"/>
      <c r="AU611" s="56"/>
      <c r="AV611" s="56"/>
      <c r="AW611" s="56"/>
      <c r="AX611" s="56"/>
      <c r="AY611" s="56"/>
      <c r="AZ611" s="56"/>
      <c r="BA611" s="168"/>
      <c r="BB611" s="56"/>
      <c r="BC611" s="56"/>
      <c r="BD611" s="56"/>
      <c r="BE611" s="168"/>
      <c r="BF611" s="56"/>
      <c r="BG611" s="10"/>
      <c r="BH611" s="56"/>
      <c r="BI611" s="56"/>
      <c r="BJ611" s="56"/>
      <c r="BK611" s="56"/>
      <c r="BS611" s="144"/>
      <c r="CM611" s="144"/>
      <c r="DC611" s="144"/>
    </row>
    <row r="612" spans="1:107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1"/>
      <c r="M612" s="10"/>
      <c r="N612" s="56"/>
      <c r="O612" s="56"/>
      <c r="P612" s="10"/>
      <c r="Q612" s="158"/>
      <c r="R612" s="174"/>
      <c r="S612" s="164"/>
      <c r="T612" s="56"/>
      <c r="U612" s="56"/>
      <c r="V612" s="56"/>
      <c r="W612" s="158"/>
      <c r="X612" s="174"/>
      <c r="Y612" s="168"/>
      <c r="Z612" s="10"/>
      <c r="AA612" s="56"/>
      <c r="AB612" s="56"/>
      <c r="AC612" s="56"/>
      <c r="AD612" s="56"/>
      <c r="AE612" s="56"/>
      <c r="AF612" s="170"/>
      <c r="AG612" s="56"/>
      <c r="AH612" s="56"/>
      <c r="AI612" s="168"/>
      <c r="AJ612" s="56"/>
      <c r="AK612" s="56"/>
      <c r="AL612" s="56"/>
      <c r="AM612" s="56"/>
      <c r="AN612" s="56"/>
      <c r="AO612" s="56"/>
      <c r="AP612" s="56"/>
      <c r="AQ612" s="56"/>
      <c r="AR612" s="168"/>
      <c r="AS612" s="56"/>
      <c r="AT612" s="56"/>
      <c r="AU612" s="56"/>
      <c r="AV612" s="56"/>
      <c r="AW612" s="56"/>
      <c r="AX612" s="56"/>
      <c r="AY612" s="56"/>
      <c r="AZ612" s="56"/>
      <c r="BA612" s="168"/>
      <c r="BB612" s="56"/>
      <c r="BC612" s="56"/>
      <c r="BD612" s="56"/>
      <c r="BE612" s="168"/>
      <c r="BF612" s="56"/>
      <c r="BG612" s="10"/>
      <c r="BH612" s="56"/>
      <c r="BI612" s="56"/>
      <c r="BJ612" s="56"/>
      <c r="BK612" s="56"/>
      <c r="BS612" s="144"/>
      <c r="CM612" s="144"/>
      <c r="DC612" s="144"/>
    </row>
    <row r="613" spans="1:107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1"/>
      <c r="M613" s="10"/>
      <c r="N613" s="56"/>
      <c r="O613" s="56"/>
      <c r="P613" s="10"/>
      <c r="Q613" s="158"/>
      <c r="R613" s="174"/>
      <c r="S613" s="164"/>
      <c r="T613" s="56"/>
      <c r="U613" s="56"/>
      <c r="V613" s="56"/>
      <c r="W613" s="158"/>
      <c r="X613" s="174"/>
      <c r="Y613" s="168"/>
      <c r="Z613" s="10"/>
      <c r="AA613" s="56"/>
      <c r="AB613" s="56"/>
      <c r="AC613" s="56"/>
      <c r="AD613" s="56"/>
      <c r="AE613" s="56"/>
      <c r="AF613" s="170"/>
      <c r="AG613" s="56"/>
      <c r="AH613" s="56"/>
      <c r="AI613" s="168"/>
      <c r="AJ613" s="56"/>
      <c r="AK613" s="56"/>
      <c r="AL613" s="56"/>
      <c r="AM613" s="56"/>
      <c r="AN613" s="56"/>
      <c r="AO613" s="56"/>
      <c r="AP613" s="56"/>
      <c r="AQ613" s="56"/>
      <c r="AR613" s="168"/>
      <c r="AS613" s="56"/>
      <c r="AT613" s="56"/>
      <c r="AU613" s="56"/>
      <c r="AV613" s="56"/>
      <c r="AW613" s="56"/>
      <c r="AX613" s="56"/>
      <c r="AY613" s="56"/>
      <c r="AZ613" s="56"/>
      <c r="BA613" s="168"/>
      <c r="BB613" s="56"/>
      <c r="BC613" s="56"/>
      <c r="BD613" s="56"/>
      <c r="BE613" s="168"/>
      <c r="BF613" s="56"/>
      <c r="BG613" s="10"/>
      <c r="BH613" s="56"/>
      <c r="BI613" s="56"/>
      <c r="BJ613" s="56"/>
      <c r="BK613" s="56"/>
      <c r="BS613" s="144"/>
      <c r="CM613" s="144"/>
      <c r="DC613" s="144"/>
    </row>
    <row r="614" spans="1:107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1"/>
      <c r="M614" s="10"/>
      <c r="N614" s="56"/>
      <c r="O614" s="56"/>
      <c r="P614" s="10"/>
      <c r="Q614" s="158"/>
      <c r="R614" s="174"/>
      <c r="S614" s="164"/>
      <c r="T614" s="56"/>
      <c r="U614" s="56"/>
      <c r="V614" s="56"/>
      <c r="W614" s="158"/>
      <c r="X614" s="174"/>
      <c r="Y614" s="168"/>
      <c r="Z614" s="10"/>
      <c r="AA614" s="56"/>
      <c r="AB614" s="56"/>
      <c r="AC614" s="56"/>
      <c r="AD614" s="56"/>
      <c r="AE614" s="56"/>
      <c r="AF614" s="170"/>
      <c r="AG614" s="56"/>
      <c r="AH614" s="56"/>
      <c r="AI614" s="168"/>
      <c r="AJ614" s="56"/>
      <c r="AK614" s="56"/>
      <c r="AL614" s="56"/>
      <c r="AM614" s="56"/>
      <c r="AN614" s="56"/>
      <c r="AO614" s="56"/>
      <c r="AP614" s="56"/>
      <c r="AQ614" s="56"/>
      <c r="AR614" s="168"/>
      <c r="AS614" s="56"/>
      <c r="AT614" s="56"/>
      <c r="AU614" s="56"/>
      <c r="AV614" s="56"/>
      <c r="AW614" s="56"/>
      <c r="AX614" s="56"/>
      <c r="AY614" s="56"/>
      <c r="AZ614" s="56"/>
      <c r="BA614" s="168"/>
      <c r="BB614" s="56"/>
      <c r="BC614" s="56"/>
      <c r="BD614" s="56"/>
      <c r="BE614" s="168"/>
      <c r="BF614" s="56"/>
      <c r="BG614" s="10"/>
      <c r="BH614" s="56"/>
      <c r="BI614" s="56"/>
      <c r="BJ614" s="56"/>
      <c r="BK614" s="56"/>
      <c r="BS614" s="144"/>
      <c r="CM614" s="144"/>
      <c r="DC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topLeftCell="G1" workbookViewId="0">
      <selection activeCell="G9" sqref="A9:XFD9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78.25" style="10" customWidth="1"/>
    <col min="9" max="13" width="18" style="56" customWidth="1"/>
    <col min="14" max="14" width="18" style="10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559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565</v>
      </c>
      <c r="I3" s="56" t="s">
        <v>574</v>
      </c>
      <c r="J3" s="56" t="s">
        <v>575</v>
      </c>
      <c r="K3" s="56" t="s">
        <v>576</v>
      </c>
      <c r="L3" s="56" t="s">
        <v>581</v>
      </c>
      <c r="M3" s="56" t="s">
        <v>587</v>
      </c>
    </row>
    <row r="4" spans="1:24" s="102" customFormat="1" ht="64.5" customHeight="1" thickBot="1" x14ac:dyDescent="0.2">
      <c r="A4" s="97" t="s">
        <v>562</v>
      </c>
      <c r="B4" s="90" t="s">
        <v>660</v>
      </c>
      <c r="C4" s="106"/>
      <c r="D4" s="90"/>
      <c r="E4" s="90"/>
      <c r="F4" s="106"/>
      <c r="G4" s="93" t="s">
        <v>566</v>
      </c>
      <c r="H4" s="93" t="s">
        <v>570</v>
      </c>
      <c r="I4" s="92" t="s">
        <v>650</v>
      </c>
      <c r="J4" s="92" t="s">
        <v>651</v>
      </c>
      <c r="K4" s="92" t="s">
        <v>652</v>
      </c>
      <c r="L4" s="92" t="s">
        <v>579</v>
      </c>
      <c r="M4" s="92" t="s">
        <v>657</v>
      </c>
      <c r="N4" s="93"/>
      <c r="O4" s="103" t="s">
        <v>1351</v>
      </c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567</v>
      </c>
      <c r="H5" s="11" t="s">
        <v>568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1250</v>
      </c>
      <c r="H6" s="11" t="s">
        <v>1249</v>
      </c>
      <c r="I6" s="56">
        <v>10000000</v>
      </c>
      <c r="J6" s="56">
        <v>60</v>
      </c>
      <c r="K6" s="56">
        <v>60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571</v>
      </c>
      <c r="H7" s="11" t="s">
        <v>580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569</v>
      </c>
      <c r="H8" s="11" t="s">
        <v>573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572</v>
      </c>
      <c r="H9" s="11" t="s">
        <v>654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665</v>
      </c>
      <c r="H10" s="11" t="s">
        <v>632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648</v>
      </c>
      <c r="H11" s="10" t="s">
        <v>653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649</v>
      </c>
      <c r="H12" s="10" t="s">
        <v>653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656</v>
      </c>
      <c r="H13" s="10" t="s">
        <v>658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662</v>
      </c>
      <c r="H14" s="10" t="s">
        <v>663</v>
      </c>
      <c r="I14" s="56"/>
      <c r="J14" s="56"/>
      <c r="K14" s="56"/>
      <c r="L14" s="56">
        <v>20</v>
      </c>
      <c r="M14" s="56"/>
      <c r="N14" s="10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667</v>
      </c>
      <c r="H15" s="10" t="s">
        <v>661</v>
      </c>
      <c r="I15" s="56"/>
      <c r="J15" s="56"/>
      <c r="K15" s="56"/>
      <c r="L15" s="56"/>
      <c r="M15" s="56">
        <v>80</v>
      </c>
      <c r="N15" s="10">
        <f>IF((1-(1-M15/10000)^1440)=0,"",1-(1-M15/10000)^1440)</f>
        <v>0.99999052000950239</v>
      </c>
      <c r="O15" s="99">
        <v>15</v>
      </c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668</v>
      </c>
      <c r="H16" s="10" t="s">
        <v>666</v>
      </c>
      <c r="I16" s="56"/>
      <c r="J16" s="56"/>
      <c r="K16" s="56"/>
      <c r="L16" s="56">
        <v>50</v>
      </c>
      <c r="M16" s="56"/>
      <c r="N16" s="10"/>
      <c r="O16" s="99">
        <v>5</v>
      </c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669</v>
      </c>
      <c r="H17" s="10" t="s">
        <v>670</v>
      </c>
      <c r="I17" s="56"/>
      <c r="J17" s="56"/>
      <c r="K17" s="56"/>
      <c r="L17" s="56">
        <v>1</v>
      </c>
      <c r="M17" s="56"/>
      <c r="N17" s="10"/>
      <c r="O17" s="99">
        <v>2</v>
      </c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813</v>
      </c>
      <c r="H18" s="10" t="s">
        <v>814</v>
      </c>
      <c r="I18" s="56">
        <v>5</v>
      </c>
      <c r="J18" s="56"/>
      <c r="K18" s="56"/>
      <c r="L18" s="56"/>
      <c r="M18" s="56"/>
      <c r="N18" s="10"/>
      <c r="O18" s="99"/>
      <c r="Q18" s="99"/>
      <c r="T18" s="99"/>
    </row>
    <row r="19" spans="1:20" s="104" customFormat="1" x14ac:dyDescent="0.15">
      <c r="A19" s="11"/>
      <c r="B19" s="10"/>
      <c r="C19" s="105"/>
      <c r="D19" s="10"/>
      <c r="E19" s="10"/>
      <c r="F19" s="105"/>
      <c r="G19" s="10"/>
      <c r="H19" s="10"/>
      <c r="I19" s="56"/>
      <c r="J19" s="56"/>
      <c r="K19" s="56"/>
      <c r="L19" s="56"/>
      <c r="M19" s="56"/>
      <c r="N19" s="10"/>
      <c r="O19" s="99"/>
      <c r="Q19" s="99"/>
      <c r="T19" s="9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0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0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0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0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0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0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0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0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0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0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0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0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0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0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0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0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0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0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0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0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0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0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0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0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0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0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0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0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0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0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0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0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0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0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0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0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0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0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0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0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0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0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0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0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0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0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0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0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0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0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0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0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0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0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0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0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0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0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0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0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0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0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0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0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0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0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0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0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0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0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0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0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0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0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0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0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0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0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0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0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0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0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0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0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0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0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0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0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0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0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0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0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0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0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0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0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0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0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0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0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0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0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0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0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0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0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0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0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0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0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0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0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0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0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0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0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0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0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0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0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0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0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0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0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0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0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0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0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0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0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0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0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0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0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0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0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0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0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0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0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0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0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0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0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0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0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0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0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0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0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0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0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0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0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0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0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0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0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0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0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0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0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0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0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0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0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0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0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0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0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0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0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0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0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0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0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0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0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0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0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0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0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0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0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0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0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0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0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0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0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0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0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0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0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0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0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0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0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0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0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0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0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0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0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0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0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0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0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0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0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0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0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0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0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0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0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0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0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0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0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0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0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0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0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0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0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0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0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0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0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0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0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0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0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0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0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0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0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0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0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0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0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0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0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0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0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0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0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0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0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0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0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0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0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0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0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0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0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0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0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0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0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0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0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0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0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0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0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0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0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0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0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0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0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0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0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0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0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0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0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0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0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0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0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0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0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0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0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0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0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0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0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0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0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0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0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0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0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0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0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0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0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0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0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0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0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0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0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0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0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0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0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0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0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0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0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0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0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0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0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0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0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0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0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0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0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0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0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0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0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0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0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0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0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0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0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0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0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0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0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0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0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0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0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0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0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0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0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0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0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0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0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0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0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0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0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0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0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0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0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0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0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0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0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0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0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0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0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0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0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0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0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0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0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0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0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0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0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0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0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0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0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0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0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0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0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0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0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0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0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0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0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0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0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0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0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0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0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0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0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0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0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0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0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0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0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0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0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0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0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0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0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0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0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0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0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0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0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0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0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0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0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0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0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0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0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0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0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0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0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0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0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0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0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0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0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0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0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0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0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0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0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0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0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0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0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0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0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0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0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0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0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0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0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0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0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0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0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0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0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0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0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0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0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0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0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0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0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0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0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0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0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0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0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0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0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0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0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0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0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0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0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0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0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0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0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0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0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0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0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0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0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0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0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0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0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0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0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0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0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0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0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0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0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0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0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0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0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0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0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0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0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0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0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0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0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0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0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0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0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0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0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0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0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0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0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0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0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0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0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0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0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0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0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0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0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0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0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0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0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0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0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0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0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0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0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0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0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0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0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0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0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0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0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0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0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0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0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0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0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0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0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0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0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0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0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0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0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0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0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0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0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0"/>
      <c r="O592" s="99"/>
      <c r="Q592" s="99"/>
      <c r="T592" s="99"/>
    </row>
    <row r="593" spans="1:20" s="104" customFormat="1" ht="19.5" customHeigh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0"/>
      <c r="O593" s="99"/>
      <c r="Q593" s="99"/>
      <c r="T593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2018-09-12T02:38:50Z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