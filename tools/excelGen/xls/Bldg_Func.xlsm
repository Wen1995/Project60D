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" activeTab="1"/>
  </bookViews>
  <sheets>
    <sheet name="全部建筑-属性" sheetId="27" r:id="rId1"/>
    <sheet name="粗算 (4)" sheetId="44" r:id="rId2"/>
    <sheet name="粗算 (2)" sheetId="39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LEIDA" sheetId="43" r:id="rId15"/>
    <sheet name="CANGKU" sheetId="31" r:id="rId16"/>
    <sheet name="DIANCHIZU" sheetId="28" r:id="rId17"/>
    <sheet name="JIANSHENFANG" sheetId="11" r:id="rId18"/>
    <sheet name="CHE1" sheetId="46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GAU-8" sheetId="24" r:id="rId3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4" l="1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F4" i="44" l="1"/>
  <c r="F5" i="44" s="1"/>
  <c r="R3" i="44"/>
  <c r="O3" i="44"/>
  <c r="O4" i="44" s="1"/>
  <c r="K4" i="44" s="1"/>
  <c r="B3" i="44"/>
  <c r="AB3" i="44" s="1"/>
  <c r="Q2" i="44"/>
  <c r="K2" i="44"/>
  <c r="N2" i="44" s="1"/>
  <c r="B2" i="44"/>
  <c r="M2" i="44" l="1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4" i="44" l="1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Q5" i="44" l="1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T5" i="44" l="1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T6" i="44" l="1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H7" i="44" l="1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I8" i="44" l="1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H9" i="44" l="1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H10" i="44" l="1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H11" i="44" l="1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H12" i="44" l="1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I13" i="44" l="1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H14" i="44" l="1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I15" i="44" l="1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I16" i="44" l="1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H17" i="44" l="1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I18" i="44" l="1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<sst xmlns="http://schemas.openxmlformats.org/spreadsheetml/2006/main" count="627" uniqueCount="264">
  <si>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</si>
  <si>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</si>
  <si>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</si>
  <si>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</si>
  <si>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</si>
  <si>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</si>
  <si>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</si>
  <si>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</si>
  <si>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</si>
  <si>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</si>
  <si>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</si>
  <si>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</si>
  <si>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</si>
  <si>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</si>
  <si>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</si>
  <si>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</si>
  <si>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</si>
  <si>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</si>
  <si>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</si>
  <si>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</si>
  <si>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</si>
  <si>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</si>
  <si>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</si>
  <si>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</si>
  <si>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</si>
  <si>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</si>
  <si>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</si>
  <si>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</si>
  <si>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</si>
  <si>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</si>
  <si>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</si>
  <si>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</si>
  <si>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</si>
  <si>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</si>
  <si>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</si>
  <si>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</si>
  <si>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</si>
  <si>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</si>
  <si>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</si>
  <si>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</si>
  <si>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</si>
  <si>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</si>
  <si>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</si>
  <si>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</si>
  <si>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</si>
  <si>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</si>
  <si>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</si>
  <si>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</si>
  <si>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</si>
  <si>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</si>
  <si>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</si>
  <si>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</si>
  <si>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</si>
  <si>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</si>
  <si>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</si>
  <si>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</si>
  <si>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</si>
  <si>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</si>
  <si>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</si>
  <si>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</si>
  <si>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</si>
  <si>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</si>
  <si>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</si>
  <si>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</si>
  <si>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</si>
  <si>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</si>
  <si>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</si>
  <si>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</si>
  <si>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</si>
  <si>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</si>
  <si>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</si>
  <si>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</si>
  <si>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</si>
  <si>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</si>
  <si>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</si>
  <si>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</si>
  <si>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</si>
  <si>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</si>
  <si>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</si>
  <si>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</si>
  <si>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</si>
  <si>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</si>
  <si>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</si>
  <si>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</si>
  <si>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</si>
  <si>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</si>
  <si>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</si>
  <si>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</si>
  <si>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</si>
  <si>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</si>
  <si>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</si>
  <si>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</si>
  <si>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</si>
  <si>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</si>
  <si>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</si>
  <si>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</si>
  <si>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</si>
  <si>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</si>
  <si>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</si>
  <si>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</si>
  <si>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</si>
  <si>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</si>
  <si>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</si>
  <si>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</si>
  <si>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</si>
  <si>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</si>
  <si>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</si>
  <si>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</si>
  <si>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</si>
  <si>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</si>
  <si>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</si>
  <si>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</si>
  <si>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</si>
  <si>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</si>
  <si>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</si>
  <si>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</si>
  <si>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</si>
  <si>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</si>
  <si>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</si>
  <si>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</si>
  <si>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</si>
  <si>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</si>
  <si>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</si>
  <si>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</si>
  <si>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</si>
  <si>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</si>
  <si>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</si>
  <si>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</si>
  <si>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</si>
  <si>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</si>
  <si>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</si>
  <si>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</si>
  <si>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</si>
  <si>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</si>
  <si>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</si>
  <si>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</si>
  <si>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</si>
  <si>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</si>
  <si>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</si>
  <si>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</si>
  <si>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</si>
  <si>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</si>
  <si>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</si>
  <si>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</si>
  <si>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</si>
  <si>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</si>
  <si>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</si>
  <si>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</si>
  <si>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</si>
  <si>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</si>
  <si>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</si>
  <si>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</si>
  <si>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</si>
  <si>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</si>
  <si>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</si>
  <si>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</si>
  <si>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</si>
  <si>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</si>
  <si>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</si>
  <si>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</si>
  <si>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</si>
  <si>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</si>
  <si>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</si>
  <si>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</si>
  <si>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</si>
  <si>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</si>
  <si>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</si>
  <si>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</si>
  <si>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</si>
  <si>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</si>
  <si>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</si>
  <si>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</si>
  <si>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</si>
  <si>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</si>
  <si>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</si>
  <si>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</si>
  <si>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</si>
  <si>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</si>
  <si>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</si>
  <si>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</si>
  <si>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</si>
  <si>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</si>
  <si>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</si>
  <si>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</si>
  <si>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</si>
  <si>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</si>
  <si>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</si>
  <si>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</si>
  <si>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</si>
  <si>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</si>
  <si>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</si>
  <si>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</si>
  <si>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</si>
  <si>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</si>
  <si>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</si>
  <si>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</si>
  <si>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</si>
  <si>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</si>
  <si>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</si>
  <si>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</si>
  <si>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</si>
  <si>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</si>
  <si>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</si>
  <si>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</si>
  <si>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</si>
  <si>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</si>
  <si>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weapon1_might</t>
    <phoneticPr fontId="3" type="noConversion"/>
  </si>
  <si>
    <t>weapon2_might</t>
    <phoneticPr fontId="3" type="noConversion"/>
  </si>
  <si>
    <t>weapon3_might</t>
    <phoneticPr fontId="3" type="noConversion"/>
  </si>
  <si>
    <t>weapon4_might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</si>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</sst>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02600016"/>
        <c:axId val="702600576"/>
      </c:scatterChart>
      <c:valAx>
        <c:axId val="70260001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2600576"/>
        <c:crosses val="autoZero"/>
        <c:crossBetween val="midCat"/>
      </c:valAx>
      <c:valAx>
        <c:axId val="7026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260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699648"/>
        <c:axId val="812700208"/>
      </c:scatterChart>
      <c:valAx>
        <c:axId val="81269964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700208"/>
        <c:crosses val="autoZero"/>
        <c:crossBetween val="midCat"/>
        <c:majorUnit val="125"/>
      </c:valAx>
      <c:valAx>
        <c:axId val="8127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699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20066944"/>
        <c:axId val="820067504"/>
      </c:scatterChart>
      <c:valAx>
        <c:axId val="82006694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067504"/>
        <c:crosses val="autoZero"/>
        <c:crossBetween val="midCat"/>
      </c:valAx>
      <c:valAx>
        <c:axId val="82006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06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135392"/>
        <c:axId val="820135952"/>
      </c:scatterChart>
      <c:valAx>
        <c:axId val="82013539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135952"/>
        <c:crosses val="autoZero"/>
        <c:crossBetween val="midCat"/>
        <c:majorUnit val="125"/>
      </c:valAx>
      <c:valAx>
        <c:axId val="82013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13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47" t="s">
        <v>62</v>
      </c>
      <c r="D1" s="47"/>
      <c r="E1" s="47"/>
      <c r="F1" s="47"/>
      <c r="G1" s="48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210</v>
      </c>
      <c r="K2" t="s">
        <v>211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213</v>
      </c>
    </row>
    <row r="33" spans="1:21" x14ac:dyDescent="0.35">
      <c r="A33" s="12" t="s">
        <v>212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210</v>
      </c>
      <c r="L56" t="s">
        <v>211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214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215</v>
      </c>
      <c r="K61">
        <v>24000</v>
      </c>
      <c r="L61">
        <v>130000</v>
      </c>
      <c r="M61" s="12">
        <v>18</v>
      </c>
    </row>
    <row r="62" spans="2:14" x14ac:dyDescent="0.35">
      <c r="H62" s="12" t="s">
        <v>216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217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218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229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219</v>
      </c>
    </row>
    <row r="78" spans="1:13" x14ac:dyDescent="0.35">
      <c r="A78" s="12" t="s">
        <v>220</v>
      </c>
      <c r="B78" s="12" t="s">
        <v>230</v>
      </c>
      <c r="C78" s="12" t="s">
        <v>231</v>
      </c>
      <c r="E78" s="12" t="s">
        <v>232</v>
      </c>
    </row>
    <row r="79" spans="1:13" x14ac:dyDescent="0.35">
      <c r="A79" s="12" t="s">
        <v>221</v>
      </c>
      <c r="B79" s="12" t="s">
        <v>233</v>
      </c>
    </row>
    <row r="80" spans="1:13" x14ac:dyDescent="0.35">
      <c r="A80" s="12" t="s">
        <v>222</v>
      </c>
    </row>
    <row r="81" spans="1:2" x14ac:dyDescent="0.35">
      <c r="A81" s="12" t="s">
        <v>223</v>
      </c>
      <c r="B81" s="12" t="s">
        <v>234</v>
      </c>
    </row>
    <row r="82" spans="1:2" x14ac:dyDescent="0.35">
      <c r="A82" s="12" t="s">
        <v>224</v>
      </c>
      <c r="B82" s="12" t="s">
        <v>236</v>
      </c>
    </row>
    <row r="83" spans="1:2" x14ac:dyDescent="0.35">
      <c r="A83" s="12" t="s">
        <v>225</v>
      </c>
    </row>
    <row r="84" spans="1:2" x14ac:dyDescent="0.35">
      <c r="A84" s="12" t="s">
        <v>226</v>
      </c>
      <c r="B84" s="12" t="s">
        <v>235</v>
      </c>
    </row>
    <row r="85" spans="1:2" x14ac:dyDescent="0.35">
      <c r="A85" s="12" t="s">
        <v>227</v>
      </c>
    </row>
    <row r="86" spans="1:2" x14ac:dyDescent="0.35">
      <c r="A86" s="12" t="s">
        <v>228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tabSelected="1" zoomScale="115" zoomScaleNormal="115" workbookViewId="0">
      <selection activeCell="C2" sqref="C2:C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3" t="s">
        <v>156</v>
      </c>
      <c r="C1" s="53" t="s">
        <v>262</v>
      </c>
      <c r="D1" s="21" t="s">
        <v>42</v>
      </c>
      <c r="E1" s="21" t="s">
        <v>145</v>
      </c>
      <c r="F1" s="21" t="s">
        <v>47</v>
      </c>
      <c r="G1" s="49" t="s">
        <v>155</v>
      </c>
      <c r="H1" s="49" t="s">
        <v>149</v>
      </c>
      <c r="I1" s="49" t="s">
        <v>158</v>
      </c>
      <c r="J1" s="49" t="s">
        <v>160</v>
      </c>
      <c r="K1" s="53" t="s">
        <v>147</v>
      </c>
      <c r="L1" s="51" t="s">
        <v>146</v>
      </c>
      <c r="M1" s="52" t="s">
        <v>157</v>
      </c>
      <c r="N1" s="52" t="s">
        <v>159</v>
      </c>
      <c r="O1" s="21" t="s">
        <v>43</v>
      </c>
      <c r="P1" s="21" t="s">
        <v>44</v>
      </c>
      <c r="Q1" s="53" t="s">
        <v>148</v>
      </c>
      <c r="R1" s="21" t="s">
        <v>48</v>
      </c>
      <c r="S1" s="50" t="s">
        <v>261</v>
      </c>
      <c r="T1" s="50" t="s">
        <v>260</v>
      </c>
      <c r="U1" s="50" t="s">
        <v>259</v>
      </c>
      <c r="V1" s="50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>(R2/2)/N2</f>
        <v>3.3333333333333335</v>
      </c>
      <c r="V2" s="22">
        <f>Q2/K2</f>
        <v>5</v>
      </c>
      <c r="Z2" s="22">
        <f>K2</f>
        <v>100</v>
      </c>
      <c r="AA2" s="22">
        <f>Z2*2.5</f>
        <v>250</v>
      </c>
      <c r="AB2" s="21">
        <f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0">IF(D3&lt;100,ROUND(D3,1-LEN(ROUND(D3,0))),ROUND(D3,2-LEN(ROUND(D3,0))))</f>
        <v>100</v>
      </c>
      <c r="C3" s="21">
        <f t="shared" ref="C3:C21" si="1">B3/5</f>
        <v>20</v>
      </c>
      <c r="D3" s="25">
        <v>100</v>
      </c>
      <c r="E3" s="22">
        <f>B3+E2</f>
        <v>200</v>
      </c>
      <c r="F3" s="23">
        <v>0</v>
      </c>
      <c r="G3" s="23"/>
      <c r="H3" s="21">
        <f t="shared" ref="H3:H21" si="2">G3/((L3*4)/K3)</f>
        <v>0</v>
      </c>
      <c r="I3" s="21">
        <f t="shared" ref="I3:I21" si="3">G3/((M3*3)/K3)</f>
        <v>0</v>
      </c>
      <c r="J3" s="21">
        <f t="shared" ref="J3:J21" si="4">G3/((N3*2/K3))</f>
        <v>0</v>
      </c>
      <c r="K3" s="21">
        <f t="shared" ref="K3:K21" si="5">IF(O3&lt;100,ROUND(O3,1-LEN(ROUND(O3,0))),ROUND(O3,2-LEN(ROUND(O3,0))))</f>
        <v>200</v>
      </c>
      <c r="L3" s="21">
        <f t="shared" ref="L3:L21" si="6">K3*2.5/4</f>
        <v>125</v>
      </c>
      <c r="M3" s="22">
        <f t="shared" ref="M3:M21" si="7">K3*2/3</f>
        <v>133.33333333333334</v>
      </c>
      <c r="N3" s="22">
        <f t="shared" ref="N3:N21" si="8">K3*1.5/2</f>
        <v>150</v>
      </c>
      <c r="O3" s="22">
        <f>O2*Y3</f>
        <v>200</v>
      </c>
      <c r="Q3" s="21">
        <f t="shared" ref="Q3:Q21" si="9">IF(R3&lt;100,ROUND(R3,1-LEN(ROUND(R3,0))),ROUND(R3,2-LEN(ROUND(R3,0))))</f>
        <v>1500</v>
      </c>
      <c r="R3" s="21">
        <f>R2*W3</f>
        <v>1500</v>
      </c>
      <c r="S3" s="22">
        <f t="shared" ref="S3:S21" si="10">(R3/4)/L3</f>
        <v>3</v>
      </c>
      <c r="T3" s="22">
        <f t="shared" ref="T3:T21" si="11">(R3/3)/M3</f>
        <v>3.7499999999999996</v>
      </c>
      <c r="U3" s="22">
        <f>(R3/2)/N3</f>
        <v>5</v>
      </c>
      <c r="V3" s="22">
        <f>Q3/K3</f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2">Z3*2.5</f>
        <v>250</v>
      </c>
      <c r="AB3" s="21">
        <f>B3</f>
        <v>100</v>
      </c>
      <c r="AC3" s="21">
        <f>AB3+AB2</f>
        <v>200</v>
      </c>
      <c r="AD3" s="21">
        <f t="shared" ref="AD3:AD21" si="13">AB3/Z3</f>
        <v>1</v>
      </c>
    </row>
    <row r="4" spans="1:30" x14ac:dyDescent="0.35">
      <c r="A4" s="21">
        <v>3</v>
      </c>
      <c r="B4" s="21">
        <f t="shared" si="0"/>
        <v>800</v>
      </c>
      <c r="C4" s="21">
        <f t="shared" si="1"/>
        <v>160</v>
      </c>
      <c r="D4" s="22">
        <f t="shared" ref="D4:D21" si="14">F4*O3</f>
        <v>800</v>
      </c>
      <c r="E4" s="22">
        <f>B4+E3</f>
        <v>1000</v>
      </c>
      <c r="F4" s="23">
        <f>P4</f>
        <v>4</v>
      </c>
      <c r="G4" s="23">
        <v>1</v>
      </c>
      <c r="H4" s="21">
        <f t="shared" si="2"/>
        <v>0.4</v>
      </c>
      <c r="I4" s="21">
        <f t="shared" si="3"/>
        <v>0.5</v>
      </c>
      <c r="J4" s="21">
        <f t="shared" si="4"/>
        <v>0.66666666666666663</v>
      </c>
      <c r="K4" s="21">
        <f t="shared" si="5"/>
        <v>800</v>
      </c>
      <c r="L4" s="21">
        <f t="shared" si="6"/>
        <v>500</v>
      </c>
      <c r="M4" s="22">
        <f t="shared" si="7"/>
        <v>533.33333333333337</v>
      </c>
      <c r="N4" s="22">
        <f t="shared" si="8"/>
        <v>600</v>
      </c>
      <c r="O4" s="22">
        <f>O3*Y4</f>
        <v>800</v>
      </c>
      <c r="P4" s="24">
        <v>4</v>
      </c>
      <c r="Q4" s="21">
        <f t="shared" si="9"/>
        <v>7200</v>
      </c>
      <c r="R4" s="21">
        <f>R3*W4</f>
        <v>7200</v>
      </c>
      <c r="S4" s="22">
        <f t="shared" si="10"/>
        <v>3.6</v>
      </c>
      <c r="T4" s="22">
        <f t="shared" si="11"/>
        <v>4.5</v>
      </c>
      <c r="U4" s="22">
        <f>(R4/2)/N4</f>
        <v>6</v>
      </c>
      <c r="V4" s="22">
        <f>Q4/K4</f>
        <v>9</v>
      </c>
      <c r="W4" s="24">
        <f>Y4+0.8</f>
        <v>4.8</v>
      </c>
      <c r="Y4" s="24">
        <v>4</v>
      </c>
      <c r="Z4" s="22">
        <f t="shared" ref="Z4:Z21" si="15">K4-K3</f>
        <v>600</v>
      </c>
      <c r="AA4" s="22">
        <f t="shared" si="12"/>
        <v>1500</v>
      </c>
      <c r="AB4" s="21">
        <f>B4</f>
        <v>800</v>
      </c>
      <c r="AC4" s="21">
        <f t="shared" ref="AC4:AC21" si="16">AB4+AB3</f>
        <v>900</v>
      </c>
      <c r="AD4" s="21">
        <f t="shared" si="13"/>
        <v>1.3333333333333333</v>
      </c>
    </row>
    <row r="5" spans="1:30" x14ac:dyDescent="0.35">
      <c r="A5" s="21">
        <v>4</v>
      </c>
      <c r="B5" s="21">
        <f t="shared" si="0"/>
        <v>9600</v>
      </c>
      <c r="C5" s="21">
        <f t="shared" si="1"/>
        <v>1920</v>
      </c>
      <c r="D5" s="22">
        <f t="shared" si="14"/>
        <v>9600</v>
      </c>
      <c r="E5" s="22">
        <f>B5+E4</f>
        <v>10600</v>
      </c>
      <c r="F5" s="23">
        <f t="shared" ref="F5:F21" si="17">F4+P5</f>
        <v>12</v>
      </c>
      <c r="G5" s="23">
        <f>G4+F5</f>
        <v>13</v>
      </c>
      <c r="H5" s="21">
        <f t="shared" si="2"/>
        <v>5.2</v>
      </c>
      <c r="I5" s="21">
        <f t="shared" si="3"/>
        <v>6.5</v>
      </c>
      <c r="J5" s="21">
        <f t="shared" si="4"/>
        <v>8.6666666666666661</v>
      </c>
      <c r="K5" s="21">
        <f t="shared" si="5"/>
        <v>4000</v>
      </c>
      <c r="L5" s="21">
        <f t="shared" si="6"/>
        <v>2500</v>
      </c>
      <c r="M5" s="22">
        <f t="shared" si="7"/>
        <v>2666.6666666666665</v>
      </c>
      <c r="N5" s="22">
        <f t="shared" si="8"/>
        <v>3000</v>
      </c>
      <c r="O5" s="22">
        <f>O4*Y5</f>
        <v>4000</v>
      </c>
      <c r="P5" s="24">
        <v>8</v>
      </c>
      <c r="Q5" s="21">
        <f t="shared" si="9"/>
        <v>39000</v>
      </c>
      <c r="R5" s="21">
        <f>R4*W5</f>
        <v>38880</v>
      </c>
      <c r="S5" s="22">
        <f t="shared" si="10"/>
        <v>3.8879999999999999</v>
      </c>
      <c r="T5" s="22">
        <f t="shared" si="11"/>
        <v>4.8600000000000003</v>
      </c>
      <c r="U5" s="22">
        <f>(R5/2)/N5</f>
        <v>6.48</v>
      </c>
      <c r="V5" s="22">
        <f>Q5/K5</f>
        <v>9.75</v>
      </c>
      <c r="W5" s="24">
        <f t="shared" ref="W5:W6" si="18">Y5+0.4</f>
        <v>5.4</v>
      </c>
      <c r="X5" s="23">
        <f>D5/D4</f>
        <v>12</v>
      </c>
      <c r="Y5" s="24">
        <v>5</v>
      </c>
      <c r="Z5" s="22">
        <f t="shared" si="15"/>
        <v>3200</v>
      </c>
      <c r="AA5" s="22">
        <f t="shared" si="12"/>
        <v>8000</v>
      </c>
      <c r="AB5" s="21">
        <f>B5</f>
        <v>9600</v>
      </c>
      <c r="AC5" s="21">
        <f t="shared" si="16"/>
        <v>10400</v>
      </c>
      <c r="AD5" s="21">
        <f t="shared" si="13"/>
        <v>3</v>
      </c>
    </row>
    <row r="6" spans="1:30" x14ac:dyDescent="0.35">
      <c r="A6" s="21">
        <v>5</v>
      </c>
      <c r="B6" s="21">
        <f t="shared" si="0"/>
        <v>130000</v>
      </c>
      <c r="C6" s="21">
        <f t="shared" si="1"/>
        <v>26000</v>
      </c>
      <c r="D6" s="22">
        <f t="shared" si="14"/>
        <v>128000</v>
      </c>
      <c r="E6" s="22">
        <f>B6+E5</f>
        <v>140600</v>
      </c>
      <c r="F6" s="23">
        <f t="shared" si="17"/>
        <v>32</v>
      </c>
      <c r="G6" s="23">
        <f t="shared" ref="G6:G21" si="19">G5+F6</f>
        <v>45</v>
      </c>
      <c r="H6" s="21">
        <f t="shared" si="2"/>
        <v>18</v>
      </c>
      <c r="I6" s="21">
        <f t="shared" si="3"/>
        <v>22.5</v>
      </c>
      <c r="J6" s="21">
        <f t="shared" si="4"/>
        <v>30</v>
      </c>
      <c r="K6" s="21">
        <f t="shared" si="5"/>
        <v>24000</v>
      </c>
      <c r="L6" s="21">
        <f t="shared" si="6"/>
        <v>15000</v>
      </c>
      <c r="M6" s="22">
        <f t="shared" si="7"/>
        <v>16000</v>
      </c>
      <c r="N6" s="22">
        <f t="shared" si="8"/>
        <v>18000</v>
      </c>
      <c r="O6" s="22">
        <f>O5*Y6</f>
        <v>24000</v>
      </c>
      <c r="P6" s="24">
        <v>20</v>
      </c>
      <c r="Q6" s="21">
        <f t="shared" si="9"/>
        <v>250000</v>
      </c>
      <c r="R6" s="21">
        <f>R5*W6</f>
        <v>248832</v>
      </c>
      <c r="S6" s="22">
        <f t="shared" si="10"/>
        <v>4.1471999999999998</v>
      </c>
      <c r="T6" s="22">
        <f t="shared" si="11"/>
        <v>5.1840000000000002</v>
      </c>
      <c r="U6" s="22">
        <f>(R6/2)/N6</f>
        <v>6.9119999999999999</v>
      </c>
      <c r="V6" s="22">
        <f>Q6/K6</f>
        <v>10.416666666666666</v>
      </c>
      <c r="W6" s="24">
        <f t="shared" si="18"/>
        <v>6.4</v>
      </c>
      <c r="X6" s="23">
        <f>D6/D5</f>
        <v>13.333333333333334</v>
      </c>
      <c r="Y6" s="24">
        <v>6</v>
      </c>
      <c r="Z6" s="22">
        <f t="shared" si="15"/>
        <v>20000</v>
      </c>
      <c r="AA6" s="22">
        <f t="shared" si="12"/>
        <v>50000</v>
      </c>
      <c r="AB6" s="21">
        <f>B6</f>
        <v>130000</v>
      </c>
      <c r="AC6" s="21">
        <f t="shared" si="16"/>
        <v>139600</v>
      </c>
      <c r="AD6" s="21">
        <f t="shared" si="13"/>
        <v>6.5</v>
      </c>
    </row>
    <row r="7" spans="1:30" s="31" customFormat="1" x14ac:dyDescent="0.35">
      <c r="A7" s="31">
        <v>6</v>
      </c>
      <c r="B7" s="31">
        <f t="shared" si="0"/>
        <v>1200000</v>
      </c>
      <c r="C7" s="31">
        <f t="shared" si="1"/>
        <v>240000</v>
      </c>
      <c r="D7" s="32">
        <f t="shared" si="14"/>
        <v>1248000</v>
      </c>
      <c r="E7" s="32">
        <f>B7+E6</f>
        <v>1340600</v>
      </c>
      <c r="F7" s="33">
        <f t="shared" si="17"/>
        <v>52</v>
      </c>
      <c r="G7" s="33">
        <f t="shared" si="19"/>
        <v>97</v>
      </c>
      <c r="H7" s="31">
        <f t="shared" si="2"/>
        <v>38.799999999999997</v>
      </c>
      <c r="I7" s="31">
        <f t="shared" si="3"/>
        <v>48.5</v>
      </c>
      <c r="J7" s="31">
        <f t="shared" si="4"/>
        <v>64.666666666666671</v>
      </c>
      <c r="K7" s="31">
        <f t="shared" si="5"/>
        <v>34000</v>
      </c>
      <c r="L7" s="31">
        <f t="shared" si="6"/>
        <v>21250</v>
      </c>
      <c r="M7" s="32">
        <f t="shared" si="7"/>
        <v>22666.666666666668</v>
      </c>
      <c r="N7" s="32">
        <f t="shared" si="8"/>
        <v>25500</v>
      </c>
      <c r="O7" s="32">
        <f>O6*Y7</f>
        <v>33600</v>
      </c>
      <c r="P7" s="31">
        <v>20</v>
      </c>
      <c r="Q7" s="31">
        <f t="shared" si="9"/>
        <v>450000</v>
      </c>
      <c r="R7" s="31">
        <f>R6*W7</f>
        <v>447897.59999999998</v>
      </c>
      <c r="S7" s="32">
        <f t="shared" si="10"/>
        <v>5.2693835294117646</v>
      </c>
      <c r="T7" s="32">
        <f t="shared" si="11"/>
        <v>6.5867294117647051</v>
      </c>
      <c r="U7" s="32">
        <f>(R7/2)/N7</f>
        <v>8.7823058823529401</v>
      </c>
      <c r="V7" s="32">
        <f>Q7/K7</f>
        <v>13.235294117647058</v>
      </c>
      <c r="W7" s="31">
        <f>Y7+0.4</f>
        <v>1.7999999999999998</v>
      </c>
      <c r="X7" s="33">
        <f>D7/D6</f>
        <v>9.75</v>
      </c>
      <c r="Y7" s="31">
        <v>1.4</v>
      </c>
      <c r="Z7" s="32">
        <f t="shared" si="15"/>
        <v>10000</v>
      </c>
      <c r="AA7" s="32">
        <f t="shared" si="12"/>
        <v>25000</v>
      </c>
      <c r="AB7" s="31">
        <f>B7</f>
        <v>1200000</v>
      </c>
      <c r="AC7" s="31">
        <f t="shared" si="16"/>
        <v>1330000</v>
      </c>
      <c r="AD7" s="31">
        <f t="shared" si="13"/>
        <v>120</v>
      </c>
    </row>
    <row r="8" spans="1:30" x14ac:dyDescent="0.35">
      <c r="A8" s="21">
        <v>7</v>
      </c>
      <c r="B8" s="21">
        <f t="shared" si="0"/>
        <v>2700000</v>
      </c>
      <c r="C8" s="21">
        <f t="shared" si="1"/>
        <v>540000</v>
      </c>
      <c r="D8" s="22">
        <f t="shared" si="14"/>
        <v>2688000</v>
      </c>
      <c r="E8" s="22">
        <f>B8+E7</f>
        <v>4040600</v>
      </c>
      <c r="F8" s="23">
        <f t="shared" si="17"/>
        <v>80</v>
      </c>
      <c r="G8" s="23">
        <f t="shared" si="19"/>
        <v>177</v>
      </c>
      <c r="H8" s="21">
        <f t="shared" si="2"/>
        <v>70.8</v>
      </c>
      <c r="I8" s="21">
        <f t="shared" si="3"/>
        <v>88.5</v>
      </c>
      <c r="J8" s="21">
        <f t="shared" si="4"/>
        <v>118</v>
      </c>
      <c r="K8" s="21">
        <f t="shared" si="5"/>
        <v>47000</v>
      </c>
      <c r="L8" s="21">
        <f t="shared" si="6"/>
        <v>29375</v>
      </c>
      <c r="M8" s="22">
        <f t="shared" si="7"/>
        <v>31333.333333333332</v>
      </c>
      <c r="N8" s="22">
        <f t="shared" si="8"/>
        <v>35250</v>
      </c>
      <c r="O8" s="22">
        <f>O7*Y8</f>
        <v>47040</v>
      </c>
      <c r="P8" s="24">
        <v>28</v>
      </c>
      <c r="Q8" s="21">
        <f t="shared" si="9"/>
        <v>810000</v>
      </c>
      <c r="R8" s="21">
        <f>R7*W8</f>
        <v>806215.67999999993</v>
      </c>
      <c r="S8" s="22">
        <f t="shared" si="10"/>
        <v>6.8614100425531905</v>
      </c>
      <c r="T8" s="22">
        <f t="shared" si="11"/>
        <v>8.5767625531914895</v>
      </c>
      <c r="U8" s="22">
        <f>(R8/2)/N8</f>
        <v>11.435683404255318</v>
      </c>
      <c r="V8" s="22">
        <f>Q8/K8</f>
        <v>17.23404255319149</v>
      </c>
      <c r="W8" s="24">
        <f>Y8+0.4</f>
        <v>1.7999999999999998</v>
      </c>
      <c r="X8" s="23">
        <f>D8/D7</f>
        <v>2.1538461538461537</v>
      </c>
      <c r="Y8" s="24">
        <v>1.4</v>
      </c>
      <c r="Z8" s="22">
        <f t="shared" si="15"/>
        <v>13000</v>
      </c>
      <c r="AA8" s="22">
        <f t="shared" si="12"/>
        <v>32500</v>
      </c>
      <c r="AB8" s="21">
        <f>B8</f>
        <v>2700000</v>
      </c>
      <c r="AC8" s="21">
        <f t="shared" si="16"/>
        <v>3900000</v>
      </c>
      <c r="AD8" s="21">
        <f t="shared" si="13"/>
        <v>207.69230769230768</v>
      </c>
    </row>
    <row r="9" spans="1:30" s="31" customFormat="1" x14ac:dyDescent="0.35">
      <c r="A9" s="31">
        <v>8</v>
      </c>
      <c r="B9" s="31">
        <f t="shared" si="0"/>
        <v>5000000</v>
      </c>
      <c r="C9" s="31">
        <f t="shared" si="1"/>
        <v>1000000</v>
      </c>
      <c r="D9" s="32">
        <f t="shared" si="14"/>
        <v>4986240</v>
      </c>
      <c r="E9" s="32">
        <f>B9+E8</f>
        <v>9040600</v>
      </c>
      <c r="F9" s="33">
        <f t="shared" si="17"/>
        <v>106</v>
      </c>
      <c r="G9" s="33">
        <f t="shared" si="19"/>
        <v>283</v>
      </c>
      <c r="H9" s="31">
        <f t="shared" si="2"/>
        <v>113.2</v>
      </c>
      <c r="I9" s="31">
        <f t="shared" si="3"/>
        <v>141.5</v>
      </c>
      <c r="J9" s="31">
        <f t="shared" si="4"/>
        <v>188.66666666666666</v>
      </c>
      <c r="K9" s="31">
        <f t="shared" si="5"/>
        <v>61000</v>
      </c>
      <c r="L9" s="31">
        <f t="shared" si="6"/>
        <v>38125</v>
      </c>
      <c r="M9" s="32">
        <f t="shared" si="7"/>
        <v>40666.666666666664</v>
      </c>
      <c r="N9" s="32">
        <f t="shared" si="8"/>
        <v>45750</v>
      </c>
      <c r="O9" s="32">
        <f>O8*Y9</f>
        <v>61152</v>
      </c>
      <c r="P9" s="31">
        <v>26</v>
      </c>
      <c r="Q9" s="31">
        <f t="shared" si="9"/>
        <v>1400000</v>
      </c>
      <c r="R9" s="31">
        <f>R8*W9</f>
        <v>1370566.656</v>
      </c>
      <c r="S9" s="32">
        <f t="shared" si="10"/>
        <v>8.9873223344262296</v>
      </c>
      <c r="T9" s="32">
        <f t="shared" si="11"/>
        <v>11.234152918032787</v>
      </c>
      <c r="U9" s="32">
        <f>(R9/2)/N9</f>
        <v>14.978870557377048</v>
      </c>
      <c r="V9" s="32">
        <f>Q9/K9</f>
        <v>22.950819672131146</v>
      </c>
      <c r="W9" s="31">
        <f>Y9+0.4</f>
        <v>1.7000000000000002</v>
      </c>
      <c r="X9" s="33">
        <f>D9/D8</f>
        <v>1.855</v>
      </c>
      <c r="Y9" s="31">
        <v>1.3</v>
      </c>
      <c r="Z9" s="32">
        <f t="shared" si="15"/>
        <v>14000</v>
      </c>
      <c r="AA9" s="32">
        <f t="shared" si="12"/>
        <v>35000</v>
      </c>
      <c r="AB9" s="31">
        <f>B9</f>
        <v>5000000</v>
      </c>
      <c r="AC9" s="31">
        <f t="shared" si="16"/>
        <v>7700000</v>
      </c>
      <c r="AD9" s="31">
        <f t="shared" si="13"/>
        <v>357.14285714285717</v>
      </c>
    </row>
    <row r="10" spans="1:30" s="37" customFormat="1" x14ac:dyDescent="0.35">
      <c r="A10" s="37">
        <v>9</v>
      </c>
      <c r="B10" s="37">
        <f t="shared" si="0"/>
        <v>7900000</v>
      </c>
      <c r="C10" s="37">
        <f t="shared" si="1"/>
        <v>1580000</v>
      </c>
      <c r="D10" s="38">
        <f t="shared" si="14"/>
        <v>7949760</v>
      </c>
      <c r="E10" s="38">
        <f>B10+E9</f>
        <v>16940600</v>
      </c>
      <c r="F10" s="39">
        <f t="shared" si="17"/>
        <v>130</v>
      </c>
      <c r="G10" s="39">
        <f t="shared" si="19"/>
        <v>413</v>
      </c>
      <c r="H10" s="37">
        <f t="shared" si="2"/>
        <v>165.2</v>
      </c>
      <c r="I10" s="37">
        <f t="shared" si="3"/>
        <v>206.5</v>
      </c>
      <c r="J10" s="37">
        <f t="shared" si="4"/>
        <v>275.33333333333331</v>
      </c>
      <c r="K10" s="37">
        <f t="shared" si="5"/>
        <v>73000</v>
      </c>
      <c r="L10" s="37">
        <f t="shared" si="6"/>
        <v>45625</v>
      </c>
      <c r="M10" s="38">
        <f t="shared" si="7"/>
        <v>48666.666666666664</v>
      </c>
      <c r="N10" s="38">
        <f t="shared" si="8"/>
        <v>54750</v>
      </c>
      <c r="O10" s="38">
        <f>O9*Y10</f>
        <v>73382.399999999994</v>
      </c>
      <c r="P10" s="37">
        <v>24</v>
      </c>
      <c r="Q10" s="37">
        <f t="shared" si="9"/>
        <v>2100000</v>
      </c>
      <c r="R10" s="37">
        <f>R9*W10</f>
        <v>2055849.9839999999</v>
      </c>
      <c r="S10" s="38">
        <f t="shared" si="10"/>
        <v>11.264931419178081</v>
      </c>
      <c r="T10" s="38">
        <f t="shared" si="11"/>
        <v>14.081164273972602</v>
      </c>
      <c r="U10" s="38">
        <f>(R10/2)/N10</f>
        <v>18.774885698630136</v>
      </c>
      <c r="V10" s="38">
        <f>Q10/K10</f>
        <v>28.767123287671232</v>
      </c>
      <c r="W10" s="37">
        <f>Y10+0.3</f>
        <v>1.5</v>
      </c>
      <c r="X10" s="39">
        <f>D10/D9</f>
        <v>1.5943396226415094</v>
      </c>
      <c r="Y10" s="37">
        <v>1.2</v>
      </c>
      <c r="Z10" s="38">
        <f t="shared" si="15"/>
        <v>12000</v>
      </c>
      <c r="AA10" s="38">
        <f t="shared" si="12"/>
        <v>30000</v>
      </c>
      <c r="AB10" s="37">
        <f>B10</f>
        <v>7900000</v>
      </c>
      <c r="AC10" s="37">
        <f t="shared" si="16"/>
        <v>12900000</v>
      </c>
      <c r="AD10" s="37">
        <f t="shared" si="13"/>
        <v>658.33333333333337</v>
      </c>
    </row>
    <row r="11" spans="1:30" x14ac:dyDescent="0.35">
      <c r="A11" s="21">
        <v>10</v>
      </c>
      <c r="B11" s="21">
        <f t="shared" si="0"/>
        <v>11000000</v>
      </c>
      <c r="C11" s="21">
        <f t="shared" si="1"/>
        <v>2200000</v>
      </c>
      <c r="D11" s="22">
        <f t="shared" si="14"/>
        <v>11154124.799999999</v>
      </c>
      <c r="E11" s="22">
        <f>B11+E10</f>
        <v>27940600</v>
      </c>
      <c r="F11" s="23">
        <f t="shared" si="17"/>
        <v>152</v>
      </c>
      <c r="G11" s="23">
        <f t="shared" si="19"/>
        <v>565</v>
      </c>
      <c r="H11" s="21">
        <f t="shared" si="2"/>
        <v>226</v>
      </c>
      <c r="I11" s="21">
        <f t="shared" si="3"/>
        <v>282.5</v>
      </c>
      <c r="J11" s="21">
        <f t="shared" si="4"/>
        <v>376.66666666666669</v>
      </c>
      <c r="K11" s="21">
        <f t="shared" si="5"/>
        <v>88000</v>
      </c>
      <c r="L11" s="21">
        <f t="shared" si="6"/>
        <v>55000</v>
      </c>
      <c r="M11" s="22">
        <f t="shared" si="7"/>
        <v>58666.666666666664</v>
      </c>
      <c r="N11" s="22">
        <f t="shared" si="8"/>
        <v>66000</v>
      </c>
      <c r="O11" s="22">
        <f>O10*Y11</f>
        <v>88058.87999999999</v>
      </c>
      <c r="P11" s="24">
        <v>22</v>
      </c>
      <c r="Q11" s="21">
        <f t="shared" si="9"/>
        <v>3100000</v>
      </c>
      <c r="R11" s="21">
        <f>R10*W11</f>
        <v>3083774.9759999998</v>
      </c>
      <c r="S11" s="22">
        <f t="shared" si="10"/>
        <v>14.017158981818181</v>
      </c>
      <c r="T11" s="22">
        <f t="shared" si="11"/>
        <v>17.521448727272727</v>
      </c>
      <c r="U11" s="22">
        <f>(R11/2)/N11</f>
        <v>23.361931636363636</v>
      </c>
      <c r="V11" s="22">
        <f>Q11/K11</f>
        <v>35.227272727272727</v>
      </c>
      <c r="W11" s="24">
        <f>Y11+0.3</f>
        <v>1.5</v>
      </c>
      <c r="X11" s="23">
        <f>D11/D10</f>
        <v>1.4030769230769229</v>
      </c>
      <c r="Y11" s="24">
        <v>1.2</v>
      </c>
      <c r="Z11" s="22">
        <f t="shared" si="15"/>
        <v>15000</v>
      </c>
      <c r="AA11" s="22">
        <f t="shared" si="12"/>
        <v>37500</v>
      </c>
      <c r="AB11" s="21">
        <f>B11</f>
        <v>11000000</v>
      </c>
      <c r="AC11" s="21">
        <f t="shared" si="16"/>
        <v>18900000</v>
      </c>
      <c r="AD11" s="21">
        <f t="shared" si="13"/>
        <v>733.33333333333337</v>
      </c>
    </row>
    <row r="12" spans="1:30" x14ac:dyDescent="0.35">
      <c r="A12" s="21">
        <v>11</v>
      </c>
      <c r="B12" s="21">
        <f t="shared" si="0"/>
        <v>22000000</v>
      </c>
      <c r="C12" s="21">
        <f t="shared" si="1"/>
        <v>4400000</v>
      </c>
      <c r="D12" s="22">
        <f t="shared" si="14"/>
        <v>22190837.759999998</v>
      </c>
      <c r="E12" s="22">
        <f>B12+E11</f>
        <v>49940600</v>
      </c>
      <c r="F12" s="23">
        <f t="shared" si="17"/>
        <v>252</v>
      </c>
      <c r="G12" s="23">
        <f t="shared" si="19"/>
        <v>817</v>
      </c>
      <c r="H12" s="21">
        <f t="shared" si="2"/>
        <v>326.8</v>
      </c>
      <c r="I12" s="21">
        <f t="shared" si="3"/>
        <v>408.5</v>
      </c>
      <c r="J12" s="21">
        <f t="shared" si="4"/>
        <v>544.66666666666663</v>
      </c>
      <c r="K12" s="21">
        <f t="shared" si="5"/>
        <v>96000</v>
      </c>
      <c r="L12" s="21">
        <f t="shared" si="6"/>
        <v>60000</v>
      </c>
      <c r="M12" s="22">
        <f t="shared" si="7"/>
        <v>64000</v>
      </c>
      <c r="N12" s="22">
        <f t="shared" si="8"/>
        <v>72000</v>
      </c>
      <c r="O12" s="22">
        <f>O11*Y12</f>
        <v>95984.179199999999</v>
      </c>
      <c r="P12" s="24">
        <v>100</v>
      </c>
      <c r="Q12" s="21">
        <f t="shared" si="9"/>
        <v>4000000</v>
      </c>
      <c r="R12" s="21">
        <f>R11*W12</f>
        <v>3978069.7190399999</v>
      </c>
      <c r="S12" s="22">
        <f t="shared" si="10"/>
        <v>16.575290496000001</v>
      </c>
      <c r="T12" s="22">
        <f t="shared" si="11"/>
        <v>20.719113119999999</v>
      </c>
      <c r="U12" s="22">
        <f>(R12/2)/N12</f>
        <v>27.625484159999999</v>
      </c>
      <c r="V12" s="22">
        <f>Q12/K12</f>
        <v>41.666666666666664</v>
      </c>
      <c r="W12" s="24">
        <f>Y12+0.2</f>
        <v>1.29</v>
      </c>
      <c r="X12" s="23">
        <f>D12/D11</f>
        <v>1.9894736842105263</v>
      </c>
      <c r="Y12" s="24">
        <v>1.0900000000000001</v>
      </c>
      <c r="Z12" s="22">
        <f t="shared" si="15"/>
        <v>8000</v>
      </c>
      <c r="AA12" s="22">
        <f t="shared" si="12"/>
        <v>20000</v>
      </c>
      <c r="AB12" s="21">
        <f>B12</f>
        <v>22000000</v>
      </c>
      <c r="AC12" s="21">
        <f t="shared" si="16"/>
        <v>33000000</v>
      </c>
      <c r="AD12" s="21">
        <f t="shared" si="13"/>
        <v>2750</v>
      </c>
    </row>
    <row r="13" spans="1:30" s="37" customFormat="1" x14ac:dyDescent="0.35">
      <c r="A13" s="37">
        <v>12</v>
      </c>
      <c r="B13" s="37">
        <f t="shared" si="0"/>
        <v>26000000</v>
      </c>
      <c r="C13" s="37">
        <f t="shared" si="1"/>
        <v>5200000</v>
      </c>
      <c r="D13" s="38">
        <f t="shared" si="14"/>
        <v>25915728.384</v>
      </c>
      <c r="E13" s="38">
        <f>B13+E12</f>
        <v>75940600</v>
      </c>
      <c r="F13" s="39">
        <f t="shared" si="17"/>
        <v>270</v>
      </c>
      <c r="G13" s="39">
        <f t="shared" si="19"/>
        <v>1087</v>
      </c>
      <c r="H13" s="37">
        <f t="shared" si="2"/>
        <v>434.8</v>
      </c>
      <c r="I13" s="37">
        <f t="shared" si="3"/>
        <v>543.5</v>
      </c>
      <c r="J13" s="37">
        <f t="shared" si="4"/>
        <v>724.66666666666663</v>
      </c>
      <c r="K13" s="37">
        <f t="shared" si="5"/>
        <v>120000</v>
      </c>
      <c r="L13" s="37">
        <f t="shared" si="6"/>
        <v>75000</v>
      </c>
      <c r="M13" s="38">
        <f t="shared" si="7"/>
        <v>80000</v>
      </c>
      <c r="N13" s="38">
        <f t="shared" si="8"/>
        <v>90000</v>
      </c>
      <c r="O13" s="38">
        <f>O12*Y13</f>
        <v>115181.01504</v>
      </c>
      <c r="P13" s="37">
        <v>18</v>
      </c>
      <c r="Q13" s="37">
        <f t="shared" si="9"/>
        <v>5600000</v>
      </c>
      <c r="R13" s="37">
        <f>R12*W13</f>
        <v>5569297.6066559991</v>
      </c>
      <c r="S13" s="38">
        <f t="shared" si="10"/>
        <v>18.564325355519998</v>
      </c>
      <c r="T13" s="38">
        <f t="shared" si="11"/>
        <v>23.205406694399997</v>
      </c>
      <c r="U13" s="38">
        <f>(R13/2)/N13</f>
        <v>30.940542259199994</v>
      </c>
      <c r="V13" s="38">
        <f>Q13/K13</f>
        <v>46.666666666666664</v>
      </c>
      <c r="W13" s="37">
        <f>Y13+0.2</f>
        <v>1.4</v>
      </c>
      <c r="X13" s="39">
        <f>D13/D12</f>
        <v>1.1678571428571429</v>
      </c>
      <c r="Y13" s="37">
        <v>1.2</v>
      </c>
      <c r="Z13" s="38">
        <f t="shared" si="15"/>
        <v>24000</v>
      </c>
      <c r="AA13" s="38">
        <f t="shared" si="12"/>
        <v>60000</v>
      </c>
      <c r="AB13" s="37">
        <f>B13</f>
        <v>26000000</v>
      </c>
      <c r="AC13" s="37">
        <f t="shared" si="16"/>
        <v>48000000</v>
      </c>
      <c r="AD13" s="37">
        <f t="shared" si="13"/>
        <v>1083.3333333333333</v>
      </c>
    </row>
    <row r="14" spans="1:30" x14ac:dyDescent="0.35">
      <c r="A14" s="21">
        <v>13</v>
      </c>
      <c r="B14" s="21">
        <f t="shared" si="0"/>
        <v>43000000</v>
      </c>
      <c r="C14" s="21">
        <f t="shared" si="1"/>
        <v>8600000</v>
      </c>
      <c r="D14" s="22">
        <f t="shared" si="14"/>
        <v>42616975.564800002</v>
      </c>
      <c r="E14" s="22">
        <f>B14+E13</f>
        <v>118940600</v>
      </c>
      <c r="F14" s="23">
        <f t="shared" si="17"/>
        <v>370</v>
      </c>
      <c r="G14" s="23">
        <f t="shared" si="19"/>
        <v>1457</v>
      </c>
      <c r="H14" s="21">
        <f t="shared" si="2"/>
        <v>582.79999999999995</v>
      </c>
      <c r="I14" s="21">
        <f t="shared" si="3"/>
        <v>728.5</v>
      </c>
      <c r="J14" s="21">
        <f t="shared" si="4"/>
        <v>971.33333333333337</v>
      </c>
      <c r="K14" s="21">
        <f t="shared" si="5"/>
        <v>130000</v>
      </c>
      <c r="L14" s="21">
        <f t="shared" si="6"/>
        <v>81250</v>
      </c>
      <c r="M14" s="22">
        <f t="shared" si="7"/>
        <v>86666.666666666672</v>
      </c>
      <c r="N14" s="22">
        <f t="shared" si="8"/>
        <v>97500</v>
      </c>
      <c r="O14" s="22">
        <f>O13*Y14</f>
        <v>126699.116544</v>
      </c>
      <c r="P14" s="24">
        <v>100</v>
      </c>
      <c r="Q14" s="21">
        <f t="shared" si="9"/>
        <v>7200000</v>
      </c>
      <c r="R14" s="21">
        <f>R13*W14</f>
        <v>7240086.8886527987</v>
      </c>
      <c r="S14" s="22">
        <f t="shared" si="10"/>
        <v>22.277190426623996</v>
      </c>
      <c r="T14" s="22">
        <f t="shared" si="11"/>
        <v>27.846488033279993</v>
      </c>
      <c r="U14" s="22">
        <f>(R14/2)/N14</f>
        <v>37.128650711039995</v>
      </c>
      <c r="V14" s="22">
        <f>Q14/K14</f>
        <v>55.384615384615387</v>
      </c>
      <c r="W14" s="24">
        <f>Y14+0.2</f>
        <v>1.3</v>
      </c>
      <c r="X14" s="23">
        <f>D14/D13</f>
        <v>1.6444444444444446</v>
      </c>
      <c r="Y14" s="24">
        <v>1.1000000000000001</v>
      </c>
      <c r="Z14" s="22">
        <f t="shared" si="15"/>
        <v>10000</v>
      </c>
      <c r="AA14" s="22">
        <f t="shared" si="12"/>
        <v>25000</v>
      </c>
      <c r="AB14" s="21">
        <f>B14</f>
        <v>43000000</v>
      </c>
      <c r="AC14" s="21">
        <f t="shared" si="16"/>
        <v>69000000</v>
      </c>
      <c r="AD14" s="21">
        <f t="shared" si="13"/>
        <v>4300</v>
      </c>
    </row>
    <row r="15" spans="1:30" s="34" customFormat="1" x14ac:dyDescent="0.35">
      <c r="A15" s="34">
        <v>14</v>
      </c>
      <c r="B15" s="34">
        <f t="shared" si="0"/>
        <v>66000000</v>
      </c>
      <c r="C15" s="34">
        <f t="shared" si="1"/>
        <v>13200000</v>
      </c>
      <c r="D15" s="35">
        <f t="shared" si="14"/>
        <v>65883540.602880001</v>
      </c>
      <c r="E15" s="35">
        <f>B15+E14</f>
        <v>184940600</v>
      </c>
      <c r="F15" s="36">
        <f t="shared" si="17"/>
        <v>520</v>
      </c>
      <c r="G15" s="36">
        <f t="shared" si="19"/>
        <v>1977</v>
      </c>
      <c r="H15" s="36">
        <f t="shared" si="2"/>
        <v>790.8</v>
      </c>
      <c r="I15" s="36">
        <f t="shared" si="3"/>
        <v>988.5</v>
      </c>
      <c r="J15" s="36">
        <f t="shared" si="4"/>
        <v>1318</v>
      </c>
      <c r="K15" s="34">
        <f t="shared" si="5"/>
        <v>150000</v>
      </c>
      <c r="L15" s="34">
        <f t="shared" si="6"/>
        <v>93750</v>
      </c>
      <c r="M15" s="35">
        <f t="shared" si="7"/>
        <v>100000</v>
      </c>
      <c r="N15" s="35">
        <f t="shared" si="8"/>
        <v>112500</v>
      </c>
      <c r="O15" s="35">
        <f>O14*Y15</f>
        <v>152038.93985279999</v>
      </c>
      <c r="P15" s="34">
        <v>150</v>
      </c>
      <c r="Q15" s="34">
        <f t="shared" si="9"/>
        <v>9800000</v>
      </c>
      <c r="R15" s="34">
        <f>R14*W15</f>
        <v>9774117.2996812779</v>
      </c>
      <c r="S15" s="35">
        <f t="shared" si="10"/>
        <v>26.064312799150073</v>
      </c>
      <c r="T15" s="35">
        <f t="shared" si="11"/>
        <v>32.580390998937595</v>
      </c>
      <c r="U15" s="35">
        <f>(R15/2)/N15</f>
        <v>43.440521331916791</v>
      </c>
      <c r="V15" s="35">
        <f>Q15/K15</f>
        <v>65.333333333333329</v>
      </c>
      <c r="W15" s="34">
        <f>Y15+0.15</f>
        <v>1.3499999999999999</v>
      </c>
      <c r="X15" s="36">
        <f>D15/D14</f>
        <v>1.5459459459459459</v>
      </c>
      <c r="Y15" s="34">
        <v>1.2</v>
      </c>
      <c r="Z15" s="35">
        <f t="shared" si="15"/>
        <v>20000</v>
      </c>
      <c r="AA15" s="35">
        <f t="shared" si="12"/>
        <v>50000</v>
      </c>
      <c r="AB15" s="34">
        <f>B15</f>
        <v>66000000</v>
      </c>
      <c r="AC15" s="34">
        <f t="shared" si="16"/>
        <v>109000000</v>
      </c>
      <c r="AD15" s="34">
        <f t="shared" si="13"/>
        <v>3300</v>
      </c>
    </row>
    <row r="16" spans="1:30" x14ac:dyDescent="0.35">
      <c r="A16" s="21">
        <v>15</v>
      </c>
      <c r="B16" s="21">
        <f t="shared" si="0"/>
        <v>110000000</v>
      </c>
      <c r="C16" s="21">
        <f t="shared" si="1"/>
        <v>22000000</v>
      </c>
      <c r="D16" s="22">
        <f t="shared" si="14"/>
        <v>109468036.69401599</v>
      </c>
      <c r="E16" s="22">
        <f>B16+E15</f>
        <v>294940600</v>
      </c>
      <c r="F16" s="23">
        <f t="shared" si="17"/>
        <v>720</v>
      </c>
      <c r="G16" s="23">
        <f t="shared" si="19"/>
        <v>2697</v>
      </c>
      <c r="H16" s="21">
        <f t="shared" si="2"/>
        <v>1078.8</v>
      </c>
      <c r="I16" s="21">
        <f t="shared" si="3"/>
        <v>1348.5</v>
      </c>
      <c r="J16" s="21">
        <f t="shared" si="4"/>
        <v>1798</v>
      </c>
      <c r="K16" s="21">
        <f t="shared" si="5"/>
        <v>170000</v>
      </c>
      <c r="L16" s="21">
        <f t="shared" si="6"/>
        <v>106250</v>
      </c>
      <c r="M16" s="22">
        <f t="shared" si="7"/>
        <v>113333.33333333333</v>
      </c>
      <c r="N16" s="22">
        <f t="shared" si="8"/>
        <v>127500</v>
      </c>
      <c r="O16" s="22">
        <f>O15*Y16</f>
        <v>173324.39143219197</v>
      </c>
      <c r="P16" s="24">
        <v>200</v>
      </c>
      <c r="Q16" s="21">
        <f t="shared" si="9"/>
        <v>12000000</v>
      </c>
      <c r="R16" s="21">
        <f>R15*W16</f>
        <v>12119905.451604785</v>
      </c>
      <c r="S16" s="22">
        <f t="shared" si="10"/>
        <v>28.51742459201126</v>
      </c>
      <c r="T16" s="22">
        <f t="shared" si="11"/>
        <v>35.646780740014073</v>
      </c>
      <c r="U16" s="22">
        <f>(R16/2)/N16</f>
        <v>47.52904098668543</v>
      </c>
      <c r="V16" s="22">
        <f>Q16/K16</f>
        <v>70.588235294117652</v>
      </c>
      <c r="W16" s="24">
        <f>Y16+0.1</f>
        <v>1.24</v>
      </c>
      <c r="X16" s="23">
        <f>D16/D15</f>
        <v>1.6615384615384614</v>
      </c>
      <c r="Y16" s="24">
        <v>1.1399999999999999</v>
      </c>
      <c r="Z16" s="22">
        <f t="shared" si="15"/>
        <v>20000</v>
      </c>
      <c r="AA16" s="22">
        <f t="shared" si="12"/>
        <v>50000</v>
      </c>
      <c r="AB16" s="21">
        <f>B16</f>
        <v>110000000</v>
      </c>
      <c r="AC16" s="21">
        <f t="shared" si="16"/>
        <v>176000000</v>
      </c>
      <c r="AD16" s="21">
        <f t="shared" si="13"/>
        <v>5500</v>
      </c>
    </row>
    <row r="17" spans="1:30" x14ac:dyDescent="0.35">
      <c r="A17" s="21">
        <v>16</v>
      </c>
      <c r="B17" s="21">
        <f t="shared" si="0"/>
        <v>150000000</v>
      </c>
      <c r="C17" s="21">
        <f t="shared" si="1"/>
        <v>30000000</v>
      </c>
      <c r="D17" s="22">
        <f t="shared" si="14"/>
        <v>150792220.54600701</v>
      </c>
      <c r="E17" s="22">
        <f>B17+E16</f>
        <v>444940600</v>
      </c>
      <c r="F17" s="23">
        <f t="shared" si="17"/>
        <v>870</v>
      </c>
      <c r="G17" s="23">
        <f t="shared" si="19"/>
        <v>3567</v>
      </c>
      <c r="H17" s="21">
        <f t="shared" si="2"/>
        <v>1426.8</v>
      </c>
      <c r="I17" s="21">
        <f t="shared" si="3"/>
        <v>1783.5</v>
      </c>
      <c r="J17" s="21">
        <f t="shared" si="4"/>
        <v>2378</v>
      </c>
      <c r="K17" s="21">
        <f t="shared" si="5"/>
        <v>200000</v>
      </c>
      <c r="L17" s="21">
        <f t="shared" si="6"/>
        <v>125000</v>
      </c>
      <c r="M17" s="22">
        <f t="shared" si="7"/>
        <v>133333.33333333334</v>
      </c>
      <c r="N17" s="22">
        <f t="shared" si="8"/>
        <v>150000</v>
      </c>
      <c r="O17" s="22">
        <f>O16*Y17</f>
        <v>199323.05014702075</v>
      </c>
      <c r="P17" s="24">
        <v>150</v>
      </c>
      <c r="Q17" s="21">
        <f t="shared" si="9"/>
        <v>15000000</v>
      </c>
      <c r="R17" s="21">
        <f>R16*W17</f>
        <v>15149881.814505981</v>
      </c>
      <c r="S17" s="22">
        <f t="shared" si="10"/>
        <v>30.299763629011963</v>
      </c>
      <c r="T17" s="22">
        <f t="shared" si="11"/>
        <v>37.87470453626495</v>
      </c>
      <c r="U17" s="22">
        <f>(R17/2)/N17</f>
        <v>50.499606048353272</v>
      </c>
      <c r="V17" s="22">
        <f>Q17/K17</f>
        <v>75</v>
      </c>
      <c r="W17" s="24">
        <f>Y17+0.1</f>
        <v>1.25</v>
      </c>
      <c r="X17" s="23">
        <f>D17/D16</f>
        <v>1.3774999999999997</v>
      </c>
      <c r="Y17" s="24">
        <v>1.1499999999999999</v>
      </c>
      <c r="Z17" s="22">
        <f t="shared" si="15"/>
        <v>30000</v>
      </c>
      <c r="AA17" s="22">
        <f t="shared" si="12"/>
        <v>75000</v>
      </c>
      <c r="AB17" s="21">
        <f>B17</f>
        <v>150000000</v>
      </c>
      <c r="AC17" s="21">
        <f t="shared" si="16"/>
        <v>260000000</v>
      </c>
      <c r="AD17" s="21">
        <f t="shared" si="13"/>
        <v>5000</v>
      </c>
    </row>
    <row r="18" spans="1:30" x14ac:dyDescent="0.35">
      <c r="A18" s="21">
        <v>17</v>
      </c>
      <c r="B18" s="21">
        <f t="shared" si="0"/>
        <v>230000000</v>
      </c>
      <c r="C18" s="21">
        <f t="shared" si="1"/>
        <v>46000000</v>
      </c>
      <c r="D18" s="22">
        <f t="shared" si="14"/>
        <v>233207968.67201427</v>
      </c>
      <c r="E18" s="22">
        <f>B18+E17</f>
        <v>674940600</v>
      </c>
      <c r="F18" s="23">
        <f t="shared" si="17"/>
        <v>1170</v>
      </c>
      <c r="G18" s="23">
        <f t="shared" si="19"/>
        <v>4737</v>
      </c>
      <c r="H18" s="21">
        <f t="shared" si="2"/>
        <v>1894.8</v>
      </c>
      <c r="I18" s="21">
        <f t="shared" si="3"/>
        <v>2368.5</v>
      </c>
      <c r="J18" s="21">
        <f t="shared" si="4"/>
        <v>3158</v>
      </c>
      <c r="K18" s="21">
        <f t="shared" si="5"/>
        <v>230000</v>
      </c>
      <c r="L18" s="21">
        <f t="shared" si="6"/>
        <v>143750</v>
      </c>
      <c r="M18" s="22">
        <f t="shared" si="7"/>
        <v>153333.33333333334</v>
      </c>
      <c r="N18" s="22">
        <f t="shared" si="8"/>
        <v>172500</v>
      </c>
      <c r="O18" s="22">
        <f>O17*Y18</f>
        <v>229221.50766907385</v>
      </c>
      <c r="P18" s="24">
        <v>300</v>
      </c>
      <c r="Q18" s="21">
        <f t="shared" si="9"/>
        <v>19000000</v>
      </c>
      <c r="R18" s="21">
        <f>R17*W18</f>
        <v>18937352.268132478</v>
      </c>
      <c r="S18" s="22">
        <f t="shared" si="10"/>
        <v>32.934525683708657</v>
      </c>
      <c r="T18" s="22">
        <f t="shared" si="11"/>
        <v>41.168157104635824</v>
      </c>
      <c r="U18" s="22">
        <f>(R18/2)/N18</f>
        <v>54.890876139514432</v>
      </c>
      <c r="V18" s="22">
        <f>Q18/K18</f>
        <v>82.608695652173907</v>
      </c>
      <c r="W18" s="24">
        <f>Y18+0.1</f>
        <v>1.25</v>
      </c>
      <c r="X18" s="23">
        <f>D18/D17</f>
        <v>1.546551724137931</v>
      </c>
      <c r="Y18" s="24">
        <v>1.1499999999999999</v>
      </c>
      <c r="Z18" s="22">
        <f t="shared" si="15"/>
        <v>30000</v>
      </c>
      <c r="AA18" s="22">
        <f t="shared" si="12"/>
        <v>75000</v>
      </c>
      <c r="AB18" s="21">
        <f>B18</f>
        <v>230000000</v>
      </c>
      <c r="AC18" s="21">
        <f t="shared" si="16"/>
        <v>380000000</v>
      </c>
      <c r="AD18" s="21">
        <f t="shared" si="13"/>
        <v>7666.666666666667</v>
      </c>
    </row>
    <row r="19" spans="1:30" x14ac:dyDescent="0.35">
      <c r="A19" s="21">
        <v>18</v>
      </c>
      <c r="B19" s="21">
        <f t="shared" si="0"/>
        <v>350000000</v>
      </c>
      <c r="C19" s="21">
        <f t="shared" si="1"/>
        <v>70000000</v>
      </c>
      <c r="D19" s="22">
        <f t="shared" si="14"/>
        <v>348416691.65699226</v>
      </c>
      <c r="E19" s="22">
        <f>B19+E18</f>
        <v>1024940600</v>
      </c>
      <c r="F19" s="23">
        <f t="shared" si="17"/>
        <v>1520</v>
      </c>
      <c r="G19" s="23">
        <f t="shared" si="19"/>
        <v>6257</v>
      </c>
      <c r="H19" s="21">
        <f t="shared" si="2"/>
        <v>2502.8000000000002</v>
      </c>
      <c r="I19" s="21">
        <f t="shared" si="3"/>
        <v>3128.5</v>
      </c>
      <c r="J19" s="21">
        <f t="shared" si="4"/>
        <v>4171.333333333333</v>
      </c>
      <c r="K19" s="21">
        <f t="shared" si="5"/>
        <v>250000</v>
      </c>
      <c r="L19" s="21">
        <f t="shared" si="6"/>
        <v>156250</v>
      </c>
      <c r="M19" s="22">
        <f t="shared" si="7"/>
        <v>166666.66666666666</v>
      </c>
      <c r="N19" s="22">
        <f t="shared" si="8"/>
        <v>187500</v>
      </c>
      <c r="O19" s="22">
        <f>O18*Y19</f>
        <v>252143.65843598126</v>
      </c>
      <c r="P19" s="24">
        <v>350</v>
      </c>
      <c r="Q19" s="21">
        <f t="shared" si="9"/>
        <v>23000000</v>
      </c>
      <c r="R19" s="21">
        <f>R18*W19</f>
        <v>22724822.721758977</v>
      </c>
      <c r="S19" s="22">
        <f t="shared" si="10"/>
        <v>36.35971635481436</v>
      </c>
      <c r="T19" s="22">
        <f t="shared" si="11"/>
        <v>45.449645443517959</v>
      </c>
      <c r="U19" s="22">
        <f>(R19/2)/N19</f>
        <v>60.59952725802394</v>
      </c>
      <c r="V19" s="22">
        <f>Q19/K19</f>
        <v>92</v>
      </c>
      <c r="W19" s="24">
        <f>Y19+0.1</f>
        <v>1.2000000000000002</v>
      </c>
      <c r="X19" s="23">
        <f>D19/D18</f>
        <v>1.494017094017094</v>
      </c>
      <c r="Y19" s="24">
        <v>1.1000000000000001</v>
      </c>
      <c r="Z19" s="22">
        <f t="shared" si="15"/>
        <v>20000</v>
      </c>
      <c r="AA19" s="22">
        <f t="shared" si="12"/>
        <v>50000</v>
      </c>
      <c r="AB19" s="21">
        <f>B19</f>
        <v>350000000</v>
      </c>
      <c r="AC19" s="21">
        <f t="shared" si="16"/>
        <v>580000000</v>
      </c>
      <c r="AD19" s="21">
        <f t="shared" si="13"/>
        <v>17500</v>
      </c>
    </row>
    <row r="20" spans="1:30" s="34" customFormat="1" x14ac:dyDescent="0.35">
      <c r="A20" s="34">
        <v>19</v>
      </c>
      <c r="B20" s="34">
        <f t="shared" si="0"/>
        <v>480000000</v>
      </c>
      <c r="C20" s="34">
        <f t="shared" si="1"/>
        <v>96000000</v>
      </c>
      <c r="D20" s="35">
        <f t="shared" si="14"/>
        <v>484115824.19708401</v>
      </c>
      <c r="E20" s="35">
        <f>B20+E19</f>
        <v>1504940600</v>
      </c>
      <c r="F20" s="36">
        <f t="shared" si="17"/>
        <v>1920</v>
      </c>
      <c r="G20" s="36">
        <f t="shared" si="19"/>
        <v>8177</v>
      </c>
      <c r="H20" s="36">
        <f t="shared" si="2"/>
        <v>3270.8</v>
      </c>
      <c r="I20" s="36">
        <f t="shared" si="3"/>
        <v>4088.5</v>
      </c>
      <c r="J20" s="36">
        <f t="shared" si="4"/>
        <v>5451.333333333333</v>
      </c>
      <c r="K20" s="34">
        <f t="shared" si="5"/>
        <v>300000</v>
      </c>
      <c r="L20" s="34">
        <f t="shared" si="6"/>
        <v>187500</v>
      </c>
      <c r="M20" s="35">
        <f t="shared" si="7"/>
        <v>200000</v>
      </c>
      <c r="N20" s="35">
        <f t="shared" si="8"/>
        <v>225000</v>
      </c>
      <c r="O20" s="35">
        <f>O19*Y20</f>
        <v>302572.39012317749</v>
      </c>
      <c r="P20" s="34">
        <v>400</v>
      </c>
      <c r="Q20" s="34">
        <f t="shared" si="9"/>
        <v>30000000</v>
      </c>
      <c r="R20" s="34">
        <f>R19*W20</f>
        <v>29542269.538286671</v>
      </c>
      <c r="S20" s="35">
        <f t="shared" si="10"/>
        <v>39.389692717715562</v>
      </c>
      <c r="T20" s="35">
        <f t="shared" si="11"/>
        <v>49.237115897144449</v>
      </c>
      <c r="U20" s="35">
        <f>(R20/2)/N20</f>
        <v>65.649487862859274</v>
      </c>
      <c r="V20" s="35">
        <f>Q20/K20</f>
        <v>100</v>
      </c>
      <c r="W20" s="34">
        <f>Y20+0.1</f>
        <v>1.3</v>
      </c>
      <c r="X20" s="36">
        <f>D20/D19</f>
        <v>1.3894736842105264</v>
      </c>
      <c r="Y20" s="34">
        <v>1.2</v>
      </c>
      <c r="Z20" s="35">
        <f t="shared" si="15"/>
        <v>50000</v>
      </c>
      <c r="AA20" s="35">
        <f t="shared" si="12"/>
        <v>125000</v>
      </c>
      <c r="AB20" s="34">
        <f>B20</f>
        <v>480000000</v>
      </c>
      <c r="AC20" s="34">
        <f t="shared" si="16"/>
        <v>830000000</v>
      </c>
      <c r="AD20" s="34">
        <f t="shared" si="13"/>
        <v>9600</v>
      </c>
    </row>
    <row r="21" spans="1:30" x14ac:dyDescent="0.35">
      <c r="A21" s="21">
        <v>20</v>
      </c>
      <c r="B21" s="21">
        <f t="shared" si="0"/>
        <v>760000000</v>
      </c>
      <c r="C21" s="21">
        <f t="shared" si="1"/>
        <v>152000000</v>
      </c>
      <c r="D21" s="22">
        <f t="shared" si="14"/>
        <v>762482423.11040723</v>
      </c>
      <c r="E21" s="22">
        <f>B21+E20</f>
        <v>2264940600</v>
      </c>
      <c r="F21" s="23">
        <f t="shared" si="17"/>
        <v>2520</v>
      </c>
      <c r="G21" s="23">
        <f t="shared" si="19"/>
        <v>10697</v>
      </c>
      <c r="H21" s="21">
        <f t="shared" si="2"/>
        <v>4278.8</v>
      </c>
      <c r="I21" s="21">
        <f t="shared" si="3"/>
        <v>5348.5</v>
      </c>
      <c r="J21" s="21">
        <f t="shared" si="4"/>
        <v>7131.333333333333</v>
      </c>
      <c r="K21" s="21">
        <f t="shared" si="5"/>
        <v>350000</v>
      </c>
      <c r="L21" s="21">
        <f t="shared" si="6"/>
        <v>218750</v>
      </c>
      <c r="M21" s="22">
        <f t="shared" si="7"/>
        <v>233333.33333333334</v>
      </c>
      <c r="N21" s="22">
        <f t="shared" si="8"/>
        <v>262500</v>
      </c>
      <c r="O21" s="22">
        <f>O20*Y21</f>
        <v>347958.24864165409</v>
      </c>
      <c r="P21" s="24">
        <v>600</v>
      </c>
      <c r="Q21" s="21">
        <f t="shared" si="9"/>
        <v>37000000</v>
      </c>
      <c r="R21" s="21">
        <f>R20*W21</f>
        <v>36927836.922858343</v>
      </c>
      <c r="S21" s="22">
        <f t="shared" si="10"/>
        <v>42.203242197552392</v>
      </c>
      <c r="T21" s="22">
        <f t="shared" si="11"/>
        <v>52.754052746940488</v>
      </c>
      <c r="U21" s="22">
        <f>(R21/2)/N21</f>
        <v>70.338736995920655</v>
      </c>
      <c r="V21" s="22">
        <f>Q21/K21</f>
        <v>105.71428571428571</v>
      </c>
      <c r="W21" s="24">
        <f>Y21+0.1</f>
        <v>1.25</v>
      </c>
      <c r="X21" s="23">
        <f>D21/D20</f>
        <v>1.5749999999999997</v>
      </c>
      <c r="Y21" s="24">
        <v>1.1499999999999999</v>
      </c>
      <c r="Z21" s="22">
        <f t="shared" si="15"/>
        <v>50000</v>
      </c>
      <c r="AA21" s="22">
        <f t="shared" si="12"/>
        <v>125000</v>
      </c>
      <c r="AB21" s="21">
        <f>B21</f>
        <v>760000000</v>
      </c>
      <c r="AC21" s="21">
        <f t="shared" si="16"/>
        <v>1240000000</v>
      </c>
      <c r="AD21" s="21">
        <f t="shared" si="13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4" t="s">
        <v>263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247</v>
      </c>
      <c r="D1" s="2" t="s">
        <v>247</v>
      </c>
    </row>
    <row r="2" spans="1:5" x14ac:dyDescent="0.15">
      <c r="B2" s="2" t="s">
        <v>162</v>
      </c>
      <c r="C2" s="2" t="s">
        <v>162</v>
      </c>
      <c r="D2" s="2" t="s">
        <v>246</v>
      </c>
    </row>
    <row r="3" spans="1:5" x14ac:dyDescent="0.15">
      <c r="B3" s="2" t="s">
        <v>200</v>
      </c>
      <c r="C3" s="2" t="s">
        <v>244</v>
      </c>
      <c r="D3" s="2" t="s">
        <v>245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243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248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248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248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248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248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248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248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248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248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250</v>
      </c>
      <c r="D23" s="2" t="s">
        <v>251</v>
      </c>
      <c r="E23" s="45"/>
    </row>
    <row r="24" spans="1:5" x14ac:dyDescent="0.15">
      <c r="B24" s="8" t="s">
        <v>165</v>
      </c>
      <c r="C24" s="2" t="s">
        <v>181</v>
      </c>
      <c r="D24" s="2" t="s">
        <v>249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252</v>
      </c>
      <c r="C29" s="2" t="s">
        <v>255</v>
      </c>
    </row>
    <row r="30" spans="1:5" ht="17.25" customHeight="1" x14ac:dyDescent="0.15">
      <c r="B30" s="8" t="s">
        <v>253</v>
      </c>
      <c r="C30" s="2" t="s">
        <v>256</v>
      </c>
    </row>
    <row r="31" spans="1:5" ht="17.25" customHeight="1" x14ac:dyDescent="0.15">
      <c r="B31" s="8" t="s">
        <v>254</v>
      </c>
      <c r="C31" s="2" t="s">
        <v>257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248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248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248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248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248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248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1500</v>
      </c>
    </row>
    <row r="7" spans="1:3" s="5" customFormat="1" x14ac:dyDescent="0.15">
      <c r="A7" s="2">
        <v>3</v>
      </c>
      <c r="B7" s="2">
        <v>800</v>
      </c>
      <c r="C7" s="10">
        <v>7200</v>
      </c>
    </row>
    <row r="8" spans="1:3" s="5" customFormat="1" x14ac:dyDescent="0.15">
      <c r="A8" s="2">
        <v>4</v>
      </c>
      <c r="B8" s="2">
        <v>4000</v>
      </c>
      <c r="C8" s="10">
        <v>39000</v>
      </c>
    </row>
    <row r="9" spans="1:3" s="5" customFormat="1" x14ac:dyDescent="0.15">
      <c r="A9" s="2">
        <v>5</v>
      </c>
      <c r="B9" s="2">
        <v>24000</v>
      </c>
      <c r="C9" s="10">
        <v>250000</v>
      </c>
    </row>
    <row r="10" spans="1:3" s="5" customFormat="1" x14ac:dyDescent="0.15">
      <c r="A10" s="2">
        <v>6</v>
      </c>
      <c r="B10" s="2">
        <v>34000</v>
      </c>
      <c r="C10" s="10">
        <v>450000</v>
      </c>
    </row>
    <row r="11" spans="1:3" s="5" customFormat="1" x14ac:dyDescent="0.15">
      <c r="A11" s="2">
        <v>7</v>
      </c>
      <c r="B11" s="2">
        <v>47000</v>
      </c>
      <c r="C11" s="10">
        <v>810000</v>
      </c>
    </row>
    <row r="12" spans="1:3" s="5" customFormat="1" x14ac:dyDescent="0.15">
      <c r="A12" s="2">
        <v>8</v>
      </c>
      <c r="B12" s="2">
        <v>61000</v>
      </c>
      <c r="C12" s="10">
        <v>1400000</v>
      </c>
    </row>
    <row r="13" spans="1:3" s="5" customFormat="1" x14ac:dyDescent="0.15">
      <c r="A13" s="2">
        <v>9</v>
      </c>
      <c r="B13" s="2">
        <v>73000</v>
      </c>
      <c r="C13" s="10">
        <v>2100000</v>
      </c>
    </row>
    <row r="14" spans="1:3" s="5" customFormat="1" x14ac:dyDescent="0.15">
      <c r="A14" s="2">
        <v>10</v>
      </c>
      <c r="B14" s="2">
        <v>88000</v>
      </c>
      <c r="C14" s="10">
        <v>3100000</v>
      </c>
    </row>
    <row r="15" spans="1:3" s="5" customFormat="1" x14ac:dyDescent="0.15">
      <c r="A15" s="2">
        <v>11</v>
      </c>
      <c r="B15" s="2">
        <v>96000</v>
      </c>
      <c r="C15" s="10">
        <v>4000000</v>
      </c>
    </row>
    <row r="16" spans="1:3" s="5" customFormat="1" x14ac:dyDescent="0.15">
      <c r="A16" s="2">
        <v>12</v>
      </c>
      <c r="B16" s="2">
        <v>120000</v>
      </c>
      <c r="C16" s="10">
        <v>5600000</v>
      </c>
    </row>
    <row r="17" spans="1:3" s="5" customFormat="1" x14ac:dyDescent="0.15">
      <c r="A17" s="2">
        <v>13</v>
      </c>
      <c r="B17" s="2">
        <v>130000</v>
      </c>
      <c r="C17" s="10">
        <v>7200000</v>
      </c>
    </row>
    <row r="18" spans="1:3" s="5" customFormat="1" x14ac:dyDescent="0.15">
      <c r="A18" s="2">
        <v>14</v>
      </c>
      <c r="B18" s="2">
        <v>150000</v>
      </c>
      <c r="C18" s="10">
        <v>9800000</v>
      </c>
    </row>
    <row r="19" spans="1:3" s="5" customFormat="1" x14ac:dyDescent="0.15">
      <c r="A19" s="2">
        <v>15</v>
      </c>
      <c r="B19" s="2">
        <v>170000</v>
      </c>
      <c r="C19" s="10">
        <v>12000000</v>
      </c>
    </row>
    <row r="20" spans="1:3" s="5" customFormat="1" x14ac:dyDescent="0.15">
      <c r="A20" s="2">
        <v>16</v>
      </c>
      <c r="B20" s="2">
        <v>200000</v>
      </c>
      <c r="C20" s="10">
        <v>15000000</v>
      </c>
    </row>
    <row r="21" spans="1:3" s="5" customFormat="1" x14ac:dyDescent="0.15">
      <c r="A21" s="2">
        <v>17</v>
      </c>
      <c r="B21" s="2">
        <v>230000</v>
      </c>
      <c r="C21" s="10">
        <v>19000000</v>
      </c>
    </row>
    <row r="22" spans="1:3" s="5" customFormat="1" x14ac:dyDescent="0.15">
      <c r="A22" s="2">
        <v>18</v>
      </c>
      <c r="B22" s="2">
        <v>250000</v>
      </c>
      <c r="C22" s="10">
        <v>23000000</v>
      </c>
    </row>
    <row r="23" spans="1:3" s="5" customFormat="1" x14ac:dyDescent="0.15">
      <c r="A23" s="2">
        <v>19</v>
      </c>
      <c r="B23" s="2">
        <v>300000</v>
      </c>
      <c r="C23" s="10">
        <v>30000000</v>
      </c>
    </row>
    <row r="24" spans="1:3" s="5" customFormat="1" x14ac:dyDescent="0.15">
      <c r="A24" s="2">
        <v>20</v>
      </c>
      <c r="B24" s="2">
        <v>350000</v>
      </c>
      <c r="C24" s="10">
        <v>37000000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123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1500</v>
      </c>
    </row>
    <row r="7" spans="1:10" s="5" customFormat="1" x14ac:dyDescent="0.15">
      <c r="A7" s="2">
        <v>3</v>
      </c>
      <c r="B7" s="10">
        <v>0.3</v>
      </c>
      <c r="C7" s="10">
        <v>7200</v>
      </c>
    </row>
    <row r="8" spans="1:10" s="5" customFormat="1" x14ac:dyDescent="0.15">
      <c r="A8" s="2">
        <v>4</v>
      </c>
      <c r="B8" s="10">
        <v>0.6</v>
      </c>
      <c r="C8" s="10">
        <v>39000</v>
      </c>
    </row>
    <row r="9" spans="1:10" s="5" customFormat="1" x14ac:dyDescent="0.15">
      <c r="A9" s="2">
        <v>5</v>
      </c>
      <c r="B9" s="10">
        <v>1</v>
      </c>
      <c r="C9" s="10">
        <v>250000</v>
      </c>
    </row>
    <row r="10" spans="1:10" x14ac:dyDescent="0.15">
      <c r="A10" s="2">
        <v>6</v>
      </c>
      <c r="B10" s="10">
        <v>1.5</v>
      </c>
      <c r="C10" s="8">
        <v>450000</v>
      </c>
      <c r="J10" s="5"/>
    </row>
    <row r="11" spans="1:10" x14ac:dyDescent="0.15">
      <c r="A11" s="2">
        <v>7</v>
      </c>
      <c r="B11" s="10">
        <v>3.5</v>
      </c>
      <c r="C11" s="8">
        <v>810000</v>
      </c>
      <c r="J11" s="5"/>
    </row>
    <row r="12" spans="1:10" x14ac:dyDescent="0.15">
      <c r="A12" s="2">
        <v>8</v>
      </c>
      <c r="B12" s="10">
        <v>4</v>
      </c>
      <c r="C12" s="8">
        <v>1400000</v>
      </c>
      <c r="J12" s="5"/>
    </row>
    <row r="13" spans="1:10" x14ac:dyDescent="0.15">
      <c r="A13" s="2">
        <v>9</v>
      </c>
      <c r="B13" s="10">
        <v>7</v>
      </c>
      <c r="C13" s="8">
        <v>2100000</v>
      </c>
      <c r="J13" s="5"/>
    </row>
    <row r="14" spans="1:10" x14ac:dyDescent="0.15">
      <c r="A14" s="2">
        <v>10</v>
      </c>
      <c r="B14" s="10">
        <v>10</v>
      </c>
      <c r="C14" s="8">
        <v>3100000</v>
      </c>
      <c r="J14" s="5"/>
    </row>
    <row r="15" spans="1:10" x14ac:dyDescent="0.15">
      <c r="A15" s="2">
        <v>11</v>
      </c>
      <c r="B15" s="10">
        <v>15</v>
      </c>
      <c r="C15" s="8">
        <v>4000000</v>
      </c>
      <c r="J15" s="5"/>
    </row>
    <row r="16" spans="1:10" x14ac:dyDescent="0.15">
      <c r="A16" s="2">
        <v>12</v>
      </c>
      <c r="B16" s="10">
        <v>20</v>
      </c>
      <c r="C16" s="8">
        <v>5600000</v>
      </c>
      <c r="J16" s="5"/>
    </row>
    <row r="17" spans="1:10" x14ac:dyDescent="0.15">
      <c r="A17" s="2">
        <v>13</v>
      </c>
      <c r="B17" s="10">
        <v>30</v>
      </c>
      <c r="C17" s="8">
        <v>7200000</v>
      </c>
      <c r="J17" s="5"/>
    </row>
    <row r="18" spans="1:10" x14ac:dyDescent="0.15">
      <c r="A18" s="2">
        <v>14</v>
      </c>
      <c r="B18" s="10">
        <v>40</v>
      </c>
      <c r="C18" s="8">
        <v>9800000</v>
      </c>
      <c r="J18" s="5"/>
    </row>
    <row r="19" spans="1:10" x14ac:dyDescent="0.15">
      <c r="A19" s="2">
        <v>15</v>
      </c>
      <c r="B19" s="10">
        <v>50</v>
      </c>
      <c r="C19" s="8">
        <v>12000000</v>
      </c>
      <c r="J19" s="5"/>
    </row>
    <row r="20" spans="1:10" x14ac:dyDescent="0.15">
      <c r="A20" s="2">
        <v>16</v>
      </c>
      <c r="B20" s="10">
        <v>70</v>
      </c>
      <c r="C20" s="8">
        <v>15000000</v>
      </c>
      <c r="J20" s="5"/>
    </row>
    <row r="21" spans="1:10" x14ac:dyDescent="0.15">
      <c r="A21" s="2">
        <v>17</v>
      </c>
      <c r="B21" s="10">
        <v>90</v>
      </c>
      <c r="C21" s="8">
        <v>19000000</v>
      </c>
      <c r="J21" s="5"/>
    </row>
    <row r="22" spans="1:10" x14ac:dyDescent="0.15">
      <c r="A22" s="2">
        <v>18</v>
      </c>
      <c r="B22" s="10">
        <v>100</v>
      </c>
      <c r="C22" s="8">
        <v>23000000</v>
      </c>
      <c r="J22" s="5"/>
    </row>
    <row r="23" spans="1:10" x14ac:dyDescent="0.15">
      <c r="A23" s="2">
        <v>19</v>
      </c>
      <c r="B23" s="10">
        <v>150</v>
      </c>
      <c r="C23" s="8">
        <v>30000000</v>
      </c>
      <c r="J23" s="5"/>
    </row>
    <row r="24" spans="1:10" x14ac:dyDescent="0.15">
      <c r="A24" s="2">
        <v>20</v>
      </c>
      <c r="B24" s="10">
        <v>200</v>
      </c>
      <c r="C24" s="8">
        <v>37000000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237</v>
      </c>
      <c r="C3" s="8" t="s">
        <v>241</v>
      </c>
      <c r="D3" s="8" t="s">
        <v>238</v>
      </c>
    </row>
    <row r="4" spans="1:11" s="3" customFormat="1" ht="17.25" thickBot="1" x14ac:dyDescent="0.2">
      <c r="A4" s="6" t="s">
        <v>0</v>
      </c>
      <c r="B4" s="11" t="s">
        <v>240</v>
      </c>
      <c r="C4" s="11" t="s">
        <v>239</v>
      </c>
      <c r="D4" s="11" t="s">
        <v>242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258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24" sqref="H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206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13" sqref="H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207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I14" sqref="I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208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K21" sqref="K21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209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全部建筑-属性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2018-09-02T08:40:49Z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