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98" i="9" l="1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<sst xmlns="http://schemas.openxmlformats.org/spreadsheetml/2006/main" count="5515" uniqueCount="1463">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</sst>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121" zoomScaleNormal="100" workbookViewId="0">
      <pane xSplit="12" topLeftCell="M1" activePane="topRight" state="frozen"/>
      <selection pane="topRight" activeCell="N15" sqref="N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6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6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41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L20" sqref="L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140</v>
      </c>
      <c r="P5" s="17">
        <f>Q5*7</f>
        <v>140</v>
      </c>
      <c r="Q5" s="17">
        <v>20</v>
      </c>
      <c r="R5" s="156">
        <f>IF((1-(1-O5/100000)^1440)=0,"",1-(1-O5/100000)^1440)</f>
        <v>0.86700084690727164</v>
      </c>
      <c r="S5" s="172">
        <f>IF((O5/100000)*1440=0,"",(O5/100000)*1440)</f>
        <v>2.016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105</v>
      </c>
      <c r="P6" s="10">
        <f t="shared" ref="P6:P69" si="3">Q6*7</f>
        <v>105</v>
      </c>
      <c r="Q6" s="10">
        <v>15</v>
      </c>
      <c r="R6" s="155">
        <f t="shared" ref="R6:R69" si="4">IF((1-(1-O6/100000)^1440)=0,"",1-(1-O6/100000)^1440)</f>
        <v>0.77970646150782086</v>
      </c>
      <c r="S6" s="171">
        <f t="shared" ref="S6:S69" si="5">IF((O6/100000)*1440=0,"",(O6/100000)*1440)</f>
        <v>1.512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70</v>
      </c>
      <c r="P7" s="10">
        <f t="shared" si="3"/>
        <v>70</v>
      </c>
      <c r="Q7" s="10">
        <v>10</v>
      </c>
      <c r="R7" s="155">
        <f t="shared" si="4"/>
        <v>0.63518064463751056</v>
      </c>
      <c r="S7" s="171">
        <f t="shared" si="5"/>
        <v>1.008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140</v>
      </c>
      <c r="P8" s="10">
        <f t="shared" si="3"/>
        <v>140</v>
      </c>
      <c r="Q8" s="10">
        <v>20</v>
      </c>
      <c r="R8" s="155">
        <f t="shared" si="4"/>
        <v>0.86700084690727164</v>
      </c>
      <c r="S8" s="171">
        <f t="shared" si="5"/>
        <v>2.016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105</v>
      </c>
      <c r="P9" s="10">
        <f t="shared" si="3"/>
        <v>105</v>
      </c>
      <c r="Q9" s="10">
        <v>15</v>
      </c>
      <c r="R9" s="155">
        <f t="shared" si="4"/>
        <v>0.77970646150782086</v>
      </c>
      <c r="S9" s="171">
        <f t="shared" si="5"/>
        <v>1.512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70</v>
      </c>
      <c r="P10" s="10">
        <f t="shared" si="3"/>
        <v>70</v>
      </c>
      <c r="Q10" s="10">
        <v>10</v>
      </c>
      <c r="R10" s="155">
        <f t="shared" si="4"/>
        <v>0.63518064463751056</v>
      </c>
      <c r="S10" s="171">
        <f t="shared" si="5"/>
        <v>1.008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140</v>
      </c>
      <c r="P11" s="10">
        <f t="shared" si="3"/>
        <v>140</v>
      </c>
      <c r="Q11" s="10">
        <v>20</v>
      </c>
      <c r="R11" s="155">
        <f t="shared" si="4"/>
        <v>0.86700084690727164</v>
      </c>
      <c r="S11" s="171">
        <f t="shared" si="5"/>
        <v>2.016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105</v>
      </c>
      <c r="P12" s="10">
        <f t="shared" si="3"/>
        <v>105</v>
      </c>
      <c r="Q12" s="10">
        <v>15</v>
      </c>
      <c r="R12" s="155">
        <f t="shared" si="4"/>
        <v>0.77970646150782086</v>
      </c>
      <c r="S12" s="171">
        <f t="shared" si="5"/>
        <v>1.512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70</v>
      </c>
      <c r="P13" s="10">
        <f t="shared" si="3"/>
        <v>70</v>
      </c>
      <c r="Q13" s="10">
        <v>10</v>
      </c>
      <c r="R13" s="155">
        <f t="shared" si="4"/>
        <v>0.63518064463751056</v>
      </c>
      <c r="S13" s="171">
        <f t="shared" si="5"/>
        <v>1.008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70</v>
      </c>
      <c r="P25" s="17">
        <f t="shared" si="3"/>
        <v>70</v>
      </c>
      <c r="Q25" s="17">
        <v>10</v>
      </c>
      <c r="R25" s="156">
        <f t="shared" si="4"/>
        <v>0.63518064463751056</v>
      </c>
      <c r="S25" s="172">
        <f t="shared" si="5"/>
        <v>1.008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56</v>
      </c>
      <c r="P26" s="10">
        <f t="shared" si="3"/>
        <v>56</v>
      </c>
      <c r="Q26" s="10">
        <v>8</v>
      </c>
      <c r="R26" s="155">
        <f t="shared" si="4"/>
        <v>0.55363839250588387</v>
      </c>
      <c r="S26" s="171">
        <f t="shared" si="5"/>
        <v>0.80639999999999989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35</v>
      </c>
      <c r="P27" s="10">
        <f t="shared" si="3"/>
        <v>35</v>
      </c>
      <c r="Q27" s="10">
        <v>5</v>
      </c>
      <c r="R27" s="155">
        <f t="shared" si="4"/>
        <v>0.39594390967671056</v>
      </c>
      <c r="S27" s="171">
        <f t="shared" si="5"/>
        <v>0.504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70</v>
      </c>
      <c r="P28" s="10">
        <f t="shared" si="3"/>
        <v>70</v>
      </c>
      <c r="Q28" s="10">
        <v>10</v>
      </c>
      <c r="R28" s="155">
        <f t="shared" si="4"/>
        <v>0.63518064463751056</v>
      </c>
      <c r="S28" s="171">
        <f t="shared" si="5"/>
        <v>1.008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56</v>
      </c>
      <c r="P29" s="10">
        <f t="shared" si="3"/>
        <v>56</v>
      </c>
      <c r="Q29" s="10">
        <v>8</v>
      </c>
      <c r="R29" s="155">
        <f t="shared" si="4"/>
        <v>0.55363839250588387</v>
      </c>
      <c r="S29" s="171">
        <f t="shared" si="5"/>
        <v>0.80639999999999989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35</v>
      </c>
      <c r="P30" s="10">
        <f t="shared" si="3"/>
        <v>35</v>
      </c>
      <c r="Q30" s="10">
        <v>5</v>
      </c>
      <c r="R30" s="155">
        <f t="shared" si="4"/>
        <v>0.39594390967671056</v>
      </c>
      <c r="S30" s="171">
        <f t="shared" si="5"/>
        <v>0.504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70</v>
      </c>
      <c r="P45" s="17">
        <f t="shared" si="3"/>
        <v>70</v>
      </c>
      <c r="Q45" s="17">
        <v>10</v>
      </c>
      <c r="R45" s="156">
        <f t="shared" si="4"/>
        <v>0.63518064463751056</v>
      </c>
      <c r="S45" s="172">
        <f t="shared" si="5"/>
        <v>1.008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56</v>
      </c>
      <c r="P46" s="10">
        <f t="shared" si="3"/>
        <v>56</v>
      </c>
      <c r="Q46" s="10">
        <v>8</v>
      </c>
      <c r="R46" s="155">
        <f t="shared" si="4"/>
        <v>0.55363839250588387</v>
      </c>
      <c r="S46" s="171">
        <f t="shared" si="5"/>
        <v>0.80639999999999989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35</v>
      </c>
      <c r="P47" s="10">
        <f t="shared" si="3"/>
        <v>35</v>
      </c>
      <c r="Q47" s="10">
        <v>5</v>
      </c>
      <c r="R47" s="155">
        <f t="shared" si="4"/>
        <v>0.39594390967671056</v>
      </c>
      <c r="S47" s="171">
        <f t="shared" si="5"/>
        <v>0.504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70</v>
      </c>
      <c r="P48" s="10">
        <f t="shared" si="3"/>
        <v>70</v>
      </c>
      <c r="Q48" s="10">
        <v>10</v>
      </c>
      <c r="R48" s="155">
        <f t="shared" si="4"/>
        <v>0.63518064463751056</v>
      </c>
      <c r="S48" s="171">
        <f t="shared" si="5"/>
        <v>1.008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56</v>
      </c>
      <c r="P49" s="10">
        <f t="shared" si="3"/>
        <v>56</v>
      </c>
      <c r="Q49" s="10">
        <v>8</v>
      </c>
      <c r="R49" s="155">
        <f t="shared" si="4"/>
        <v>0.55363839250588387</v>
      </c>
      <c r="S49" s="171">
        <f t="shared" si="5"/>
        <v>0.80639999999999989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35</v>
      </c>
      <c r="P50" s="10">
        <f t="shared" si="3"/>
        <v>35</v>
      </c>
      <c r="Q50" s="10">
        <v>5</v>
      </c>
      <c r="R50" s="155">
        <f t="shared" si="4"/>
        <v>0.39594390967671056</v>
      </c>
      <c r="S50" s="171">
        <f t="shared" si="5"/>
        <v>0.504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70</v>
      </c>
      <c r="P51" s="10">
        <f t="shared" si="3"/>
        <v>70</v>
      </c>
      <c r="Q51" s="10">
        <v>10</v>
      </c>
      <c r="R51" s="155">
        <f t="shared" si="4"/>
        <v>0.63518064463751056</v>
      </c>
      <c r="S51" s="171">
        <f t="shared" si="5"/>
        <v>1.008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56</v>
      </c>
      <c r="P52" s="10">
        <f t="shared" si="3"/>
        <v>56</v>
      </c>
      <c r="Q52" s="10">
        <v>8</v>
      </c>
      <c r="R52" s="155">
        <f t="shared" si="4"/>
        <v>0.55363839250588387</v>
      </c>
      <c r="S52" s="171">
        <f t="shared" si="5"/>
        <v>0.80639999999999989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35</v>
      </c>
      <c r="P53" s="10">
        <f t="shared" si="3"/>
        <v>35</v>
      </c>
      <c r="Q53" s="10">
        <v>5</v>
      </c>
      <c r="R53" s="155">
        <f t="shared" si="4"/>
        <v>0.39594390967671056</v>
      </c>
      <c r="S53" s="171">
        <f t="shared" si="5"/>
        <v>0.504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70</v>
      </c>
      <c r="P54" s="10">
        <f t="shared" si="3"/>
        <v>70</v>
      </c>
      <c r="Q54" s="10">
        <v>10</v>
      </c>
      <c r="R54" s="155">
        <f t="shared" si="4"/>
        <v>0.63518064463751056</v>
      </c>
      <c r="S54" s="171">
        <f t="shared" si="5"/>
        <v>1.008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56</v>
      </c>
      <c r="P55" s="10">
        <f t="shared" si="3"/>
        <v>56</v>
      </c>
      <c r="Q55" s="10">
        <v>8</v>
      </c>
      <c r="R55" s="155">
        <f t="shared" si="4"/>
        <v>0.55363839250588387</v>
      </c>
      <c r="S55" s="171">
        <f t="shared" si="5"/>
        <v>0.80639999999999989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35</v>
      </c>
      <c r="P56" s="10">
        <f t="shared" si="3"/>
        <v>35</v>
      </c>
      <c r="Q56" s="10">
        <v>5</v>
      </c>
      <c r="R56" s="155">
        <f t="shared" si="4"/>
        <v>0.39594390967671056</v>
      </c>
      <c r="S56" s="171">
        <f t="shared" si="5"/>
        <v>0.504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70</v>
      </c>
      <c r="P57" s="10">
        <f t="shared" si="3"/>
        <v>70</v>
      </c>
      <c r="Q57" s="10">
        <v>10</v>
      </c>
      <c r="R57" s="155">
        <f t="shared" si="4"/>
        <v>0.63518064463751056</v>
      </c>
      <c r="S57" s="171">
        <f t="shared" si="5"/>
        <v>1.008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56</v>
      </c>
      <c r="P58" s="10">
        <f t="shared" si="3"/>
        <v>56</v>
      </c>
      <c r="Q58" s="10">
        <v>8</v>
      </c>
      <c r="R58" s="155">
        <f t="shared" si="4"/>
        <v>0.55363839250588387</v>
      </c>
      <c r="S58" s="171">
        <f t="shared" si="5"/>
        <v>0.80639999999999989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35</v>
      </c>
      <c r="P59" s="10">
        <f t="shared" si="3"/>
        <v>35</v>
      </c>
      <c r="Q59" s="10">
        <v>5</v>
      </c>
      <c r="R59" s="155">
        <f t="shared" si="4"/>
        <v>0.39594390967671056</v>
      </c>
      <c r="S59" s="171">
        <f t="shared" si="5"/>
        <v>0.504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70</v>
      </c>
      <c r="P60" s="10">
        <f t="shared" si="3"/>
        <v>70</v>
      </c>
      <c r="Q60" s="10">
        <v>10</v>
      </c>
      <c r="R60" s="155">
        <f t="shared" si="4"/>
        <v>0.63518064463751056</v>
      </c>
      <c r="S60" s="171">
        <f t="shared" si="5"/>
        <v>1.008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56</v>
      </c>
      <c r="P61" s="10">
        <f t="shared" si="3"/>
        <v>56</v>
      </c>
      <c r="Q61" s="10">
        <v>8</v>
      </c>
      <c r="R61" s="155">
        <f t="shared" si="4"/>
        <v>0.55363839250588387</v>
      </c>
      <c r="S61" s="171">
        <f t="shared" si="5"/>
        <v>0.80639999999999989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35</v>
      </c>
      <c r="P62" s="10">
        <f t="shared" si="3"/>
        <v>35</v>
      </c>
      <c r="Q62" s="10">
        <v>5</v>
      </c>
      <c r="R62" s="155">
        <f t="shared" si="4"/>
        <v>0.39594390967671056</v>
      </c>
      <c r="S62" s="171">
        <f t="shared" si="5"/>
        <v>0.504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70</v>
      </c>
      <c r="P63" s="10">
        <f t="shared" si="3"/>
        <v>70</v>
      </c>
      <c r="Q63" s="10">
        <v>10</v>
      </c>
      <c r="R63" s="155">
        <f t="shared" si="4"/>
        <v>0.63518064463751056</v>
      </c>
      <c r="S63" s="171">
        <f t="shared" si="5"/>
        <v>1.008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56</v>
      </c>
      <c r="P64" s="10">
        <f t="shared" si="3"/>
        <v>56</v>
      </c>
      <c r="Q64" s="10">
        <v>8</v>
      </c>
      <c r="R64" s="155">
        <f t="shared" si="4"/>
        <v>0.55363839250588387</v>
      </c>
      <c r="S64" s="171">
        <f t="shared" si="5"/>
        <v>0.80639999999999989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35</v>
      </c>
      <c r="P65" s="10">
        <f t="shared" si="3"/>
        <v>35</v>
      </c>
      <c r="Q65" s="10">
        <v>5</v>
      </c>
      <c r="R65" s="155">
        <f t="shared" si="4"/>
        <v>0.39594390967671056</v>
      </c>
      <c r="S65" s="171">
        <f t="shared" si="5"/>
        <v>0.504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175</v>
      </c>
      <c r="P66" s="10">
        <f t="shared" si="3"/>
        <v>175</v>
      </c>
      <c r="Q66" s="10">
        <v>25</v>
      </c>
      <c r="R66" s="155">
        <f t="shared" si="4"/>
        <v>0.91971781802635189</v>
      </c>
      <c r="S66" s="171">
        <f t="shared" si="5"/>
        <v>2.52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140</v>
      </c>
      <c r="P67" s="10">
        <f t="shared" si="3"/>
        <v>140</v>
      </c>
      <c r="Q67" s="10">
        <v>20</v>
      </c>
      <c r="R67" s="155">
        <f t="shared" si="4"/>
        <v>0.86700084690727164</v>
      </c>
      <c r="S67" s="171">
        <f t="shared" si="5"/>
        <v>2.016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70</v>
      </c>
      <c r="P68" s="10">
        <f t="shared" si="3"/>
        <v>70</v>
      </c>
      <c r="Q68" s="10">
        <v>10</v>
      </c>
      <c r="R68" s="155">
        <f t="shared" si="4"/>
        <v>0.63518064463751056</v>
      </c>
      <c r="S68" s="171">
        <f t="shared" si="5"/>
        <v>1.008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Q70*7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Q134*7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Q198*7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abSelected="1"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25" sqref="E2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8000</v>
      </c>
      <c r="C6" s="91">
        <v>8</v>
      </c>
    </row>
    <row r="7" spans="1:3" x14ac:dyDescent="0.15">
      <c r="A7" s="91">
        <v>3</v>
      </c>
      <c r="B7" s="91">
        <f t="shared" si="0"/>
        <v>5000</v>
      </c>
      <c r="C7" s="91">
        <v>5</v>
      </c>
    </row>
    <row r="8" spans="1:3" x14ac:dyDescent="0.15">
      <c r="A8" s="91">
        <v>4</v>
      </c>
      <c r="B8" s="91">
        <f t="shared" si="0"/>
        <v>4000</v>
      </c>
      <c r="C8" s="91">
        <v>4</v>
      </c>
    </row>
    <row r="9" spans="1:3" x14ac:dyDescent="0.15">
      <c r="A9" s="91">
        <v>5</v>
      </c>
      <c r="B9" s="91">
        <f t="shared" si="0"/>
        <v>3000</v>
      </c>
      <c r="C9" s="91">
        <v>3</v>
      </c>
    </row>
    <row r="10" spans="1:3" x14ac:dyDescent="0.15">
      <c r="A10" s="91">
        <v>6</v>
      </c>
      <c r="B10" s="91">
        <f t="shared" si="0"/>
        <v>1000</v>
      </c>
      <c r="C10" s="91">
        <v>1</v>
      </c>
    </row>
    <row r="11" spans="1:3" x14ac:dyDescent="0.15">
      <c r="A11" s="91">
        <v>7</v>
      </c>
      <c r="B11" s="91">
        <f t="shared" si="0"/>
        <v>500</v>
      </c>
      <c r="C11" s="91">
        <v>0.5</v>
      </c>
    </row>
    <row r="12" spans="1:3" x14ac:dyDescent="0.15">
      <c r="A12" s="91">
        <v>8</v>
      </c>
      <c r="B12" s="91">
        <f t="shared" si="0"/>
        <v>350</v>
      </c>
      <c r="C12" s="91">
        <v>0.35</v>
      </c>
    </row>
    <row r="13" spans="1:3" x14ac:dyDescent="0.15">
      <c r="A13" s="91">
        <v>9</v>
      </c>
      <c r="B13" s="91">
        <f t="shared" si="0"/>
        <v>300</v>
      </c>
      <c r="C13" s="91">
        <v>0.3</v>
      </c>
    </row>
    <row r="14" spans="1:3" x14ac:dyDescent="0.15">
      <c r="A14" s="91">
        <v>10</v>
      </c>
      <c r="B14" s="91">
        <f t="shared" si="0"/>
        <v>280</v>
      </c>
      <c r="C14" s="91">
        <v>0.28000000000000003</v>
      </c>
    </row>
    <row r="15" spans="1:3" x14ac:dyDescent="0.15">
      <c r="A15" s="91">
        <v>11</v>
      </c>
      <c r="B15" s="91">
        <f t="shared" si="0"/>
        <v>270</v>
      </c>
      <c r="C15" s="91">
        <v>0.27</v>
      </c>
    </row>
    <row r="16" spans="1:3" x14ac:dyDescent="0.15">
      <c r="A16" s="91">
        <v>12</v>
      </c>
      <c r="B16" s="91">
        <f t="shared" si="0"/>
        <v>260</v>
      </c>
      <c r="C16" s="91">
        <v>0.26</v>
      </c>
    </row>
    <row r="17" spans="1:3" x14ac:dyDescent="0.15">
      <c r="A17" s="91">
        <v>13</v>
      </c>
      <c r="B17" s="91">
        <f t="shared" si="0"/>
        <v>250</v>
      </c>
      <c r="C17" s="91">
        <v>0.25</v>
      </c>
    </row>
    <row r="18" spans="1:3" x14ac:dyDescent="0.15">
      <c r="A18" s="91">
        <v>14</v>
      </c>
      <c r="B18" s="91">
        <f t="shared" si="0"/>
        <v>240</v>
      </c>
      <c r="C18" s="91">
        <v>0.24</v>
      </c>
    </row>
    <row r="19" spans="1:3" x14ac:dyDescent="0.15">
      <c r="A19" s="91">
        <v>15</v>
      </c>
      <c r="B19" s="91">
        <f t="shared" si="0"/>
        <v>230</v>
      </c>
      <c r="C19" s="91">
        <v>0.23</v>
      </c>
    </row>
    <row r="20" spans="1:3" x14ac:dyDescent="0.15">
      <c r="A20" s="91">
        <v>16</v>
      </c>
      <c r="B20" s="91">
        <f t="shared" si="0"/>
        <v>220</v>
      </c>
      <c r="C20" s="91">
        <v>0.22</v>
      </c>
    </row>
    <row r="21" spans="1:3" x14ac:dyDescent="0.15">
      <c r="A21" s="91">
        <v>17</v>
      </c>
      <c r="B21" s="91">
        <f t="shared" si="0"/>
        <v>210</v>
      </c>
      <c r="C21" s="91">
        <v>0.21</v>
      </c>
    </row>
    <row r="22" spans="1:3" x14ac:dyDescent="0.15">
      <c r="A22" s="91">
        <v>18</v>
      </c>
      <c r="B22" s="91">
        <f t="shared" si="0"/>
        <v>200</v>
      </c>
      <c r="C22" s="91">
        <v>0.2</v>
      </c>
    </row>
    <row r="23" spans="1:3" x14ac:dyDescent="0.15">
      <c r="A23" s="91">
        <v>19</v>
      </c>
      <c r="B23" s="91">
        <f t="shared" si="0"/>
        <v>190</v>
      </c>
      <c r="C23" s="91">
        <v>0.19</v>
      </c>
    </row>
    <row r="24" spans="1:3" x14ac:dyDescent="0.15">
      <c r="A24" s="91">
        <v>20</v>
      </c>
      <c r="B24" s="91">
        <f t="shared" si="0"/>
        <v>180</v>
      </c>
      <c r="C24" s="91">
        <v>0.18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2018-09-25T10:15:04Z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